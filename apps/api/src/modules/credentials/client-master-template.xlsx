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Clients" sheetId="2" state="visible" r:id="rId2"/>
    <sheet name="Logins" sheetId="3" state="visible" r:id="rId3"/>
    <sheet name="Lists" sheetId="4" state="visible" r:id="rId4"/>
  </sheets>
  <definedNames>
    <definedName name="_xlnm._FilterDatabase" localSheetId="1" hidden="1">'Clients'!$A$4:$AM$1005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YY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FFFFFF"/>
      <sz val="14"/>
    </font>
    <font>
      <name val="Arial"/>
      <i val="1"/>
      <color rgb="00333333"/>
      <sz val="10"/>
    </font>
    <font>
      <name val="Arial"/>
      <b val="1"/>
      <color rgb="00999999"/>
      <sz val="10"/>
    </font>
    <font>
      <name val="Arial"/>
      <i val="1"/>
      <color rgb="001F3A5F"/>
      <sz val="10"/>
    </font>
    <font>
      <name val="Arial"/>
      <color rgb="00333333"/>
      <sz val="10"/>
    </font>
    <font>
      <name val="Arial"/>
      <b val="1"/>
      <color rgb="00FFFFFF"/>
      <sz val="13"/>
    </font>
    <font>
      <name val="Arial"/>
      <i val="1"/>
      <color rgb="008A2D2D"/>
      <sz val="10"/>
    </font>
    <font>
      <name val="Arial"/>
      <b val="1"/>
      <color rgb="00000000"/>
      <sz val="10"/>
    </font>
    <font>
      <name val="Arial"/>
      <b val="1"/>
      <color rgb="001F3A5F"/>
      <sz val="16"/>
    </font>
    <font>
      <name val="Arial"/>
      <b val="1"/>
      <color rgb="00FFFFFF"/>
      <sz val="12"/>
    </font>
  </fonts>
  <fills count="12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E5E4E"/>
        <bgColor rgb="002E5E4E"/>
      </patternFill>
    </fill>
    <fill>
      <patternFill patternType="solid">
        <fgColor rgb="005B4B8A"/>
        <bgColor rgb="005B4B8A"/>
      </patternFill>
    </fill>
    <fill>
      <patternFill patternType="solid">
        <fgColor rgb="007A4E2D"/>
        <bgColor rgb="007A4E2D"/>
      </patternFill>
    </fill>
    <fill>
      <patternFill patternType="solid">
        <fgColor rgb="008A2D4E"/>
        <bgColor rgb="008A2D4E"/>
      </patternFill>
    </fill>
    <fill>
      <patternFill patternType="solid">
        <fgColor rgb="004A4A4A"/>
        <bgColor rgb="004A4A4A"/>
      </patternFill>
    </fill>
    <fill>
      <patternFill patternType="solid">
        <fgColor rgb="00FFFFFF"/>
        <bgColor rgb="00FFFFFF"/>
      </patternFill>
    </fill>
    <fill>
      <patternFill patternType="solid">
        <fgColor rgb="00E3F2FD"/>
        <bgColor rgb="00E3F2FD"/>
      </patternFill>
    </fill>
    <fill>
      <patternFill patternType="solid">
        <fgColor rgb="00ECEFF3"/>
        <bgColor rgb="00ECEFF3"/>
      </patternFill>
    </fill>
    <fill>
      <patternFill patternType="solid">
        <fgColor rgb="00FFF8D6"/>
        <bgColor rgb="00FFF8D6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1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0" fontId="10" fillId="11" borderId="1" applyAlignment="1" pivotButton="0" quotePrefix="0" xfId="0">
      <alignment vertical="top"/>
    </xf>
    <xf numFmtId="0" fontId="10" fillId="10" borderId="1" applyAlignment="1" pivotButton="0" quotePrefix="0" xfId="0">
      <alignment vertical="top"/>
    </xf>
    <xf numFmtId="0" fontId="10" fillId="9" borderId="1" applyAlignment="1" pivotButton="0" quotePrefix="0" xfId="0">
      <alignment vertical="top"/>
    </xf>
    <xf numFmtId="0" fontId="3" fillId="2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49" fontId="6" fillId="9" borderId="1" applyAlignment="1" pivotButton="0" quotePrefix="0" xfId="0">
      <alignment vertical="top"/>
    </xf>
    <xf numFmtId="0" fontId="6" fillId="9" borderId="1" applyAlignment="1" pivotButton="0" quotePrefix="0" xfId="0">
      <alignment vertical="top"/>
    </xf>
    <xf numFmtId="165" fontId="6" fillId="9" borderId="1" applyAlignment="1" pivotButton="0" quotePrefix="0" xfId="0">
      <alignment vertical="top"/>
    </xf>
    <xf numFmtId="0" fontId="7" fillId="10" borderId="1" applyAlignment="1" pivotButton="0" quotePrefix="0" xfId="0">
      <alignment vertical="top"/>
    </xf>
    <xf numFmtId="0" fontId="7" fillId="10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/>
    </xf>
    <xf numFmtId="49" fontId="2" fillId="11" borderId="1" applyAlignment="1" pivotButton="0" quotePrefix="0" xfId="0">
      <alignment vertical="top"/>
    </xf>
    <xf numFmtId="0" fontId="2" fillId="11" borderId="1" applyAlignment="1" pivotButton="0" quotePrefix="0" xfId="0">
      <alignment vertical="top"/>
    </xf>
    <xf numFmtId="165" fontId="2" fillId="11" borderId="1" applyAlignment="1" pivotButton="0" quotePrefix="0" xfId="0">
      <alignment vertical="top"/>
    </xf>
    <xf numFmtId="0" fontId="8" fillId="2" borderId="0" pivotButton="0" quotePrefix="0" xfId="0"/>
    <xf numFmtId="0" fontId="9" fillId="0" borderId="0" applyAlignment="1" pivotButton="0" quotePrefix="0" xfId="0">
      <alignment vertical="top" wrapText="1"/>
    </xf>
    <xf numFmtId="49" fontId="6" fillId="9" borderId="1" pivotButton="0" quotePrefix="0" xfId="0"/>
    <xf numFmtId="0" fontId="6" fillId="9" borderId="1" pivotButton="0" quotePrefix="0" xfId="0"/>
    <xf numFmtId="0" fontId="7" fillId="10" borderId="1" pivotButton="0" quotePrefix="0" xfId="0"/>
    <xf numFmtId="49" fontId="2" fillId="11" borderId="1" pivotButton="0" quotePrefix="0" xfId="0"/>
    <xf numFmtId="0" fontId="2" fillId="11" borderId="1" pivotButton="0" quotePrefix="0" xfId="0"/>
    <xf numFmtId="0" fontId="1" fillId="2" borderId="0" pivotButton="0" quotePrefix="0" xfId="0"/>
    <xf numFmtId="0" fontId="2" fillId="0" borderId="0" pivotButton="0" quotePrefix="0" xfId="0"/>
    <xf numFmtId="49" fontId="2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D7F0DD"/>
          <bgColor rgb="00D7F0DD"/>
        </patternFill>
      </fill>
    </dxf>
    <dxf>
      <font>
        <name val="Arial"/>
        <color rgb="00B71C1C"/>
      </font>
      <fill>
        <patternFill patternType="solid">
          <fgColor rgb="00FBE0E0"/>
          <bgColor rgb="00FBE0E0"/>
        </patternFill>
      </fill>
    </dxf>
    <dxf>
      <font>
        <name val="Arial"/>
        <b val="1"/>
        <color rgb="001B5E20"/>
      </font>
    </dxf>
    <dxf>
      <font>
        <name val="Arial"/>
        <b val="1"/>
        <color rgb="00B71C1C"/>
      </font>
      <fill>
        <patternFill patternType="solid">
          <fgColor rgb="00FBE0E0"/>
          <bgColor rgb="00FBE0E0"/>
        </patternFill>
      </fill>
    </dxf>
    <dxf>
      <font>
        <name val="Arial"/>
        <i val="1"/>
        <color rgb="008A5A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DHVAJ</author>
  </authors>
  <commentList>
    <comment ref="A4" authorId="0" shapeId="0">
      <text>
        <t>Filled by Export for clients already in the portal — leave it as it is. Blank = a NEW client.</t>
      </text>
    </comment>
    <comment ref="B4" authorId="0" shapeId="0">
      <text>
        <t>Required. As on the PAN / GST certificate.</t>
      </text>
    </comment>
    <comment ref="C4" authorId="0" shapeId="0">
      <text>
        <t>Brand / trade name, if different.</t>
      </text>
    </comment>
    <comment ref="D4" authorId="0" shapeId="0">
      <text>
        <t>Pick from the list. Blank = guessed from the PAN (see 'Entity type to use').</t>
      </text>
    </comment>
    <comment ref="E4" authorId="0" shapeId="0">
      <text>
        <t>10 characters. Blank = taken from the GSTIN.</t>
      </text>
    </comment>
    <comment ref="F4" authorId="0" shapeId="0">
      <text>
        <t>15 characters. PAN, state and type are worked out from it.</t>
      </text>
    </comment>
    <comment ref="G4" authorId="0" shapeId="0">
      <text>
        <t>Other states' GSTINs of the SAME client, separated by commas.</t>
      </text>
    </comment>
    <comment ref="H4" authorId="0" shapeId="0">
      <text>
        <t>Needed for a TDS/TCS engagement.</t>
      </text>
    </comment>
    <comment ref="I4" authorId="0" shapeId="0">
      <text>
        <t>Needed for an ROC/MCA engagement (company / LLP).</t>
      </text>
    </comment>
    <comment ref="J4" authorId="0" shapeId="0">
      <text>
        <t>dd-mm-yyyy</t>
      </text>
    </comment>
    <comment ref="K4" authorId="0" shapeId="0">
      <text>
        <t>Blank = Active.</t>
      </text>
    </comment>
    <comment ref="L4" authorId="0" shapeId="0">
      <text>
        <t>Blank = the firm's main office.</t>
      </text>
    </comment>
    <comment ref="M4" authorId="0" shapeId="0">
      <text>
        <t>Primary contact.</t>
      </text>
    </comment>
    <comment ref="Q4" authorId="0" shapeId="0">
      <text>
        <t>Registered / principal place of business.</t>
      </text>
    </comment>
    <comment ref="T4" authorId="0" shapeId="0">
      <text>
        <t>Blank = the GSTIN's state.</t>
      </text>
    </comment>
    <comment ref="U4" authorId="0" shapeId="0">
      <text>
        <t>6 digits.</t>
      </text>
    </comment>
    <comment ref="V4" authorId="0" shapeId="0">
      <text>
        <t>Year the engagement starts, e.g. 2026-27.</t>
      </text>
    </comment>
    <comment ref="W4" authorId="0" shapeId="0">
      <text>
        <t>Yes = GST compliance engagement (returns calendar).</t>
      </text>
    </comment>
    <comment ref="X4" authorId="0" shapeId="0">
      <text>
        <t>Monthly or Quarterly (QRMP).</t>
      </text>
    </comment>
    <comment ref="AA4" authorId="0" shapeId="0">
      <text>
        <t>Companies and LLPs only.</t>
      </text>
    </comment>
    <comment ref="AD4" authorId="0" shapeId="0">
      <text>
        <t>Portal login email. Blank = you.</t>
      </text>
    </comment>
    <comment ref="AE4" authorId="0" shapeId="0">
      <text>
        <t>Portal login email of the staff member running it.</t>
      </text>
    </comment>
    <comment ref="AG4" authorId="0" shapeId="0">
      <text>
        <t>Your PAN, or the one inside the GSTIN.</t>
      </text>
    </comment>
    <comment ref="AI4" authorId="0" shapeId="0">
      <text>
        <t>From the first two digits of the GSTIN.</t>
      </text>
    </comment>
    <comment ref="AJ4" authorId="0" shapeId="0">
      <text>
        <t>Checks the format, state code and the check digit.</t>
      </text>
    </comment>
    <comment ref="AM4" authorId="0" shapeId="0">
      <text>
        <t>What is still missing before the import can create the client and its engagement.</t>
      </text>
    </comment>
    <comment ref="A5" authorId="0" shapeId="0">
      <text>
        <t>Example row — the import skips any row whose Client code is EXAMPLE. Overwrite or delete it.</t>
      </text>
    </comment>
  </commentList>
</comments>
</file>

<file path=xl/comments/comment2.xml><?xml version="1.0" encoding="utf-8"?>
<comments xmlns="http://schemas.openxmlformats.org/spreadsheetml/2006/main">
  <authors>
    <author>DHVAJ</author>
  </authors>
  <commentList>
    <comment ref="C3" authorId="0" shapeId="0">
      <text>
        <t>GST login goes with a GSTIN; Income-tax (PAN) with the client's PAN; Income-tax (TAN) and TRACES deductor with the TAN.</t>
      </text>
    </comment>
    <comment ref="D3" authorId="0" shapeId="0">
      <text>
        <t>Which GSTIN (for a GST login) or TAN (for TAN / TRACES deductor). Blank = the client's main GSTIN / TAN.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2E5E4E"/>
    <outlinePr summaryBelow="1" summaryRight="1"/>
    <pageSetUpPr fitToPage="1"/>
  </sheetPr>
  <dimension ref="B1:C29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5" customWidth="1" min="3" max="3"/>
  </cols>
  <sheetData>
    <row r="1" ht="26" customHeight="1">
      <c r="B1" s="1" t="inlineStr">
        <is>
          <t>DHVAJ Client Master</t>
        </is>
      </c>
      <c r="C1" s="2" t="inlineStr"/>
    </row>
    <row r="2" ht="42" customHeight="1">
      <c r="B2" s="3" t="inlineStr"/>
      <c r="C2" s="2" t="inlineStr">
        <is>
          <t>One sheet for every client's master details, so you stop collecting GSTIN / PAN / TAN from different sites. Fill a row, and the grey columns check it and tell you what is still missing to open the client's engagements.</t>
        </is>
      </c>
    </row>
    <row r="3">
      <c r="B3" s="3" t="inlineStr"/>
      <c r="C3" s="2" t="inlineStr"/>
    </row>
    <row r="4">
      <c r="B4" s="4" t="inlineStr">
        <is>
          <t>Colours</t>
        </is>
      </c>
      <c r="C4" s="5" t="inlineStr"/>
    </row>
    <row r="5">
      <c r="B5" s="6" t="inlineStr">
        <is>
          <t>Yellow cell</t>
        </is>
      </c>
      <c r="C5" s="2" t="inlineStr">
        <is>
          <t>You fill it.</t>
        </is>
      </c>
    </row>
    <row r="6">
      <c r="B6" s="7" t="inlineStr">
        <is>
          <t>Grey cell</t>
        </is>
      </c>
      <c r="C6" s="2" t="inlineStr">
        <is>
          <t>Fills itself from what you typed — do not type there.</t>
        </is>
      </c>
    </row>
    <row r="7">
      <c r="B7" s="8" t="inlineStr">
        <is>
          <t>Blue row</t>
        </is>
      </c>
      <c r="C7" s="2" t="inlineStr">
        <is>
          <t>Example (Client code EXAMPLE). The import skips it.</t>
        </is>
      </c>
    </row>
    <row r="8">
      <c r="B8" s="3" t="inlineStr"/>
      <c r="C8" s="2" t="inlineStr"/>
    </row>
    <row r="9">
      <c r="B9" s="4" t="inlineStr">
        <is>
          <t>Export (portal → Excel)</t>
        </is>
      </c>
      <c r="C9" s="5" t="inlineStr"/>
    </row>
    <row r="10" ht="28" customHeight="1">
      <c r="B10" s="3" t="inlineStr">
        <is>
          <t>1.</t>
        </is>
      </c>
      <c r="C10" s="2" t="inlineStr">
        <is>
          <t>Clients → Export client master. You get this same file with every client already in the portal, one per row, with its Client code.</t>
        </is>
      </c>
    </row>
    <row r="11" ht="28" customHeight="1">
      <c r="B11" s="3" t="inlineStr">
        <is>
          <t>2.</t>
        </is>
      </c>
      <c r="C11" s="2" t="inlineStr">
        <is>
          <t>Use the 'Ready for engagement?' column (or filter it on ✖) to see which clients still have gaps — missing GSTIN, TAN, CIN, contact, financial year…</t>
        </is>
      </c>
    </row>
    <row r="12">
      <c r="B12" s="3" t="inlineStr"/>
      <c r="C12" s="2" t="inlineStr"/>
    </row>
    <row r="13">
      <c r="B13" s="4" t="inlineStr">
        <is>
          <t>Fill</t>
        </is>
      </c>
      <c r="C13" s="5" t="inlineStr"/>
    </row>
    <row r="14" ht="28" customHeight="1">
      <c r="B14" s="3" t="inlineStr">
        <is>
          <t>Remaining clients</t>
        </is>
      </c>
      <c r="C14" s="2" t="inlineStr">
        <is>
          <t>Rows that already have a Client code: fill only the blanks. A blank cell never wipes what the portal already has.</t>
        </is>
      </c>
    </row>
    <row r="15" ht="28" customHeight="1">
      <c r="B15" s="3" t="inlineStr">
        <is>
          <t>New clients</t>
        </is>
      </c>
      <c r="C15" s="2" t="inlineStr">
        <is>
          <t>Add a row with Client code left blank. Minimum: Legal name and either the GSTIN or the PAN. Type the GSTIN and the PAN, state and entity type are worked out for you.</t>
        </is>
      </c>
    </row>
    <row r="16" ht="56" customHeight="1">
      <c r="B16" s="3" t="inlineStr">
        <is>
          <t>Engagements</t>
        </is>
      </c>
      <c r="C16" s="2" t="inlineStr">
        <is>
          <t>Pick the Financial year and say Yes to each service (GST, TDS / TCS, Income Tax, ROC / MCA, Bookkeeping, MIS). The import opens one Compliance engagement per client with those services. GST needs a GSTIN and a return frequency; TDS needs a TAN; ROC needs a CIN / LLPIN and is only for companies and LLPs.</t>
        </is>
      </c>
    </row>
    <row r="17" ht="28" customHeight="1">
      <c r="B17" s="3" t="inlineStr">
        <is>
          <t>Several GSTINs</t>
        </is>
      </c>
      <c r="C17" s="2" t="inlineStr">
        <is>
          <t>Same PAN in several states = ONE client. Put the main GSTIN in 'GSTIN (main)' and the rest in 'Other GSTINs', separated by commas.</t>
        </is>
      </c>
    </row>
    <row r="18" ht="28" customHeight="1">
      <c r="B18" s="3" t="inlineStr">
        <is>
          <t>Logins</t>
        </is>
      </c>
      <c r="C18" s="2" t="inlineStr">
        <is>
          <t>Optional. 'Logins' sheet, one row per portal login. Passwords are encrypted on import and are never exported.</t>
        </is>
      </c>
    </row>
    <row r="19">
      <c r="B19" s="3" t="inlineStr"/>
      <c r="C19" s="2" t="inlineStr"/>
    </row>
    <row r="20">
      <c r="B20" s="4" t="inlineStr">
        <is>
          <t>Import (Excel → portal)</t>
        </is>
      </c>
      <c r="C20" s="5" t="inlineStr"/>
    </row>
    <row r="21">
      <c r="B21" s="3" t="inlineStr">
        <is>
          <t>1.</t>
        </is>
      </c>
      <c r="C21" s="2" t="inlineStr">
        <is>
          <t>Clients → Import client master, then choose this file.</t>
        </is>
      </c>
    </row>
    <row r="22" ht="28" customHeight="1">
      <c r="B22" s="3" t="inlineStr">
        <is>
          <t>2.</t>
        </is>
      </c>
      <c r="C22" s="2" t="inlineStr">
        <is>
          <t>The portal shows a preview first: new clients, updates (only the cells that change), engagements it will open, and every row it will skip and why. Nothing is saved yet.</t>
        </is>
      </c>
    </row>
    <row r="23" ht="28" customHeight="1">
      <c r="B23" s="3" t="inlineStr">
        <is>
          <t>3.</t>
        </is>
      </c>
      <c r="C23" s="2" t="inlineStr">
        <is>
          <t>Confirm. Rows marked ✖ are skipped; fix them and import the same file again — importing twice never creates duplicates (rows are matched by Client code, then GSTIN, then PAN).</t>
        </is>
      </c>
    </row>
    <row r="24">
      <c r="B24" s="3" t="inlineStr"/>
      <c r="C24" s="2" t="inlineStr"/>
    </row>
    <row r="25">
      <c r="B25" s="4" t="inlineStr">
        <is>
          <t>Rules</t>
        </is>
      </c>
      <c r="C25" s="5" t="inlineStr"/>
    </row>
    <row r="26" ht="28" customHeight="1">
      <c r="B26" s="3" t="inlineStr">
        <is>
          <t>Do not</t>
        </is>
      </c>
      <c r="C26" s="2" t="inlineStr">
        <is>
          <t>Rename, reorder or delete the column headings on 'Clients' and 'Logins', or edit the 'Lists' sheet.</t>
        </is>
      </c>
    </row>
    <row r="27">
      <c r="B27" s="3" t="inlineStr">
        <is>
          <t>Dates</t>
        </is>
      </c>
      <c r="C27" s="2" t="inlineStr">
        <is>
          <t>dd-mm-yyyy.</t>
        </is>
      </c>
    </row>
    <row r="28" ht="42" customHeight="1">
      <c r="B28" s="3" t="inlineStr">
        <is>
          <t>Entity type guess</t>
        </is>
      </c>
      <c r="C28" s="2" t="inlineStr">
        <is>
          <t>From the PAN's 4th letter: C company, P proprietorship, F firm, H HUF, A/B AOP, T trust. Pick the real type in 'Entity type' if the guess is wrong (e.g. LLP, public company, individual).</t>
        </is>
      </c>
    </row>
    <row r="29">
      <c r="B29" s="3" t="inlineStr">
        <is>
          <t>Template version</t>
        </is>
      </c>
      <c r="C29" s="2" t="inlineStr">
        <is>
          <t>client-master v1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S1005"/>
  <sheetViews>
    <sheetView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22" customWidth="1" min="3" max="3"/>
    <col width="24" customWidth="1" min="4" max="4"/>
    <col width="13" customWidth="1" min="5" max="5"/>
    <col width="18" customWidth="1" min="6" max="6"/>
    <col width="22" customWidth="1" min="7" max="7"/>
    <col width="13" customWidth="1" min="8" max="8"/>
    <col width="22" customWidth="1" min="9" max="9"/>
    <col width="14" customWidth="1" min="10" max="10"/>
    <col width="16" customWidth="1" min="11" max="11"/>
    <col width="11" customWidth="1" min="12" max="12"/>
    <col width="20" customWidth="1" min="13" max="13"/>
    <col width="14" customWidth="1" min="14" max="14"/>
    <col width="24" customWidth="1" min="15" max="15"/>
    <col width="14" customWidth="1" min="16" max="16"/>
    <col width="26" customWidth="1" min="17" max="17"/>
    <col width="20" customWidth="1" min="18" max="18"/>
    <col width="14" customWidth="1" min="19" max="19"/>
    <col width="18" customWidth="1" min="20" max="20"/>
    <col width="9" customWidth="1" min="21" max="21"/>
    <col width="11" customWidth="1" min="22" max="22"/>
    <col width="7" customWidth="1" min="23" max="23"/>
    <col width="12" customWidth="1" min="24" max="24"/>
    <col width="8" customWidth="1" min="25" max="25"/>
    <col width="8" customWidth="1" min="26" max="26"/>
    <col width="8" customWidth="1" min="27" max="27"/>
    <col width="10" customWidth="1" min="28" max="28"/>
    <col width="7" customWidth="1" min="29" max="29"/>
    <col width="24" customWidth="1" min="30" max="30"/>
    <col width="24" customWidth="1" min="31" max="31"/>
    <col width="13" customWidth="1" min="32" max="32"/>
    <col width="13" customWidth="1" min="33" max="33"/>
    <col width="26" customWidth="1" min="34" max="34"/>
    <col width="18" customWidth="1" min="35" max="35"/>
    <col width="16" customWidth="1" min="36" max="36"/>
    <col width="13" customWidth="1" min="37" max="37"/>
    <col width="13" customWidth="1" min="38" max="38"/>
    <col width="48" customWidth="1" min="39" max="39"/>
    <col hidden="1" width="4" customWidth="1" min="40" max="40"/>
    <col hidden="1" width="4" customWidth="1" min="41" max="41"/>
    <col hidden="1" width="4" customWidth="1" min="42" max="42"/>
    <col hidden="1" width="4" customWidth="1" min="43" max="43"/>
    <col hidden="1" width="4" customWidth="1" min="44" max="44"/>
    <col hidden="1" width="4" customWidth="1" min="45" max="45"/>
  </cols>
  <sheetData>
    <row r="1" ht="26" customHeight="1">
      <c r="A1" s="9" t="inlineStr">
        <is>
          <t>DHVAJ Client Master — fill once, import into the portal, export any time</t>
        </is>
      </c>
    </row>
    <row r="2">
      <c r="A2" s="10" t="inlineStr">
        <is>
          <t>Yellow = you fill   ·   Grey = fills itself (do not type there)   ·   Blue row 5 = example, ignored by the import   ·   * = required   ·   See 'Read Me' for import / export steps</t>
        </is>
      </c>
    </row>
    <row r="3">
      <c r="A3" s="11" t="inlineStr">
        <is>
          <t>Client</t>
        </is>
      </c>
      <c r="E3" s="12" t="inlineStr">
        <is>
          <t>Registrations</t>
        </is>
      </c>
      <c r="M3" s="13" t="inlineStr">
        <is>
          <t>Contact</t>
        </is>
      </c>
      <c r="Q3" s="14" t="inlineStr">
        <is>
          <t>Address</t>
        </is>
      </c>
      <c r="V3" s="15" t="inlineStr">
        <is>
          <t>Engagement</t>
        </is>
      </c>
      <c r="AF3" s="16" t="inlineStr">
        <is>
          <t>Checks (fill themselves)</t>
        </is>
      </c>
    </row>
    <row r="4" ht="42" customHeight="1">
      <c r="A4" s="17" t="inlineStr">
        <is>
          <t>Client code</t>
        </is>
      </c>
      <c r="B4" s="17" t="inlineStr">
        <is>
          <t>Legal name *</t>
        </is>
      </c>
      <c r="C4" s="17" t="inlineStr">
        <is>
          <t>Trade name</t>
        </is>
      </c>
      <c r="D4" s="17" t="inlineStr">
        <is>
          <t>Entity type</t>
        </is>
      </c>
      <c r="E4" s="18" t="inlineStr">
        <is>
          <t>PAN</t>
        </is>
      </c>
      <c r="F4" s="18" t="inlineStr">
        <is>
          <t>GSTIN (main)</t>
        </is>
      </c>
      <c r="G4" s="18" t="inlineStr">
        <is>
          <t>Other GSTINs</t>
        </is>
      </c>
      <c r="H4" s="18" t="inlineStr">
        <is>
          <t>TAN</t>
        </is>
      </c>
      <c r="I4" s="18" t="inlineStr">
        <is>
          <t>CIN / LLPIN</t>
        </is>
      </c>
      <c r="J4" s="18" t="inlineStr">
        <is>
          <t>Date of incorporation / birth</t>
        </is>
      </c>
      <c r="K4" s="18" t="inlineStr">
        <is>
          <t>Legal status</t>
        </is>
      </c>
      <c r="L4" s="18" t="inlineStr">
        <is>
          <t>Home office code</t>
        </is>
      </c>
      <c r="M4" s="19" t="inlineStr">
        <is>
          <t>Contact person</t>
        </is>
      </c>
      <c r="N4" s="19" t="inlineStr">
        <is>
          <t>Designation</t>
        </is>
      </c>
      <c r="O4" s="19" t="inlineStr">
        <is>
          <t>Email</t>
        </is>
      </c>
      <c r="P4" s="19" t="inlineStr">
        <is>
          <t>Mobile</t>
        </is>
      </c>
      <c r="Q4" s="20" t="inlineStr">
        <is>
          <t>Address line 1</t>
        </is>
      </c>
      <c r="R4" s="20" t="inlineStr">
        <is>
          <t>Address line 2</t>
        </is>
      </c>
      <c r="S4" s="20" t="inlineStr">
        <is>
          <t>City</t>
        </is>
      </c>
      <c r="T4" s="20" t="inlineStr">
        <is>
          <t>State</t>
        </is>
      </c>
      <c r="U4" s="20" t="inlineStr">
        <is>
          <t>Pincode</t>
        </is>
      </c>
      <c r="V4" s="21" t="inlineStr">
        <is>
          <t>Financial year</t>
        </is>
      </c>
      <c r="W4" s="21" t="inlineStr">
        <is>
          <t>GST</t>
        </is>
      </c>
      <c r="X4" s="21" t="inlineStr">
        <is>
          <t>GST return frequency</t>
        </is>
      </c>
      <c r="Y4" s="21" t="inlineStr">
        <is>
          <t>TDS / TCS</t>
        </is>
      </c>
      <c r="Z4" s="21" t="inlineStr">
        <is>
          <t>Income Tax</t>
        </is>
      </c>
      <c r="AA4" s="21" t="inlineStr">
        <is>
          <t>ROC / MCA</t>
        </is>
      </c>
      <c r="AB4" s="21" t="inlineStr">
        <is>
          <t>Bookkeeping</t>
        </is>
      </c>
      <c r="AC4" s="21" t="inlineStr">
        <is>
          <t>MIS</t>
        </is>
      </c>
      <c r="AD4" s="21" t="inlineStr">
        <is>
          <t>Engagement partner (email)</t>
        </is>
      </c>
      <c r="AE4" s="21" t="inlineStr">
        <is>
          <t>Lead / in-charge (email)</t>
        </is>
      </c>
      <c r="AF4" s="22" t="inlineStr">
        <is>
          <t>Row type</t>
        </is>
      </c>
      <c r="AG4" s="22" t="inlineStr">
        <is>
          <t>PAN to use</t>
        </is>
      </c>
      <c r="AH4" s="22" t="inlineStr">
        <is>
          <t>Entity type to use</t>
        </is>
      </c>
      <c r="AI4" s="22" t="inlineStr">
        <is>
          <t>GST state</t>
        </is>
      </c>
      <c r="AJ4" s="22" t="inlineStr">
        <is>
          <t>GSTIN check</t>
        </is>
      </c>
      <c r="AK4" s="22" t="inlineStr">
        <is>
          <t>PAN check</t>
        </is>
      </c>
      <c r="AL4" s="22" t="inlineStr">
        <is>
          <t>TAN check</t>
        </is>
      </c>
      <c r="AM4" s="22" t="inlineStr">
        <is>
          <t>Ready for engagement?</t>
        </is>
      </c>
      <c r="AN4" s="23" t="inlineStr">
        <is>
          <t>_gstin</t>
        </is>
      </c>
      <c r="AO4" s="23" t="inlineStr">
        <is>
          <t>_pan</t>
        </is>
      </c>
      <c r="AP4" s="23" t="inlineStr">
        <is>
          <t>_type</t>
        </is>
      </c>
      <c r="AQ4" s="23" t="inlineStr">
        <is>
          <t>_cat</t>
        </is>
      </c>
      <c r="AR4" s="23" t="inlineStr">
        <is>
          <t>_streams</t>
        </is>
      </c>
      <c r="AS4" s="23" t="inlineStr">
        <is>
          <t>_issues</t>
        </is>
      </c>
    </row>
    <row r="5">
      <c r="A5" s="24" t="inlineStr">
        <is>
          <t>EXAMPLE</t>
        </is>
      </c>
      <c r="B5" s="25" t="inlineStr">
        <is>
          <t>Sharma Traders</t>
        </is>
      </c>
      <c r="C5" s="25" t="inlineStr">
        <is>
          <t>Sharma Electricals</t>
        </is>
      </c>
      <c r="D5" s="25" t="inlineStr"/>
      <c r="E5" s="24" t="inlineStr"/>
      <c r="F5" s="24" t="inlineStr">
        <is>
          <t>07ABCPS1234K1ZO</t>
        </is>
      </c>
      <c r="G5" s="24" t="inlineStr"/>
      <c r="H5" s="24" t="inlineStr">
        <is>
          <t>DELS12345A</t>
        </is>
      </c>
      <c r="I5" s="24" t="inlineStr"/>
      <c r="J5" s="26" t="n">
        <v>42104</v>
      </c>
      <c r="K5" s="25" t="inlineStr">
        <is>
          <t>Active</t>
        </is>
      </c>
      <c r="L5" s="24" t="inlineStr"/>
      <c r="M5" s="25" t="inlineStr">
        <is>
          <t>Rakesh Sharma</t>
        </is>
      </c>
      <c r="N5" s="25" t="inlineStr">
        <is>
          <t>Proprietor</t>
        </is>
      </c>
      <c r="O5" s="25" t="inlineStr">
        <is>
          <t>accounts@sharmatraders.example</t>
        </is>
      </c>
      <c r="P5" s="24" t="inlineStr">
        <is>
          <t>9810000000</t>
        </is>
      </c>
      <c r="Q5" s="25" t="inlineStr">
        <is>
          <t>12, Main Market</t>
        </is>
      </c>
      <c r="R5" s="25" t="inlineStr">
        <is>
          <t>Karol Bagh</t>
        </is>
      </c>
      <c r="S5" s="25" t="inlineStr">
        <is>
          <t>New Delhi</t>
        </is>
      </c>
      <c r="T5" s="25" t="inlineStr"/>
      <c r="U5" s="24" t="inlineStr">
        <is>
          <t>110005</t>
        </is>
      </c>
      <c r="V5" s="25" t="inlineStr">
        <is>
          <t>2026-27</t>
        </is>
      </c>
      <c r="W5" s="25" t="inlineStr">
        <is>
          <t>Yes</t>
        </is>
      </c>
      <c r="X5" s="25" t="inlineStr">
        <is>
          <t>Monthly</t>
        </is>
      </c>
      <c r="Y5" s="25" t="inlineStr">
        <is>
          <t>Yes</t>
        </is>
      </c>
      <c r="Z5" s="25" t="inlineStr">
        <is>
          <t>Yes</t>
        </is>
      </c>
      <c r="AA5" s="25" t="inlineStr">
        <is>
          <t>No</t>
        </is>
      </c>
      <c r="AB5" s="25" t="inlineStr">
        <is>
          <t>No</t>
        </is>
      </c>
      <c r="AC5" s="25" t="inlineStr">
        <is>
          <t>No</t>
        </is>
      </c>
      <c r="AD5" s="25" t="inlineStr"/>
      <c r="AE5" s="25" t="inlineStr"/>
      <c r="AF5" s="27">
        <f>IF(A5="EXAMPLE","Example (skipped)","")</f>
        <v/>
      </c>
      <c r="AG5" s="27">
        <f>IF(AO5&lt;&gt;"",AO5,IF(LEN(AN5)=15,MID(AN5,3,10),""))</f>
        <v/>
      </c>
      <c r="AH5" s="27">
        <f>IF(AP5="","",AP5&amp;IF(D5="","  (guessed from PAN)",""))</f>
        <v/>
      </c>
      <c r="AI5" s="27">
        <f>IF(AN5="","",IFERROR(INDEX(Lists!$L$2:$L$38,MATCH(LEFT(AN5,2),Lists!$K$2:$K$38,0)),"Unknown code"))</f>
        <v/>
      </c>
      <c r="AJ5" s="27">
        <f>IF(AN5="","",IFERROR(IF(NOT(AND(LEN(AN5)=15,ISNUMBER(MATCH(LEFT(AN5,2),Lists!$K$2:$K$38,0)),SUMPRODUCT(--ISERROR(FIND(MID(MID(AN5,3,10),{1,2,3,4,5,10},1),"ABCDEFGHIJKLMNOPQRSTUVWXYZ")))=0,SUMPRODUCT(--ISERROR(FIND(MID(MID(AN5,3,10),{6,7,8,9},1),"0123456789")))=0,ISNUMBER(FIND(MID(AN5,13,1),"123456789ABCDEFGHIJKLMNOPQRSTUVWXYZ")),MID(AN5,14,1)="Z")),"Wrong format",IF(MID("0123456789ABCDEFGHIJKLMNOPQRSTUVWXYZ",MOD(36-MOD(SUMPRODUCT(INT((FIND(MID(AN5,{1,2,3,4,5,6,7,8,9,10,11,12,13,14},1),"0123456789ABCDEFGHIJKLMNOPQRSTUVWXYZ")-1)*{1,2,1,2,1,2,1,2,1,2,1,2,1,2}/36)+MOD((FIND(MID(AN5,{1,2,3,4,5,6,7,8,9,10,11,12,13,14},1),"0123456789ABCDEFGHIJKLMNOPQRSTUVWXYZ")-1)*{1,2,1,2,1,2,1,2,1,2,1,2,1,2},36)),36),36)+1,1)=MID(AN5,15,1),"OK","Typo? check digit wrong")),"Wrong format"))</f>
        <v/>
      </c>
      <c r="AK5" s="27">
        <f>IF(AO5="","",IF(AND(LEN(AO5)=10,SUMPRODUCT(--ISERROR(FIND(MID(AO5,{1,2,3,4,5,10},1),"ABCDEFGHIJKLMNOPQRSTUVWXYZ")))=0,SUMPRODUCT(--ISERROR(FIND(MID(AO5,{6,7,8,9},1),"0123456789")))=0),"OK","Wrong format"))</f>
        <v/>
      </c>
      <c r="AL5" s="27">
        <f>IF(TRIM(H5)="","",IF(AND(LEN(UPPER(TRIM(H5)))=10,SUMPRODUCT(--ISERROR(FIND(MID(UPPER(TRIM(H5)),{1,2,3,4,10},1),"ABCDEFGHIJKLMNOPQRSTUVWXYZ")))=0,SUMPRODUCT(--ISERROR(FIND(MID(UPPER(TRIM(H5)),{5,6,7,8,9},1),"0123456789")))=0),"OK","Wrong format"))</f>
        <v/>
      </c>
      <c r="AM5" s="28">
        <f>IF(NOT(COUNTA(A5:AE5)&gt;0),"",IF(AS5&lt;&gt;"","✖ "&amp;LEFT(AS5,LEN(AS5)-2),IF(AR5&gt;0,"✔ Ready — client + "&amp;AR5&amp;" service(s)","✔ Ready — client only")))</f>
        <v/>
      </c>
      <c r="AN5" s="29">
        <f>UPPER(SUBSTITUTE(TRIM(F5)," ",""))</f>
        <v/>
      </c>
      <c r="AO5" s="29">
        <f>UPPER(SUBSTITUTE(TRIM(E5)," ",""))</f>
        <v/>
      </c>
      <c r="AP5" s="29">
        <f>IF(D5&lt;&gt;"",D5,IFERROR(VLOOKUP(MID(AG5,4,1),Lists!$E$2:$F$8,2,FALSE),""))</f>
        <v/>
      </c>
      <c r="AQ5" s="29">
        <f>IFERROR(VLOOKUP(AP5,Lists!$A$2:$C$12,3,FALSE),"")</f>
        <v/>
      </c>
      <c r="AR5" s="29">
        <f>COUNTIF(W5:AC5,"Yes")</f>
        <v/>
      </c>
      <c r="AS5" s="29">
        <f>IF(TRIM(B5)="","Legal name missing; ","")&amp;IF(AND(AJ5&lt;&gt;"",AJ5&lt;&gt;"OK"),"GSTIN: "&amp;AJ5&amp;"; ","")&amp;IF(AND(AK5&lt;&gt;"",AK5&lt;&gt;"OK"),"PAN wrong format; ","")&amp;IF(AND(AO5&lt;&gt;"",LEN(AN5)=15,MID(AN5,3,10)&lt;&gt;AO5),"PAN does not match GSTIN; ","")&amp;IF(AND(AL5&lt;&gt;"",AL5&lt;&gt;"OK"),"TAN wrong format; ","")&amp;IF(AG5="","PAN missing; ","")&amp;IF(AP5="","Entity type missing; ","")&amp;IF(AND(AN5&lt;&gt;"",COUNTIF($AN$6:$AN$1005,AN5)&gt;1),"GSTIN repeated in this sheet; ","")&amp;IF(AND(AG5&lt;&gt;"",COUNTIF($AG$6:$AG$1005,AG5)&gt;1),"PAN repeated in this sheet (same client? put extra GSTINs in Other GSTINs); ","")&amp;IF(AND(AR5&gt;0,V5=""),"Financial year missing; ","")&amp;IF(AND(AR5=0,V5&lt;&gt;""),"Financial year given but no service is Yes; ","")&amp;IF(AND(W5="Yes",AN5=""),"GST needs a GSTIN; ","")&amp;IF(AND(W5="Yes",X5=""),"GST return frequency missing; ","")&amp;IF(AND(Y5="Yes",TRIM(H5)=""),"TDS needs a TAN; ","")&amp;IF(AND(AA5="Yes",AQ5&lt;&gt;"",AQ5&lt;&gt;"company",AQ5&lt;&gt;"llp"),"ROC is only for a company / LLP; ","")&amp;IF(AND(AA5="Yes",OR(AQ5="company",AQ5="llp"),TRIM(I5)=""),"ROC needs the CIN / LLPIN; ","")</f>
        <v/>
      </c>
    </row>
    <row r="6">
      <c r="A6" s="30" t="n"/>
      <c r="B6" s="31" t="n"/>
      <c r="C6" s="31" t="n"/>
      <c r="D6" s="31" t="n"/>
      <c r="E6" s="30" t="n"/>
      <c r="F6" s="30" t="n"/>
      <c r="G6" s="30" t="n"/>
      <c r="H6" s="30" t="n"/>
      <c r="I6" s="30" t="n"/>
      <c r="J6" s="32" t="n"/>
      <c r="K6" s="31" t="n"/>
      <c r="L6" s="30" t="n"/>
      <c r="M6" s="31" t="n"/>
      <c r="N6" s="31" t="n"/>
      <c r="O6" s="31" t="n"/>
      <c r="P6" s="30" t="n"/>
      <c r="Q6" s="31" t="n"/>
      <c r="R6" s="31" t="n"/>
      <c r="S6" s="31" t="n"/>
      <c r="T6" s="31" t="n"/>
      <c r="U6" s="30" t="n"/>
      <c r="V6" s="31" t="n"/>
      <c r="W6" s="31" t="n"/>
      <c r="X6" s="31" t="n"/>
      <c r="Y6" s="31" t="n"/>
      <c r="Z6" s="31" t="n"/>
      <c r="AA6" s="31" t="n"/>
      <c r="AB6" s="31" t="n"/>
      <c r="AC6" s="31" t="n"/>
      <c r="AD6" s="31" t="n"/>
      <c r="AE6" s="31" t="n"/>
      <c r="AF6" s="27">
        <f>IF(NOT(COUNTA(A6:AE6)&gt;0),"",IF(A6="","New client","Update"))</f>
        <v/>
      </c>
      <c r="AG6" s="27">
        <f>IF(AO6&lt;&gt;"",AO6,IF(LEN(AN6)=15,MID(AN6,3,10),""))</f>
        <v/>
      </c>
      <c r="AH6" s="27">
        <f>IF(AP6="","",AP6&amp;IF(D6="","  (guessed from PAN)",""))</f>
        <v/>
      </c>
      <c r="AI6" s="27">
        <f>IF(AN6="","",IFERROR(INDEX(Lists!$L$2:$L$38,MATCH(LEFT(AN6,2),Lists!$K$2:$K$38,0)),"Unknown code"))</f>
        <v/>
      </c>
      <c r="AJ6" s="27">
        <f>IF(AN6="","",IFERROR(IF(NOT(AND(LEN(AN6)=15,ISNUMBER(MATCH(LEFT(AN6,2),Lists!$K$2:$K$38,0)),SUMPRODUCT(--ISERROR(FIND(MID(MID(AN6,3,10),{1,2,3,4,5,10},1),"ABCDEFGHIJKLMNOPQRSTUVWXYZ")))=0,SUMPRODUCT(--ISERROR(FIND(MID(MID(AN6,3,10),{6,7,8,9},1),"0123456789")))=0,ISNUMBER(FIND(MID(AN6,13,1),"123456789ABCDEFGHIJKLMNOPQRSTUVWXYZ")),MID(AN6,14,1)="Z")),"Wrong format",IF(MID("0123456789ABCDEFGHIJKLMNOPQRSTUVWXYZ",MOD(36-MOD(SUMPRODUCT(INT((FIND(MID(AN6,{1,2,3,4,5,6,7,8,9,10,11,12,13,14},1),"0123456789ABCDEFGHIJKLMNOPQRSTUVWXYZ")-1)*{1,2,1,2,1,2,1,2,1,2,1,2,1,2}/36)+MOD((FIND(MID(AN6,{1,2,3,4,5,6,7,8,9,10,11,12,13,14},1),"0123456789ABCDEFGHIJKLMNOPQRSTUVWXYZ")-1)*{1,2,1,2,1,2,1,2,1,2,1,2,1,2},36)),36),36)+1,1)=MID(AN6,15,1),"OK","Typo? check digit wrong")),"Wrong format"))</f>
        <v/>
      </c>
      <c r="AK6" s="27">
        <f>IF(AO6="","",IF(AND(LEN(AO6)=10,SUMPRODUCT(--ISERROR(FIND(MID(AO6,{1,2,3,4,5,10},1),"ABCDEFGHIJKLMNOPQRSTUVWXYZ")))=0,SUMPRODUCT(--ISERROR(FIND(MID(AO6,{6,7,8,9},1),"0123456789")))=0),"OK","Wrong format"))</f>
        <v/>
      </c>
      <c r="AL6" s="27">
        <f>IF(TRIM(H6)="","",IF(AND(LEN(UPPER(TRIM(H6)))=10,SUMPRODUCT(--ISERROR(FIND(MID(UPPER(TRIM(H6)),{1,2,3,4,10},1),"ABCDEFGHIJKLMNOPQRSTUVWXYZ")))=0,SUMPRODUCT(--ISERROR(FIND(MID(UPPER(TRIM(H6)),{5,6,7,8,9},1),"0123456789")))=0),"OK","Wrong format"))</f>
        <v/>
      </c>
      <c r="AM6" s="28">
        <f>IF(NOT(COUNTA(A6:AE6)&gt;0),"",IF(AS6&lt;&gt;"","✖ "&amp;LEFT(AS6,LEN(AS6)-2),IF(AR6&gt;0,"✔ Ready — client + "&amp;AR6&amp;" service(s)","✔ Ready — client only")))</f>
        <v/>
      </c>
      <c r="AN6" s="29">
        <f>UPPER(SUBSTITUTE(TRIM(F6)," ",""))</f>
        <v/>
      </c>
      <c r="AO6" s="29">
        <f>UPPER(SUBSTITUTE(TRIM(E6)," ",""))</f>
        <v/>
      </c>
      <c r="AP6" s="29">
        <f>IF(D6&lt;&gt;"",D6,IFERROR(VLOOKUP(MID(AG6,4,1),Lists!$E$2:$F$8,2,FALSE),""))</f>
        <v/>
      </c>
      <c r="AQ6" s="29">
        <f>IFERROR(VLOOKUP(AP6,Lists!$A$2:$C$12,3,FALSE),"")</f>
        <v/>
      </c>
      <c r="AR6" s="29">
        <f>COUNTIF(W6:AC6,"Yes")</f>
        <v/>
      </c>
      <c r="AS6" s="29">
        <f>IF(TRIM(B6)="","Legal name missing; ","")&amp;IF(AND(AJ6&lt;&gt;"",AJ6&lt;&gt;"OK"),"GSTIN: "&amp;AJ6&amp;"; ","")&amp;IF(AND(AK6&lt;&gt;"",AK6&lt;&gt;"OK"),"PAN wrong format; ","")&amp;IF(AND(AO6&lt;&gt;"",LEN(AN6)=15,MID(AN6,3,10)&lt;&gt;AO6),"PAN does not match GSTIN; ","")&amp;IF(AND(AL6&lt;&gt;"",AL6&lt;&gt;"OK"),"TAN wrong format; ","")&amp;IF(AG6="","PAN missing; ","")&amp;IF(AP6="","Entity type missing; ","")&amp;IF(AND(AN6&lt;&gt;"",COUNTIF($AN$6:$AN$1005,AN6)&gt;1),"GSTIN repeated in this sheet; ","")&amp;IF(AND(AG6&lt;&gt;"",COUNTIF($AG$6:$AG$1005,AG6)&gt;1),"PAN repeated in this sheet (same client? put extra GSTINs in Other GSTINs); ","")&amp;IF(AND(AR6&gt;0,V6=""),"Financial year missing; ","")&amp;IF(AND(AR6=0,V6&lt;&gt;""),"Financial year given but no service is Yes; ","")&amp;IF(AND(W6="Yes",AN6=""),"GST needs a GSTIN; ","")&amp;IF(AND(W6="Yes",X6=""),"GST return frequency missing; ","")&amp;IF(AND(Y6="Yes",TRIM(H6)=""),"TDS needs a TAN; ","")&amp;IF(AND(AA6="Yes",AQ6&lt;&gt;"",AQ6&lt;&gt;"company",AQ6&lt;&gt;"llp"),"ROC is only for a company / LLP; ","")&amp;IF(AND(AA6="Yes",OR(AQ6="company",AQ6="llp"),TRIM(I6)=""),"ROC needs the CIN / LLPIN; ","")</f>
        <v/>
      </c>
    </row>
    <row r="7">
      <c r="A7" s="30" t="n"/>
      <c r="B7" s="31" t="n"/>
      <c r="C7" s="31" t="n"/>
      <c r="D7" s="31" t="n"/>
      <c r="E7" s="30" t="n"/>
      <c r="F7" s="30" t="n"/>
      <c r="G7" s="30" t="n"/>
      <c r="H7" s="30" t="n"/>
      <c r="I7" s="30" t="n"/>
      <c r="J7" s="32" t="n"/>
      <c r="K7" s="31" t="n"/>
      <c r="L7" s="30" t="n"/>
      <c r="M7" s="31" t="n"/>
      <c r="N7" s="31" t="n"/>
      <c r="O7" s="31" t="n"/>
      <c r="P7" s="30" t="n"/>
      <c r="Q7" s="31" t="n"/>
      <c r="R7" s="31" t="n"/>
      <c r="S7" s="31" t="n"/>
      <c r="T7" s="31" t="n"/>
      <c r="U7" s="30" t="n"/>
      <c r="V7" s="31" t="n"/>
      <c r="W7" s="31" t="n"/>
      <c r="X7" s="31" t="n"/>
      <c r="Y7" s="31" t="n"/>
      <c r="Z7" s="31" t="n"/>
      <c r="AA7" s="31" t="n"/>
      <c r="AB7" s="31" t="n"/>
      <c r="AC7" s="31" t="n"/>
      <c r="AD7" s="31" t="n"/>
      <c r="AE7" s="31" t="n"/>
      <c r="AF7" s="27">
        <f>IF(NOT(COUNTA(A7:AE7)&gt;0),"",IF(A7="","New client","Update"))</f>
        <v/>
      </c>
      <c r="AG7" s="27">
        <f>IF(AO7&lt;&gt;"",AO7,IF(LEN(AN7)=15,MID(AN7,3,10),""))</f>
        <v/>
      </c>
      <c r="AH7" s="27">
        <f>IF(AP7="","",AP7&amp;IF(D7="","  (guessed from PAN)",""))</f>
        <v/>
      </c>
      <c r="AI7" s="27">
        <f>IF(AN7="","",IFERROR(INDEX(Lists!$L$2:$L$38,MATCH(LEFT(AN7,2),Lists!$K$2:$K$38,0)),"Unknown code"))</f>
        <v/>
      </c>
      <c r="AJ7" s="27">
        <f>IF(AN7="","",IFERROR(IF(NOT(AND(LEN(AN7)=15,ISNUMBER(MATCH(LEFT(AN7,2),Lists!$K$2:$K$38,0)),SUMPRODUCT(--ISERROR(FIND(MID(MID(AN7,3,10),{1,2,3,4,5,10},1),"ABCDEFGHIJKLMNOPQRSTUVWXYZ")))=0,SUMPRODUCT(--ISERROR(FIND(MID(MID(AN7,3,10),{6,7,8,9},1),"0123456789")))=0,ISNUMBER(FIND(MID(AN7,13,1),"123456789ABCDEFGHIJKLMNOPQRSTUVWXYZ")),MID(AN7,14,1)="Z")),"Wrong format",IF(MID("0123456789ABCDEFGHIJKLMNOPQRSTUVWXYZ",MOD(36-MOD(SUMPRODUCT(INT((FIND(MID(AN7,{1,2,3,4,5,6,7,8,9,10,11,12,13,14},1),"0123456789ABCDEFGHIJKLMNOPQRSTUVWXYZ")-1)*{1,2,1,2,1,2,1,2,1,2,1,2,1,2}/36)+MOD((FIND(MID(AN7,{1,2,3,4,5,6,7,8,9,10,11,12,13,14},1),"0123456789ABCDEFGHIJKLMNOPQRSTUVWXYZ")-1)*{1,2,1,2,1,2,1,2,1,2,1,2,1,2},36)),36),36)+1,1)=MID(AN7,15,1),"OK","Typo? check digit wrong")),"Wrong format"))</f>
        <v/>
      </c>
      <c r="AK7" s="27">
        <f>IF(AO7="","",IF(AND(LEN(AO7)=10,SUMPRODUCT(--ISERROR(FIND(MID(AO7,{1,2,3,4,5,10},1),"ABCDEFGHIJKLMNOPQRSTUVWXYZ")))=0,SUMPRODUCT(--ISERROR(FIND(MID(AO7,{6,7,8,9},1),"0123456789")))=0),"OK","Wrong format"))</f>
        <v/>
      </c>
      <c r="AL7" s="27">
        <f>IF(TRIM(H7)="","",IF(AND(LEN(UPPER(TRIM(H7)))=10,SUMPRODUCT(--ISERROR(FIND(MID(UPPER(TRIM(H7)),{1,2,3,4,10},1),"ABCDEFGHIJKLMNOPQRSTUVWXYZ")))=0,SUMPRODUCT(--ISERROR(FIND(MID(UPPER(TRIM(H7)),{5,6,7,8,9},1),"0123456789")))=0),"OK","Wrong format"))</f>
        <v/>
      </c>
      <c r="AM7" s="28">
        <f>IF(NOT(COUNTA(A7:AE7)&gt;0),"",IF(AS7&lt;&gt;"","✖ "&amp;LEFT(AS7,LEN(AS7)-2),IF(AR7&gt;0,"✔ Ready — client + "&amp;AR7&amp;" service(s)","✔ Ready — client only")))</f>
        <v/>
      </c>
      <c r="AN7" s="29">
        <f>UPPER(SUBSTITUTE(TRIM(F7)," ",""))</f>
        <v/>
      </c>
      <c r="AO7" s="29">
        <f>UPPER(SUBSTITUTE(TRIM(E7)," ",""))</f>
        <v/>
      </c>
      <c r="AP7" s="29">
        <f>IF(D7&lt;&gt;"",D7,IFERROR(VLOOKUP(MID(AG7,4,1),Lists!$E$2:$F$8,2,FALSE),""))</f>
        <v/>
      </c>
      <c r="AQ7" s="29">
        <f>IFERROR(VLOOKUP(AP7,Lists!$A$2:$C$12,3,FALSE),"")</f>
        <v/>
      </c>
      <c r="AR7" s="29">
        <f>COUNTIF(W7:AC7,"Yes")</f>
        <v/>
      </c>
      <c r="AS7" s="29">
        <f>IF(TRIM(B7)="","Legal name missing; ","")&amp;IF(AND(AJ7&lt;&gt;"",AJ7&lt;&gt;"OK"),"GSTIN: "&amp;AJ7&amp;"; ","")&amp;IF(AND(AK7&lt;&gt;"",AK7&lt;&gt;"OK"),"PAN wrong format; ","")&amp;IF(AND(AO7&lt;&gt;"",LEN(AN7)=15,MID(AN7,3,10)&lt;&gt;AO7),"PAN does not match GSTIN; ","")&amp;IF(AND(AL7&lt;&gt;"",AL7&lt;&gt;"OK"),"TAN wrong format; ","")&amp;IF(AG7="","PAN missing; ","")&amp;IF(AP7="","Entity type missing; ","")&amp;IF(AND(AN7&lt;&gt;"",COUNTIF($AN$6:$AN$1005,AN7)&gt;1),"GSTIN repeated in this sheet; ","")&amp;IF(AND(AG7&lt;&gt;"",COUNTIF($AG$6:$AG$1005,AG7)&gt;1),"PAN repeated in this sheet (same client? put extra GSTINs in Other GSTINs); ","")&amp;IF(AND(AR7&gt;0,V7=""),"Financial year missing; ","")&amp;IF(AND(AR7=0,V7&lt;&gt;""),"Financial year given but no service is Yes; ","")&amp;IF(AND(W7="Yes",AN7=""),"GST needs a GSTIN; ","")&amp;IF(AND(W7="Yes",X7=""),"GST return frequency missing; ","")&amp;IF(AND(Y7="Yes",TRIM(H7)=""),"TDS needs a TAN; ","")&amp;IF(AND(AA7="Yes",AQ7&lt;&gt;"",AQ7&lt;&gt;"company",AQ7&lt;&gt;"llp"),"ROC is only for a company / LLP; ","")&amp;IF(AND(AA7="Yes",OR(AQ7="company",AQ7="llp"),TRIM(I7)=""),"ROC needs the CIN / LLPIN; ","")</f>
        <v/>
      </c>
    </row>
    <row r="8">
      <c r="A8" s="30" t="n"/>
      <c r="B8" s="31" t="n"/>
      <c r="C8" s="31" t="n"/>
      <c r="D8" s="31" t="n"/>
      <c r="E8" s="30" t="n"/>
      <c r="F8" s="30" t="n"/>
      <c r="G8" s="30" t="n"/>
      <c r="H8" s="30" t="n"/>
      <c r="I8" s="30" t="n"/>
      <c r="J8" s="32" t="n"/>
      <c r="K8" s="31" t="n"/>
      <c r="L8" s="30" t="n"/>
      <c r="M8" s="31" t="n"/>
      <c r="N8" s="31" t="n"/>
      <c r="O8" s="31" t="n"/>
      <c r="P8" s="30" t="n"/>
      <c r="Q8" s="31" t="n"/>
      <c r="R8" s="31" t="n"/>
      <c r="S8" s="31" t="n"/>
      <c r="T8" s="31" t="n"/>
      <c r="U8" s="30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27">
        <f>IF(NOT(COUNTA(A8:AE8)&gt;0),"",IF(A8="","New client","Update"))</f>
        <v/>
      </c>
      <c r="AG8" s="27">
        <f>IF(AO8&lt;&gt;"",AO8,IF(LEN(AN8)=15,MID(AN8,3,10),""))</f>
        <v/>
      </c>
      <c r="AH8" s="27">
        <f>IF(AP8="","",AP8&amp;IF(D8="","  (guessed from PAN)",""))</f>
        <v/>
      </c>
      <c r="AI8" s="27">
        <f>IF(AN8="","",IFERROR(INDEX(Lists!$L$2:$L$38,MATCH(LEFT(AN8,2),Lists!$K$2:$K$38,0)),"Unknown code"))</f>
        <v/>
      </c>
      <c r="AJ8" s="27">
        <f>IF(AN8="","",IFERROR(IF(NOT(AND(LEN(AN8)=15,ISNUMBER(MATCH(LEFT(AN8,2),Lists!$K$2:$K$38,0)),SUMPRODUCT(--ISERROR(FIND(MID(MID(AN8,3,10),{1,2,3,4,5,10},1),"ABCDEFGHIJKLMNOPQRSTUVWXYZ")))=0,SUMPRODUCT(--ISERROR(FIND(MID(MID(AN8,3,10),{6,7,8,9},1),"0123456789")))=0,ISNUMBER(FIND(MID(AN8,13,1),"123456789ABCDEFGHIJKLMNOPQRSTUVWXYZ")),MID(AN8,14,1)="Z")),"Wrong format",IF(MID("0123456789ABCDEFGHIJKLMNOPQRSTUVWXYZ",MOD(36-MOD(SUMPRODUCT(INT((FIND(MID(AN8,{1,2,3,4,5,6,7,8,9,10,11,12,13,14},1),"0123456789ABCDEFGHIJKLMNOPQRSTUVWXYZ")-1)*{1,2,1,2,1,2,1,2,1,2,1,2,1,2}/36)+MOD((FIND(MID(AN8,{1,2,3,4,5,6,7,8,9,10,11,12,13,14},1),"0123456789ABCDEFGHIJKLMNOPQRSTUVWXYZ")-1)*{1,2,1,2,1,2,1,2,1,2,1,2,1,2},36)),36),36)+1,1)=MID(AN8,15,1),"OK","Typo? check digit wrong")),"Wrong format"))</f>
        <v/>
      </c>
      <c r="AK8" s="27">
        <f>IF(AO8="","",IF(AND(LEN(AO8)=10,SUMPRODUCT(--ISERROR(FIND(MID(AO8,{1,2,3,4,5,10},1),"ABCDEFGHIJKLMNOPQRSTUVWXYZ")))=0,SUMPRODUCT(--ISERROR(FIND(MID(AO8,{6,7,8,9},1),"0123456789")))=0),"OK","Wrong format"))</f>
        <v/>
      </c>
      <c r="AL8" s="27">
        <f>IF(TRIM(H8)="","",IF(AND(LEN(UPPER(TRIM(H8)))=10,SUMPRODUCT(--ISERROR(FIND(MID(UPPER(TRIM(H8)),{1,2,3,4,10},1),"ABCDEFGHIJKLMNOPQRSTUVWXYZ")))=0,SUMPRODUCT(--ISERROR(FIND(MID(UPPER(TRIM(H8)),{5,6,7,8,9},1),"0123456789")))=0),"OK","Wrong format"))</f>
        <v/>
      </c>
      <c r="AM8" s="28">
        <f>IF(NOT(COUNTA(A8:AE8)&gt;0),"",IF(AS8&lt;&gt;"","✖ "&amp;LEFT(AS8,LEN(AS8)-2),IF(AR8&gt;0,"✔ Ready — client + "&amp;AR8&amp;" service(s)","✔ Ready — client only")))</f>
        <v/>
      </c>
      <c r="AN8" s="29">
        <f>UPPER(SUBSTITUTE(TRIM(F8)," ",""))</f>
        <v/>
      </c>
      <c r="AO8" s="29">
        <f>UPPER(SUBSTITUTE(TRIM(E8)," ",""))</f>
        <v/>
      </c>
      <c r="AP8" s="29">
        <f>IF(D8&lt;&gt;"",D8,IFERROR(VLOOKUP(MID(AG8,4,1),Lists!$E$2:$F$8,2,FALSE),""))</f>
        <v/>
      </c>
      <c r="AQ8" s="29">
        <f>IFERROR(VLOOKUP(AP8,Lists!$A$2:$C$12,3,FALSE),"")</f>
        <v/>
      </c>
      <c r="AR8" s="29">
        <f>COUNTIF(W8:AC8,"Yes")</f>
        <v/>
      </c>
      <c r="AS8" s="29">
        <f>IF(TRIM(B8)="","Legal name missing; ","")&amp;IF(AND(AJ8&lt;&gt;"",AJ8&lt;&gt;"OK"),"GSTIN: "&amp;AJ8&amp;"; ","")&amp;IF(AND(AK8&lt;&gt;"",AK8&lt;&gt;"OK"),"PAN wrong format; ","")&amp;IF(AND(AO8&lt;&gt;"",LEN(AN8)=15,MID(AN8,3,10)&lt;&gt;AO8),"PAN does not match GSTIN; ","")&amp;IF(AND(AL8&lt;&gt;"",AL8&lt;&gt;"OK"),"TAN wrong format; ","")&amp;IF(AG8="","PAN missing; ","")&amp;IF(AP8="","Entity type missing; ","")&amp;IF(AND(AN8&lt;&gt;"",COUNTIF($AN$6:$AN$1005,AN8)&gt;1),"GSTIN repeated in this sheet; ","")&amp;IF(AND(AG8&lt;&gt;"",COUNTIF($AG$6:$AG$1005,AG8)&gt;1),"PAN repeated in this sheet (same client? put extra GSTINs in Other GSTINs); ","")&amp;IF(AND(AR8&gt;0,V8=""),"Financial year missing; ","")&amp;IF(AND(AR8=0,V8&lt;&gt;""),"Financial year given but no service is Yes; ","")&amp;IF(AND(W8="Yes",AN8=""),"GST needs a GSTIN; ","")&amp;IF(AND(W8="Yes",X8=""),"GST return frequency missing; ","")&amp;IF(AND(Y8="Yes",TRIM(H8)=""),"TDS needs a TAN; ","")&amp;IF(AND(AA8="Yes",AQ8&lt;&gt;"",AQ8&lt;&gt;"company",AQ8&lt;&gt;"llp"),"ROC is only for a company / LLP; ","")&amp;IF(AND(AA8="Yes",OR(AQ8="company",AQ8="llp"),TRIM(I8)=""),"ROC needs the CIN / LLPIN; ","")</f>
        <v/>
      </c>
    </row>
    <row r="9">
      <c r="A9" s="30" t="n"/>
      <c r="B9" s="31" t="n"/>
      <c r="C9" s="31" t="n"/>
      <c r="D9" s="31" t="n"/>
      <c r="E9" s="30" t="n"/>
      <c r="F9" s="30" t="n"/>
      <c r="G9" s="30" t="n"/>
      <c r="H9" s="30" t="n"/>
      <c r="I9" s="30" t="n"/>
      <c r="J9" s="32" t="n"/>
      <c r="K9" s="31" t="n"/>
      <c r="L9" s="30" t="n"/>
      <c r="M9" s="31" t="n"/>
      <c r="N9" s="31" t="n"/>
      <c r="O9" s="31" t="n"/>
      <c r="P9" s="30" t="n"/>
      <c r="Q9" s="31" t="n"/>
      <c r="R9" s="31" t="n"/>
      <c r="S9" s="31" t="n"/>
      <c r="T9" s="31" t="n"/>
      <c r="U9" s="30" t="n"/>
      <c r="V9" s="31" t="n"/>
      <c r="W9" s="31" t="n"/>
      <c r="X9" s="31" t="n"/>
      <c r="Y9" s="31" t="n"/>
      <c r="Z9" s="31" t="n"/>
      <c r="AA9" s="31" t="n"/>
      <c r="AB9" s="31" t="n"/>
      <c r="AC9" s="31" t="n"/>
      <c r="AD9" s="31" t="n"/>
      <c r="AE9" s="31" t="n"/>
      <c r="AF9" s="27">
        <f>IF(NOT(COUNTA(A9:AE9)&gt;0),"",IF(A9="","New client","Update"))</f>
        <v/>
      </c>
      <c r="AG9" s="27">
        <f>IF(AO9&lt;&gt;"",AO9,IF(LEN(AN9)=15,MID(AN9,3,10),""))</f>
        <v/>
      </c>
      <c r="AH9" s="27">
        <f>IF(AP9="","",AP9&amp;IF(D9="","  (guessed from PAN)",""))</f>
        <v/>
      </c>
      <c r="AI9" s="27">
        <f>IF(AN9="","",IFERROR(INDEX(Lists!$L$2:$L$38,MATCH(LEFT(AN9,2),Lists!$K$2:$K$38,0)),"Unknown code"))</f>
        <v/>
      </c>
      <c r="AJ9" s="27">
        <f>IF(AN9="","",IFERROR(IF(NOT(AND(LEN(AN9)=15,ISNUMBER(MATCH(LEFT(AN9,2),Lists!$K$2:$K$38,0)),SUMPRODUCT(--ISERROR(FIND(MID(MID(AN9,3,10),{1,2,3,4,5,10},1),"ABCDEFGHIJKLMNOPQRSTUVWXYZ")))=0,SUMPRODUCT(--ISERROR(FIND(MID(MID(AN9,3,10),{6,7,8,9},1),"0123456789")))=0,ISNUMBER(FIND(MID(AN9,13,1),"123456789ABCDEFGHIJKLMNOPQRSTUVWXYZ")),MID(AN9,14,1)="Z")),"Wrong format",IF(MID("0123456789ABCDEFGHIJKLMNOPQRSTUVWXYZ",MOD(36-MOD(SUMPRODUCT(INT((FIND(MID(AN9,{1,2,3,4,5,6,7,8,9,10,11,12,13,14},1),"0123456789ABCDEFGHIJKLMNOPQRSTUVWXYZ")-1)*{1,2,1,2,1,2,1,2,1,2,1,2,1,2}/36)+MOD((FIND(MID(AN9,{1,2,3,4,5,6,7,8,9,10,11,12,13,14},1),"0123456789ABCDEFGHIJKLMNOPQRSTUVWXYZ")-1)*{1,2,1,2,1,2,1,2,1,2,1,2,1,2},36)),36),36)+1,1)=MID(AN9,15,1),"OK","Typo? check digit wrong")),"Wrong format"))</f>
        <v/>
      </c>
      <c r="AK9" s="27">
        <f>IF(AO9="","",IF(AND(LEN(AO9)=10,SUMPRODUCT(--ISERROR(FIND(MID(AO9,{1,2,3,4,5,10},1),"ABCDEFGHIJKLMNOPQRSTUVWXYZ")))=0,SUMPRODUCT(--ISERROR(FIND(MID(AO9,{6,7,8,9},1),"0123456789")))=0),"OK","Wrong format"))</f>
        <v/>
      </c>
      <c r="AL9" s="27">
        <f>IF(TRIM(H9)="","",IF(AND(LEN(UPPER(TRIM(H9)))=10,SUMPRODUCT(--ISERROR(FIND(MID(UPPER(TRIM(H9)),{1,2,3,4,10},1),"ABCDEFGHIJKLMNOPQRSTUVWXYZ")))=0,SUMPRODUCT(--ISERROR(FIND(MID(UPPER(TRIM(H9)),{5,6,7,8,9},1),"0123456789")))=0),"OK","Wrong format"))</f>
        <v/>
      </c>
      <c r="AM9" s="28">
        <f>IF(NOT(COUNTA(A9:AE9)&gt;0),"",IF(AS9&lt;&gt;"","✖ "&amp;LEFT(AS9,LEN(AS9)-2),IF(AR9&gt;0,"✔ Ready — client + "&amp;AR9&amp;" service(s)","✔ Ready — client only")))</f>
        <v/>
      </c>
      <c r="AN9" s="29">
        <f>UPPER(SUBSTITUTE(TRIM(F9)," ",""))</f>
        <v/>
      </c>
      <c r="AO9" s="29">
        <f>UPPER(SUBSTITUTE(TRIM(E9)," ",""))</f>
        <v/>
      </c>
      <c r="AP9" s="29">
        <f>IF(D9&lt;&gt;"",D9,IFERROR(VLOOKUP(MID(AG9,4,1),Lists!$E$2:$F$8,2,FALSE),""))</f>
        <v/>
      </c>
      <c r="AQ9" s="29">
        <f>IFERROR(VLOOKUP(AP9,Lists!$A$2:$C$12,3,FALSE),"")</f>
        <v/>
      </c>
      <c r="AR9" s="29">
        <f>COUNTIF(W9:AC9,"Yes")</f>
        <v/>
      </c>
      <c r="AS9" s="29">
        <f>IF(TRIM(B9)="","Legal name missing; ","")&amp;IF(AND(AJ9&lt;&gt;"",AJ9&lt;&gt;"OK"),"GSTIN: "&amp;AJ9&amp;"; ","")&amp;IF(AND(AK9&lt;&gt;"",AK9&lt;&gt;"OK"),"PAN wrong format; ","")&amp;IF(AND(AO9&lt;&gt;"",LEN(AN9)=15,MID(AN9,3,10)&lt;&gt;AO9),"PAN does not match GSTIN; ","")&amp;IF(AND(AL9&lt;&gt;"",AL9&lt;&gt;"OK"),"TAN wrong format; ","")&amp;IF(AG9="","PAN missing; ","")&amp;IF(AP9="","Entity type missing; ","")&amp;IF(AND(AN9&lt;&gt;"",COUNTIF($AN$6:$AN$1005,AN9)&gt;1),"GSTIN repeated in this sheet; ","")&amp;IF(AND(AG9&lt;&gt;"",COUNTIF($AG$6:$AG$1005,AG9)&gt;1),"PAN repeated in this sheet (same client? put extra GSTINs in Other GSTINs); ","")&amp;IF(AND(AR9&gt;0,V9=""),"Financial year missing; ","")&amp;IF(AND(AR9=0,V9&lt;&gt;""),"Financial year given but no service is Yes; ","")&amp;IF(AND(W9="Yes",AN9=""),"GST needs a GSTIN; ","")&amp;IF(AND(W9="Yes",X9=""),"GST return frequency missing; ","")&amp;IF(AND(Y9="Yes",TRIM(H9)=""),"TDS needs a TAN; ","")&amp;IF(AND(AA9="Yes",AQ9&lt;&gt;"",AQ9&lt;&gt;"company",AQ9&lt;&gt;"llp"),"ROC is only for a company / LLP; ","")&amp;IF(AND(AA9="Yes",OR(AQ9="company",AQ9="llp"),TRIM(I9)=""),"ROC needs the CIN / LLPIN; ","")</f>
        <v/>
      </c>
    </row>
    <row r="10">
      <c r="A10" s="30" t="n"/>
      <c r="B10" s="31" t="n"/>
      <c r="C10" s="31" t="n"/>
      <c r="D10" s="31" t="n"/>
      <c r="E10" s="30" t="n"/>
      <c r="F10" s="30" t="n"/>
      <c r="G10" s="30" t="n"/>
      <c r="H10" s="30" t="n"/>
      <c r="I10" s="30" t="n"/>
      <c r="J10" s="32" t="n"/>
      <c r="K10" s="31" t="n"/>
      <c r="L10" s="30" t="n"/>
      <c r="M10" s="31" t="n"/>
      <c r="N10" s="31" t="n"/>
      <c r="O10" s="31" t="n"/>
      <c r="P10" s="30" t="n"/>
      <c r="Q10" s="31" t="n"/>
      <c r="R10" s="31" t="n"/>
      <c r="S10" s="31" t="n"/>
      <c r="T10" s="31" t="n"/>
      <c r="U10" s="30" t="n"/>
      <c r="V10" s="31" t="n"/>
      <c r="W10" s="31" t="n"/>
      <c r="X10" s="31" t="n"/>
      <c r="Y10" s="31" t="n"/>
      <c r="Z10" s="31" t="n"/>
      <c r="AA10" s="31" t="n"/>
      <c r="AB10" s="31" t="n"/>
      <c r="AC10" s="31" t="n"/>
      <c r="AD10" s="31" t="n"/>
      <c r="AE10" s="31" t="n"/>
      <c r="AF10" s="27">
        <f>IF(NOT(COUNTA(A10:AE10)&gt;0),"",IF(A10="","New client","Update"))</f>
        <v/>
      </c>
      <c r="AG10" s="27">
        <f>IF(AO10&lt;&gt;"",AO10,IF(LEN(AN10)=15,MID(AN10,3,10),""))</f>
        <v/>
      </c>
      <c r="AH10" s="27">
        <f>IF(AP10="","",AP10&amp;IF(D10="","  (guessed from PAN)",""))</f>
        <v/>
      </c>
      <c r="AI10" s="27">
        <f>IF(AN10="","",IFERROR(INDEX(Lists!$L$2:$L$38,MATCH(LEFT(AN10,2),Lists!$K$2:$K$38,0)),"Unknown code"))</f>
        <v/>
      </c>
      <c r="AJ10" s="27">
        <f>IF(AN10="","",IFERROR(IF(NOT(AND(LEN(AN10)=15,ISNUMBER(MATCH(LEFT(AN10,2),Lists!$K$2:$K$38,0)),SUMPRODUCT(--ISERROR(FIND(MID(MID(AN10,3,10),{1,2,3,4,5,10},1),"ABCDEFGHIJKLMNOPQRSTUVWXYZ")))=0,SUMPRODUCT(--ISERROR(FIND(MID(MID(AN10,3,10),{6,7,8,9},1),"0123456789")))=0,ISNUMBER(FIND(MID(AN10,13,1),"123456789ABCDEFGHIJKLMNOPQRSTUVWXYZ")),MID(AN10,14,1)="Z")),"Wrong format",IF(MID("0123456789ABCDEFGHIJKLMNOPQRSTUVWXYZ",MOD(36-MOD(SUMPRODUCT(INT((FIND(MID(AN10,{1,2,3,4,5,6,7,8,9,10,11,12,13,14},1),"0123456789ABCDEFGHIJKLMNOPQRSTUVWXYZ")-1)*{1,2,1,2,1,2,1,2,1,2,1,2,1,2}/36)+MOD((FIND(MID(AN10,{1,2,3,4,5,6,7,8,9,10,11,12,13,14},1),"0123456789ABCDEFGHIJKLMNOPQRSTUVWXYZ")-1)*{1,2,1,2,1,2,1,2,1,2,1,2,1,2},36)),36),36)+1,1)=MID(AN10,15,1),"OK","Typo? check digit wrong")),"Wrong format"))</f>
        <v/>
      </c>
      <c r="AK10" s="27">
        <f>IF(AO10="","",IF(AND(LEN(AO10)=10,SUMPRODUCT(--ISERROR(FIND(MID(AO10,{1,2,3,4,5,10},1),"ABCDEFGHIJKLMNOPQRSTUVWXYZ")))=0,SUMPRODUCT(--ISERROR(FIND(MID(AO10,{6,7,8,9},1),"0123456789")))=0),"OK","Wrong format"))</f>
        <v/>
      </c>
      <c r="AL10" s="27">
        <f>IF(TRIM(H10)="","",IF(AND(LEN(UPPER(TRIM(H10)))=10,SUMPRODUCT(--ISERROR(FIND(MID(UPPER(TRIM(H10)),{1,2,3,4,10},1),"ABCDEFGHIJKLMNOPQRSTUVWXYZ")))=0,SUMPRODUCT(--ISERROR(FIND(MID(UPPER(TRIM(H10)),{5,6,7,8,9},1),"0123456789")))=0),"OK","Wrong format"))</f>
        <v/>
      </c>
      <c r="AM10" s="28">
        <f>IF(NOT(COUNTA(A10:AE10)&gt;0),"",IF(AS10&lt;&gt;"","✖ "&amp;LEFT(AS10,LEN(AS10)-2),IF(AR10&gt;0,"✔ Ready — client + "&amp;AR10&amp;" service(s)","✔ Ready — client only")))</f>
        <v/>
      </c>
      <c r="AN10" s="29">
        <f>UPPER(SUBSTITUTE(TRIM(F10)," ",""))</f>
        <v/>
      </c>
      <c r="AO10" s="29">
        <f>UPPER(SUBSTITUTE(TRIM(E10)," ",""))</f>
        <v/>
      </c>
      <c r="AP10" s="29">
        <f>IF(D10&lt;&gt;"",D10,IFERROR(VLOOKUP(MID(AG10,4,1),Lists!$E$2:$F$8,2,FALSE),""))</f>
        <v/>
      </c>
      <c r="AQ10" s="29">
        <f>IFERROR(VLOOKUP(AP10,Lists!$A$2:$C$12,3,FALSE),"")</f>
        <v/>
      </c>
      <c r="AR10" s="29">
        <f>COUNTIF(W10:AC10,"Yes")</f>
        <v/>
      </c>
      <c r="AS10" s="29">
        <f>IF(TRIM(B10)="","Legal name missing; ","")&amp;IF(AND(AJ10&lt;&gt;"",AJ10&lt;&gt;"OK"),"GSTIN: "&amp;AJ10&amp;"; ","")&amp;IF(AND(AK10&lt;&gt;"",AK10&lt;&gt;"OK"),"PAN wrong format; ","")&amp;IF(AND(AO10&lt;&gt;"",LEN(AN10)=15,MID(AN10,3,10)&lt;&gt;AO10),"PAN does not match GSTIN; ","")&amp;IF(AND(AL10&lt;&gt;"",AL10&lt;&gt;"OK"),"TAN wrong format; ","")&amp;IF(AG10="","PAN missing; ","")&amp;IF(AP10="","Entity type missing; ","")&amp;IF(AND(AN10&lt;&gt;"",COUNTIF($AN$6:$AN$1005,AN10)&gt;1),"GSTIN repeated in this sheet; ","")&amp;IF(AND(AG10&lt;&gt;"",COUNTIF($AG$6:$AG$1005,AG10)&gt;1),"PAN repeated in this sheet (same client? put extra GSTINs in Other GSTINs); ","")&amp;IF(AND(AR10&gt;0,V10=""),"Financial year missing; ","")&amp;IF(AND(AR10=0,V10&lt;&gt;""),"Financial year given but no service is Yes; ","")&amp;IF(AND(W10="Yes",AN10=""),"GST needs a GSTIN; ","")&amp;IF(AND(W10="Yes",X10=""),"GST return frequency missing; ","")&amp;IF(AND(Y10="Yes",TRIM(H10)=""),"TDS needs a TAN; ","")&amp;IF(AND(AA10="Yes",AQ10&lt;&gt;"",AQ10&lt;&gt;"company",AQ10&lt;&gt;"llp"),"ROC is only for a company / LLP; ","")&amp;IF(AND(AA10="Yes",OR(AQ10="company",AQ10="llp"),TRIM(I10)=""),"ROC needs the CIN / LLPIN; ","")</f>
        <v/>
      </c>
    </row>
    <row r="11">
      <c r="A11" s="30" t="n"/>
      <c r="B11" s="31" t="n"/>
      <c r="C11" s="31" t="n"/>
      <c r="D11" s="31" t="n"/>
      <c r="E11" s="30" t="n"/>
      <c r="F11" s="30" t="n"/>
      <c r="G11" s="30" t="n"/>
      <c r="H11" s="30" t="n"/>
      <c r="I11" s="30" t="n"/>
      <c r="J11" s="32" t="n"/>
      <c r="K11" s="31" t="n"/>
      <c r="L11" s="30" t="n"/>
      <c r="M11" s="31" t="n"/>
      <c r="N11" s="31" t="n"/>
      <c r="O11" s="31" t="n"/>
      <c r="P11" s="30" t="n"/>
      <c r="Q11" s="31" t="n"/>
      <c r="R11" s="31" t="n"/>
      <c r="S11" s="31" t="n"/>
      <c r="T11" s="31" t="n"/>
      <c r="U11" s="30" t="n"/>
      <c r="V11" s="31" t="n"/>
      <c r="W11" s="31" t="n"/>
      <c r="X11" s="31" t="n"/>
      <c r="Y11" s="31" t="n"/>
      <c r="Z11" s="31" t="n"/>
      <c r="AA11" s="31" t="n"/>
      <c r="AB11" s="31" t="n"/>
      <c r="AC11" s="31" t="n"/>
      <c r="AD11" s="31" t="n"/>
      <c r="AE11" s="31" t="n"/>
      <c r="AF11" s="27">
        <f>IF(NOT(COUNTA(A11:AE11)&gt;0),"",IF(A11="","New client","Update"))</f>
        <v/>
      </c>
      <c r="AG11" s="27">
        <f>IF(AO11&lt;&gt;"",AO11,IF(LEN(AN11)=15,MID(AN11,3,10),""))</f>
        <v/>
      </c>
      <c r="AH11" s="27">
        <f>IF(AP11="","",AP11&amp;IF(D11="","  (guessed from PAN)",""))</f>
        <v/>
      </c>
      <c r="AI11" s="27">
        <f>IF(AN11="","",IFERROR(INDEX(Lists!$L$2:$L$38,MATCH(LEFT(AN11,2),Lists!$K$2:$K$38,0)),"Unknown code"))</f>
        <v/>
      </c>
      <c r="AJ11" s="27">
        <f>IF(AN11="","",IFERROR(IF(NOT(AND(LEN(AN11)=15,ISNUMBER(MATCH(LEFT(AN11,2),Lists!$K$2:$K$38,0)),SUMPRODUCT(--ISERROR(FIND(MID(MID(AN11,3,10),{1,2,3,4,5,10},1),"ABCDEFGHIJKLMNOPQRSTUVWXYZ")))=0,SUMPRODUCT(--ISERROR(FIND(MID(MID(AN11,3,10),{6,7,8,9},1),"0123456789")))=0,ISNUMBER(FIND(MID(AN11,13,1),"123456789ABCDEFGHIJKLMNOPQRSTUVWXYZ")),MID(AN11,14,1)="Z")),"Wrong format",IF(MID("0123456789ABCDEFGHIJKLMNOPQRSTUVWXYZ",MOD(36-MOD(SUMPRODUCT(INT((FIND(MID(AN11,{1,2,3,4,5,6,7,8,9,10,11,12,13,14},1),"0123456789ABCDEFGHIJKLMNOPQRSTUVWXYZ")-1)*{1,2,1,2,1,2,1,2,1,2,1,2,1,2}/36)+MOD((FIND(MID(AN11,{1,2,3,4,5,6,7,8,9,10,11,12,13,14},1),"0123456789ABCDEFGHIJKLMNOPQRSTUVWXYZ")-1)*{1,2,1,2,1,2,1,2,1,2,1,2,1,2},36)),36),36)+1,1)=MID(AN11,15,1),"OK","Typo? check digit wrong")),"Wrong format"))</f>
        <v/>
      </c>
      <c r="AK11" s="27">
        <f>IF(AO11="","",IF(AND(LEN(AO11)=10,SUMPRODUCT(--ISERROR(FIND(MID(AO11,{1,2,3,4,5,10},1),"ABCDEFGHIJKLMNOPQRSTUVWXYZ")))=0,SUMPRODUCT(--ISERROR(FIND(MID(AO11,{6,7,8,9},1),"0123456789")))=0),"OK","Wrong format"))</f>
        <v/>
      </c>
      <c r="AL11" s="27">
        <f>IF(TRIM(H11)="","",IF(AND(LEN(UPPER(TRIM(H11)))=10,SUMPRODUCT(--ISERROR(FIND(MID(UPPER(TRIM(H11)),{1,2,3,4,10},1),"ABCDEFGHIJKLMNOPQRSTUVWXYZ")))=0,SUMPRODUCT(--ISERROR(FIND(MID(UPPER(TRIM(H11)),{5,6,7,8,9},1),"0123456789")))=0),"OK","Wrong format"))</f>
        <v/>
      </c>
      <c r="AM11" s="28">
        <f>IF(NOT(COUNTA(A11:AE11)&gt;0),"",IF(AS11&lt;&gt;"","✖ "&amp;LEFT(AS11,LEN(AS11)-2),IF(AR11&gt;0,"✔ Ready — client + "&amp;AR11&amp;" service(s)","✔ Ready — client only")))</f>
        <v/>
      </c>
      <c r="AN11" s="29">
        <f>UPPER(SUBSTITUTE(TRIM(F11)," ",""))</f>
        <v/>
      </c>
      <c r="AO11" s="29">
        <f>UPPER(SUBSTITUTE(TRIM(E11)," ",""))</f>
        <v/>
      </c>
      <c r="AP11" s="29">
        <f>IF(D11&lt;&gt;"",D11,IFERROR(VLOOKUP(MID(AG11,4,1),Lists!$E$2:$F$8,2,FALSE),""))</f>
        <v/>
      </c>
      <c r="AQ11" s="29">
        <f>IFERROR(VLOOKUP(AP11,Lists!$A$2:$C$12,3,FALSE),"")</f>
        <v/>
      </c>
      <c r="AR11" s="29">
        <f>COUNTIF(W11:AC11,"Yes")</f>
        <v/>
      </c>
      <c r="AS11" s="29">
        <f>IF(TRIM(B11)="","Legal name missing; ","")&amp;IF(AND(AJ11&lt;&gt;"",AJ11&lt;&gt;"OK"),"GSTIN: "&amp;AJ11&amp;"; ","")&amp;IF(AND(AK11&lt;&gt;"",AK11&lt;&gt;"OK"),"PAN wrong format; ","")&amp;IF(AND(AO11&lt;&gt;"",LEN(AN11)=15,MID(AN11,3,10)&lt;&gt;AO11),"PAN does not match GSTIN; ","")&amp;IF(AND(AL11&lt;&gt;"",AL11&lt;&gt;"OK"),"TAN wrong format; ","")&amp;IF(AG11="","PAN missing; ","")&amp;IF(AP11="","Entity type missing; ","")&amp;IF(AND(AN11&lt;&gt;"",COUNTIF($AN$6:$AN$1005,AN11)&gt;1),"GSTIN repeated in this sheet; ","")&amp;IF(AND(AG11&lt;&gt;"",COUNTIF($AG$6:$AG$1005,AG11)&gt;1),"PAN repeated in this sheet (same client? put extra GSTINs in Other GSTINs); ","")&amp;IF(AND(AR11&gt;0,V11=""),"Financial year missing; ","")&amp;IF(AND(AR11=0,V11&lt;&gt;""),"Financial year given but no service is Yes; ","")&amp;IF(AND(W11="Yes",AN11=""),"GST needs a GSTIN; ","")&amp;IF(AND(W11="Yes",X11=""),"GST return frequency missing; ","")&amp;IF(AND(Y11="Yes",TRIM(H11)=""),"TDS needs a TAN; ","")&amp;IF(AND(AA11="Yes",AQ11&lt;&gt;"",AQ11&lt;&gt;"company",AQ11&lt;&gt;"llp"),"ROC is only for a company / LLP; ","")&amp;IF(AND(AA11="Yes",OR(AQ11="company",AQ11="llp"),TRIM(I11)=""),"ROC needs the CIN / LLPIN; ","")</f>
        <v/>
      </c>
    </row>
    <row r="12">
      <c r="A12" s="30" t="n"/>
      <c r="B12" s="31" t="n"/>
      <c r="C12" s="31" t="n"/>
      <c r="D12" s="31" t="n"/>
      <c r="E12" s="30" t="n"/>
      <c r="F12" s="30" t="n"/>
      <c r="G12" s="30" t="n"/>
      <c r="H12" s="30" t="n"/>
      <c r="I12" s="30" t="n"/>
      <c r="J12" s="32" t="n"/>
      <c r="K12" s="31" t="n"/>
      <c r="L12" s="30" t="n"/>
      <c r="M12" s="31" t="n"/>
      <c r="N12" s="31" t="n"/>
      <c r="O12" s="31" t="n"/>
      <c r="P12" s="30" t="n"/>
      <c r="Q12" s="31" t="n"/>
      <c r="R12" s="31" t="n"/>
      <c r="S12" s="31" t="n"/>
      <c r="T12" s="31" t="n"/>
      <c r="U12" s="30" t="n"/>
      <c r="V12" s="31" t="n"/>
      <c r="W12" s="31" t="n"/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27">
        <f>IF(NOT(COUNTA(A12:AE12)&gt;0),"",IF(A12="","New client","Update"))</f>
        <v/>
      </c>
      <c r="AG12" s="27">
        <f>IF(AO12&lt;&gt;"",AO12,IF(LEN(AN12)=15,MID(AN12,3,10),""))</f>
        <v/>
      </c>
      <c r="AH12" s="27">
        <f>IF(AP12="","",AP12&amp;IF(D12="","  (guessed from PAN)",""))</f>
        <v/>
      </c>
      <c r="AI12" s="27">
        <f>IF(AN12="","",IFERROR(INDEX(Lists!$L$2:$L$38,MATCH(LEFT(AN12,2),Lists!$K$2:$K$38,0)),"Unknown code"))</f>
        <v/>
      </c>
      <c r="AJ12" s="27">
        <f>IF(AN12="","",IFERROR(IF(NOT(AND(LEN(AN12)=15,ISNUMBER(MATCH(LEFT(AN12,2),Lists!$K$2:$K$38,0)),SUMPRODUCT(--ISERROR(FIND(MID(MID(AN12,3,10),{1,2,3,4,5,10},1),"ABCDEFGHIJKLMNOPQRSTUVWXYZ")))=0,SUMPRODUCT(--ISERROR(FIND(MID(MID(AN12,3,10),{6,7,8,9},1),"0123456789")))=0,ISNUMBER(FIND(MID(AN12,13,1),"123456789ABCDEFGHIJKLMNOPQRSTUVWXYZ")),MID(AN12,14,1)="Z")),"Wrong format",IF(MID("0123456789ABCDEFGHIJKLMNOPQRSTUVWXYZ",MOD(36-MOD(SUMPRODUCT(INT((FIND(MID(AN12,{1,2,3,4,5,6,7,8,9,10,11,12,13,14},1),"0123456789ABCDEFGHIJKLMNOPQRSTUVWXYZ")-1)*{1,2,1,2,1,2,1,2,1,2,1,2,1,2}/36)+MOD((FIND(MID(AN12,{1,2,3,4,5,6,7,8,9,10,11,12,13,14},1),"0123456789ABCDEFGHIJKLMNOPQRSTUVWXYZ")-1)*{1,2,1,2,1,2,1,2,1,2,1,2,1,2},36)),36),36)+1,1)=MID(AN12,15,1),"OK","Typo? check digit wrong")),"Wrong format"))</f>
        <v/>
      </c>
      <c r="AK12" s="27">
        <f>IF(AO12="","",IF(AND(LEN(AO12)=10,SUMPRODUCT(--ISERROR(FIND(MID(AO12,{1,2,3,4,5,10},1),"ABCDEFGHIJKLMNOPQRSTUVWXYZ")))=0,SUMPRODUCT(--ISERROR(FIND(MID(AO12,{6,7,8,9},1),"0123456789")))=0),"OK","Wrong format"))</f>
        <v/>
      </c>
      <c r="AL12" s="27">
        <f>IF(TRIM(H12)="","",IF(AND(LEN(UPPER(TRIM(H12)))=10,SUMPRODUCT(--ISERROR(FIND(MID(UPPER(TRIM(H12)),{1,2,3,4,10},1),"ABCDEFGHIJKLMNOPQRSTUVWXYZ")))=0,SUMPRODUCT(--ISERROR(FIND(MID(UPPER(TRIM(H12)),{5,6,7,8,9},1),"0123456789")))=0),"OK","Wrong format"))</f>
        <v/>
      </c>
      <c r="AM12" s="28">
        <f>IF(NOT(COUNTA(A12:AE12)&gt;0),"",IF(AS12&lt;&gt;"","✖ "&amp;LEFT(AS12,LEN(AS12)-2),IF(AR12&gt;0,"✔ Ready — client + "&amp;AR12&amp;" service(s)","✔ Ready — client only")))</f>
        <v/>
      </c>
      <c r="AN12" s="29">
        <f>UPPER(SUBSTITUTE(TRIM(F12)," ",""))</f>
        <v/>
      </c>
      <c r="AO12" s="29">
        <f>UPPER(SUBSTITUTE(TRIM(E12)," ",""))</f>
        <v/>
      </c>
      <c r="AP12" s="29">
        <f>IF(D12&lt;&gt;"",D12,IFERROR(VLOOKUP(MID(AG12,4,1),Lists!$E$2:$F$8,2,FALSE),""))</f>
        <v/>
      </c>
      <c r="AQ12" s="29">
        <f>IFERROR(VLOOKUP(AP12,Lists!$A$2:$C$12,3,FALSE),"")</f>
        <v/>
      </c>
      <c r="AR12" s="29">
        <f>COUNTIF(W12:AC12,"Yes")</f>
        <v/>
      </c>
      <c r="AS12" s="29">
        <f>IF(TRIM(B12)="","Legal name missing; ","")&amp;IF(AND(AJ12&lt;&gt;"",AJ12&lt;&gt;"OK"),"GSTIN: "&amp;AJ12&amp;"; ","")&amp;IF(AND(AK12&lt;&gt;"",AK12&lt;&gt;"OK"),"PAN wrong format; ","")&amp;IF(AND(AO12&lt;&gt;"",LEN(AN12)=15,MID(AN12,3,10)&lt;&gt;AO12),"PAN does not match GSTIN; ","")&amp;IF(AND(AL12&lt;&gt;"",AL12&lt;&gt;"OK"),"TAN wrong format; ","")&amp;IF(AG12="","PAN missing; ","")&amp;IF(AP12="","Entity type missing; ","")&amp;IF(AND(AN12&lt;&gt;"",COUNTIF($AN$6:$AN$1005,AN12)&gt;1),"GSTIN repeated in this sheet; ","")&amp;IF(AND(AG12&lt;&gt;"",COUNTIF($AG$6:$AG$1005,AG12)&gt;1),"PAN repeated in this sheet (same client? put extra GSTINs in Other GSTINs); ","")&amp;IF(AND(AR12&gt;0,V12=""),"Financial year missing; ","")&amp;IF(AND(AR12=0,V12&lt;&gt;""),"Financial year given but no service is Yes; ","")&amp;IF(AND(W12="Yes",AN12=""),"GST needs a GSTIN; ","")&amp;IF(AND(W12="Yes",X12=""),"GST return frequency missing; ","")&amp;IF(AND(Y12="Yes",TRIM(H12)=""),"TDS needs a TAN; ","")&amp;IF(AND(AA12="Yes",AQ12&lt;&gt;"",AQ12&lt;&gt;"company",AQ12&lt;&gt;"llp"),"ROC is only for a company / LLP; ","")&amp;IF(AND(AA12="Yes",OR(AQ12="company",AQ12="llp"),TRIM(I12)=""),"ROC needs the CIN / LLPIN; ","")</f>
        <v/>
      </c>
    </row>
    <row r="13">
      <c r="A13" s="30" t="n"/>
      <c r="B13" s="31" t="n"/>
      <c r="C13" s="31" t="n"/>
      <c r="D13" s="31" t="n"/>
      <c r="E13" s="30" t="n"/>
      <c r="F13" s="30" t="n"/>
      <c r="G13" s="30" t="n"/>
      <c r="H13" s="30" t="n"/>
      <c r="I13" s="30" t="n"/>
      <c r="J13" s="32" t="n"/>
      <c r="K13" s="31" t="n"/>
      <c r="L13" s="30" t="n"/>
      <c r="M13" s="31" t="n"/>
      <c r="N13" s="31" t="n"/>
      <c r="O13" s="31" t="n"/>
      <c r="P13" s="30" t="n"/>
      <c r="Q13" s="31" t="n"/>
      <c r="R13" s="31" t="n"/>
      <c r="S13" s="31" t="n"/>
      <c r="T13" s="31" t="n"/>
      <c r="U13" s="30" t="n"/>
      <c r="V13" s="31" t="n"/>
      <c r="W13" s="31" t="n"/>
      <c r="X13" s="31" t="n"/>
      <c r="Y13" s="31" t="n"/>
      <c r="Z13" s="31" t="n"/>
      <c r="AA13" s="31" t="n"/>
      <c r="AB13" s="31" t="n"/>
      <c r="AC13" s="31" t="n"/>
      <c r="AD13" s="31" t="n"/>
      <c r="AE13" s="31" t="n"/>
      <c r="AF13" s="27">
        <f>IF(NOT(COUNTA(A13:AE13)&gt;0),"",IF(A13="","New client","Update"))</f>
        <v/>
      </c>
      <c r="AG13" s="27">
        <f>IF(AO13&lt;&gt;"",AO13,IF(LEN(AN13)=15,MID(AN13,3,10),""))</f>
        <v/>
      </c>
      <c r="AH13" s="27">
        <f>IF(AP13="","",AP13&amp;IF(D13="","  (guessed from PAN)",""))</f>
        <v/>
      </c>
      <c r="AI13" s="27">
        <f>IF(AN13="","",IFERROR(INDEX(Lists!$L$2:$L$38,MATCH(LEFT(AN13,2),Lists!$K$2:$K$38,0)),"Unknown code"))</f>
        <v/>
      </c>
      <c r="AJ13" s="27">
        <f>IF(AN13="","",IFERROR(IF(NOT(AND(LEN(AN13)=15,ISNUMBER(MATCH(LEFT(AN13,2),Lists!$K$2:$K$38,0)),SUMPRODUCT(--ISERROR(FIND(MID(MID(AN13,3,10),{1,2,3,4,5,10},1),"ABCDEFGHIJKLMNOPQRSTUVWXYZ")))=0,SUMPRODUCT(--ISERROR(FIND(MID(MID(AN13,3,10),{6,7,8,9},1),"0123456789")))=0,ISNUMBER(FIND(MID(AN13,13,1),"123456789ABCDEFGHIJKLMNOPQRSTUVWXYZ")),MID(AN13,14,1)="Z")),"Wrong format",IF(MID("0123456789ABCDEFGHIJKLMNOPQRSTUVWXYZ",MOD(36-MOD(SUMPRODUCT(INT((FIND(MID(AN13,{1,2,3,4,5,6,7,8,9,10,11,12,13,14},1),"0123456789ABCDEFGHIJKLMNOPQRSTUVWXYZ")-1)*{1,2,1,2,1,2,1,2,1,2,1,2,1,2}/36)+MOD((FIND(MID(AN13,{1,2,3,4,5,6,7,8,9,10,11,12,13,14},1),"0123456789ABCDEFGHIJKLMNOPQRSTUVWXYZ")-1)*{1,2,1,2,1,2,1,2,1,2,1,2,1,2},36)),36),36)+1,1)=MID(AN13,15,1),"OK","Typo? check digit wrong")),"Wrong format"))</f>
        <v/>
      </c>
      <c r="AK13" s="27">
        <f>IF(AO13="","",IF(AND(LEN(AO13)=10,SUMPRODUCT(--ISERROR(FIND(MID(AO13,{1,2,3,4,5,10},1),"ABCDEFGHIJKLMNOPQRSTUVWXYZ")))=0,SUMPRODUCT(--ISERROR(FIND(MID(AO13,{6,7,8,9},1),"0123456789")))=0),"OK","Wrong format"))</f>
        <v/>
      </c>
      <c r="AL13" s="27">
        <f>IF(TRIM(H13)="","",IF(AND(LEN(UPPER(TRIM(H13)))=10,SUMPRODUCT(--ISERROR(FIND(MID(UPPER(TRIM(H13)),{1,2,3,4,10},1),"ABCDEFGHIJKLMNOPQRSTUVWXYZ")))=0,SUMPRODUCT(--ISERROR(FIND(MID(UPPER(TRIM(H13)),{5,6,7,8,9},1),"0123456789")))=0),"OK","Wrong format"))</f>
        <v/>
      </c>
      <c r="AM13" s="28">
        <f>IF(NOT(COUNTA(A13:AE13)&gt;0),"",IF(AS13&lt;&gt;"","✖ "&amp;LEFT(AS13,LEN(AS13)-2),IF(AR13&gt;0,"✔ Ready — client + "&amp;AR13&amp;" service(s)","✔ Ready — client only")))</f>
        <v/>
      </c>
      <c r="AN13" s="29">
        <f>UPPER(SUBSTITUTE(TRIM(F13)," ",""))</f>
        <v/>
      </c>
      <c r="AO13" s="29">
        <f>UPPER(SUBSTITUTE(TRIM(E13)," ",""))</f>
        <v/>
      </c>
      <c r="AP13" s="29">
        <f>IF(D13&lt;&gt;"",D13,IFERROR(VLOOKUP(MID(AG13,4,1),Lists!$E$2:$F$8,2,FALSE),""))</f>
        <v/>
      </c>
      <c r="AQ13" s="29">
        <f>IFERROR(VLOOKUP(AP13,Lists!$A$2:$C$12,3,FALSE),"")</f>
        <v/>
      </c>
      <c r="AR13" s="29">
        <f>COUNTIF(W13:AC13,"Yes")</f>
        <v/>
      </c>
      <c r="AS13" s="29">
        <f>IF(TRIM(B13)="","Legal name missing; ","")&amp;IF(AND(AJ13&lt;&gt;"",AJ13&lt;&gt;"OK"),"GSTIN: "&amp;AJ13&amp;"; ","")&amp;IF(AND(AK13&lt;&gt;"",AK13&lt;&gt;"OK"),"PAN wrong format; ","")&amp;IF(AND(AO13&lt;&gt;"",LEN(AN13)=15,MID(AN13,3,10)&lt;&gt;AO13),"PAN does not match GSTIN; ","")&amp;IF(AND(AL13&lt;&gt;"",AL13&lt;&gt;"OK"),"TAN wrong format; ","")&amp;IF(AG13="","PAN missing; ","")&amp;IF(AP13="","Entity type missing; ","")&amp;IF(AND(AN13&lt;&gt;"",COUNTIF($AN$6:$AN$1005,AN13)&gt;1),"GSTIN repeated in this sheet; ","")&amp;IF(AND(AG13&lt;&gt;"",COUNTIF($AG$6:$AG$1005,AG13)&gt;1),"PAN repeated in this sheet (same client? put extra GSTINs in Other GSTINs); ","")&amp;IF(AND(AR13&gt;0,V13=""),"Financial year missing; ","")&amp;IF(AND(AR13=0,V13&lt;&gt;""),"Financial year given but no service is Yes; ","")&amp;IF(AND(W13="Yes",AN13=""),"GST needs a GSTIN; ","")&amp;IF(AND(W13="Yes",X13=""),"GST return frequency missing; ","")&amp;IF(AND(Y13="Yes",TRIM(H13)=""),"TDS needs a TAN; ","")&amp;IF(AND(AA13="Yes",AQ13&lt;&gt;"",AQ13&lt;&gt;"company",AQ13&lt;&gt;"llp"),"ROC is only for a company / LLP; ","")&amp;IF(AND(AA13="Yes",OR(AQ13="company",AQ13="llp"),TRIM(I13)=""),"ROC needs the CIN / LLPIN; ","")</f>
        <v/>
      </c>
    </row>
    <row r="14">
      <c r="A14" s="30" t="n"/>
      <c r="B14" s="31" t="n"/>
      <c r="C14" s="31" t="n"/>
      <c r="D14" s="31" t="n"/>
      <c r="E14" s="30" t="n"/>
      <c r="F14" s="30" t="n"/>
      <c r="G14" s="30" t="n"/>
      <c r="H14" s="30" t="n"/>
      <c r="I14" s="30" t="n"/>
      <c r="J14" s="32" t="n"/>
      <c r="K14" s="31" t="n"/>
      <c r="L14" s="30" t="n"/>
      <c r="M14" s="31" t="n"/>
      <c r="N14" s="31" t="n"/>
      <c r="O14" s="31" t="n"/>
      <c r="P14" s="30" t="n"/>
      <c r="Q14" s="31" t="n"/>
      <c r="R14" s="31" t="n"/>
      <c r="S14" s="31" t="n"/>
      <c r="T14" s="31" t="n"/>
      <c r="U14" s="30" t="n"/>
      <c r="V14" s="31" t="n"/>
      <c r="W14" s="31" t="n"/>
      <c r="X14" s="31" t="n"/>
      <c r="Y14" s="31" t="n"/>
      <c r="Z14" s="31" t="n"/>
      <c r="AA14" s="31" t="n"/>
      <c r="AB14" s="31" t="n"/>
      <c r="AC14" s="31" t="n"/>
      <c r="AD14" s="31" t="n"/>
      <c r="AE14" s="31" t="n"/>
      <c r="AF14" s="27">
        <f>IF(NOT(COUNTA(A14:AE14)&gt;0),"",IF(A14="","New client","Update"))</f>
        <v/>
      </c>
      <c r="AG14" s="27">
        <f>IF(AO14&lt;&gt;"",AO14,IF(LEN(AN14)=15,MID(AN14,3,10),""))</f>
        <v/>
      </c>
      <c r="AH14" s="27">
        <f>IF(AP14="","",AP14&amp;IF(D14="","  (guessed from PAN)",""))</f>
        <v/>
      </c>
      <c r="AI14" s="27">
        <f>IF(AN14="","",IFERROR(INDEX(Lists!$L$2:$L$38,MATCH(LEFT(AN14,2),Lists!$K$2:$K$38,0)),"Unknown code"))</f>
        <v/>
      </c>
      <c r="AJ14" s="27">
        <f>IF(AN14="","",IFERROR(IF(NOT(AND(LEN(AN14)=15,ISNUMBER(MATCH(LEFT(AN14,2),Lists!$K$2:$K$38,0)),SUMPRODUCT(--ISERROR(FIND(MID(MID(AN14,3,10),{1,2,3,4,5,10},1),"ABCDEFGHIJKLMNOPQRSTUVWXYZ")))=0,SUMPRODUCT(--ISERROR(FIND(MID(MID(AN14,3,10),{6,7,8,9},1),"0123456789")))=0,ISNUMBER(FIND(MID(AN14,13,1),"123456789ABCDEFGHIJKLMNOPQRSTUVWXYZ")),MID(AN14,14,1)="Z")),"Wrong format",IF(MID("0123456789ABCDEFGHIJKLMNOPQRSTUVWXYZ",MOD(36-MOD(SUMPRODUCT(INT((FIND(MID(AN14,{1,2,3,4,5,6,7,8,9,10,11,12,13,14},1),"0123456789ABCDEFGHIJKLMNOPQRSTUVWXYZ")-1)*{1,2,1,2,1,2,1,2,1,2,1,2,1,2}/36)+MOD((FIND(MID(AN14,{1,2,3,4,5,6,7,8,9,10,11,12,13,14},1),"0123456789ABCDEFGHIJKLMNOPQRSTUVWXYZ")-1)*{1,2,1,2,1,2,1,2,1,2,1,2,1,2},36)),36),36)+1,1)=MID(AN14,15,1),"OK","Typo? check digit wrong")),"Wrong format"))</f>
        <v/>
      </c>
      <c r="AK14" s="27">
        <f>IF(AO14="","",IF(AND(LEN(AO14)=10,SUMPRODUCT(--ISERROR(FIND(MID(AO14,{1,2,3,4,5,10},1),"ABCDEFGHIJKLMNOPQRSTUVWXYZ")))=0,SUMPRODUCT(--ISERROR(FIND(MID(AO14,{6,7,8,9},1),"0123456789")))=0),"OK","Wrong format"))</f>
        <v/>
      </c>
      <c r="AL14" s="27">
        <f>IF(TRIM(H14)="","",IF(AND(LEN(UPPER(TRIM(H14)))=10,SUMPRODUCT(--ISERROR(FIND(MID(UPPER(TRIM(H14)),{1,2,3,4,10},1),"ABCDEFGHIJKLMNOPQRSTUVWXYZ")))=0,SUMPRODUCT(--ISERROR(FIND(MID(UPPER(TRIM(H14)),{5,6,7,8,9},1),"0123456789")))=0),"OK","Wrong format"))</f>
        <v/>
      </c>
      <c r="AM14" s="28">
        <f>IF(NOT(COUNTA(A14:AE14)&gt;0),"",IF(AS14&lt;&gt;"","✖ "&amp;LEFT(AS14,LEN(AS14)-2),IF(AR14&gt;0,"✔ Ready — client + "&amp;AR14&amp;" service(s)","✔ Ready — client only")))</f>
        <v/>
      </c>
      <c r="AN14" s="29">
        <f>UPPER(SUBSTITUTE(TRIM(F14)," ",""))</f>
        <v/>
      </c>
      <c r="AO14" s="29">
        <f>UPPER(SUBSTITUTE(TRIM(E14)," ",""))</f>
        <v/>
      </c>
      <c r="AP14" s="29">
        <f>IF(D14&lt;&gt;"",D14,IFERROR(VLOOKUP(MID(AG14,4,1),Lists!$E$2:$F$8,2,FALSE),""))</f>
        <v/>
      </c>
      <c r="AQ14" s="29">
        <f>IFERROR(VLOOKUP(AP14,Lists!$A$2:$C$12,3,FALSE),"")</f>
        <v/>
      </c>
      <c r="AR14" s="29">
        <f>COUNTIF(W14:AC14,"Yes")</f>
        <v/>
      </c>
      <c r="AS14" s="29">
        <f>IF(TRIM(B14)="","Legal name missing; ","")&amp;IF(AND(AJ14&lt;&gt;"",AJ14&lt;&gt;"OK"),"GSTIN: "&amp;AJ14&amp;"; ","")&amp;IF(AND(AK14&lt;&gt;"",AK14&lt;&gt;"OK"),"PAN wrong format; ","")&amp;IF(AND(AO14&lt;&gt;"",LEN(AN14)=15,MID(AN14,3,10)&lt;&gt;AO14),"PAN does not match GSTIN; ","")&amp;IF(AND(AL14&lt;&gt;"",AL14&lt;&gt;"OK"),"TAN wrong format; ","")&amp;IF(AG14="","PAN missing; ","")&amp;IF(AP14="","Entity type missing; ","")&amp;IF(AND(AN14&lt;&gt;"",COUNTIF($AN$6:$AN$1005,AN14)&gt;1),"GSTIN repeated in this sheet; ","")&amp;IF(AND(AG14&lt;&gt;"",COUNTIF($AG$6:$AG$1005,AG14)&gt;1),"PAN repeated in this sheet (same client? put extra GSTINs in Other GSTINs); ","")&amp;IF(AND(AR14&gt;0,V14=""),"Financial year missing; ","")&amp;IF(AND(AR14=0,V14&lt;&gt;""),"Financial year given but no service is Yes; ","")&amp;IF(AND(W14="Yes",AN14=""),"GST needs a GSTIN; ","")&amp;IF(AND(W14="Yes",X14=""),"GST return frequency missing; ","")&amp;IF(AND(Y14="Yes",TRIM(H14)=""),"TDS needs a TAN; ","")&amp;IF(AND(AA14="Yes",AQ14&lt;&gt;"",AQ14&lt;&gt;"company",AQ14&lt;&gt;"llp"),"ROC is only for a company / LLP; ","")&amp;IF(AND(AA14="Yes",OR(AQ14="company",AQ14="llp"),TRIM(I14)=""),"ROC needs the CIN / LLPIN; ","")</f>
        <v/>
      </c>
    </row>
    <row r="15">
      <c r="A15" s="30" t="n"/>
      <c r="B15" s="31" t="n"/>
      <c r="C15" s="31" t="n"/>
      <c r="D15" s="31" t="n"/>
      <c r="E15" s="30" t="n"/>
      <c r="F15" s="30" t="n"/>
      <c r="G15" s="30" t="n"/>
      <c r="H15" s="30" t="n"/>
      <c r="I15" s="30" t="n"/>
      <c r="J15" s="32" t="n"/>
      <c r="K15" s="31" t="n"/>
      <c r="L15" s="30" t="n"/>
      <c r="M15" s="31" t="n"/>
      <c r="N15" s="31" t="n"/>
      <c r="O15" s="31" t="n"/>
      <c r="P15" s="30" t="n"/>
      <c r="Q15" s="31" t="n"/>
      <c r="R15" s="31" t="n"/>
      <c r="S15" s="31" t="n"/>
      <c r="T15" s="31" t="n"/>
      <c r="U15" s="30" t="n"/>
      <c r="V15" s="31" t="n"/>
      <c r="W15" s="31" t="n"/>
      <c r="X15" s="31" t="n"/>
      <c r="Y15" s="31" t="n"/>
      <c r="Z15" s="31" t="n"/>
      <c r="AA15" s="31" t="n"/>
      <c r="AB15" s="31" t="n"/>
      <c r="AC15" s="31" t="n"/>
      <c r="AD15" s="31" t="n"/>
      <c r="AE15" s="31" t="n"/>
      <c r="AF15" s="27">
        <f>IF(NOT(COUNTA(A15:AE15)&gt;0),"",IF(A15="","New client","Update"))</f>
        <v/>
      </c>
      <c r="AG15" s="27">
        <f>IF(AO15&lt;&gt;"",AO15,IF(LEN(AN15)=15,MID(AN15,3,10),""))</f>
        <v/>
      </c>
      <c r="AH15" s="27">
        <f>IF(AP15="","",AP15&amp;IF(D15="","  (guessed from PAN)",""))</f>
        <v/>
      </c>
      <c r="AI15" s="27">
        <f>IF(AN15="","",IFERROR(INDEX(Lists!$L$2:$L$38,MATCH(LEFT(AN15,2),Lists!$K$2:$K$38,0)),"Unknown code"))</f>
        <v/>
      </c>
      <c r="AJ15" s="27">
        <f>IF(AN15="","",IFERROR(IF(NOT(AND(LEN(AN15)=15,ISNUMBER(MATCH(LEFT(AN15,2),Lists!$K$2:$K$38,0)),SUMPRODUCT(--ISERROR(FIND(MID(MID(AN15,3,10),{1,2,3,4,5,10},1),"ABCDEFGHIJKLMNOPQRSTUVWXYZ")))=0,SUMPRODUCT(--ISERROR(FIND(MID(MID(AN15,3,10),{6,7,8,9},1),"0123456789")))=0,ISNUMBER(FIND(MID(AN15,13,1),"123456789ABCDEFGHIJKLMNOPQRSTUVWXYZ")),MID(AN15,14,1)="Z")),"Wrong format",IF(MID("0123456789ABCDEFGHIJKLMNOPQRSTUVWXYZ",MOD(36-MOD(SUMPRODUCT(INT((FIND(MID(AN15,{1,2,3,4,5,6,7,8,9,10,11,12,13,14},1),"0123456789ABCDEFGHIJKLMNOPQRSTUVWXYZ")-1)*{1,2,1,2,1,2,1,2,1,2,1,2,1,2}/36)+MOD((FIND(MID(AN15,{1,2,3,4,5,6,7,8,9,10,11,12,13,14},1),"0123456789ABCDEFGHIJKLMNOPQRSTUVWXYZ")-1)*{1,2,1,2,1,2,1,2,1,2,1,2,1,2},36)),36),36)+1,1)=MID(AN15,15,1),"OK","Typo? check digit wrong")),"Wrong format"))</f>
        <v/>
      </c>
      <c r="AK15" s="27">
        <f>IF(AO15="","",IF(AND(LEN(AO15)=10,SUMPRODUCT(--ISERROR(FIND(MID(AO15,{1,2,3,4,5,10},1),"ABCDEFGHIJKLMNOPQRSTUVWXYZ")))=0,SUMPRODUCT(--ISERROR(FIND(MID(AO15,{6,7,8,9},1),"0123456789")))=0),"OK","Wrong format"))</f>
        <v/>
      </c>
      <c r="AL15" s="27">
        <f>IF(TRIM(H15)="","",IF(AND(LEN(UPPER(TRIM(H15)))=10,SUMPRODUCT(--ISERROR(FIND(MID(UPPER(TRIM(H15)),{1,2,3,4,10},1),"ABCDEFGHIJKLMNOPQRSTUVWXYZ")))=0,SUMPRODUCT(--ISERROR(FIND(MID(UPPER(TRIM(H15)),{5,6,7,8,9},1),"0123456789")))=0),"OK","Wrong format"))</f>
        <v/>
      </c>
      <c r="AM15" s="28">
        <f>IF(NOT(COUNTA(A15:AE15)&gt;0),"",IF(AS15&lt;&gt;"","✖ "&amp;LEFT(AS15,LEN(AS15)-2),IF(AR15&gt;0,"✔ Ready — client + "&amp;AR15&amp;" service(s)","✔ Ready — client only")))</f>
        <v/>
      </c>
      <c r="AN15" s="29">
        <f>UPPER(SUBSTITUTE(TRIM(F15)," ",""))</f>
        <v/>
      </c>
      <c r="AO15" s="29">
        <f>UPPER(SUBSTITUTE(TRIM(E15)," ",""))</f>
        <v/>
      </c>
      <c r="AP15" s="29">
        <f>IF(D15&lt;&gt;"",D15,IFERROR(VLOOKUP(MID(AG15,4,1),Lists!$E$2:$F$8,2,FALSE),""))</f>
        <v/>
      </c>
      <c r="AQ15" s="29">
        <f>IFERROR(VLOOKUP(AP15,Lists!$A$2:$C$12,3,FALSE),"")</f>
        <v/>
      </c>
      <c r="AR15" s="29">
        <f>COUNTIF(W15:AC15,"Yes")</f>
        <v/>
      </c>
      <c r="AS15" s="29">
        <f>IF(TRIM(B15)="","Legal name missing; ","")&amp;IF(AND(AJ15&lt;&gt;"",AJ15&lt;&gt;"OK"),"GSTIN: "&amp;AJ15&amp;"; ","")&amp;IF(AND(AK15&lt;&gt;"",AK15&lt;&gt;"OK"),"PAN wrong format; ","")&amp;IF(AND(AO15&lt;&gt;"",LEN(AN15)=15,MID(AN15,3,10)&lt;&gt;AO15),"PAN does not match GSTIN; ","")&amp;IF(AND(AL15&lt;&gt;"",AL15&lt;&gt;"OK"),"TAN wrong format; ","")&amp;IF(AG15="","PAN missing; ","")&amp;IF(AP15="","Entity type missing; ","")&amp;IF(AND(AN15&lt;&gt;"",COUNTIF($AN$6:$AN$1005,AN15)&gt;1),"GSTIN repeated in this sheet; ","")&amp;IF(AND(AG15&lt;&gt;"",COUNTIF($AG$6:$AG$1005,AG15)&gt;1),"PAN repeated in this sheet (same client? put extra GSTINs in Other GSTINs); ","")&amp;IF(AND(AR15&gt;0,V15=""),"Financial year missing; ","")&amp;IF(AND(AR15=0,V15&lt;&gt;""),"Financial year given but no service is Yes; ","")&amp;IF(AND(W15="Yes",AN15=""),"GST needs a GSTIN; ","")&amp;IF(AND(W15="Yes",X15=""),"GST return frequency missing; ","")&amp;IF(AND(Y15="Yes",TRIM(H15)=""),"TDS needs a TAN; ","")&amp;IF(AND(AA15="Yes",AQ15&lt;&gt;"",AQ15&lt;&gt;"company",AQ15&lt;&gt;"llp"),"ROC is only for a company / LLP; ","")&amp;IF(AND(AA15="Yes",OR(AQ15="company",AQ15="llp"),TRIM(I15)=""),"ROC needs the CIN / LLPIN; ","")</f>
        <v/>
      </c>
    </row>
    <row r="16">
      <c r="A16" s="30" t="n"/>
      <c r="B16" s="31" t="n"/>
      <c r="C16" s="31" t="n"/>
      <c r="D16" s="31" t="n"/>
      <c r="E16" s="30" t="n"/>
      <c r="F16" s="30" t="n"/>
      <c r="G16" s="30" t="n"/>
      <c r="H16" s="30" t="n"/>
      <c r="I16" s="30" t="n"/>
      <c r="J16" s="32" t="n"/>
      <c r="K16" s="31" t="n"/>
      <c r="L16" s="30" t="n"/>
      <c r="M16" s="31" t="n"/>
      <c r="N16" s="31" t="n"/>
      <c r="O16" s="31" t="n"/>
      <c r="P16" s="30" t="n"/>
      <c r="Q16" s="31" t="n"/>
      <c r="R16" s="31" t="n"/>
      <c r="S16" s="31" t="n"/>
      <c r="T16" s="31" t="n"/>
      <c r="U16" s="30" t="n"/>
      <c r="V16" s="31" t="n"/>
      <c r="W16" s="31" t="n"/>
      <c r="X16" s="31" t="n"/>
      <c r="Y16" s="31" t="n"/>
      <c r="Z16" s="31" t="n"/>
      <c r="AA16" s="31" t="n"/>
      <c r="AB16" s="31" t="n"/>
      <c r="AC16" s="31" t="n"/>
      <c r="AD16" s="31" t="n"/>
      <c r="AE16" s="31" t="n"/>
      <c r="AF16" s="27">
        <f>IF(NOT(COUNTA(A16:AE16)&gt;0),"",IF(A16="","New client","Update"))</f>
        <v/>
      </c>
      <c r="AG16" s="27">
        <f>IF(AO16&lt;&gt;"",AO16,IF(LEN(AN16)=15,MID(AN16,3,10),""))</f>
        <v/>
      </c>
      <c r="AH16" s="27">
        <f>IF(AP16="","",AP16&amp;IF(D16="","  (guessed from PAN)",""))</f>
        <v/>
      </c>
      <c r="AI16" s="27">
        <f>IF(AN16="","",IFERROR(INDEX(Lists!$L$2:$L$38,MATCH(LEFT(AN16,2),Lists!$K$2:$K$38,0)),"Unknown code"))</f>
        <v/>
      </c>
      <c r="AJ16" s="27">
        <f>IF(AN16="","",IFERROR(IF(NOT(AND(LEN(AN16)=15,ISNUMBER(MATCH(LEFT(AN16,2),Lists!$K$2:$K$38,0)),SUMPRODUCT(--ISERROR(FIND(MID(MID(AN16,3,10),{1,2,3,4,5,10},1),"ABCDEFGHIJKLMNOPQRSTUVWXYZ")))=0,SUMPRODUCT(--ISERROR(FIND(MID(MID(AN16,3,10),{6,7,8,9},1),"0123456789")))=0,ISNUMBER(FIND(MID(AN16,13,1),"123456789ABCDEFGHIJKLMNOPQRSTUVWXYZ")),MID(AN16,14,1)="Z")),"Wrong format",IF(MID("0123456789ABCDEFGHIJKLMNOPQRSTUVWXYZ",MOD(36-MOD(SUMPRODUCT(INT((FIND(MID(AN16,{1,2,3,4,5,6,7,8,9,10,11,12,13,14},1),"0123456789ABCDEFGHIJKLMNOPQRSTUVWXYZ")-1)*{1,2,1,2,1,2,1,2,1,2,1,2,1,2}/36)+MOD((FIND(MID(AN16,{1,2,3,4,5,6,7,8,9,10,11,12,13,14},1),"0123456789ABCDEFGHIJKLMNOPQRSTUVWXYZ")-1)*{1,2,1,2,1,2,1,2,1,2,1,2,1,2},36)),36),36)+1,1)=MID(AN16,15,1),"OK","Typo? check digit wrong")),"Wrong format"))</f>
        <v/>
      </c>
      <c r="AK16" s="27">
        <f>IF(AO16="","",IF(AND(LEN(AO16)=10,SUMPRODUCT(--ISERROR(FIND(MID(AO16,{1,2,3,4,5,10},1),"ABCDEFGHIJKLMNOPQRSTUVWXYZ")))=0,SUMPRODUCT(--ISERROR(FIND(MID(AO16,{6,7,8,9},1),"0123456789")))=0),"OK","Wrong format"))</f>
        <v/>
      </c>
      <c r="AL16" s="27">
        <f>IF(TRIM(H16)="","",IF(AND(LEN(UPPER(TRIM(H16)))=10,SUMPRODUCT(--ISERROR(FIND(MID(UPPER(TRIM(H16)),{1,2,3,4,10},1),"ABCDEFGHIJKLMNOPQRSTUVWXYZ")))=0,SUMPRODUCT(--ISERROR(FIND(MID(UPPER(TRIM(H16)),{5,6,7,8,9},1),"0123456789")))=0),"OK","Wrong format"))</f>
        <v/>
      </c>
      <c r="AM16" s="28">
        <f>IF(NOT(COUNTA(A16:AE16)&gt;0),"",IF(AS16&lt;&gt;"","✖ "&amp;LEFT(AS16,LEN(AS16)-2),IF(AR16&gt;0,"✔ Ready — client + "&amp;AR16&amp;" service(s)","✔ Ready — client only")))</f>
        <v/>
      </c>
      <c r="AN16" s="29">
        <f>UPPER(SUBSTITUTE(TRIM(F16)," ",""))</f>
        <v/>
      </c>
      <c r="AO16" s="29">
        <f>UPPER(SUBSTITUTE(TRIM(E16)," ",""))</f>
        <v/>
      </c>
      <c r="AP16" s="29">
        <f>IF(D16&lt;&gt;"",D16,IFERROR(VLOOKUP(MID(AG16,4,1),Lists!$E$2:$F$8,2,FALSE),""))</f>
        <v/>
      </c>
      <c r="AQ16" s="29">
        <f>IFERROR(VLOOKUP(AP16,Lists!$A$2:$C$12,3,FALSE),"")</f>
        <v/>
      </c>
      <c r="AR16" s="29">
        <f>COUNTIF(W16:AC16,"Yes")</f>
        <v/>
      </c>
      <c r="AS16" s="29">
        <f>IF(TRIM(B16)="","Legal name missing; ","")&amp;IF(AND(AJ16&lt;&gt;"",AJ16&lt;&gt;"OK"),"GSTIN: "&amp;AJ16&amp;"; ","")&amp;IF(AND(AK16&lt;&gt;"",AK16&lt;&gt;"OK"),"PAN wrong format; ","")&amp;IF(AND(AO16&lt;&gt;"",LEN(AN16)=15,MID(AN16,3,10)&lt;&gt;AO16),"PAN does not match GSTIN; ","")&amp;IF(AND(AL16&lt;&gt;"",AL16&lt;&gt;"OK"),"TAN wrong format; ","")&amp;IF(AG16="","PAN missing; ","")&amp;IF(AP16="","Entity type missing; ","")&amp;IF(AND(AN16&lt;&gt;"",COUNTIF($AN$6:$AN$1005,AN16)&gt;1),"GSTIN repeated in this sheet; ","")&amp;IF(AND(AG16&lt;&gt;"",COUNTIF($AG$6:$AG$1005,AG16)&gt;1),"PAN repeated in this sheet (same client? put extra GSTINs in Other GSTINs); ","")&amp;IF(AND(AR16&gt;0,V16=""),"Financial year missing; ","")&amp;IF(AND(AR16=0,V16&lt;&gt;""),"Financial year given but no service is Yes; ","")&amp;IF(AND(W16="Yes",AN16=""),"GST needs a GSTIN; ","")&amp;IF(AND(W16="Yes",X16=""),"GST return frequency missing; ","")&amp;IF(AND(Y16="Yes",TRIM(H16)=""),"TDS needs a TAN; ","")&amp;IF(AND(AA16="Yes",AQ16&lt;&gt;"",AQ16&lt;&gt;"company",AQ16&lt;&gt;"llp"),"ROC is only for a company / LLP; ","")&amp;IF(AND(AA16="Yes",OR(AQ16="company",AQ16="llp"),TRIM(I16)=""),"ROC needs the CIN / LLPIN; ","")</f>
        <v/>
      </c>
    </row>
    <row r="17">
      <c r="A17" s="30" t="n"/>
      <c r="B17" s="31" t="n"/>
      <c r="C17" s="31" t="n"/>
      <c r="D17" s="31" t="n"/>
      <c r="E17" s="30" t="n"/>
      <c r="F17" s="30" t="n"/>
      <c r="G17" s="30" t="n"/>
      <c r="H17" s="30" t="n"/>
      <c r="I17" s="30" t="n"/>
      <c r="J17" s="32" t="n"/>
      <c r="K17" s="31" t="n"/>
      <c r="L17" s="30" t="n"/>
      <c r="M17" s="31" t="n"/>
      <c r="N17" s="31" t="n"/>
      <c r="O17" s="31" t="n"/>
      <c r="P17" s="30" t="n"/>
      <c r="Q17" s="31" t="n"/>
      <c r="R17" s="31" t="n"/>
      <c r="S17" s="31" t="n"/>
      <c r="T17" s="31" t="n"/>
      <c r="U17" s="30" t="n"/>
      <c r="V17" s="31" t="n"/>
      <c r="W17" s="31" t="n"/>
      <c r="X17" s="31" t="n"/>
      <c r="Y17" s="31" t="n"/>
      <c r="Z17" s="31" t="n"/>
      <c r="AA17" s="31" t="n"/>
      <c r="AB17" s="31" t="n"/>
      <c r="AC17" s="31" t="n"/>
      <c r="AD17" s="31" t="n"/>
      <c r="AE17" s="31" t="n"/>
      <c r="AF17" s="27">
        <f>IF(NOT(COUNTA(A17:AE17)&gt;0),"",IF(A17="","New client","Update"))</f>
        <v/>
      </c>
      <c r="AG17" s="27">
        <f>IF(AO17&lt;&gt;"",AO17,IF(LEN(AN17)=15,MID(AN17,3,10),""))</f>
        <v/>
      </c>
      <c r="AH17" s="27">
        <f>IF(AP17="","",AP17&amp;IF(D17="","  (guessed from PAN)",""))</f>
        <v/>
      </c>
      <c r="AI17" s="27">
        <f>IF(AN17="","",IFERROR(INDEX(Lists!$L$2:$L$38,MATCH(LEFT(AN17,2),Lists!$K$2:$K$38,0)),"Unknown code"))</f>
        <v/>
      </c>
      <c r="AJ17" s="27">
        <f>IF(AN17="","",IFERROR(IF(NOT(AND(LEN(AN17)=15,ISNUMBER(MATCH(LEFT(AN17,2),Lists!$K$2:$K$38,0)),SUMPRODUCT(--ISERROR(FIND(MID(MID(AN17,3,10),{1,2,3,4,5,10},1),"ABCDEFGHIJKLMNOPQRSTUVWXYZ")))=0,SUMPRODUCT(--ISERROR(FIND(MID(MID(AN17,3,10),{6,7,8,9},1),"0123456789")))=0,ISNUMBER(FIND(MID(AN17,13,1),"123456789ABCDEFGHIJKLMNOPQRSTUVWXYZ")),MID(AN17,14,1)="Z")),"Wrong format",IF(MID("0123456789ABCDEFGHIJKLMNOPQRSTUVWXYZ",MOD(36-MOD(SUMPRODUCT(INT((FIND(MID(AN17,{1,2,3,4,5,6,7,8,9,10,11,12,13,14},1),"0123456789ABCDEFGHIJKLMNOPQRSTUVWXYZ")-1)*{1,2,1,2,1,2,1,2,1,2,1,2,1,2}/36)+MOD((FIND(MID(AN17,{1,2,3,4,5,6,7,8,9,10,11,12,13,14},1),"0123456789ABCDEFGHIJKLMNOPQRSTUVWXYZ")-1)*{1,2,1,2,1,2,1,2,1,2,1,2,1,2},36)),36),36)+1,1)=MID(AN17,15,1),"OK","Typo? check digit wrong")),"Wrong format"))</f>
        <v/>
      </c>
      <c r="AK17" s="27">
        <f>IF(AO17="","",IF(AND(LEN(AO17)=10,SUMPRODUCT(--ISERROR(FIND(MID(AO17,{1,2,3,4,5,10},1),"ABCDEFGHIJKLMNOPQRSTUVWXYZ")))=0,SUMPRODUCT(--ISERROR(FIND(MID(AO17,{6,7,8,9},1),"0123456789")))=0),"OK","Wrong format"))</f>
        <v/>
      </c>
      <c r="AL17" s="27">
        <f>IF(TRIM(H17)="","",IF(AND(LEN(UPPER(TRIM(H17)))=10,SUMPRODUCT(--ISERROR(FIND(MID(UPPER(TRIM(H17)),{1,2,3,4,10},1),"ABCDEFGHIJKLMNOPQRSTUVWXYZ")))=0,SUMPRODUCT(--ISERROR(FIND(MID(UPPER(TRIM(H17)),{5,6,7,8,9},1),"0123456789")))=0),"OK","Wrong format"))</f>
        <v/>
      </c>
      <c r="AM17" s="28">
        <f>IF(NOT(COUNTA(A17:AE17)&gt;0),"",IF(AS17&lt;&gt;"","✖ "&amp;LEFT(AS17,LEN(AS17)-2),IF(AR17&gt;0,"✔ Ready — client + "&amp;AR17&amp;" service(s)","✔ Ready — client only")))</f>
        <v/>
      </c>
      <c r="AN17" s="29">
        <f>UPPER(SUBSTITUTE(TRIM(F17)," ",""))</f>
        <v/>
      </c>
      <c r="AO17" s="29">
        <f>UPPER(SUBSTITUTE(TRIM(E17)," ",""))</f>
        <v/>
      </c>
      <c r="AP17" s="29">
        <f>IF(D17&lt;&gt;"",D17,IFERROR(VLOOKUP(MID(AG17,4,1),Lists!$E$2:$F$8,2,FALSE),""))</f>
        <v/>
      </c>
      <c r="AQ17" s="29">
        <f>IFERROR(VLOOKUP(AP17,Lists!$A$2:$C$12,3,FALSE),"")</f>
        <v/>
      </c>
      <c r="AR17" s="29">
        <f>COUNTIF(W17:AC17,"Yes")</f>
        <v/>
      </c>
      <c r="AS17" s="29">
        <f>IF(TRIM(B17)="","Legal name missing; ","")&amp;IF(AND(AJ17&lt;&gt;"",AJ17&lt;&gt;"OK"),"GSTIN: "&amp;AJ17&amp;"; ","")&amp;IF(AND(AK17&lt;&gt;"",AK17&lt;&gt;"OK"),"PAN wrong format; ","")&amp;IF(AND(AO17&lt;&gt;"",LEN(AN17)=15,MID(AN17,3,10)&lt;&gt;AO17),"PAN does not match GSTIN; ","")&amp;IF(AND(AL17&lt;&gt;"",AL17&lt;&gt;"OK"),"TAN wrong format; ","")&amp;IF(AG17="","PAN missing; ","")&amp;IF(AP17="","Entity type missing; ","")&amp;IF(AND(AN17&lt;&gt;"",COUNTIF($AN$6:$AN$1005,AN17)&gt;1),"GSTIN repeated in this sheet; ","")&amp;IF(AND(AG17&lt;&gt;"",COUNTIF($AG$6:$AG$1005,AG17)&gt;1),"PAN repeated in this sheet (same client? put extra GSTINs in Other GSTINs); ","")&amp;IF(AND(AR17&gt;0,V17=""),"Financial year missing; ","")&amp;IF(AND(AR17=0,V17&lt;&gt;""),"Financial year given but no service is Yes; ","")&amp;IF(AND(W17="Yes",AN17=""),"GST needs a GSTIN; ","")&amp;IF(AND(W17="Yes",X17=""),"GST return frequency missing; ","")&amp;IF(AND(Y17="Yes",TRIM(H17)=""),"TDS needs a TAN; ","")&amp;IF(AND(AA17="Yes",AQ17&lt;&gt;"",AQ17&lt;&gt;"company",AQ17&lt;&gt;"llp"),"ROC is only for a company / LLP; ","")&amp;IF(AND(AA17="Yes",OR(AQ17="company",AQ17="llp"),TRIM(I17)=""),"ROC needs the CIN / LLPIN; ","")</f>
        <v/>
      </c>
    </row>
    <row r="18">
      <c r="A18" s="30" t="n"/>
      <c r="B18" s="31" t="n"/>
      <c r="C18" s="31" t="n"/>
      <c r="D18" s="31" t="n"/>
      <c r="E18" s="30" t="n"/>
      <c r="F18" s="30" t="n"/>
      <c r="G18" s="30" t="n"/>
      <c r="H18" s="30" t="n"/>
      <c r="I18" s="30" t="n"/>
      <c r="J18" s="32" t="n"/>
      <c r="K18" s="31" t="n"/>
      <c r="L18" s="30" t="n"/>
      <c r="M18" s="31" t="n"/>
      <c r="N18" s="31" t="n"/>
      <c r="O18" s="31" t="n"/>
      <c r="P18" s="30" t="n"/>
      <c r="Q18" s="31" t="n"/>
      <c r="R18" s="31" t="n"/>
      <c r="S18" s="31" t="n"/>
      <c r="T18" s="31" t="n"/>
      <c r="U18" s="30" t="n"/>
      <c r="V18" s="31" t="n"/>
      <c r="W18" s="31" t="n"/>
      <c r="X18" s="31" t="n"/>
      <c r="Y18" s="31" t="n"/>
      <c r="Z18" s="31" t="n"/>
      <c r="AA18" s="31" t="n"/>
      <c r="AB18" s="31" t="n"/>
      <c r="AC18" s="31" t="n"/>
      <c r="AD18" s="31" t="n"/>
      <c r="AE18" s="31" t="n"/>
      <c r="AF18" s="27">
        <f>IF(NOT(COUNTA(A18:AE18)&gt;0),"",IF(A18="","New client","Update"))</f>
        <v/>
      </c>
      <c r="AG18" s="27">
        <f>IF(AO18&lt;&gt;"",AO18,IF(LEN(AN18)=15,MID(AN18,3,10),""))</f>
        <v/>
      </c>
      <c r="AH18" s="27">
        <f>IF(AP18="","",AP18&amp;IF(D18="","  (guessed from PAN)",""))</f>
        <v/>
      </c>
      <c r="AI18" s="27">
        <f>IF(AN18="","",IFERROR(INDEX(Lists!$L$2:$L$38,MATCH(LEFT(AN18,2),Lists!$K$2:$K$38,0)),"Unknown code"))</f>
        <v/>
      </c>
      <c r="AJ18" s="27">
        <f>IF(AN18="","",IFERROR(IF(NOT(AND(LEN(AN18)=15,ISNUMBER(MATCH(LEFT(AN18,2),Lists!$K$2:$K$38,0)),SUMPRODUCT(--ISERROR(FIND(MID(MID(AN18,3,10),{1,2,3,4,5,10},1),"ABCDEFGHIJKLMNOPQRSTUVWXYZ")))=0,SUMPRODUCT(--ISERROR(FIND(MID(MID(AN18,3,10),{6,7,8,9},1),"0123456789")))=0,ISNUMBER(FIND(MID(AN18,13,1),"123456789ABCDEFGHIJKLMNOPQRSTUVWXYZ")),MID(AN18,14,1)="Z")),"Wrong format",IF(MID("0123456789ABCDEFGHIJKLMNOPQRSTUVWXYZ",MOD(36-MOD(SUMPRODUCT(INT((FIND(MID(AN18,{1,2,3,4,5,6,7,8,9,10,11,12,13,14},1),"0123456789ABCDEFGHIJKLMNOPQRSTUVWXYZ")-1)*{1,2,1,2,1,2,1,2,1,2,1,2,1,2}/36)+MOD((FIND(MID(AN18,{1,2,3,4,5,6,7,8,9,10,11,12,13,14},1),"0123456789ABCDEFGHIJKLMNOPQRSTUVWXYZ")-1)*{1,2,1,2,1,2,1,2,1,2,1,2,1,2},36)),36),36)+1,1)=MID(AN18,15,1),"OK","Typo? check digit wrong")),"Wrong format"))</f>
        <v/>
      </c>
      <c r="AK18" s="27">
        <f>IF(AO18="","",IF(AND(LEN(AO18)=10,SUMPRODUCT(--ISERROR(FIND(MID(AO18,{1,2,3,4,5,10},1),"ABCDEFGHIJKLMNOPQRSTUVWXYZ")))=0,SUMPRODUCT(--ISERROR(FIND(MID(AO18,{6,7,8,9},1),"0123456789")))=0),"OK","Wrong format"))</f>
        <v/>
      </c>
      <c r="AL18" s="27">
        <f>IF(TRIM(H18)="","",IF(AND(LEN(UPPER(TRIM(H18)))=10,SUMPRODUCT(--ISERROR(FIND(MID(UPPER(TRIM(H18)),{1,2,3,4,10},1),"ABCDEFGHIJKLMNOPQRSTUVWXYZ")))=0,SUMPRODUCT(--ISERROR(FIND(MID(UPPER(TRIM(H18)),{5,6,7,8,9},1),"0123456789")))=0),"OK","Wrong format"))</f>
        <v/>
      </c>
      <c r="AM18" s="28">
        <f>IF(NOT(COUNTA(A18:AE18)&gt;0),"",IF(AS18&lt;&gt;"","✖ "&amp;LEFT(AS18,LEN(AS18)-2),IF(AR18&gt;0,"✔ Ready — client + "&amp;AR18&amp;" service(s)","✔ Ready — client only")))</f>
        <v/>
      </c>
      <c r="AN18" s="29">
        <f>UPPER(SUBSTITUTE(TRIM(F18)," ",""))</f>
        <v/>
      </c>
      <c r="AO18" s="29">
        <f>UPPER(SUBSTITUTE(TRIM(E18)," ",""))</f>
        <v/>
      </c>
      <c r="AP18" s="29">
        <f>IF(D18&lt;&gt;"",D18,IFERROR(VLOOKUP(MID(AG18,4,1),Lists!$E$2:$F$8,2,FALSE),""))</f>
        <v/>
      </c>
      <c r="AQ18" s="29">
        <f>IFERROR(VLOOKUP(AP18,Lists!$A$2:$C$12,3,FALSE),"")</f>
        <v/>
      </c>
      <c r="AR18" s="29">
        <f>COUNTIF(W18:AC18,"Yes")</f>
        <v/>
      </c>
      <c r="AS18" s="29">
        <f>IF(TRIM(B18)="","Legal name missing; ","")&amp;IF(AND(AJ18&lt;&gt;"",AJ18&lt;&gt;"OK"),"GSTIN: "&amp;AJ18&amp;"; ","")&amp;IF(AND(AK18&lt;&gt;"",AK18&lt;&gt;"OK"),"PAN wrong format; ","")&amp;IF(AND(AO18&lt;&gt;"",LEN(AN18)=15,MID(AN18,3,10)&lt;&gt;AO18),"PAN does not match GSTIN; ","")&amp;IF(AND(AL18&lt;&gt;"",AL18&lt;&gt;"OK"),"TAN wrong format; ","")&amp;IF(AG18="","PAN missing; ","")&amp;IF(AP18="","Entity type missing; ","")&amp;IF(AND(AN18&lt;&gt;"",COUNTIF($AN$6:$AN$1005,AN18)&gt;1),"GSTIN repeated in this sheet; ","")&amp;IF(AND(AG18&lt;&gt;"",COUNTIF($AG$6:$AG$1005,AG18)&gt;1),"PAN repeated in this sheet (same client? put extra GSTINs in Other GSTINs); ","")&amp;IF(AND(AR18&gt;0,V18=""),"Financial year missing; ","")&amp;IF(AND(AR18=0,V18&lt;&gt;""),"Financial year given but no service is Yes; ","")&amp;IF(AND(W18="Yes",AN18=""),"GST needs a GSTIN; ","")&amp;IF(AND(W18="Yes",X18=""),"GST return frequency missing; ","")&amp;IF(AND(Y18="Yes",TRIM(H18)=""),"TDS needs a TAN; ","")&amp;IF(AND(AA18="Yes",AQ18&lt;&gt;"",AQ18&lt;&gt;"company",AQ18&lt;&gt;"llp"),"ROC is only for a company / LLP; ","")&amp;IF(AND(AA18="Yes",OR(AQ18="company",AQ18="llp"),TRIM(I18)=""),"ROC needs the CIN / LLPIN; ","")</f>
        <v/>
      </c>
    </row>
    <row r="19">
      <c r="A19" s="30" t="n"/>
      <c r="B19" s="31" t="n"/>
      <c r="C19" s="31" t="n"/>
      <c r="D19" s="31" t="n"/>
      <c r="E19" s="30" t="n"/>
      <c r="F19" s="30" t="n"/>
      <c r="G19" s="30" t="n"/>
      <c r="H19" s="30" t="n"/>
      <c r="I19" s="30" t="n"/>
      <c r="J19" s="32" t="n"/>
      <c r="K19" s="31" t="n"/>
      <c r="L19" s="30" t="n"/>
      <c r="M19" s="31" t="n"/>
      <c r="N19" s="31" t="n"/>
      <c r="O19" s="31" t="n"/>
      <c r="P19" s="30" t="n"/>
      <c r="Q19" s="31" t="n"/>
      <c r="R19" s="31" t="n"/>
      <c r="S19" s="31" t="n"/>
      <c r="T19" s="31" t="n"/>
      <c r="U19" s="30" t="n"/>
      <c r="V19" s="31" t="n"/>
      <c r="W19" s="31" t="n"/>
      <c r="X19" s="31" t="n"/>
      <c r="Y19" s="31" t="n"/>
      <c r="Z19" s="31" t="n"/>
      <c r="AA19" s="31" t="n"/>
      <c r="AB19" s="31" t="n"/>
      <c r="AC19" s="31" t="n"/>
      <c r="AD19" s="31" t="n"/>
      <c r="AE19" s="31" t="n"/>
      <c r="AF19" s="27">
        <f>IF(NOT(COUNTA(A19:AE19)&gt;0),"",IF(A19="","New client","Update"))</f>
        <v/>
      </c>
      <c r="AG19" s="27">
        <f>IF(AO19&lt;&gt;"",AO19,IF(LEN(AN19)=15,MID(AN19,3,10),""))</f>
        <v/>
      </c>
      <c r="AH19" s="27">
        <f>IF(AP19="","",AP19&amp;IF(D19="","  (guessed from PAN)",""))</f>
        <v/>
      </c>
      <c r="AI19" s="27">
        <f>IF(AN19="","",IFERROR(INDEX(Lists!$L$2:$L$38,MATCH(LEFT(AN19,2),Lists!$K$2:$K$38,0)),"Unknown code"))</f>
        <v/>
      </c>
      <c r="AJ19" s="27">
        <f>IF(AN19="","",IFERROR(IF(NOT(AND(LEN(AN19)=15,ISNUMBER(MATCH(LEFT(AN19,2),Lists!$K$2:$K$38,0)),SUMPRODUCT(--ISERROR(FIND(MID(MID(AN19,3,10),{1,2,3,4,5,10},1),"ABCDEFGHIJKLMNOPQRSTUVWXYZ")))=0,SUMPRODUCT(--ISERROR(FIND(MID(MID(AN19,3,10),{6,7,8,9},1),"0123456789")))=0,ISNUMBER(FIND(MID(AN19,13,1),"123456789ABCDEFGHIJKLMNOPQRSTUVWXYZ")),MID(AN19,14,1)="Z")),"Wrong format",IF(MID("0123456789ABCDEFGHIJKLMNOPQRSTUVWXYZ",MOD(36-MOD(SUMPRODUCT(INT((FIND(MID(AN19,{1,2,3,4,5,6,7,8,9,10,11,12,13,14},1),"0123456789ABCDEFGHIJKLMNOPQRSTUVWXYZ")-1)*{1,2,1,2,1,2,1,2,1,2,1,2,1,2}/36)+MOD((FIND(MID(AN19,{1,2,3,4,5,6,7,8,9,10,11,12,13,14},1),"0123456789ABCDEFGHIJKLMNOPQRSTUVWXYZ")-1)*{1,2,1,2,1,2,1,2,1,2,1,2,1,2},36)),36),36)+1,1)=MID(AN19,15,1),"OK","Typo? check digit wrong")),"Wrong format"))</f>
        <v/>
      </c>
      <c r="AK19" s="27">
        <f>IF(AO19="","",IF(AND(LEN(AO19)=10,SUMPRODUCT(--ISERROR(FIND(MID(AO19,{1,2,3,4,5,10},1),"ABCDEFGHIJKLMNOPQRSTUVWXYZ")))=0,SUMPRODUCT(--ISERROR(FIND(MID(AO19,{6,7,8,9},1),"0123456789")))=0),"OK","Wrong format"))</f>
        <v/>
      </c>
      <c r="AL19" s="27">
        <f>IF(TRIM(H19)="","",IF(AND(LEN(UPPER(TRIM(H19)))=10,SUMPRODUCT(--ISERROR(FIND(MID(UPPER(TRIM(H19)),{1,2,3,4,10},1),"ABCDEFGHIJKLMNOPQRSTUVWXYZ")))=0,SUMPRODUCT(--ISERROR(FIND(MID(UPPER(TRIM(H19)),{5,6,7,8,9},1),"0123456789")))=0),"OK","Wrong format"))</f>
        <v/>
      </c>
      <c r="AM19" s="28">
        <f>IF(NOT(COUNTA(A19:AE19)&gt;0),"",IF(AS19&lt;&gt;"","✖ "&amp;LEFT(AS19,LEN(AS19)-2),IF(AR19&gt;0,"✔ Ready — client + "&amp;AR19&amp;" service(s)","✔ Ready — client only")))</f>
        <v/>
      </c>
      <c r="AN19" s="29">
        <f>UPPER(SUBSTITUTE(TRIM(F19)," ",""))</f>
        <v/>
      </c>
      <c r="AO19" s="29">
        <f>UPPER(SUBSTITUTE(TRIM(E19)," ",""))</f>
        <v/>
      </c>
      <c r="AP19" s="29">
        <f>IF(D19&lt;&gt;"",D19,IFERROR(VLOOKUP(MID(AG19,4,1),Lists!$E$2:$F$8,2,FALSE),""))</f>
        <v/>
      </c>
      <c r="AQ19" s="29">
        <f>IFERROR(VLOOKUP(AP19,Lists!$A$2:$C$12,3,FALSE),"")</f>
        <v/>
      </c>
      <c r="AR19" s="29">
        <f>COUNTIF(W19:AC19,"Yes")</f>
        <v/>
      </c>
      <c r="AS19" s="29">
        <f>IF(TRIM(B19)="","Legal name missing; ","")&amp;IF(AND(AJ19&lt;&gt;"",AJ19&lt;&gt;"OK"),"GSTIN: "&amp;AJ19&amp;"; ","")&amp;IF(AND(AK19&lt;&gt;"",AK19&lt;&gt;"OK"),"PAN wrong format; ","")&amp;IF(AND(AO19&lt;&gt;"",LEN(AN19)=15,MID(AN19,3,10)&lt;&gt;AO19),"PAN does not match GSTIN; ","")&amp;IF(AND(AL19&lt;&gt;"",AL19&lt;&gt;"OK"),"TAN wrong format; ","")&amp;IF(AG19="","PAN missing; ","")&amp;IF(AP19="","Entity type missing; ","")&amp;IF(AND(AN19&lt;&gt;"",COUNTIF($AN$6:$AN$1005,AN19)&gt;1),"GSTIN repeated in this sheet; ","")&amp;IF(AND(AG19&lt;&gt;"",COUNTIF($AG$6:$AG$1005,AG19)&gt;1),"PAN repeated in this sheet (same client? put extra GSTINs in Other GSTINs); ","")&amp;IF(AND(AR19&gt;0,V19=""),"Financial year missing; ","")&amp;IF(AND(AR19=0,V19&lt;&gt;""),"Financial year given but no service is Yes; ","")&amp;IF(AND(W19="Yes",AN19=""),"GST needs a GSTIN; ","")&amp;IF(AND(W19="Yes",X19=""),"GST return frequency missing; ","")&amp;IF(AND(Y19="Yes",TRIM(H19)=""),"TDS needs a TAN; ","")&amp;IF(AND(AA19="Yes",AQ19&lt;&gt;"",AQ19&lt;&gt;"company",AQ19&lt;&gt;"llp"),"ROC is only for a company / LLP; ","")&amp;IF(AND(AA19="Yes",OR(AQ19="company",AQ19="llp"),TRIM(I19)=""),"ROC needs the CIN / LLPIN; ","")</f>
        <v/>
      </c>
    </row>
    <row r="20">
      <c r="A20" s="30" t="n"/>
      <c r="B20" s="31" t="n"/>
      <c r="C20" s="31" t="n"/>
      <c r="D20" s="31" t="n"/>
      <c r="E20" s="30" t="n"/>
      <c r="F20" s="30" t="n"/>
      <c r="G20" s="30" t="n"/>
      <c r="H20" s="30" t="n"/>
      <c r="I20" s="30" t="n"/>
      <c r="J20" s="32" t="n"/>
      <c r="K20" s="31" t="n"/>
      <c r="L20" s="30" t="n"/>
      <c r="M20" s="31" t="n"/>
      <c r="N20" s="31" t="n"/>
      <c r="O20" s="31" t="n"/>
      <c r="P20" s="30" t="n"/>
      <c r="Q20" s="31" t="n"/>
      <c r="R20" s="31" t="n"/>
      <c r="S20" s="31" t="n"/>
      <c r="T20" s="31" t="n"/>
      <c r="U20" s="30" t="n"/>
      <c r="V20" s="31" t="n"/>
      <c r="W20" s="31" t="n"/>
      <c r="X20" s="31" t="n"/>
      <c r="Y20" s="31" t="n"/>
      <c r="Z20" s="31" t="n"/>
      <c r="AA20" s="31" t="n"/>
      <c r="AB20" s="31" t="n"/>
      <c r="AC20" s="31" t="n"/>
      <c r="AD20" s="31" t="n"/>
      <c r="AE20" s="31" t="n"/>
      <c r="AF20" s="27">
        <f>IF(NOT(COUNTA(A20:AE20)&gt;0),"",IF(A20="","New client","Update"))</f>
        <v/>
      </c>
      <c r="AG20" s="27">
        <f>IF(AO20&lt;&gt;"",AO20,IF(LEN(AN20)=15,MID(AN20,3,10),""))</f>
        <v/>
      </c>
      <c r="AH20" s="27">
        <f>IF(AP20="","",AP20&amp;IF(D20="","  (guessed from PAN)",""))</f>
        <v/>
      </c>
      <c r="AI20" s="27">
        <f>IF(AN20="","",IFERROR(INDEX(Lists!$L$2:$L$38,MATCH(LEFT(AN20,2),Lists!$K$2:$K$38,0)),"Unknown code"))</f>
        <v/>
      </c>
      <c r="AJ20" s="27">
        <f>IF(AN20="","",IFERROR(IF(NOT(AND(LEN(AN20)=15,ISNUMBER(MATCH(LEFT(AN20,2),Lists!$K$2:$K$38,0)),SUMPRODUCT(--ISERROR(FIND(MID(MID(AN20,3,10),{1,2,3,4,5,10},1),"ABCDEFGHIJKLMNOPQRSTUVWXYZ")))=0,SUMPRODUCT(--ISERROR(FIND(MID(MID(AN20,3,10),{6,7,8,9},1),"0123456789")))=0,ISNUMBER(FIND(MID(AN20,13,1),"123456789ABCDEFGHIJKLMNOPQRSTUVWXYZ")),MID(AN20,14,1)="Z")),"Wrong format",IF(MID("0123456789ABCDEFGHIJKLMNOPQRSTUVWXYZ",MOD(36-MOD(SUMPRODUCT(INT((FIND(MID(AN20,{1,2,3,4,5,6,7,8,9,10,11,12,13,14},1),"0123456789ABCDEFGHIJKLMNOPQRSTUVWXYZ")-1)*{1,2,1,2,1,2,1,2,1,2,1,2,1,2}/36)+MOD((FIND(MID(AN20,{1,2,3,4,5,6,7,8,9,10,11,12,13,14},1),"0123456789ABCDEFGHIJKLMNOPQRSTUVWXYZ")-1)*{1,2,1,2,1,2,1,2,1,2,1,2,1,2},36)),36),36)+1,1)=MID(AN20,15,1),"OK","Typo? check digit wrong")),"Wrong format"))</f>
        <v/>
      </c>
      <c r="AK20" s="27">
        <f>IF(AO20="","",IF(AND(LEN(AO20)=10,SUMPRODUCT(--ISERROR(FIND(MID(AO20,{1,2,3,4,5,10},1),"ABCDEFGHIJKLMNOPQRSTUVWXYZ")))=0,SUMPRODUCT(--ISERROR(FIND(MID(AO20,{6,7,8,9},1),"0123456789")))=0),"OK","Wrong format"))</f>
        <v/>
      </c>
      <c r="AL20" s="27">
        <f>IF(TRIM(H20)="","",IF(AND(LEN(UPPER(TRIM(H20)))=10,SUMPRODUCT(--ISERROR(FIND(MID(UPPER(TRIM(H20)),{1,2,3,4,10},1),"ABCDEFGHIJKLMNOPQRSTUVWXYZ")))=0,SUMPRODUCT(--ISERROR(FIND(MID(UPPER(TRIM(H20)),{5,6,7,8,9},1),"0123456789")))=0),"OK","Wrong format"))</f>
        <v/>
      </c>
      <c r="AM20" s="28">
        <f>IF(NOT(COUNTA(A20:AE20)&gt;0),"",IF(AS20&lt;&gt;"","✖ "&amp;LEFT(AS20,LEN(AS20)-2),IF(AR20&gt;0,"✔ Ready — client + "&amp;AR20&amp;" service(s)","✔ Ready — client only")))</f>
        <v/>
      </c>
      <c r="AN20" s="29">
        <f>UPPER(SUBSTITUTE(TRIM(F20)," ",""))</f>
        <v/>
      </c>
      <c r="AO20" s="29">
        <f>UPPER(SUBSTITUTE(TRIM(E20)," ",""))</f>
        <v/>
      </c>
      <c r="AP20" s="29">
        <f>IF(D20&lt;&gt;"",D20,IFERROR(VLOOKUP(MID(AG20,4,1),Lists!$E$2:$F$8,2,FALSE),""))</f>
        <v/>
      </c>
      <c r="AQ20" s="29">
        <f>IFERROR(VLOOKUP(AP20,Lists!$A$2:$C$12,3,FALSE),"")</f>
        <v/>
      </c>
      <c r="AR20" s="29">
        <f>COUNTIF(W20:AC20,"Yes")</f>
        <v/>
      </c>
      <c r="AS20" s="29">
        <f>IF(TRIM(B20)="","Legal name missing; ","")&amp;IF(AND(AJ20&lt;&gt;"",AJ20&lt;&gt;"OK"),"GSTIN: "&amp;AJ20&amp;"; ","")&amp;IF(AND(AK20&lt;&gt;"",AK20&lt;&gt;"OK"),"PAN wrong format; ","")&amp;IF(AND(AO20&lt;&gt;"",LEN(AN20)=15,MID(AN20,3,10)&lt;&gt;AO20),"PAN does not match GSTIN; ","")&amp;IF(AND(AL20&lt;&gt;"",AL20&lt;&gt;"OK"),"TAN wrong format; ","")&amp;IF(AG20="","PAN missing; ","")&amp;IF(AP20="","Entity type missing; ","")&amp;IF(AND(AN20&lt;&gt;"",COUNTIF($AN$6:$AN$1005,AN20)&gt;1),"GSTIN repeated in this sheet; ","")&amp;IF(AND(AG20&lt;&gt;"",COUNTIF($AG$6:$AG$1005,AG20)&gt;1),"PAN repeated in this sheet (same client? put extra GSTINs in Other GSTINs); ","")&amp;IF(AND(AR20&gt;0,V20=""),"Financial year missing; ","")&amp;IF(AND(AR20=0,V20&lt;&gt;""),"Financial year given but no service is Yes; ","")&amp;IF(AND(W20="Yes",AN20=""),"GST needs a GSTIN; ","")&amp;IF(AND(W20="Yes",X20=""),"GST return frequency missing; ","")&amp;IF(AND(Y20="Yes",TRIM(H20)=""),"TDS needs a TAN; ","")&amp;IF(AND(AA20="Yes",AQ20&lt;&gt;"",AQ20&lt;&gt;"company",AQ20&lt;&gt;"llp"),"ROC is only for a company / LLP; ","")&amp;IF(AND(AA20="Yes",OR(AQ20="company",AQ20="llp"),TRIM(I20)=""),"ROC needs the CIN / LLPIN; ","")</f>
        <v/>
      </c>
    </row>
    <row r="21">
      <c r="A21" s="30" t="n"/>
      <c r="B21" s="31" t="n"/>
      <c r="C21" s="31" t="n"/>
      <c r="D21" s="31" t="n"/>
      <c r="E21" s="30" t="n"/>
      <c r="F21" s="30" t="n"/>
      <c r="G21" s="30" t="n"/>
      <c r="H21" s="30" t="n"/>
      <c r="I21" s="30" t="n"/>
      <c r="J21" s="32" t="n"/>
      <c r="K21" s="31" t="n"/>
      <c r="L21" s="30" t="n"/>
      <c r="M21" s="31" t="n"/>
      <c r="N21" s="31" t="n"/>
      <c r="O21" s="31" t="n"/>
      <c r="P21" s="30" t="n"/>
      <c r="Q21" s="31" t="n"/>
      <c r="R21" s="31" t="n"/>
      <c r="S21" s="31" t="n"/>
      <c r="T21" s="31" t="n"/>
      <c r="U21" s="30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27">
        <f>IF(NOT(COUNTA(A21:AE21)&gt;0),"",IF(A21="","New client","Update"))</f>
        <v/>
      </c>
      <c r="AG21" s="27">
        <f>IF(AO21&lt;&gt;"",AO21,IF(LEN(AN21)=15,MID(AN21,3,10),""))</f>
        <v/>
      </c>
      <c r="AH21" s="27">
        <f>IF(AP21="","",AP21&amp;IF(D21="","  (guessed from PAN)",""))</f>
        <v/>
      </c>
      <c r="AI21" s="27">
        <f>IF(AN21="","",IFERROR(INDEX(Lists!$L$2:$L$38,MATCH(LEFT(AN21,2),Lists!$K$2:$K$38,0)),"Unknown code"))</f>
        <v/>
      </c>
      <c r="AJ21" s="27">
        <f>IF(AN21="","",IFERROR(IF(NOT(AND(LEN(AN21)=15,ISNUMBER(MATCH(LEFT(AN21,2),Lists!$K$2:$K$38,0)),SUMPRODUCT(--ISERROR(FIND(MID(MID(AN21,3,10),{1,2,3,4,5,10},1),"ABCDEFGHIJKLMNOPQRSTUVWXYZ")))=0,SUMPRODUCT(--ISERROR(FIND(MID(MID(AN21,3,10),{6,7,8,9},1),"0123456789")))=0,ISNUMBER(FIND(MID(AN21,13,1),"123456789ABCDEFGHIJKLMNOPQRSTUVWXYZ")),MID(AN21,14,1)="Z")),"Wrong format",IF(MID("0123456789ABCDEFGHIJKLMNOPQRSTUVWXYZ",MOD(36-MOD(SUMPRODUCT(INT((FIND(MID(AN21,{1,2,3,4,5,6,7,8,9,10,11,12,13,14},1),"0123456789ABCDEFGHIJKLMNOPQRSTUVWXYZ")-1)*{1,2,1,2,1,2,1,2,1,2,1,2,1,2}/36)+MOD((FIND(MID(AN21,{1,2,3,4,5,6,7,8,9,10,11,12,13,14},1),"0123456789ABCDEFGHIJKLMNOPQRSTUVWXYZ")-1)*{1,2,1,2,1,2,1,2,1,2,1,2,1,2},36)),36),36)+1,1)=MID(AN21,15,1),"OK","Typo? check digit wrong")),"Wrong format"))</f>
        <v/>
      </c>
      <c r="AK21" s="27">
        <f>IF(AO21="","",IF(AND(LEN(AO21)=10,SUMPRODUCT(--ISERROR(FIND(MID(AO21,{1,2,3,4,5,10},1),"ABCDEFGHIJKLMNOPQRSTUVWXYZ")))=0,SUMPRODUCT(--ISERROR(FIND(MID(AO21,{6,7,8,9},1),"0123456789")))=0),"OK","Wrong format"))</f>
        <v/>
      </c>
      <c r="AL21" s="27">
        <f>IF(TRIM(H21)="","",IF(AND(LEN(UPPER(TRIM(H21)))=10,SUMPRODUCT(--ISERROR(FIND(MID(UPPER(TRIM(H21)),{1,2,3,4,10},1),"ABCDEFGHIJKLMNOPQRSTUVWXYZ")))=0,SUMPRODUCT(--ISERROR(FIND(MID(UPPER(TRIM(H21)),{5,6,7,8,9},1),"0123456789")))=0),"OK","Wrong format"))</f>
        <v/>
      </c>
      <c r="AM21" s="28">
        <f>IF(NOT(COUNTA(A21:AE21)&gt;0),"",IF(AS21&lt;&gt;"","✖ "&amp;LEFT(AS21,LEN(AS21)-2),IF(AR21&gt;0,"✔ Ready — client + "&amp;AR21&amp;" service(s)","✔ Ready — client only")))</f>
        <v/>
      </c>
      <c r="AN21" s="29">
        <f>UPPER(SUBSTITUTE(TRIM(F21)," ",""))</f>
        <v/>
      </c>
      <c r="AO21" s="29">
        <f>UPPER(SUBSTITUTE(TRIM(E21)," ",""))</f>
        <v/>
      </c>
      <c r="AP21" s="29">
        <f>IF(D21&lt;&gt;"",D21,IFERROR(VLOOKUP(MID(AG21,4,1),Lists!$E$2:$F$8,2,FALSE),""))</f>
        <v/>
      </c>
      <c r="AQ21" s="29">
        <f>IFERROR(VLOOKUP(AP21,Lists!$A$2:$C$12,3,FALSE),"")</f>
        <v/>
      </c>
      <c r="AR21" s="29">
        <f>COUNTIF(W21:AC21,"Yes")</f>
        <v/>
      </c>
      <c r="AS21" s="29">
        <f>IF(TRIM(B21)="","Legal name missing; ","")&amp;IF(AND(AJ21&lt;&gt;"",AJ21&lt;&gt;"OK"),"GSTIN: "&amp;AJ21&amp;"; ","")&amp;IF(AND(AK21&lt;&gt;"",AK21&lt;&gt;"OK"),"PAN wrong format; ","")&amp;IF(AND(AO21&lt;&gt;"",LEN(AN21)=15,MID(AN21,3,10)&lt;&gt;AO21),"PAN does not match GSTIN; ","")&amp;IF(AND(AL21&lt;&gt;"",AL21&lt;&gt;"OK"),"TAN wrong format; ","")&amp;IF(AG21="","PAN missing; ","")&amp;IF(AP21="","Entity type missing; ","")&amp;IF(AND(AN21&lt;&gt;"",COUNTIF($AN$6:$AN$1005,AN21)&gt;1),"GSTIN repeated in this sheet; ","")&amp;IF(AND(AG21&lt;&gt;"",COUNTIF($AG$6:$AG$1005,AG21)&gt;1),"PAN repeated in this sheet (same client? put extra GSTINs in Other GSTINs); ","")&amp;IF(AND(AR21&gt;0,V21=""),"Financial year missing; ","")&amp;IF(AND(AR21=0,V21&lt;&gt;""),"Financial year given but no service is Yes; ","")&amp;IF(AND(W21="Yes",AN21=""),"GST needs a GSTIN; ","")&amp;IF(AND(W21="Yes",X21=""),"GST return frequency missing; ","")&amp;IF(AND(Y21="Yes",TRIM(H21)=""),"TDS needs a TAN; ","")&amp;IF(AND(AA21="Yes",AQ21&lt;&gt;"",AQ21&lt;&gt;"company",AQ21&lt;&gt;"llp"),"ROC is only for a company / LLP; ","")&amp;IF(AND(AA21="Yes",OR(AQ21="company",AQ21="llp"),TRIM(I21)=""),"ROC needs the CIN / LLPIN; ","")</f>
        <v/>
      </c>
    </row>
    <row r="22">
      <c r="A22" s="30" t="n"/>
      <c r="B22" s="31" t="n"/>
      <c r="C22" s="31" t="n"/>
      <c r="D22" s="31" t="n"/>
      <c r="E22" s="30" t="n"/>
      <c r="F22" s="30" t="n"/>
      <c r="G22" s="30" t="n"/>
      <c r="H22" s="30" t="n"/>
      <c r="I22" s="30" t="n"/>
      <c r="J22" s="32" t="n"/>
      <c r="K22" s="31" t="n"/>
      <c r="L22" s="30" t="n"/>
      <c r="M22" s="31" t="n"/>
      <c r="N22" s="31" t="n"/>
      <c r="O22" s="31" t="n"/>
      <c r="P22" s="30" t="n"/>
      <c r="Q22" s="31" t="n"/>
      <c r="R22" s="31" t="n"/>
      <c r="S22" s="31" t="n"/>
      <c r="T22" s="31" t="n"/>
      <c r="U22" s="30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27">
        <f>IF(NOT(COUNTA(A22:AE22)&gt;0),"",IF(A22="","New client","Update"))</f>
        <v/>
      </c>
      <c r="AG22" s="27">
        <f>IF(AO22&lt;&gt;"",AO22,IF(LEN(AN22)=15,MID(AN22,3,10),""))</f>
        <v/>
      </c>
      <c r="AH22" s="27">
        <f>IF(AP22="","",AP22&amp;IF(D22="","  (guessed from PAN)",""))</f>
        <v/>
      </c>
      <c r="AI22" s="27">
        <f>IF(AN22="","",IFERROR(INDEX(Lists!$L$2:$L$38,MATCH(LEFT(AN22,2),Lists!$K$2:$K$38,0)),"Unknown code"))</f>
        <v/>
      </c>
      <c r="AJ22" s="27">
        <f>IF(AN22="","",IFERROR(IF(NOT(AND(LEN(AN22)=15,ISNUMBER(MATCH(LEFT(AN22,2),Lists!$K$2:$K$38,0)),SUMPRODUCT(--ISERROR(FIND(MID(MID(AN22,3,10),{1,2,3,4,5,10},1),"ABCDEFGHIJKLMNOPQRSTUVWXYZ")))=0,SUMPRODUCT(--ISERROR(FIND(MID(MID(AN22,3,10),{6,7,8,9},1),"0123456789")))=0,ISNUMBER(FIND(MID(AN22,13,1),"123456789ABCDEFGHIJKLMNOPQRSTUVWXYZ")),MID(AN22,14,1)="Z")),"Wrong format",IF(MID("0123456789ABCDEFGHIJKLMNOPQRSTUVWXYZ",MOD(36-MOD(SUMPRODUCT(INT((FIND(MID(AN22,{1,2,3,4,5,6,7,8,9,10,11,12,13,14},1),"0123456789ABCDEFGHIJKLMNOPQRSTUVWXYZ")-1)*{1,2,1,2,1,2,1,2,1,2,1,2,1,2}/36)+MOD((FIND(MID(AN22,{1,2,3,4,5,6,7,8,9,10,11,12,13,14},1),"0123456789ABCDEFGHIJKLMNOPQRSTUVWXYZ")-1)*{1,2,1,2,1,2,1,2,1,2,1,2,1,2},36)),36),36)+1,1)=MID(AN22,15,1),"OK","Typo? check digit wrong")),"Wrong format"))</f>
        <v/>
      </c>
      <c r="AK22" s="27">
        <f>IF(AO22="","",IF(AND(LEN(AO22)=10,SUMPRODUCT(--ISERROR(FIND(MID(AO22,{1,2,3,4,5,10},1),"ABCDEFGHIJKLMNOPQRSTUVWXYZ")))=0,SUMPRODUCT(--ISERROR(FIND(MID(AO22,{6,7,8,9},1),"0123456789")))=0),"OK","Wrong format"))</f>
        <v/>
      </c>
      <c r="AL22" s="27">
        <f>IF(TRIM(H22)="","",IF(AND(LEN(UPPER(TRIM(H22)))=10,SUMPRODUCT(--ISERROR(FIND(MID(UPPER(TRIM(H22)),{1,2,3,4,10},1),"ABCDEFGHIJKLMNOPQRSTUVWXYZ")))=0,SUMPRODUCT(--ISERROR(FIND(MID(UPPER(TRIM(H22)),{5,6,7,8,9},1),"0123456789")))=0),"OK","Wrong format"))</f>
        <v/>
      </c>
      <c r="AM22" s="28">
        <f>IF(NOT(COUNTA(A22:AE22)&gt;0),"",IF(AS22&lt;&gt;"","✖ "&amp;LEFT(AS22,LEN(AS22)-2),IF(AR22&gt;0,"✔ Ready — client + "&amp;AR22&amp;" service(s)","✔ Ready — client only")))</f>
        <v/>
      </c>
      <c r="AN22" s="29">
        <f>UPPER(SUBSTITUTE(TRIM(F22)," ",""))</f>
        <v/>
      </c>
      <c r="AO22" s="29">
        <f>UPPER(SUBSTITUTE(TRIM(E22)," ",""))</f>
        <v/>
      </c>
      <c r="AP22" s="29">
        <f>IF(D22&lt;&gt;"",D22,IFERROR(VLOOKUP(MID(AG22,4,1),Lists!$E$2:$F$8,2,FALSE),""))</f>
        <v/>
      </c>
      <c r="AQ22" s="29">
        <f>IFERROR(VLOOKUP(AP22,Lists!$A$2:$C$12,3,FALSE),"")</f>
        <v/>
      </c>
      <c r="AR22" s="29">
        <f>COUNTIF(W22:AC22,"Yes")</f>
        <v/>
      </c>
      <c r="AS22" s="29">
        <f>IF(TRIM(B22)="","Legal name missing; ","")&amp;IF(AND(AJ22&lt;&gt;"",AJ22&lt;&gt;"OK"),"GSTIN: "&amp;AJ22&amp;"; ","")&amp;IF(AND(AK22&lt;&gt;"",AK22&lt;&gt;"OK"),"PAN wrong format; ","")&amp;IF(AND(AO22&lt;&gt;"",LEN(AN22)=15,MID(AN22,3,10)&lt;&gt;AO22),"PAN does not match GSTIN; ","")&amp;IF(AND(AL22&lt;&gt;"",AL22&lt;&gt;"OK"),"TAN wrong format; ","")&amp;IF(AG22="","PAN missing; ","")&amp;IF(AP22="","Entity type missing; ","")&amp;IF(AND(AN22&lt;&gt;"",COUNTIF($AN$6:$AN$1005,AN22)&gt;1),"GSTIN repeated in this sheet; ","")&amp;IF(AND(AG22&lt;&gt;"",COUNTIF($AG$6:$AG$1005,AG22)&gt;1),"PAN repeated in this sheet (same client? put extra GSTINs in Other GSTINs); ","")&amp;IF(AND(AR22&gt;0,V22=""),"Financial year missing; ","")&amp;IF(AND(AR22=0,V22&lt;&gt;""),"Financial year given but no service is Yes; ","")&amp;IF(AND(W22="Yes",AN22=""),"GST needs a GSTIN; ","")&amp;IF(AND(W22="Yes",X22=""),"GST return frequency missing; ","")&amp;IF(AND(Y22="Yes",TRIM(H22)=""),"TDS needs a TAN; ","")&amp;IF(AND(AA22="Yes",AQ22&lt;&gt;"",AQ22&lt;&gt;"company",AQ22&lt;&gt;"llp"),"ROC is only for a company / LLP; ","")&amp;IF(AND(AA22="Yes",OR(AQ22="company",AQ22="llp"),TRIM(I22)=""),"ROC needs the CIN / LLPIN; ","")</f>
        <v/>
      </c>
    </row>
    <row r="23">
      <c r="A23" s="30" t="n"/>
      <c r="B23" s="31" t="n"/>
      <c r="C23" s="31" t="n"/>
      <c r="D23" s="31" t="n"/>
      <c r="E23" s="30" t="n"/>
      <c r="F23" s="30" t="n"/>
      <c r="G23" s="30" t="n"/>
      <c r="H23" s="30" t="n"/>
      <c r="I23" s="30" t="n"/>
      <c r="J23" s="32" t="n"/>
      <c r="K23" s="31" t="n"/>
      <c r="L23" s="30" t="n"/>
      <c r="M23" s="31" t="n"/>
      <c r="N23" s="31" t="n"/>
      <c r="O23" s="31" t="n"/>
      <c r="P23" s="30" t="n"/>
      <c r="Q23" s="31" t="n"/>
      <c r="R23" s="31" t="n"/>
      <c r="S23" s="31" t="n"/>
      <c r="T23" s="31" t="n"/>
      <c r="U23" s="30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27">
        <f>IF(NOT(COUNTA(A23:AE23)&gt;0),"",IF(A23="","New client","Update"))</f>
        <v/>
      </c>
      <c r="AG23" s="27">
        <f>IF(AO23&lt;&gt;"",AO23,IF(LEN(AN23)=15,MID(AN23,3,10),""))</f>
        <v/>
      </c>
      <c r="AH23" s="27">
        <f>IF(AP23="","",AP23&amp;IF(D23="","  (guessed from PAN)",""))</f>
        <v/>
      </c>
      <c r="AI23" s="27">
        <f>IF(AN23="","",IFERROR(INDEX(Lists!$L$2:$L$38,MATCH(LEFT(AN23,2),Lists!$K$2:$K$38,0)),"Unknown code"))</f>
        <v/>
      </c>
      <c r="AJ23" s="27">
        <f>IF(AN23="","",IFERROR(IF(NOT(AND(LEN(AN23)=15,ISNUMBER(MATCH(LEFT(AN23,2),Lists!$K$2:$K$38,0)),SUMPRODUCT(--ISERROR(FIND(MID(MID(AN23,3,10),{1,2,3,4,5,10},1),"ABCDEFGHIJKLMNOPQRSTUVWXYZ")))=0,SUMPRODUCT(--ISERROR(FIND(MID(MID(AN23,3,10),{6,7,8,9},1),"0123456789")))=0,ISNUMBER(FIND(MID(AN23,13,1),"123456789ABCDEFGHIJKLMNOPQRSTUVWXYZ")),MID(AN23,14,1)="Z")),"Wrong format",IF(MID("0123456789ABCDEFGHIJKLMNOPQRSTUVWXYZ",MOD(36-MOD(SUMPRODUCT(INT((FIND(MID(AN23,{1,2,3,4,5,6,7,8,9,10,11,12,13,14},1),"0123456789ABCDEFGHIJKLMNOPQRSTUVWXYZ")-1)*{1,2,1,2,1,2,1,2,1,2,1,2,1,2}/36)+MOD((FIND(MID(AN23,{1,2,3,4,5,6,7,8,9,10,11,12,13,14},1),"0123456789ABCDEFGHIJKLMNOPQRSTUVWXYZ")-1)*{1,2,1,2,1,2,1,2,1,2,1,2,1,2},36)),36),36)+1,1)=MID(AN23,15,1),"OK","Typo? check digit wrong")),"Wrong format"))</f>
        <v/>
      </c>
      <c r="AK23" s="27">
        <f>IF(AO23="","",IF(AND(LEN(AO23)=10,SUMPRODUCT(--ISERROR(FIND(MID(AO23,{1,2,3,4,5,10},1),"ABCDEFGHIJKLMNOPQRSTUVWXYZ")))=0,SUMPRODUCT(--ISERROR(FIND(MID(AO23,{6,7,8,9},1),"0123456789")))=0),"OK","Wrong format"))</f>
        <v/>
      </c>
      <c r="AL23" s="27">
        <f>IF(TRIM(H23)="","",IF(AND(LEN(UPPER(TRIM(H23)))=10,SUMPRODUCT(--ISERROR(FIND(MID(UPPER(TRIM(H23)),{1,2,3,4,10},1),"ABCDEFGHIJKLMNOPQRSTUVWXYZ")))=0,SUMPRODUCT(--ISERROR(FIND(MID(UPPER(TRIM(H23)),{5,6,7,8,9},1),"0123456789")))=0),"OK","Wrong format"))</f>
        <v/>
      </c>
      <c r="AM23" s="28">
        <f>IF(NOT(COUNTA(A23:AE23)&gt;0),"",IF(AS23&lt;&gt;"","✖ "&amp;LEFT(AS23,LEN(AS23)-2),IF(AR23&gt;0,"✔ Ready — client + "&amp;AR23&amp;" service(s)","✔ Ready — client only")))</f>
        <v/>
      </c>
      <c r="AN23" s="29">
        <f>UPPER(SUBSTITUTE(TRIM(F23)," ",""))</f>
        <v/>
      </c>
      <c r="AO23" s="29">
        <f>UPPER(SUBSTITUTE(TRIM(E23)," ",""))</f>
        <v/>
      </c>
      <c r="AP23" s="29">
        <f>IF(D23&lt;&gt;"",D23,IFERROR(VLOOKUP(MID(AG23,4,1),Lists!$E$2:$F$8,2,FALSE),""))</f>
        <v/>
      </c>
      <c r="AQ23" s="29">
        <f>IFERROR(VLOOKUP(AP23,Lists!$A$2:$C$12,3,FALSE),"")</f>
        <v/>
      </c>
      <c r="AR23" s="29">
        <f>COUNTIF(W23:AC23,"Yes")</f>
        <v/>
      </c>
      <c r="AS23" s="29">
        <f>IF(TRIM(B23)="","Legal name missing; ","")&amp;IF(AND(AJ23&lt;&gt;"",AJ23&lt;&gt;"OK"),"GSTIN: "&amp;AJ23&amp;"; ","")&amp;IF(AND(AK23&lt;&gt;"",AK23&lt;&gt;"OK"),"PAN wrong format; ","")&amp;IF(AND(AO23&lt;&gt;"",LEN(AN23)=15,MID(AN23,3,10)&lt;&gt;AO23),"PAN does not match GSTIN; ","")&amp;IF(AND(AL23&lt;&gt;"",AL23&lt;&gt;"OK"),"TAN wrong format; ","")&amp;IF(AG23="","PAN missing; ","")&amp;IF(AP23="","Entity type missing; ","")&amp;IF(AND(AN23&lt;&gt;"",COUNTIF($AN$6:$AN$1005,AN23)&gt;1),"GSTIN repeated in this sheet; ","")&amp;IF(AND(AG23&lt;&gt;"",COUNTIF($AG$6:$AG$1005,AG23)&gt;1),"PAN repeated in this sheet (same client? put extra GSTINs in Other GSTINs); ","")&amp;IF(AND(AR23&gt;0,V23=""),"Financial year missing; ","")&amp;IF(AND(AR23=0,V23&lt;&gt;""),"Financial year given but no service is Yes; ","")&amp;IF(AND(W23="Yes",AN23=""),"GST needs a GSTIN; ","")&amp;IF(AND(W23="Yes",X23=""),"GST return frequency missing; ","")&amp;IF(AND(Y23="Yes",TRIM(H23)=""),"TDS needs a TAN; ","")&amp;IF(AND(AA23="Yes",AQ23&lt;&gt;"",AQ23&lt;&gt;"company",AQ23&lt;&gt;"llp"),"ROC is only for a company / LLP; ","")&amp;IF(AND(AA23="Yes",OR(AQ23="company",AQ23="llp"),TRIM(I23)=""),"ROC needs the CIN / LLPIN; ","")</f>
        <v/>
      </c>
    </row>
    <row r="24">
      <c r="A24" s="30" t="n"/>
      <c r="B24" s="31" t="n"/>
      <c r="C24" s="31" t="n"/>
      <c r="D24" s="31" t="n"/>
      <c r="E24" s="30" t="n"/>
      <c r="F24" s="30" t="n"/>
      <c r="G24" s="30" t="n"/>
      <c r="H24" s="30" t="n"/>
      <c r="I24" s="30" t="n"/>
      <c r="J24" s="32" t="n"/>
      <c r="K24" s="31" t="n"/>
      <c r="L24" s="30" t="n"/>
      <c r="M24" s="31" t="n"/>
      <c r="N24" s="31" t="n"/>
      <c r="O24" s="31" t="n"/>
      <c r="P24" s="30" t="n"/>
      <c r="Q24" s="31" t="n"/>
      <c r="R24" s="31" t="n"/>
      <c r="S24" s="31" t="n"/>
      <c r="T24" s="31" t="n"/>
      <c r="U24" s="30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27">
        <f>IF(NOT(COUNTA(A24:AE24)&gt;0),"",IF(A24="","New client","Update"))</f>
        <v/>
      </c>
      <c r="AG24" s="27">
        <f>IF(AO24&lt;&gt;"",AO24,IF(LEN(AN24)=15,MID(AN24,3,10),""))</f>
        <v/>
      </c>
      <c r="AH24" s="27">
        <f>IF(AP24="","",AP24&amp;IF(D24="","  (guessed from PAN)",""))</f>
        <v/>
      </c>
      <c r="AI24" s="27">
        <f>IF(AN24="","",IFERROR(INDEX(Lists!$L$2:$L$38,MATCH(LEFT(AN24,2),Lists!$K$2:$K$38,0)),"Unknown code"))</f>
        <v/>
      </c>
      <c r="AJ24" s="27">
        <f>IF(AN24="","",IFERROR(IF(NOT(AND(LEN(AN24)=15,ISNUMBER(MATCH(LEFT(AN24,2),Lists!$K$2:$K$38,0)),SUMPRODUCT(--ISERROR(FIND(MID(MID(AN24,3,10),{1,2,3,4,5,10},1),"ABCDEFGHIJKLMNOPQRSTUVWXYZ")))=0,SUMPRODUCT(--ISERROR(FIND(MID(MID(AN24,3,10),{6,7,8,9},1),"0123456789")))=0,ISNUMBER(FIND(MID(AN24,13,1),"123456789ABCDEFGHIJKLMNOPQRSTUVWXYZ")),MID(AN24,14,1)="Z")),"Wrong format",IF(MID("0123456789ABCDEFGHIJKLMNOPQRSTUVWXYZ",MOD(36-MOD(SUMPRODUCT(INT((FIND(MID(AN24,{1,2,3,4,5,6,7,8,9,10,11,12,13,14},1),"0123456789ABCDEFGHIJKLMNOPQRSTUVWXYZ")-1)*{1,2,1,2,1,2,1,2,1,2,1,2,1,2}/36)+MOD((FIND(MID(AN24,{1,2,3,4,5,6,7,8,9,10,11,12,13,14},1),"0123456789ABCDEFGHIJKLMNOPQRSTUVWXYZ")-1)*{1,2,1,2,1,2,1,2,1,2,1,2,1,2},36)),36),36)+1,1)=MID(AN24,15,1),"OK","Typo? check digit wrong")),"Wrong format"))</f>
        <v/>
      </c>
      <c r="AK24" s="27">
        <f>IF(AO24="","",IF(AND(LEN(AO24)=10,SUMPRODUCT(--ISERROR(FIND(MID(AO24,{1,2,3,4,5,10},1),"ABCDEFGHIJKLMNOPQRSTUVWXYZ")))=0,SUMPRODUCT(--ISERROR(FIND(MID(AO24,{6,7,8,9},1),"0123456789")))=0),"OK","Wrong format"))</f>
        <v/>
      </c>
      <c r="AL24" s="27">
        <f>IF(TRIM(H24)="","",IF(AND(LEN(UPPER(TRIM(H24)))=10,SUMPRODUCT(--ISERROR(FIND(MID(UPPER(TRIM(H24)),{1,2,3,4,10},1),"ABCDEFGHIJKLMNOPQRSTUVWXYZ")))=0,SUMPRODUCT(--ISERROR(FIND(MID(UPPER(TRIM(H24)),{5,6,7,8,9},1),"0123456789")))=0),"OK","Wrong format"))</f>
        <v/>
      </c>
      <c r="AM24" s="28">
        <f>IF(NOT(COUNTA(A24:AE24)&gt;0),"",IF(AS24&lt;&gt;"","✖ "&amp;LEFT(AS24,LEN(AS24)-2),IF(AR24&gt;0,"✔ Ready — client + "&amp;AR24&amp;" service(s)","✔ Ready — client only")))</f>
        <v/>
      </c>
      <c r="AN24" s="29">
        <f>UPPER(SUBSTITUTE(TRIM(F24)," ",""))</f>
        <v/>
      </c>
      <c r="AO24" s="29">
        <f>UPPER(SUBSTITUTE(TRIM(E24)," ",""))</f>
        <v/>
      </c>
      <c r="AP24" s="29">
        <f>IF(D24&lt;&gt;"",D24,IFERROR(VLOOKUP(MID(AG24,4,1),Lists!$E$2:$F$8,2,FALSE),""))</f>
        <v/>
      </c>
      <c r="AQ24" s="29">
        <f>IFERROR(VLOOKUP(AP24,Lists!$A$2:$C$12,3,FALSE),"")</f>
        <v/>
      </c>
      <c r="AR24" s="29">
        <f>COUNTIF(W24:AC24,"Yes")</f>
        <v/>
      </c>
      <c r="AS24" s="29">
        <f>IF(TRIM(B24)="","Legal name missing; ","")&amp;IF(AND(AJ24&lt;&gt;"",AJ24&lt;&gt;"OK"),"GSTIN: "&amp;AJ24&amp;"; ","")&amp;IF(AND(AK24&lt;&gt;"",AK24&lt;&gt;"OK"),"PAN wrong format; ","")&amp;IF(AND(AO24&lt;&gt;"",LEN(AN24)=15,MID(AN24,3,10)&lt;&gt;AO24),"PAN does not match GSTIN; ","")&amp;IF(AND(AL24&lt;&gt;"",AL24&lt;&gt;"OK"),"TAN wrong format; ","")&amp;IF(AG24="","PAN missing; ","")&amp;IF(AP24="","Entity type missing; ","")&amp;IF(AND(AN24&lt;&gt;"",COUNTIF($AN$6:$AN$1005,AN24)&gt;1),"GSTIN repeated in this sheet; ","")&amp;IF(AND(AG24&lt;&gt;"",COUNTIF($AG$6:$AG$1005,AG24)&gt;1),"PAN repeated in this sheet (same client? put extra GSTINs in Other GSTINs); ","")&amp;IF(AND(AR24&gt;0,V24=""),"Financial year missing; ","")&amp;IF(AND(AR24=0,V24&lt;&gt;""),"Financial year given but no service is Yes; ","")&amp;IF(AND(W24="Yes",AN24=""),"GST needs a GSTIN; ","")&amp;IF(AND(W24="Yes",X24=""),"GST return frequency missing; ","")&amp;IF(AND(Y24="Yes",TRIM(H24)=""),"TDS needs a TAN; ","")&amp;IF(AND(AA24="Yes",AQ24&lt;&gt;"",AQ24&lt;&gt;"company",AQ24&lt;&gt;"llp"),"ROC is only for a company / LLP; ","")&amp;IF(AND(AA24="Yes",OR(AQ24="company",AQ24="llp"),TRIM(I24)=""),"ROC needs the CIN / LLPIN; ","")</f>
        <v/>
      </c>
    </row>
    <row r="25">
      <c r="A25" s="30" t="n"/>
      <c r="B25" s="31" t="n"/>
      <c r="C25" s="31" t="n"/>
      <c r="D25" s="31" t="n"/>
      <c r="E25" s="30" t="n"/>
      <c r="F25" s="30" t="n"/>
      <c r="G25" s="30" t="n"/>
      <c r="H25" s="30" t="n"/>
      <c r="I25" s="30" t="n"/>
      <c r="J25" s="32" t="n"/>
      <c r="K25" s="31" t="n"/>
      <c r="L25" s="30" t="n"/>
      <c r="M25" s="31" t="n"/>
      <c r="N25" s="31" t="n"/>
      <c r="O25" s="31" t="n"/>
      <c r="P25" s="30" t="n"/>
      <c r="Q25" s="31" t="n"/>
      <c r="R25" s="31" t="n"/>
      <c r="S25" s="31" t="n"/>
      <c r="T25" s="31" t="n"/>
      <c r="U25" s="30" t="n"/>
      <c r="V25" s="31" t="n"/>
      <c r="W25" s="31" t="n"/>
      <c r="X25" s="31" t="n"/>
      <c r="Y25" s="31" t="n"/>
      <c r="Z25" s="31" t="n"/>
      <c r="AA25" s="31" t="n"/>
      <c r="AB25" s="31" t="n"/>
      <c r="AC25" s="31" t="n"/>
      <c r="AD25" s="31" t="n"/>
      <c r="AE25" s="31" t="n"/>
      <c r="AF25" s="27">
        <f>IF(NOT(COUNTA(A25:AE25)&gt;0),"",IF(A25="","New client","Update"))</f>
        <v/>
      </c>
      <c r="AG25" s="27">
        <f>IF(AO25&lt;&gt;"",AO25,IF(LEN(AN25)=15,MID(AN25,3,10),""))</f>
        <v/>
      </c>
      <c r="AH25" s="27">
        <f>IF(AP25="","",AP25&amp;IF(D25="","  (guessed from PAN)",""))</f>
        <v/>
      </c>
      <c r="AI25" s="27">
        <f>IF(AN25="","",IFERROR(INDEX(Lists!$L$2:$L$38,MATCH(LEFT(AN25,2),Lists!$K$2:$K$38,0)),"Unknown code"))</f>
        <v/>
      </c>
      <c r="AJ25" s="27">
        <f>IF(AN25="","",IFERROR(IF(NOT(AND(LEN(AN25)=15,ISNUMBER(MATCH(LEFT(AN25,2),Lists!$K$2:$K$38,0)),SUMPRODUCT(--ISERROR(FIND(MID(MID(AN25,3,10),{1,2,3,4,5,10},1),"ABCDEFGHIJKLMNOPQRSTUVWXYZ")))=0,SUMPRODUCT(--ISERROR(FIND(MID(MID(AN25,3,10),{6,7,8,9},1),"0123456789")))=0,ISNUMBER(FIND(MID(AN25,13,1),"123456789ABCDEFGHIJKLMNOPQRSTUVWXYZ")),MID(AN25,14,1)="Z")),"Wrong format",IF(MID("0123456789ABCDEFGHIJKLMNOPQRSTUVWXYZ",MOD(36-MOD(SUMPRODUCT(INT((FIND(MID(AN25,{1,2,3,4,5,6,7,8,9,10,11,12,13,14},1),"0123456789ABCDEFGHIJKLMNOPQRSTUVWXYZ")-1)*{1,2,1,2,1,2,1,2,1,2,1,2,1,2}/36)+MOD((FIND(MID(AN25,{1,2,3,4,5,6,7,8,9,10,11,12,13,14},1),"0123456789ABCDEFGHIJKLMNOPQRSTUVWXYZ")-1)*{1,2,1,2,1,2,1,2,1,2,1,2,1,2},36)),36),36)+1,1)=MID(AN25,15,1),"OK","Typo? check digit wrong")),"Wrong format"))</f>
        <v/>
      </c>
      <c r="AK25" s="27">
        <f>IF(AO25="","",IF(AND(LEN(AO25)=10,SUMPRODUCT(--ISERROR(FIND(MID(AO25,{1,2,3,4,5,10},1),"ABCDEFGHIJKLMNOPQRSTUVWXYZ")))=0,SUMPRODUCT(--ISERROR(FIND(MID(AO25,{6,7,8,9},1),"0123456789")))=0),"OK","Wrong format"))</f>
        <v/>
      </c>
      <c r="AL25" s="27">
        <f>IF(TRIM(H25)="","",IF(AND(LEN(UPPER(TRIM(H25)))=10,SUMPRODUCT(--ISERROR(FIND(MID(UPPER(TRIM(H25)),{1,2,3,4,10},1),"ABCDEFGHIJKLMNOPQRSTUVWXYZ")))=0,SUMPRODUCT(--ISERROR(FIND(MID(UPPER(TRIM(H25)),{5,6,7,8,9},1),"0123456789")))=0),"OK","Wrong format"))</f>
        <v/>
      </c>
      <c r="AM25" s="28">
        <f>IF(NOT(COUNTA(A25:AE25)&gt;0),"",IF(AS25&lt;&gt;"","✖ "&amp;LEFT(AS25,LEN(AS25)-2),IF(AR25&gt;0,"✔ Ready — client + "&amp;AR25&amp;" service(s)","✔ Ready — client only")))</f>
        <v/>
      </c>
      <c r="AN25" s="29">
        <f>UPPER(SUBSTITUTE(TRIM(F25)," ",""))</f>
        <v/>
      </c>
      <c r="AO25" s="29">
        <f>UPPER(SUBSTITUTE(TRIM(E25)," ",""))</f>
        <v/>
      </c>
      <c r="AP25" s="29">
        <f>IF(D25&lt;&gt;"",D25,IFERROR(VLOOKUP(MID(AG25,4,1),Lists!$E$2:$F$8,2,FALSE),""))</f>
        <v/>
      </c>
      <c r="AQ25" s="29">
        <f>IFERROR(VLOOKUP(AP25,Lists!$A$2:$C$12,3,FALSE),"")</f>
        <v/>
      </c>
      <c r="AR25" s="29">
        <f>COUNTIF(W25:AC25,"Yes")</f>
        <v/>
      </c>
      <c r="AS25" s="29">
        <f>IF(TRIM(B25)="","Legal name missing; ","")&amp;IF(AND(AJ25&lt;&gt;"",AJ25&lt;&gt;"OK"),"GSTIN: "&amp;AJ25&amp;"; ","")&amp;IF(AND(AK25&lt;&gt;"",AK25&lt;&gt;"OK"),"PAN wrong format; ","")&amp;IF(AND(AO25&lt;&gt;"",LEN(AN25)=15,MID(AN25,3,10)&lt;&gt;AO25),"PAN does not match GSTIN; ","")&amp;IF(AND(AL25&lt;&gt;"",AL25&lt;&gt;"OK"),"TAN wrong format; ","")&amp;IF(AG25="","PAN missing; ","")&amp;IF(AP25="","Entity type missing; ","")&amp;IF(AND(AN25&lt;&gt;"",COUNTIF($AN$6:$AN$1005,AN25)&gt;1),"GSTIN repeated in this sheet; ","")&amp;IF(AND(AG25&lt;&gt;"",COUNTIF($AG$6:$AG$1005,AG25)&gt;1),"PAN repeated in this sheet (same client? put extra GSTINs in Other GSTINs); ","")&amp;IF(AND(AR25&gt;0,V25=""),"Financial year missing; ","")&amp;IF(AND(AR25=0,V25&lt;&gt;""),"Financial year given but no service is Yes; ","")&amp;IF(AND(W25="Yes",AN25=""),"GST needs a GSTIN; ","")&amp;IF(AND(W25="Yes",X25=""),"GST return frequency missing; ","")&amp;IF(AND(Y25="Yes",TRIM(H25)=""),"TDS needs a TAN; ","")&amp;IF(AND(AA25="Yes",AQ25&lt;&gt;"",AQ25&lt;&gt;"company",AQ25&lt;&gt;"llp"),"ROC is only for a company / LLP; ","")&amp;IF(AND(AA25="Yes",OR(AQ25="company",AQ25="llp"),TRIM(I25)=""),"ROC needs the CIN / LLPIN; ","")</f>
        <v/>
      </c>
    </row>
    <row r="26">
      <c r="A26" s="30" t="n"/>
      <c r="B26" s="31" t="n"/>
      <c r="C26" s="31" t="n"/>
      <c r="D26" s="31" t="n"/>
      <c r="E26" s="30" t="n"/>
      <c r="F26" s="30" t="n"/>
      <c r="G26" s="30" t="n"/>
      <c r="H26" s="30" t="n"/>
      <c r="I26" s="30" t="n"/>
      <c r="J26" s="32" t="n"/>
      <c r="K26" s="31" t="n"/>
      <c r="L26" s="30" t="n"/>
      <c r="M26" s="31" t="n"/>
      <c r="N26" s="31" t="n"/>
      <c r="O26" s="31" t="n"/>
      <c r="P26" s="30" t="n"/>
      <c r="Q26" s="31" t="n"/>
      <c r="R26" s="31" t="n"/>
      <c r="S26" s="31" t="n"/>
      <c r="T26" s="31" t="n"/>
      <c r="U26" s="30" t="n"/>
      <c r="V26" s="31" t="n"/>
      <c r="W26" s="31" t="n"/>
      <c r="X26" s="31" t="n"/>
      <c r="Y26" s="31" t="n"/>
      <c r="Z26" s="31" t="n"/>
      <c r="AA26" s="31" t="n"/>
      <c r="AB26" s="31" t="n"/>
      <c r="AC26" s="31" t="n"/>
      <c r="AD26" s="31" t="n"/>
      <c r="AE26" s="31" t="n"/>
      <c r="AF26" s="27">
        <f>IF(NOT(COUNTA(A26:AE26)&gt;0),"",IF(A26="","New client","Update"))</f>
        <v/>
      </c>
      <c r="AG26" s="27">
        <f>IF(AO26&lt;&gt;"",AO26,IF(LEN(AN26)=15,MID(AN26,3,10),""))</f>
        <v/>
      </c>
      <c r="AH26" s="27">
        <f>IF(AP26="","",AP26&amp;IF(D26="","  (guessed from PAN)",""))</f>
        <v/>
      </c>
      <c r="AI26" s="27">
        <f>IF(AN26="","",IFERROR(INDEX(Lists!$L$2:$L$38,MATCH(LEFT(AN26,2),Lists!$K$2:$K$38,0)),"Unknown code"))</f>
        <v/>
      </c>
      <c r="AJ26" s="27">
        <f>IF(AN26="","",IFERROR(IF(NOT(AND(LEN(AN26)=15,ISNUMBER(MATCH(LEFT(AN26,2),Lists!$K$2:$K$38,0)),SUMPRODUCT(--ISERROR(FIND(MID(MID(AN26,3,10),{1,2,3,4,5,10},1),"ABCDEFGHIJKLMNOPQRSTUVWXYZ")))=0,SUMPRODUCT(--ISERROR(FIND(MID(MID(AN26,3,10),{6,7,8,9},1),"0123456789")))=0,ISNUMBER(FIND(MID(AN26,13,1),"123456789ABCDEFGHIJKLMNOPQRSTUVWXYZ")),MID(AN26,14,1)="Z")),"Wrong format",IF(MID("0123456789ABCDEFGHIJKLMNOPQRSTUVWXYZ",MOD(36-MOD(SUMPRODUCT(INT((FIND(MID(AN26,{1,2,3,4,5,6,7,8,9,10,11,12,13,14},1),"0123456789ABCDEFGHIJKLMNOPQRSTUVWXYZ")-1)*{1,2,1,2,1,2,1,2,1,2,1,2,1,2}/36)+MOD((FIND(MID(AN26,{1,2,3,4,5,6,7,8,9,10,11,12,13,14},1),"0123456789ABCDEFGHIJKLMNOPQRSTUVWXYZ")-1)*{1,2,1,2,1,2,1,2,1,2,1,2,1,2},36)),36),36)+1,1)=MID(AN26,15,1),"OK","Typo? check digit wrong")),"Wrong format"))</f>
        <v/>
      </c>
      <c r="AK26" s="27">
        <f>IF(AO26="","",IF(AND(LEN(AO26)=10,SUMPRODUCT(--ISERROR(FIND(MID(AO26,{1,2,3,4,5,10},1),"ABCDEFGHIJKLMNOPQRSTUVWXYZ")))=0,SUMPRODUCT(--ISERROR(FIND(MID(AO26,{6,7,8,9},1),"0123456789")))=0),"OK","Wrong format"))</f>
        <v/>
      </c>
      <c r="AL26" s="27">
        <f>IF(TRIM(H26)="","",IF(AND(LEN(UPPER(TRIM(H26)))=10,SUMPRODUCT(--ISERROR(FIND(MID(UPPER(TRIM(H26)),{1,2,3,4,10},1),"ABCDEFGHIJKLMNOPQRSTUVWXYZ")))=0,SUMPRODUCT(--ISERROR(FIND(MID(UPPER(TRIM(H26)),{5,6,7,8,9},1),"0123456789")))=0),"OK","Wrong format"))</f>
        <v/>
      </c>
      <c r="AM26" s="28">
        <f>IF(NOT(COUNTA(A26:AE26)&gt;0),"",IF(AS26&lt;&gt;"","✖ "&amp;LEFT(AS26,LEN(AS26)-2),IF(AR26&gt;0,"✔ Ready — client + "&amp;AR26&amp;" service(s)","✔ Ready — client only")))</f>
        <v/>
      </c>
      <c r="AN26" s="29">
        <f>UPPER(SUBSTITUTE(TRIM(F26)," ",""))</f>
        <v/>
      </c>
      <c r="AO26" s="29">
        <f>UPPER(SUBSTITUTE(TRIM(E26)," ",""))</f>
        <v/>
      </c>
      <c r="AP26" s="29">
        <f>IF(D26&lt;&gt;"",D26,IFERROR(VLOOKUP(MID(AG26,4,1),Lists!$E$2:$F$8,2,FALSE),""))</f>
        <v/>
      </c>
      <c r="AQ26" s="29">
        <f>IFERROR(VLOOKUP(AP26,Lists!$A$2:$C$12,3,FALSE),"")</f>
        <v/>
      </c>
      <c r="AR26" s="29">
        <f>COUNTIF(W26:AC26,"Yes")</f>
        <v/>
      </c>
      <c r="AS26" s="29">
        <f>IF(TRIM(B26)="","Legal name missing; ","")&amp;IF(AND(AJ26&lt;&gt;"",AJ26&lt;&gt;"OK"),"GSTIN: "&amp;AJ26&amp;"; ","")&amp;IF(AND(AK26&lt;&gt;"",AK26&lt;&gt;"OK"),"PAN wrong format; ","")&amp;IF(AND(AO26&lt;&gt;"",LEN(AN26)=15,MID(AN26,3,10)&lt;&gt;AO26),"PAN does not match GSTIN; ","")&amp;IF(AND(AL26&lt;&gt;"",AL26&lt;&gt;"OK"),"TAN wrong format; ","")&amp;IF(AG26="","PAN missing; ","")&amp;IF(AP26="","Entity type missing; ","")&amp;IF(AND(AN26&lt;&gt;"",COUNTIF($AN$6:$AN$1005,AN26)&gt;1),"GSTIN repeated in this sheet; ","")&amp;IF(AND(AG26&lt;&gt;"",COUNTIF($AG$6:$AG$1005,AG26)&gt;1),"PAN repeated in this sheet (same client? put extra GSTINs in Other GSTINs); ","")&amp;IF(AND(AR26&gt;0,V26=""),"Financial year missing; ","")&amp;IF(AND(AR26=0,V26&lt;&gt;""),"Financial year given but no service is Yes; ","")&amp;IF(AND(W26="Yes",AN26=""),"GST needs a GSTIN; ","")&amp;IF(AND(W26="Yes",X26=""),"GST return frequency missing; ","")&amp;IF(AND(Y26="Yes",TRIM(H26)=""),"TDS needs a TAN; ","")&amp;IF(AND(AA26="Yes",AQ26&lt;&gt;"",AQ26&lt;&gt;"company",AQ26&lt;&gt;"llp"),"ROC is only for a company / LLP; ","")&amp;IF(AND(AA26="Yes",OR(AQ26="company",AQ26="llp"),TRIM(I26)=""),"ROC needs the CIN / LLPIN; ","")</f>
        <v/>
      </c>
    </row>
    <row r="27">
      <c r="A27" s="30" t="n"/>
      <c r="B27" s="31" t="n"/>
      <c r="C27" s="31" t="n"/>
      <c r="D27" s="31" t="n"/>
      <c r="E27" s="30" t="n"/>
      <c r="F27" s="30" t="n"/>
      <c r="G27" s="30" t="n"/>
      <c r="H27" s="30" t="n"/>
      <c r="I27" s="30" t="n"/>
      <c r="J27" s="32" t="n"/>
      <c r="K27" s="31" t="n"/>
      <c r="L27" s="30" t="n"/>
      <c r="M27" s="31" t="n"/>
      <c r="N27" s="31" t="n"/>
      <c r="O27" s="31" t="n"/>
      <c r="P27" s="30" t="n"/>
      <c r="Q27" s="31" t="n"/>
      <c r="R27" s="31" t="n"/>
      <c r="S27" s="31" t="n"/>
      <c r="T27" s="31" t="n"/>
      <c r="U27" s="30" t="n"/>
      <c r="V27" s="31" t="n"/>
      <c r="W27" s="31" t="n"/>
      <c r="X27" s="31" t="n"/>
      <c r="Y27" s="31" t="n"/>
      <c r="Z27" s="31" t="n"/>
      <c r="AA27" s="31" t="n"/>
      <c r="AB27" s="31" t="n"/>
      <c r="AC27" s="31" t="n"/>
      <c r="AD27" s="31" t="n"/>
      <c r="AE27" s="31" t="n"/>
      <c r="AF27" s="27">
        <f>IF(NOT(COUNTA(A27:AE27)&gt;0),"",IF(A27="","New client","Update"))</f>
        <v/>
      </c>
      <c r="AG27" s="27">
        <f>IF(AO27&lt;&gt;"",AO27,IF(LEN(AN27)=15,MID(AN27,3,10),""))</f>
        <v/>
      </c>
      <c r="AH27" s="27">
        <f>IF(AP27="","",AP27&amp;IF(D27="","  (guessed from PAN)",""))</f>
        <v/>
      </c>
      <c r="AI27" s="27">
        <f>IF(AN27="","",IFERROR(INDEX(Lists!$L$2:$L$38,MATCH(LEFT(AN27,2),Lists!$K$2:$K$38,0)),"Unknown code"))</f>
        <v/>
      </c>
      <c r="AJ27" s="27">
        <f>IF(AN27="","",IFERROR(IF(NOT(AND(LEN(AN27)=15,ISNUMBER(MATCH(LEFT(AN27,2),Lists!$K$2:$K$38,0)),SUMPRODUCT(--ISERROR(FIND(MID(MID(AN27,3,10),{1,2,3,4,5,10},1),"ABCDEFGHIJKLMNOPQRSTUVWXYZ")))=0,SUMPRODUCT(--ISERROR(FIND(MID(MID(AN27,3,10),{6,7,8,9},1),"0123456789")))=0,ISNUMBER(FIND(MID(AN27,13,1),"123456789ABCDEFGHIJKLMNOPQRSTUVWXYZ")),MID(AN27,14,1)="Z")),"Wrong format",IF(MID("0123456789ABCDEFGHIJKLMNOPQRSTUVWXYZ",MOD(36-MOD(SUMPRODUCT(INT((FIND(MID(AN27,{1,2,3,4,5,6,7,8,9,10,11,12,13,14},1),"0123456789ABCDEFGHIJKLMNOPQRSTUVWXYZ")-1)*{1,2,1,2,1,2,1,2,1,2,1,2,1,2}/36)+MOD((FIND(MID(AN27,{1,2,3,4,5,6,7,8,9,10,11,12,13,14},1),"0123456789ABCDEFGHIJKLMNOPQRSTUVWXYZ")-1)*{1,2,1,2,1,2,1,2,1,2,1,2,1,2},36)),36),36)+1,1)=MID(AN27,15,1),"OK","Typo? check digit wrong")),"Wrong format"))</f>
        <v/>
      </c>
      <c r="AK27" s="27">
        <f>IF(AO27="","",IF(AND(LEN(AO27)=10,SUMPRODUCT(--ISERROR(FIND(MID(AO27,{1,2,3,4,5,10},1),"ABCDEFGHIJKLMNOPQRSTUVWXYZ")))=0,SUMPRODUCT(--ISERROR(FIND(MID(AO27,{6,7,8,9},1),"0123456789")))=0),"OK","Wrong format"))</f>
        <v/>
      </c>
      <c r="AL27" s="27">
        <f>IF(TRIM(H27)="","",IF(AND(LEN(UPPER(TRIM(H27)))=10,SUMPRODUCT(--ISERROR(FIND(MID(UPPER(TRIM(H27)),{1,2,3,4,10},1),"ABCDEFGHIJKLMNOPQRSTUVWXYZ")))=0,SUMPRODUCT(--ISERROR(FIND(MID(UPPER(TRIM(H27)),{5,6,7,8,9},1),"0123456789")))=0),"OK","Wrong format"))</f>
        <v/>
      </c>
      <c r="AM27" s="28">
        <f>IF(NOT(COUNTA(A27:AE27)&gt;0),"",IF(AS27&lt;&gt;"","✖ "&amp;LEFT(AS27,LEN(AS27)-2),IF(AR27&gt;0,"✔ Ready — client + "&amp;AR27&amp;" service(s)","✔ Ready — client only")))</f>
        <v/>
      </c>
      <c r="AN27" s="29">
        <f>UPPER(SUBSTITUTE(TRIM(F27)," ",""))</f>
        <v/>
      </c>
      <c r="AO27" s="29">
        <f>UPPER(SUBSTITUTE(TRIM(E27)," ",""))</f>
        <v/>
      </c>
      <c r="AP27" s="29">
        <f>IF(D27&lt;&gt;"",D27,IFERROR(VLOOKUP(MID(AG27,4,1),Lists!$E$2:$F$8,2,FALSE),""))</f>
        <v/>
      </c>
      <c r="AQ27" s="29">
        <f>IFERROR(VLOOKUP(AP27,Lists!$A$2:$C$12,3,FALSE),"")</f>
        <v/>
      </c>
      <c r="AR27" s="29">
        <f>COUNTIF(W27:AC27,"Yes")</f>
        <v/>
      </c>
      <c r="AS27" s="29">
        <f>IF(TRIM(B27)="","Legal name missing; ","")&amp;IF(AND(AJ27&lt;&gt;"",AJ27&lt;&gt;"OK"),"GSTIN: "&amp;AJ27&amp;"; ","")&amp;IF(AND(AK27&lt;&gt;"",AK27&lt;&gt;"OK"),"PAN wrong format; ","")&amp;IF(AND(AO27&lt;&gt;"",LEN(AN27)=15,MID(AN27,3,10)&lt;&gt;AO27),"PAN does not match GSTIN; ","")&amp;IF(AND(AL27&lt;&gt;"",AL27&lt;&gt;"OK"),"TAN wrong format; ","")&amp;IF(AG27="","PAN missing; ","")&amp;IF(AP27="","Entity type missing; ","")&amp;IF(AND(AN27&lt;&gt;"",COUNTIF($AN$6:$AN$1005,AN27)&gt;1),"GSTIN repeated in this sheet; ","")&amp;IF(AND(AG27&lt;&gt;"",COUNTIF($AG$6:$AG$1005,AG27)&gt;1),"PAN repeated in this sheet (same client? put extra GSTINs in Other GSTINs); ","")&amp;IF(AND(AR27&gt;0,V27=""),"Financial year missing; ","")&amp;IF(AND(AR27=0,V27&lt;&gt;""),"Financial year given but no service is Yes; ","")&amp;IF(AND(W27="Yes",AN27=""),"GST needs a GSTIN; ","")&amp;IF(AND(W27="Yes",X27=""),"GST return frequency missing; ","")&amp;IF(AND(Y27="Yes",TRIM(H27)=""),"TDS needs a TAN; ","")&amp;IF(AND(AA27="Yes",AQ27&lt;&gt;"",AQ27&lt;&gt;"company",AQ27&lt;&gt;"llp"),"ROC is only for a company / LLP; ","")&amp;IF(AND(AA27="Yes",OR(AQ27="company",AQ27="llp"),TRIM(I27)=""),"ROC needs the CIN / LLPIN; ","")</f>
        <v/>
      </c>
    </row>
    <row r="28">
      <c r="A28" s="30" t="n"/>
      <c r="B28" s="31" t="n"/>
      <c r="C28" s="31" t="n"/>
      <c r="D28" s="31" t="n"/>
      <c r="E28" s="30" t="n"/>
      <c r="F28" s="30" t="n"/>
      <c r="G28" s="30" t="n"/>
      <c r="H28" s="30" t="n"/>
      <c r="I28" s="30" t="n"/>
      <c r="J28" s="32" t="n"/>
      <c r="K28" s="31" t="n"/>
      <c r="L28" s="30" t="n"/>
      <c r="M28" s="31" t="n"/>
      <c r="N28" s="31" t="n"/>
      <c r="O28" s="31" t="n"/>
      <c r="P28" s="30" t="n"/>
      <c r="Q28" s="31" t="n"/>
      <c r="R28" s="31" t="n"/>
      <c r="S28" s="31" t="n"/>
      <c r="T28" s="31" t="n"/>
      <c r="U28" s="30" t="n"/>
      <c r="V28" s="31" t="n"/>
      <c r="W28" s="31" t="n"/>
      <c r="X28" s="31" t="n"/>
      <c r="Y28" s="31" t="n"/>
      <c r="Z28" s="31" t="n"/>
      <c r="AA28" s="31" t="n"/>
      <c r="AB28" s="31" t="n"/>
      <c r="AC28" s="31" t="n"/>
      <c r="AD28" s="31" t="n"/>
      <c r="AE28" s="31" t="n"/>
      <c r="AF28" s="27">
        <f>IF(NOT(COUNTA(A28:AE28)&gt;0),"",IF(A28="","New client","Update"))</f>
        <v/>
      </c>
      <c r="AG28" s="27">
        <f>IF(AO28&lt;&gt;"",AO28,IF(LEN(AN28)=15,MID(AN28,3,10),""))</f>
        <v/>
      </c>
      <c r="AH28" s="27">
        <f>IF(AP28="","",AP28&amp;IF(D28="","  (guessed from PAN)",""))</f>
        <v/>
      </c>
      <c r="AI28" s="27">
        <f>IF(AN28="","",IFERROR(INDEX(Lists!$L$2:$L$38,MATCH(LEFT(AN28,2),Lists!$K$2:$K$38,0)),"Unknown code"))</f>
        <v/>
      </c>
      <c r="AJ28" s="27">
        <f>IF(AN28="","",IFERROR(IF(NOT(AND(LEN(AN28)=15,ISNUMBER(MATCH(LEFT(AN28,2),Lists!$K$2:$K$38,0)),SUMPRODUCT(--ISERROR(FIND(MID(MID(AN28,3,10),{1,2,3,4,5,10},1),"ABCDEFGHIJKLMNOPQRSTUVWXYZ")))=0,SUMPRODUCT(--ISERROR(FIND(MID(MID(AN28,3,10),{6,7,8,9},1),"0123456789")))=0,ISNUMBER(FIND(MID(AN28,13,1),"123456789ABCDEFGHIJKLMNOPQRSTUVWXYZ")),MID(AN28,14,1)="Z")),"Wrong format",IF(MID("0123456789ABCDEFGHIJKLMNOPQRSTUVWXYZ",MOD(36-MOD(SUMPRODUCT(INT((FIND(MID(AN28,{1,2,3,4,5,6,7,8,9,10,11,12,13,14},1),"0123456789ABCDEFGHIJKLMNOPQRSTUVWXYZ")-1)*{1,2,1,2,1,2,1,2,1,2,1,2,1,2}/36)+MOD((FIND(MID(AN28,{1,2,3,4,5,6,7,8,9,10,11,12,13,14},1),"0123456789ABCDEFGHIJKLMNOPQRSTUVWXYZ")-1)*{1,2,1,2,1,2,1,2,1,2,1,2,1,2},36)),36),36)+1,1)=MID(AN28,15,1),"OK","Typo? check digit wrong")),"Wrong format"))</f>
        <v/>
      </c>
      <c r="AK28" s="27">
        <f>IF(AO28="","",IF(AND(LEN(AO28)=10,SUMPRODUCT(--ISERROR(FIND(MID(AO28,{1,2,3,4,5,10},1),"ABCDEFGHIJKLMNOPQRSTUVWXYZ")))=0,SUMPRODUCT(--ISERROR(FIND(MID(AO28,{6,7,8,9},1),"0123456789")))=0),"OK","Wrong format"))</f>
        <v/>
      </c>
      <c r="AL28" s="27">
        <f>IF(TRIM(H28)="","",IF(AND(LEN(UPPER(TRIM(H28)))=10,SUMPRODUCT(--ISERROR(FIND(MID(UPPER(TRIM(H28)),{1,2,3,4,10},1),"ABCDEFGHIJKLMNOPQRSTUVWXYZ")))=0,SUMPRODUCT(--ISERROR(FIND(MID(UPPER(TRIM(H28)),{5,6,7,8,9},1),"0123456789")))=0),"OK","Wrong format"))</f>
        <v/>
      </c>
      <c r="AM28" s="28">
        <f>IF(NOT(COUNTA(A28:AE28)&gt;0),"",IF(AS28&lt;&gt;"","✖ "&amp;LEFT(AS28,LEN(AS28)-2),IF(AR28&gt;0,"✔ Ready — client + "&amp;AR28&amp;" service(s)","✔ Ready — client only")))</f>
        <v/>
      </c>
      <c r="AN28" s="29">
        <f>UPPER(SUBSTITUTE(TRIM(F28)," ",""))</f>
        <v/>
      </c>
      <c r="AO28" s="29">
        <f>UPPER(SUBSTITUTE(TRIM(E28)," ",""))</f>
        <v/>
      </c>
      <c r="AP28" s="29">
        <f>IF(D28&lt;&gt;"",D28,IFERROR(VLOOKUP(MID(AG28,4,1),Lists!$E$2:$F$8,2,FALSE),""))</f>
        <v/>
      </c>
      <c r="AQ28" s="29">
        <f>IFERROR(VLOOKUP(AP28,Lists!$A$2:$C$12,3,FALSE),"")</f>
        <v/>
      </c>
      <c r="AR28" s="29">
        <f>COUNTIF(W28:AC28,"Yes")</f>
        <v/>
      </c>
      <c r="AS28" s="29">
        <f>IF(TRIM(B28)="","Legal name missing; ","")&amp;IF(AND(AJ28&lt;&gt;"",AJ28&lt;&gt;"OK"),"GSTIN: "&amp;AJ28&amp;"; ","")&amp;IF(AND(AK28&lt;&gt;"",AK28&lt;&gt;"OK"),"PAN wrong format; ","")&amp;IF(AND(AO28&lt;&gt;"",LEN(AN28)=15,MID(AN28,3,10)&lt;&gt;AO28),"PAN does not match GSTIN; ","")&amp;IF(AND(AL28&lt;&gt;"",AL28&lt;&gt;"OK"),"TAN wrong format; ","")&amp;IF(AG28="","PAN missing; ","")&amp;IF(AP28="","Entity type missing; ","")&amp;IF(AND(AN28&lt;&gt;"",COUNTIF($AN$6:$AN$1005,AN28)&gt;1),"GSTIN repeated in this sheet; ","")&amp;IF(AND(AG28&lt;&gt;"",COUNTIF($AG$6:$AG$1005,AG28)&gt;1),"PAN repeated in this sheet (same client? put extra GSTINs in Other GSTINs); ","")&amp;IF(AND(AR28&gt;0,V28=""),"Financial year missing; ","")&amp;IF(AND(AR28=0,V28&lt;&gt;""),"Financial year given but no service is Yes; ","")&amp;IF(AND(W28="Yes",AN28=""),"GST needs a GSTIN; ","")&amp;IF(AND(W28="Yes",X28=""),"GST return frequency missing; ","")&amp;IF(AND(Y28="Yes",TRIM(H28)=""),"TDS needs a TAN; ","")&amp;IF(AND(AA28="Yes",AQ28&lt;&gt;"",AQ28&lt;&gt;"company",AQ28&lt;&gt;"llp"),"ROC is only for a company / LLP; ","")&amp;IF(AND(AA28="Yes",OR(AQ28="company",AQ28="llp"),TRIM(I28)=""),"ROC needs the CIN / LLPIN; ","")</f>
        <v/>
      </c>
    </row>
    <row r="29">
      <c r="A29" s="30" t="n"/>
      <c r="B29" s="31" t="n"/>
      <c r="C29" s="31" t="n"/>
      <c r="D29" s="31" t="n"/>
      <c r="E29" s="30" t="n"/>
      <c r="F29" s="30" t="n"/>
      <c r="G29" s="30" t="n"/>
      <c r="H29" s="30" t="n"/>
      <c r="I29" s="30" t="n"/>
      <c r="J29" s="32" t="n"/>
      <c r="K29" s="31" t="n"/>
      <c r="L29" s="30" t="n"/>
      <c r="M29" s="31" t="n"/>
      <c r="N29" s="31" t="n"/>
      <c r="O29" s="31" t="n"/>
      <c r="P29" s="30" t="n"/>
      <c r="Q29" s="31" t="n"/>
      <c r="R29" s="31" t="n"/>
      <c r="S29" s="31" t="n"/>
      <c r="T29" s="31" t="n"/>
      <c r="U29" s="30" t="n"/>
      <c r="V29" s="31" t="n"/>
      <c r="W29" s="31" t="n"/>
      <c r="X29" s="31" t="n"/>
      <c r="Y29" s="31" t="n"/>
      <c r="Z29" s="31" t="n"/>
      <c r="AA29" s="31" t="n"/>
      <c r="AB29" s="31" t="n"/>
      <c r="AC29" s="31" t="n"/>
      <c r="AD29" s="31" t="n"/>
      <c r="AE29" s="31" t="n"/>
      <c r="AF29" s="27">
        <f>IF(NOT(COUNTA(A29:AE29)&gt;0),"",IF(A29="","New client","Update"))</f>
        <v/>
      </c>
      <c r="AG29" s="27">
        <f>IF(AO29&lt;&gt;"",AO29,IF(LEN(AN29)=15,MID(AN29,3,10),""))</f>
        <v/>
      </c>
      <c r="AH29" s="27">
        <f>IF(AP29="","",AP29&amp;IF(D29="","  (guessed from PAN)",""))</f>
        <v/>
      </c>
      <c r="AI29" s="27">
        <f>IF(AN29="","",IFERROR(INDEX(Lists!$L$2:$L$38,MATCH(LEFT(AN29,2),Lists!$K$2:$K$38,0)),"Unknown code"))</f>
        <v/>
      </c>
      <c r="AJ29" s="27">
        <f>IF(AN29="","",IFERROR(IF(NOT(AND(LEN(AN29)=15,ISNUMBER(MATCH(LEFT(AN29,2),Lists!$K$2:$K$38,0)),SUMPRODUCT(--ISERROR(FIND(MID(MID(AN29,3,10),{1,2,3,4,5,10},1),"ABCDEFGHIJKLMNOPQRSTUVWXYZ")))=0,SUMPRODUCT(--ISERROR(FIND(MID(MID(AN29,3,10),{6,7,8,9},1),"0123456789")))=0,ISNUMBER(FIND(MID(AN29,13,1),"123456789ABCDEFGHIJKLMNOPQRSTUVWXYZ")),MID(AN29,14,1)="Z")),"Wrong format",IF(MID("0123456789ABCDEFGHIJKLMNOPQRSTUVWXYZ",MOD(36-MOD(SUMPRODUCT(INT((FIND(MID(AN29,{1,2,3,4,5,6,7,8,9,10,11,12,13,14},1),"0123456789ABCDEFGHIJKLMNOPQRSTUVWXYZ")-1)*{1,2,1,2,1,2,1,2,1,2,1,2,1,2}/36)+MOD((FIND(MID(AN29,{1,2,3,4,5,6,7,8,9,10,11,12,13,14},1),"0123456789ABCDEFGHIJKLMNOPQRSTUVWXYZ")-1)*{1,2,1,2,1,2,1,2,1,2,1,2,1,2},36)),36),36)+1,1)=MID(AN29,15,1),"OK","Typo? check digit wrong")),"Wrong format"))</f>
        <v/>
      </c>
      <c r="AK29" s="27">
        <f>IF(AO29="","",IF(AND(LEN(AO29)=10,SUMPRODUCT(--ISERROR(FIND(MID(AO29,{1,2,3,4,5,10},1),"ABCDEFGHIJKLMNOPQRSTUVWXYZ")))=0,SUMPRODUCT(--ISERROR(FIND(MID(AO29,{6,7,8,9},1),"0123456789")))=0),"OK","Wrong format"))</f>
        <v/>
      </c>
      <c r="AL29" s="27">
        <f>IF(TRIM(H29)="","",IF(AND(LEN(UPPER(TRIM(H29)))=10,SUMPRODUCT(--ISERROR(FIND(MID(UPPER(TRIM(H29)),{1,2,3,4,10},1),"ABCDEFGHIJKLMNOPQRSTUVWXYZ")))=0,SUMPRODUCT(--ISERROR(FIND(MID(UPPER(TRIM(H29)),{5,6,7,8,9},1),"0123456789")))=0),"OK","Wrong format"))</f>
        <v/>
      </c>
      <c r="AM29" s="28">
        <f>IF(NOT(COUNTA(A29:AE29)&gt;0),"",IF(AS29&lt;&gt;"","✖ "&amp;LEFT(AS29,LEN(AS29)-2),IF(AR29&gt;0,"✔ Ready — client + "&amp;AR29&amp;" service(s)","✔ Ready — client only")))</f>
        <v/>
      </c>
      <c r="AN29" s="29">
        <f>UPPER(SUBSTITUTE(TRIM(F29)," ",""))</f>
        <v/>
      </c>
      <c r="AO29" s="29">
        <f>UPPER(SUBSTITUTE(TRIM(E29)," ",""))</f>
        <v/>
      </c>
      <c r="AP29" s="29">
        <f>IF(D29&lt;&gt;"",D29,IFERROR(VLOOKUP(MID(AG29,4,1),Lists!$E$2:$F$8,2,FALSE),""))</f>
        <v/>
      </c>
      <c r="AQ29" s="29">
        <f>IFERROR(VLOOKUP(AP29,Lists!$A$2:$C$12,3,FALSE),"")</f>
        <v/>
      </c>
      <c r="AR29" s="29">
        <f>COUNTIF(W29:AC29,"Yes")</f>
        <v/>
      </c>
      <c r="AS29" s="29">
        <f>IF(TRIM(B29)="","Legal name missing; ","")&amp;IF(AND(AJ29&lt;&gt;"",AJ29&lt;&gt;"OK"),"GSTIN: "&amp;AJ29&amp;"; ","")&amp;IF(AND(AK29&lt;&gt;"",AK29&lt;&gt;"OK"),"PAN wrong format; ","")&amp;IF(AND(AO29&lt;&gt;"",LEN(AN29)=15,MID(AN29,3,10)&lt;&gt;AO29),"PAN does not match GSTIN; ","")&amp;IF(AND(AL29&lt;&gt;"",AL29&lt;&gt;"OK"),"TAN wrong format; ","")&amp;IF(AG29="","PAN missing; ","")&amp;IF(AP29="","Entity type missing; ","")&amp;IF(AND(AN29&lt;&gt;"",COUNTIF($AN$6:$AN$1005,AN29)&gt;1),"GSTIN repeated in this sheet; ","")&amp;IF(AND(AG29&lt;&gt;"",COUNTIF($AG$6:$AG$1005,AG29)&gt;1),"PAN repeated in this sheet (same client? put extra GSTINs in Other GSTINs); ","")&amp;IF(AND(AR29&gt;0,V29=""),"Financial year missing; ","")&amp;IF(AND(AR29=0,V29&lt;&gt;""),"Financial year given but no service is Yes; ","")&amp;IF(AND(W29="Yes",AN29=""),"GST needs a GSTIN; ","")&amp;IF(AND(W29="Yes",X29=""),"GST return frequency missing; ","")&amp;IF(AND(Y29="Yes",TRIM(H29)=""),"TDS needs a TAN; ","")&amp;IF(AND(AA29="Yes",AQ29&lt;&gt;"",AQ29&lt;&gt;"company",AQ29&lt;&gt;"llp"),"ROC is only for a company / LLP; ","")&amp;IF(AND(AA29="Yes",OR(AQ29="company",AQ29="llp"),TRIM(I29)=""),"ROC needs the CIN / LLPIN; ","")</f>
        <v/>
      </c>
    </row>
    <row r="30">
      <c r="A30" s="30" t="n"/>
      <c r="B30" s="31" t="n"/>
      <c r="C30" s="31" t="n"/>
      <c r="D30" s="31" t="n"/>
      <c r="E30" s="30" t="n"/>
      <c r="F30" s="30" t="n"/>
      <c r="G30" s="30" t="n"/>
      <c r="H30" s="30" t="n"/>
      <c r="I30" s="30" t="n"/>
      <c r="J30" s="32" t="n"/>
      <c r="K30" s="31" t="n"/>
      <c r="L30" s="30" t="n"/>
      <c r="M30" s="31" t="n"/>
      <c r="N30" s="31" t="n"/>
      <c r="O30" s="31" t="n"/>
      <c r="P30" s="30" t="n"/>
      <c r="Q30" s="31" t="n"/>
      <c r="R30" s="31" t="n"/>
      <c r="S30" s="31" t="n"/>
      <c r="T30" s="31" t="n"/>
      <c r="U30" s="30" t="n"/>
      <c r="V30" s="31" t="n"/>
      <c r="W30" s="31" t="n"/>
      <c r="X30" s="31" t="n"/>
      <c r="Y30" s="31" t="n"/>
      <c r="Z30" s="31" t="n"/>
      <c r="AA30" s="31" t="n"/>
      <c r="AB30" s="31" t="n"/>
      <c r="AC30" s="31" t="n"/>
      <c r="AD30" s="31" t="n"/>
      <c r="AE30" s="31" t="n"/>
      <c r="AF30" s="27">
        <f>IF(NOT(COUNTA(A30:AE30)&gt;0),"",IF(A30="","New client","Update"))</f>
        <v/>
      </c>
      <c r="AG30" s="27">
        <f>IF(AO30&lt;&gt;"",AO30,IF(LEN(AN30)=15,MID(AN30,3,10),""))</f>
        <v/>
      </c>
      <c r="AH30" s="27">
        <f>IF(AP30="","",AP30&amp;IF(D30="","  (guessed from PAN)",""))</f>
        <v/>
      </c>
      <c r="AI30" s="27">
        <f>IF(AN30="","",IFERROR(INDEX(Lists!$L$2:$L$38,MATCH(LEFT(AN30,2),Lists!$K$2:$K$38,0)),"Unknown code"))</f>
        <v/>
      </c>
      <c r="AJ30" s="27">
        <f>IF(AN30="","",IFERROR(IF(NOT(AND(LEN(AN30)=15,ISNUMBER(MATCH(LEFT(AN30,2),Lists!$K$2:$K$38,0)),SUMPRODUCT(--ISERROR(FIND(MID(MID(AN30,3,10),{1,2,3,4,5,10},1),"ABCDEFGHIJKLMNOPQRSTUVWXYZ")))=0,SUMPRODUCT(--ISERROR(FIND(MID(MID(AN30,3,10),{6,7,8,9},1),"0123456789")))=0,ISNUMBER(FIND(MID(AN30,13,1),"123456789ABCDEFGHIJKLMNOPQRSTUVWXYZ")),MID(AN30,14,1)="Z")),"Wrong format",IF(MID("0123456789ABCDEFGHIJKLMNOPQRSTUVWXYZ",MOD(36-MOD(SUMPRODUCT(INT((FIND(MID(AN30,{1,2,3,4,5,6,7,8,9,10,11,12,13,14},1),"0123456789ABCDEFGHIJKLMNOPQRSTUVWXYZ")-1)*{1,2,1,2,1,2,1,2,1,2,1,2,1,2}/36)+MOD((FIND(MID(AN30,{1,2,3,4,5,6,7,8,9,10,11,12,13,14},1),"0123456789ABCDEFGHIJKLMNOPQRSTUVWXYZ")-1)*{1,2,1,2,1,2,1,2,1,2,1,2,1,2},36)),36),36)+1,1)=MID(AN30,15,1),"OK","Typo? check digit wrong")),"Wrong format"))</f>
        <v/>
      </c>
      <c r="AK30" s="27">
        <f>IF(AO30="","",IF(AND(LEN(AO30)=10,SUMPRODUCT(--ISERROR(FIND(MID(AO30,{1,2,3,4,5,10},1),"ABCDEFGHIJKLMNOPQRSTUVWXYZ")))=0,SUMPRODUCT(--ISERROR(FIND(MID(AO30,{6,7,8,9},1),"0123456789")))=0),"OK","Wrong format"))</f>
        <v/>
      </c>
      <c r="AL30" s="27">
        <f>IF(TRIM(H30)="","",IF(AND(LEN(UPPER(TRIM(H30)))=10,SUMPRODUCT(--ISERROR(FIND(MID(UPPER(TRIM(H30)),{1,2,3,4,10},1),"ABCDEFGHIJKLMNOPQRSTUVWXYZ")))=0,SUMPRODUCT(--ISERROR(FIND(MID(UPPER(TRIM(H30)),{5,6,7,8,9},1),"0123456789")))=0),"OK","Wrong format"))</f>
        <v/>
      </c>
      <c r="AM30" s="28">
        <f>IF(NOT(COUNTA(A30:AE30)&gt;0),"",IF(AS30&lt;&gt;"","✖ "&amp;LEFT(AS30,LEN(AS30)-2),IF(AR30&gt;0,"✔ Ready — client + "&amp;AR30&amp;" service(s)","✔ Ready — client only")))</f>
        <v/>
      </c>
      <c r="AN30" s="29">
        <f>UPPER(SUBSTITUTE(TRIM(F30)," ",""))</f>
        <v/>
      </c>
      <c r="AO30" s="29">
        <f>UPPER(SUBSTITUTE(TRIM(E30)," ",""))</f>
        <v/>
      </c>
      <c r="AP30" s="29">
        <f>IF(D30&lt;&gt;"",D30,IFERROR(VLOOKUP(MID(AG30,4,1),Lists!$E$2:$F$8,2,FALSE),""))</f>
        <v/>
      </c>
      <c r="AQ30" s="29">
        <f>IFERROR(VLOOKUP(AP30,Lists!$A$2:$C$12,3,FALSE),"")</f>
        <v/>
      </c>
      <c r="AR30" s="29">
        <f>COUNTIF(W30:AC30,"Yes")</f>
        <v/>
      </c>
      <c r="AS30" s="29">
        <f>IF(TRIM(B30)="","Legal name missing; ","")&amp;IF(AND(AJ30&lt;&gt;"",AJ30&lt;&gt;"OK"),"GSTIN: "&amp;AJ30&amp;"; ","")&amp;IF(AND(AK30&lt;&gt;"",AK30&lt;&gt;"OK"),"PAN wrong format; ","")&amp;IF(AND(AO30&lt;&gt;"",LEN(AN30)=15,MID(AN30,3,10)&lt;&gt;AO30),"PAN does not match GSTIN; ","")&amp;IF(AND(AL30&lt;&gt;"",AL30&lt;&gt;"OK"),"TAN wrong format; ","")&amp;IF(AG30="","PAN missing; ","")&amp;IF(AP30="","Entity type missing; ","")&amp;IF(AND(AN30&lt;&gt;"",COUNTIF($AN$6:$AN$1005,AN30)&gt;1),"GSTIN repeated in this sheet; ","")&amp;IF(AND(AG30&lt;&gt;"",COUNTIF($AG$6:$AG$1005,AG30)&gt;1),"PAN repeated in this sheet (same client? put extra GSTINs in Other GSTINs); ","")&amp;IF(AND(AR30&gt;0,V30=""),"Financial year missing; ","")&amp;IF(AND(AR30=0,V30&lt;&gt;""),"Financial year given but no service is Yes; ","")&amp;IF(AND(W30="Yes",AN30=""),"GST needs a GSTIN; ","")&amp;IF(AND(W30="Yes",X30=""),"GST return frequency missing; ","")&amp;IF(AND(Y30="Yes",TRIM(H30)=""),"TDS needs a TAN; ","")&amp;IF(AND(AA30="Yes",AQ30&lt;&gt;"",AQ30&lt;&gt;"company",AQ30&lt;&gt;"llp"),"ROC is only for a company / LLP; ","")&amp;IF(AND(AA30="Yes",OR(AQ30="company",AQ30="llp"),TRIM(I30)=""),"ROC needs the CIN / LLPIN; ","")</f>
        <v/>
      </c>
    </row>
    <row r="31">
      <c r="A31" s="30" t="n"/>
      <c r="B31" s="31" t="n"/>
      <c r="C31" s="31" t="n"/>
      <c r="D31" s="31" t="n"/>
      <c r="E31" s="30" t="n"/>
      <c r="F31" s="30" t="n"/>
      <c r="G31" s="30" t="n"/>
      <c r="H31" s="30" t="n"/>
      <c r="I31" s="30" t="n"/>
      <c r="J31" s="32" t="n"/>
      <c r="K31" s="31" t="n"/>
      <c r="L31" s="30" t="n"/>
      <c r="M31" s="31" t="n"/>
      <c r="N31" s="31" t="n"/>
      <c r="O31" s="31" t="n"/>
      <c r="P31" s="30" t="n"/>
      <c r="Q31" s="31" t="n"/>
      <c r="R31" s="31" t="n"/>
      <c r="S31" s="31" t="n"/>
      <c r="T31" s="31" t="n"/>
      <c r="U31" s="30" t="n"/>
      <c r="V31" s="31" t="n"/>
      <c r="W31" s="31" t="n"/>
      <c r="X31" s="31" t="n"/>
      <c r="Y31" s="31" t="n"/>
      <c r="Z31" s="31" t="n"/>
      <c r="AA31" s="31" t="n"/>
      <c r="AB31" s="31" t="n"/>
      <c r="AC31" s="31" t="n"/>
      <c r="AD31" s="31" t="n"/>
      <c r="AE31" s="31" t="n"/>
      <c r="AF31" s="27">
        <f>IF(NOT(COUNTA(A31:AE31)&gt;0),"",IF(A31="","New client","Update"))</f>
        <v/>
      </c>
      <c r="AG31" s="27">
        <f>IF(AO31&lt;&gt;"",AO31,IF(LEN(AN31)=15,MID(AN31,3,10),""))</f>
        <v/>
      </c>
      <c r="AH31" s="27">
        <f>IF(AP31="","",AP31&amp;IF(D31="","  (guessed from PAN)",""))</f>
        <v/>
      </c>
      <c r="AI31" s="27">
        <f>IF(AN31="","",IFERROR(INDEX(Lists!$L$2:$L$38,MATCH(LEFT(AN31,2),Lists!$K$2:$K$38,0)),"Unknown code"))</f>
        <v/>
      </c>
      <c r="AJ31" s="27">
        <f>IF(AN31="","",IFERROR(IF(NOT(AND(LEN(AN31)=15,ISNUMBER(MATCH(LEFT(AN31,2),Lists!$K$2:$K$38,0)),SUMPRODUCT(--ISERROR(FIND(MID(MID(AN31,3,10),{1,2,3,4,5,10},1),"ABCDEFGHIJKLMNOPQRSTUVWXYZ")))=0,SUMPRODUCT(--ISERROR(FIND(MID(MID(AN31,3,10),{6,7,8,9},1),"0123456789")))=0,ISNUMBER(FIND(MID(AN31,13,1),"123456789ABCDEFGHIJKLMNOPQRSTUVWXYZ")),MID(AN31,14,1)="Z")),"Wrong format",IF(MID("0123456789ABCDEFGHIJKLMNOPQRSTUVWXYZ",MOD(36-MOD(SUMPRODUCT(INT((FIND(MID(AN31,{1,2,3,4,5,6,7,8,9,10,11,12,13,14},1),"0123456789ABCDEFGHIJKLMNOPQRSTUVWXYZ")-1)*{1,2,1,2,1,2,1,2,1,2,1,2,1,2}/36)+MOD((FIND(MID(AN31,{1,2,3,4,5,6,7,8,9,10,11,12,13,14},1),"0123456789ABCDEFGHIJKLMNOPQRSTUVWXYZ")-1)*{1,2,1,2,1,2,1,2,1,2,1,2,1,2},36)),36),36)+1,1)=MID(AN31,15,1),"OK","Typo? check digit wrong")),"Wrong format"))</f>
        <v/>
      </c>
      <c r="AK31" s="27">
        <f>IF(AO31="","",IF(AND(LEN(AO31)=10,SUMPRODUCT(--ISERROR(FIND(MID(AO31,{1,2,3,4,5,10},1),"ABCDEFGHIJKLMNOPQRSTUVWXYZ")))=0,SUMPRODUCT(--ISERROR(FIND(MID(AO31,{6,7,8,9},1),"0123456789")))=0),"OK","Wrong format"))</f>
        <v/>
      </c>
      <c r="AL31" s="27">
        <f>IF(TRIM(H31)="","",IF(AND(LEN(UPPER(TRIM(H31)))=10,SUMPRODUCT(--ISERROR(FIND(MID(UPPER(TRIM(H31)),{1,2,3,4,10},1),"ABCDEFGHIJKLMNOPQRSTUVWXYZ")))=0,SUMPRODUCT(--ISERROR(FIND(MID(UPPER(TRIM(H31)),{5,6,7,8,9},1),"0123456789")))=0),"OK","Wrong format"))</f>
        <v/>
      </c>
      <c r="AM31" s="28">
        <f>IF(NOT(COUNTA(A31:AE31)&gt;0),"",IF(AS31&lt;&gt;"","✖ "&amp;LEFT(AS31,LEN(AS31)-2),IF(AR31&gt;0,"✔ Ready — client + "&amp;AR31&amp;" service(s)","✔ Ready — client only")))</f>
        <v/>
      </c>
      <c r="AN31" s="29">
        <f>UPPER(SUBSTITUTE(TRIM(F31)," ",""))</f>
        <v/>
      </c>
      <c r="AO31" s="29">
        <f>UPPER(SUBSTITUTE(TRIM(E31)," ",""))</f>
        <v/>
      </c>
      <c r="AP31" s="29">
        <f>IF(D31&lt;&gt;"",D31,IFERROR(VLOOKUP(MID(AG31,4,1),Lists!$E$2:$F$8,2,FALSE),""))</f>
        <v/>
      </c>
      <c r="AQ31" s="29">
        <f>IFERROR(VLOOKUP(AP31,Lists!$A$2:$C$12,3,FALSE),"")</f>
        <v/>
      </c>
      <c r="AR31" s="29">
        <f>COUNTIF(W31:AC31,"Yes")</f>
        <v/>
      </c>
      <c r="AS31" s="29">
        <f>IF(TRIM(B31)="","Legal name missing; ","")&amp;IF(AND(AJ31&lt;&gt;"",AJ31&lt;&gt;"OK"),"GSTIN: "&amp;AJ31&amp;"; ","")&amp;IF(AND(AK31&lt;&gt;"",AK31&lt;&gt;"OK"),"PAN wrong format; ","")&amp;IF(AND(AO31&lt;&gt;"",LEN(AN31)=15,MID(AN31,3,10)&lt;&gt;AO31),"PAN does not match GSTIN; ","")&amp;IF(AND(AL31&lt;&gt;"",AL31&lt;&gt;"OK"),"TAN wrong format; ","")&amp;IF(AG31="","PAN missing; ","")&amp;IF(AP31="","Entity type missing; ","")&amp;IF(AND(AN31&lt;&gt;"",COUNTIF($AN$6:$AN$1005,AN31)&gt;1),"GSTIN repeated in this sheet; ","")&amp;IF(AND(AG31&lt;&gt;"",COUNTIF($AG$6:$AG$1005,AG31)&gt;1),"PAN repeated in this sheet (same client? put extra GSTINs in Other GSTINs); ","")&amp;IF(AND(AR31&gt;0,V31=""),"Financial year missing; ","")&amp;IF(AND(AR31=0,V31&lt;&gt;""),"Financial year given but no service is Yes; ","")&amp;IF(AND(W31="Yes",AN31=""),"GST needs a GSTIN; ","")&amp;IF(AND(W31="Yes",X31=""),"GST return frequency missing; ","")&amp;IF(AND(Y31="Yes",TRIM(H31)=""),"TDS needs a TAN; ","")&amp;IF(AND(AA31="Yes",AQ31&lt;&gt;"",AQ31&lt;&gt;"company",AQ31&lt;&gt;"llp"),"ROC is only for a company / LLP; ","")&amp;IF(AND(AA31="Yes",OR(AQ31="company",AQ31="llp"),TRIM(I31)=""),"ROC needs the CIN / LLPIN; ","")</f>
        <v/>
      </c>
    </row>
    <row r="32">
      <c r="A32" s="30" t="n"/>
      <c r="B32" s="31" t="n"/>
      <c r="C32" s="31" t="n"/>
      <c r="D32" s="31" t="n"/>
      <c r="E32" s="30" t="n"/>
      <c r="F32" s="30" t="n"/>
      <c r="G32" s="30" t="n"/>
      <c r="H32" s="30" t="n"/>
      <c r="I32" s="30" t="n"/>
      <c r="J32" s="32" t="n"/>
      <c r="K32" s="31" t="n"/>
      <c r="L32" s="30" t="n"/>
      <c r="M32" s="31" t="n"/>
      <c r="N32" s="31" t="n"/>
      <c r="O32" s="31" t="n"/>
      <c r="P32" s="30" t="n"/>
      <c r="Q32" s="31" t="n"/>
      <c r="R32" s="31" t="n"/>
      <c r="S32" s="31" t="n"/>
      <c r="T32" s="31" t="n"/>
      <c r="U32" s="30" t="n"/>
      <c r="V32" s="31" t="n"/>
      <c r="W32" s="31" t="n"/>
      <c r="X32" s="31" t="n"/>
      <c r="Y32" s="31" t="n"/>
      <c r="Z32" s="31" t="n"/>
      <c r="AA32" s="31" t="n"/>
      <c r="AB32" s="31" t="n"/>
      <c r="AC32" s="31" t="n"/>
      <c r="AD32" s="31" t="n"/>
      <c r="AE32" s="31" t="n"/>
      <c r="AF32" s="27">
        <f>IF(NOT(COUNTA(A32:AE32)&gt;0),"",IF(A32="","New client","Update"))</f>
        <v/>
      </c>
      <c r="AG32" s="27">
        <f>IF(AO32&lt;&gt;"",AO32,IF(LEN(AN32)=15,MID(AN32,3,10),""))</f>
        <v/>
      </c>
      <c r="AH32" s="27">
        <f>IF(AP32="","",AP32&amp;IF(D32="","  (guessed from PAN)",""))</f>
        <v/>
      </c>
      <c r="AI32" s="27">
        <f>IF(AN32="","",IFERROR(INDEX(Lists!$L$2:$L$38,MATCH(LEFT(AN32,2),Lists!$K$2:$K$38,0)),"Unknown code"))</f>
        <v/>
      </c>
      <c r="AJ32" s="27">
        <f>IF(AN32="","",IFERROR(IF(NOT(AND(LEN(AN32)=15,ISNUMBER(MATCH(LEFT(AN32,2),Lists!$K$2:$K$38,0)),SUMPRODUCT(--ISERROR(FIND(MID(MID(AN32,3,10),{1,2,3,4,5,10},1),"ABCDEFGHIJKLMNOPQRSTUVWXYZ")))=0,SUMPRODUCT(--ISERROR(FIND(MID(MID(AN32,3,10),{6,7,8,9},1),"0123456789")))=0,ISNUMBER(FIND(MID(AN32,13,1),"123456789ABCDEFGHIJKLMNOPQRSTUVWXYZ")),MID(AN32,14,1)="Z")),"Wrong format",IF(MID("0123456789ABCDEFGHIJKLMNOPQRSTUVWXYZ",MOD(36-MOD(SUMPRODUCT(INT((FIND(MID(AN32,{1,2,3,4,5,6,7,8,9,10,11,12,13,14},1),"0123456789ABCDEFGHIJKLMNOPQRSTUVWXYZ")-1)*{1,2,1,2,1,2,1,2,1,2,1,2,1,2}/36)+MOD((FIND(MID(AN32,{1,2,3,4,5,6,7,8,9,10,11,12,13,14},1),"0123456789ABCDEFGHIJKLMNOPQRSTUVWXYZ")-1)*{1,2,1,2,1,2,1,2,1,2,1,2,1,2},36)),36),36)+1,1)=MID(AN32,15,1),"OK","Typo? check digit wrong")),"Wrong format"))</f>
        <v/>
      </c>
      <c r="AK32" s="27">
        <f>IF(AO32="","",IF(AND(LEN(AO32)=10,SUMPRODUCT(--ISERROR(FIND(MID(AO32,{1,2,3,4,5,10},1),"ABCDEFGHIJKLMNOPQRSTUVWXYZ")))=0,SUMPRODUCT(--ISERROR(FIND(MID(AO32,{6,7,8,9},1),"0123456789")))=0),"OK","Wrong format"))</f>
        <v/>
      </c>
      <c r="AL32" s="27">
        <f>IF(TRIM(H32)="","",IF(AND(LEN(UPPER(TRIM(H32)))=10,SUMPRODUCT(--ISERROR(FIND(MID(UPPER(TRIM(H32)),{1,2,3,4,10},1),"ABCDEFGHIJKLMNOPQRSTUVWXYZ")))=0,SUMPRODUCT(--ISERROR(FIND(MID(UPPER(TRIM(H32)),{5,6,7,8,9},1),"0123456789")))=0),"OK","Wrong format"))</f>
        <v/>
      </c>
      <c r="AM32" s="28">
        <f>IF(NOT(COUNTA(A32:AE32)&gt;0),"",IF(AS32&lt;&gt;"","✖ "&amp;LEFT(AS32,LEN(AS32)-2),IF(AR32&gt;0,"✔ Ready — client + "&amp;AR32&amp;" service(s)","✔ Ready — client only")))</f>
        <v/>
      </c>
      <c r="AN32" s="29">
        <f>UPPER(SUBSTITUTE(TRIM(F32)," ",""))</f>
        <v/>
      </c>
      <c r="AO32" s="29">
        <f>UPPER(SUBSTITUTE(TRIM(E32)," ",""))</f>
        <v/>
      </c>
      <c r="AP32" s="29">
        <f>IF(D32&lt;&gt;"",D32,IFERROR(VLOOKUP(MID(AG32,4,1),Lists!$E$2:$F$8,2,FALSE),""))</f>
        <v/>
      </c>
      <c r="AQ32" s="29">
        <f>IFERROR(VLOOKUP(AP32,Lists!$A$2:$C$12,3,FALSE),"")</f>
        <v/>
      </c>
      <c r="AR32" s="29">
        <f>COUNTIF(W32:AC32,"Yes")</f>
        <v/>
      </c>
      <c r="AS32" s="29">
        <f>IF(TRIM(B32)="","Legal name missing; ","")&amp;IF(AND(AJ32&lt;&gt;"",AJ32&lt;&gt;"OK"),"GSTIN: "&amp;AJ32&amp;"; ","")&amp;IF(AND(AK32&lt;&gt;"",AK32&lt;&gt;"OK"),"PAN wrong format; ","")&amp;IF(AND(AO32&lt;&gt;"",LEN(AN32)=15,MID(AN32,3,10)&lt;&gt;AO32),"PAN does not match GSTIN; ","")&amp;IF(AND(AL32&lt;&gt;"",AL32&lt;&gt;"OK"),"TAN wrong format; ","")&amp;IF(AG32="","PAN missing; ","")&amp;IF(AP32="","Entity type missing; ","")&amp;IF(AND(AN32&lt;&gt;"",COUNTIF($AN$6:$AN$1005,AN32)&gt;1),"GSTIN repeated in this sheet; ","")&amp;IF(AND(AG32&lt;&gt;"",COUNTIF($AG$6:$AG$1005,AG32)&gt;1),"PAN repeated in this sheet (same client? put extra GSTINs in Other GSTINs); ","")&amp;IF(AND(AR32&gt;0,V32=""),"Financial year missing; ","")&amp;IF(AND(AR32=0,V32&lt;&gt;""),"Financial year given but no service is Yes; ","")&amp;IF(AND(W32="Yes",AN32=""),"GST needs a GSTIN; ","")&amp;IF(AND(W32="Yes",X32=""),"GST return frequency missing; ","")&amp;IF(AND(Y32="Yes",TRIM(H32)=""),"TDS needs a TAN; ","")&amp;IF(AND(AA32="Yes",AQ32&lt;&gt;"",AQ32&lt;&gt;"company",AQ32&lt;&gt;"llp"),"ROC is only for a company / LLP; ","")&amp;IF(AND(AA32="Yes",OR(AQ32="company",AQ32="llp"),TRIM(I32)=""),"ROC needs the CIN / LLPIN; ","")</f>
        <v/>
      </c>
    </row>
    <row r="33">
      <c r="A33" s="30" t="n"/>
      <c r="B33" s="31" t="n"/>
      <c r="C33" s="31" t="n"/>
      <c r="D33" s="31" t="n"/>
      <c r="E33" s="30" t="n"/>
      <c r="F33" s="30" t="n"/>
      <c r="G33" s="30" t="n"/>
      <c r="H33" s="30" t="n"/>
      <c r="I33" s="30" t="n"/>
      <c r="J33" s="32" t="n"/>
      <c r="K33" s="31" t="n"/>
      <c r="L33" s="30" t="n"/>
      <c r="M33" s="31" t="n"/>
      <c r="N33" s="31" t="n"/>
      <c r="O33" s="31" t="n"/>
      <c r="P33" s="30" t="n"/>
      <c r="Q33" s="31" t="n"/>
      <c r="R33" s="31" t="n"/>
      <c r="S33" s="31" t="n"/>
      <c r="T33" s="31" t="n"/>
      <c r="U33" s="30" t="n"/>
      <c r="V33" s="31" t="n"/>
      <c r="W33" s="31" t="n"/>
      <c r="X33" s="31" t="n"/>
      <c r="Y33" s="31" t="n"/>
      <c r="Z33" s="31" t="n"/>
      <c r="AA33" s="31" t="n"/>
      <c r="AB33" s="31" t="n"/>
      <c r="AC33" s="31" t="n"/>
      <c r="AD33" s="31" t="n"/>
      <c r="AE33" s="31" t="n"/>
      <c r="AF33" s="27">
        <f>IF(NOT(COUNTA(A33:AE33)&gt;0),"",IF(A33="","New client","Update"))</f>
        <v/>
      </c>
      <c r="AG33" s="27">
        <f>IF(AO33&lt;&gt;"",AO33,IF(LEN(AN33)=15,MID(AN33,3,10),""))</f>
        <v/>
      </c>
      <c r="AH33" s="27">
        <f>IF(AP33="","",AP33&amp;IF(D33="","  (guessed from PAN)",""))</f>
        <v/>
      </c>
      <c r="AI33" s="27">
        <f>IF(AN33="","",IFERROR(INDEX(Lists!$L$2:$L$38,MATCH(LEFT(AN33,2),Lists!$K$2:$K$38,0)),"Unknown code"))</f>
        <v/>
      </c>
      <c r="AJ33" s="27">
        <f>IF(AN33="","",IFERROR(IF(NOT(AND(LEN(AN33)=15,ISNUMBER(MATCH(LEFT(AN33,2),Lists!$K$2:$K$38,0)),SUMPRODUCT(--ISERROR(FIND(MID(MID(AN33,3,10),{1,2,3,4,5,10},1),"ABCDEFGHIJKLMNOPQRSTUVWXYZ")))=0,SUMPRODUCT(--ISERROR(FIND(MID(MID(AN33,3,10),{6,7,8,9},1),"0123456789")))=0,ISNUMBER(FIND(MID(AN33,13,1),"123456789ABCDEFGHIJKLMNOPQRSTUVWXYZ")),MID(AN33,14,1)="Z")),"Wrong format",IF(MID("0123456789ABCDEFGHIJKLMNOPQRSTUVWXYZ",MOD(36-MOD(SUMPRODUCT(INT((FIND(MID(AN33,{1,2,3,4,5,6,7,8,9,10,11,12,13,14},1),"0123456789ABCDEFGHIJKLMNOPQRSTUVWXYZ")-1)*{1,2,1,2,1,2,1,2,1,2,1,2,1,2}/36)+MOD((FIND(MID(AN33,{1,2,3,4,5,6,7,8,9,10,11,12,13,14},1),"0123456789ABCDEFGHIJKLMNOPQRSTUVWXYZ")-1)*{1,2,1,2,1,2,1,2,1,2,1,2,1,2},36)),36),36)+1,1)=MID(AN33,15,1),"OK","Typo? check digit wrong")),"Wrong format"))</f>
        <v/>
      </c>
      <c r="AK33" s="27">
        <f>IF(AO33="","",IF(AND(LEN(AO33)=10,SUMPRODUCT(--ISERROR(FIND(MID(AO33,{1,2,3,4,5,10},1),"ABCDEFGHIJKLMNOPQRSTUVWXYZ")))=0,SUMPRODUCT(--ISERROR(FIND(MID(AO33,{6,7,8,9},1),"0123456789")))=0),"OK","Wrong format"))</f>
        <v/>
      </c>
      <c r="AL33" s="27">
        <f>IF(TRIM(H33)="","",IF(AND(LEN(UPPER(TRIM(H33)))=10,SUMPRODUCT(--ISERROR(FIND(MID(UPPER(TRIM(H33)),{1,2,3,4,10},1),"ABCDEFGHIJKLMNOPQRSTUVWXYZ")))=0,SUMPRODUCT(--ISERROR(FIND(MID(UPPER(TRIM(H33)),{5,6,7,8,9},1),"0123456789")))=0),"OK","Wrong format"))</f>
        <v/>
      </c>
      <c r="AM33" s="28">
        <f>IF(NOT(COUNTA(A33:AE33)&gt;0),"",IF(AS33&lt;&gt;"","✖ "&amp;LEFT(AS33,LEN(AS33)-2),IF(AR33&gt;0,"✔ Ready — client + "&amp;AR33&amp;" service(s)","✔ Ready — client only")))</f>
        <v/>
      </c>
      <c r="AN33" s="29">
        <f>UPPER(SUBSTITUTE(TRIM(F33)," ",""))</f>
        <v/>
      </c>
      <c r="AO33" s="29">
        <f>UPPER(SUBSTITUTE(TRIM(E33)," ",""))</f>
        <v/>
      </c>
      <c r="AP33" s="29">
        <f>IF(D33&lt;&gt;"",D33,IFERROR(VLOOKUP(MID(AG33,4,1),Lists!$E$2:$F$8,2,FALSE),""))</f>
        <v/>
      </c>
      <c r="AQ33" s="29">
        <f>IFERROR(VLOOKUP(AP33,Lists!$A$2:$C$12,3,FALSE),"")</f>
        <v/>
      </c>
      <c r="AR33" s="29">
        <f>COUNTIF(W33:AC33,"Yes")</f>
        <v/>
      </c>
      <c r="AS33" s="29">
        <f>IF(TRIM(B33)="","Legal name missing; ","")&amp;IF(AND(AJ33&lt;&gt;"",AJ33&lt;&gt;"OK"),"GSTIN: "&amp;AJ33&amp;"; ","")&amp;IF(AND(AK33&lt;&gt;"",AK33&lt;&gt;"OK"),"PAN wrong format; ","")&amp;IF(AND(AO33&lt;&gt;"",LEN(AN33)=15,MID(AN33,3,10)&lt;&gt;AO33),"PAN does not match GSTIN; ","")&amp;IF(AND(AL33&lt;&gt;"",AL33&lt;&gt;"OK"),"TAN wrong format; ","")&amp;IF(AG33="","PAN missing; ","")&amp;IF(AP33="","Entity type missing; ","")&amp;IF(AND(AN33&lt;&gt;"",COUNTIF($AN$6:$AN$1005,AN33)&gt;1),"GSTIN repeated in this sheet; ","")&amp;IF(AND(AG33&lt;&gt;"",COUNTIF($AG$6:$AG$1005,AG33)&gt;1),"PAN repeated in this sheet (same client? put extra GSTINs in Other GSTINs); ","")&amp;IF(AND(AR33&gt;0,V33=""),"Financial year missing; ","")&amp;IF(AND(AR33=0,V33&lt;&gt;""),"Financial year given but no service is Yes; ","")&amp;IF(AND(W33="Yes",AN33=""),"GST needs a GSTIN; ","")&amp;IF(AND(W33="Yes",X33=""),"GST return frequency missing; ","")&amp;IF(AND(Y33="Yes",TRIM(H33)=""),"TDS needs a TAN; ","")&amp;IF(AND(AA33="Yes",AQ33&lt;&gt;"",AQ33&lt;&gt;"company",AQ33&lt;&gt;"llp"),"ROC is only for a company / LLP; ","")&amp;IF(AND(AA33="Yes",OR(AQ33="company",AQ33="llp"),TRIM(I33)=""),"ROC needs the CIN / LLPIN; ","")</f>
        <v/>
      </c>
    </row>
    <row r="34">
      <c r="A34" s="30" t="n"/>
      <c r="B34" s="31" t="n"/>
      <c r="C34" s="31" t="n"/>
      <c r="D34" s="31" t="n"/>
      <c r="E34" s="30" t="n"/>
      <c r="F34" s="30" t="n"/>
      <c r="G34" s="30" t="n"/>
      <c r="H34" s="30" t="n"/>
      <c r="I34" s="30" t="n"/>
      <c r="J34" s="32" t="n"/>
      <c r="K34" s="31" t="n"/>
      <c r="L34" s="30" t="n"/>
      <c r="M34" s="31" t="n"/>
      <c r="N34" s="31" t="n"/>
      <c r="O34" s="31" t="n"/>
      <c r="P34" s="30" t="n"/>
      <c r="Q34" s="31" t="n"/>
      <c r="R34" s="31" t="n"/>
      <c r="S34" s="31" t="n"/>
      <c r="T34" s="31" t="n"/>
      <c r="U34" s="30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27">
        <f>IF(NOT(COUNTA(A34:AE34)&gt;0),"",IF(A34="","New client","Update"))</f>
        <v/>
      </c>
      <c r="AG34" s="27">
        <f>IF(AO34&lt;&gt;"",AO34,IF(LEN(AN34)=15,MID(AN34,3,10),""))</f>
        <v/>
      </c>
      <c r="AH34" s="27">
        <f>IF(AP34="","",AP34&amp;IF(D34="","  (guessed from PAN)",""))</f>
        <v/>
      </c>
      <c r="AI34" s="27">
        <f>IF(AN34="","",IFERROR(INDEX(Lists!$L$2:$L$38,MATCH(LEFT(AN34,2),Lists!$K$2:$K$38,0)),"Unknown code"))</f>
        <v/>
      </c>
      <c r="AJ34" s="27">
        <f>IF(AN34="","",IFERROR(IF(NOT(AND(LEN(AN34)=15,ISNUMBER(MATCH(LEFT(AN34,2),Lists!$K$2:$K$38,0)),SUMPRODUCT(--ISERROR(FIND(MID(MID(AN34,3,10),{1,2,3,4,5,10},1),"ABCDEFGHIJKLMNOPQRSTUVWXYZ")))=0,SUMPRODUCT(--ISERROR(FIND(MID(MID(AN34,3,10),{6,7,8,9},1),"0123456789")))=0,ISNUMBER(FIND(MID(AN34,13,1),"123456789ABCDEFGHIJKLMNOPQRSTUVWXYZ")),MID(AN34,14,1)="Z")),"Wrong format",IF(MID("0123456789ABCDEFGHIJKLMNOPQRSTUVWXYZ",MOD(36-MOD(SUMPRODUCT(INT((FIND(MID(AN34,{1,2,3,4,5,6,7,8,9,10,11,12,13,14},1),"0123456789ABCDEFGHIJKLMNOPQRSTUVWXYZ")-1)*{1,2,1,2,1,2,1,2,1,2,1,2,1,2}/36)+MOD((FIND(MID(AN34,{1,2,3,4,5,6,7,8,9,10,11,12,13,14},1),"0123456789ABCDEFGHIJKLMNOPQRSTUVWXYZ")-1)*{1,2,1,2,1,2,1,2,1,2,1,2,1,2},36)),36),36)+1,1)=MID(AN34,15,1),"OK","Typo? check digit wrong")),"Wrong format"))</f>
        <v/>
      </c>
      <c r="AK34" s="27">
        <f>IF(AO34="","",IF(AND(LEN(AO34)=10,SUMPRODUCT(--ISERROR(FIND(MID(AO34,{1,2,3,4,5,10},1),"ABCDEFGHIJKLMNOPQRSTUVWXYZ")))=0,SUMPRODUCT(--ISERROR(FIND(MID(AO34,{6,7,8,9},1),"0123456789")))=0),"OK","Wrong format"))</f>
        <v/>
      </c>
      <c r="AL34" s="27">
        <f>IF(TRIM(H34)="","",IF(AND(LEN(UPPER(TRIM(H34)))=10,SUMPRODUCT(--ISERROR(FIND(MID(UPPER(TRIM(H34)),{1,2,3,4,10},1),"ABCDEFGHIJKLMNOPQRSTUVWXYZ")))=0,SUMPRODUCT(--ISERROR(FIND(MID(UPPER(TRIM(H34)),{5,6,7,8,9},1),"0123456789")))=0),"OK","Wrong format"))</f>
        <v/>
      </c>
      <c r="AM34" s="28">
        <f>IF(NOT(COUNTA(A34:AE34)&gt;0),"",IF(AS34&lt;&gt;"","✖ "&amp;LEFT(AS34,LEN(AS34)-2),IF(AR34&gt;0,"✔ Ready — client + "&amp;AR34&amp;" service(s)","✔ Ready — client only")))</f>
        <v/>
      </c>
      <c r="AN34" s="29">
        <f>UPPER(SUBSTITUTE(TRIM(F34)," ",""))</f>
        <v/>
      </c>
      <c r="AO34" s="29">
        <f>UPPER(SUBSTITUTE(TRIM(E34)," ",""))</f>
        <v/>
      </c>
      <c r="AP34" s="29">
        <f>IF(D34&lt;&gt;"",D34,IFERROR(VLOOKUP(MID(AG34,4,1),Lists!$E$2:$F$8,2,FALSE),""))</f>
        <v/>
      </c>
      <c r="AQ34" s="29">
        <f>IFERROR(VLOOKUP(AP34,Lists!$A$2:$C$12,3,FALSE),"")</f>
        <v/>
      </c>
      <c r="AR34" s="29">
        <f>COUNTIF(W34:AC34,"Yes")</f>
        <v/>
      </c>
      <c r="AS34" s="29">
        <f>IF(TRIM(B34)="","Legal name missing; ","")&amp;IF(AND(AJ34&lt;&gt;"",AJ34&lt;&gt;"OK"),"GSTIN: "&amp;AJ34&amp;"; ","")&amp;IF(AND(AK34&lt;&gt;"",AK34&lt;&gt;"OK"),"PAN wrong format; ","")&amp;IF(AND(AO34&lt;&gt;"",LEN(AN34)=15,MID(AN34,3,10)&lt;&gt;AO34),"PAN does not match GSTIN; ","")&amp;IF(AND(AL34&lt;&gt;"",AL34&lt;&gt;"OK"),"TAN wrong format; ","")&amp;IF(AG34="","PAN missing; ","")&amp;IF(AP34="","Entity type missing; ","")&amp;IF(AND(AN34&lt;&gt;"",COUNTIF($AN$6:$AN$1005,AN34)&gt;1),"GSTIN repeated in this sheet; ","")&amp;IF(AND(AG34&lt;&gt;"",COUNTIF($AG$6:$AG$1005,AG34)&gt;1),"PAN repeated in this sheet (same client? put extra GSTINs in Other GSTINs); ","")&amp;IF(AND(AR34&gt;0,V34=""),"Financial year missing; ","")&amp;IF(AND(AR34=0,V34&lt;&gt;""),"Financial year given but no service is Yes; ","")&amp;IF(AND(W34="Yes",AN34=""),"GST needs a GSTIN; ","")&amp;IF(AND(W34="Yes",X34=""),"GST return frequency missing; ","")&amp;IF(AND(Y34="Yes",TRIM(H34)=""),"TDS needs a TAN; ","")&amp;IF(AND(AA34="Yes",AQ34&lt;&gt;"",AQ34&lt;&gt;"company",AQ34&lt;&gt;"llp"),"ROC is only for a company / LLP; ","")&amp;IF(AND(AA34="Yes",OR(AQ34="company",AQ34="llp"),TRIM(I34)=""),"ROC needs the CIN / LLPIN; ","")</f>
        <v/>
      </c>
    </row>
    <row r="35">
      <c r="A35" s="30" t="n"/>
      <c r="B35" s="31" t="n"/>
      <c r="C35" s="31" t="n"/>
      <c r="D35" s="31" t="n"/>
      <c r="E35" s="30" t="n"/>
      <c r="F35" s="30" t="n"/>
      <c r="G35" s="30" t="n"/>
      <c r="H35" s="30" t="n"/>
      <c r="I35" s="30" t="n"/>
      <c r="J35" s="32" t="n"/>
      <c r="K35" s="31" t="n"/>
      <c r="L35" s="30" t="n"/>
      <c r="M35" s="31" t="n"/>
      <c r="N35" s="31" t="n"/>
      <c r="O35" s="31" t="n"/>
      <c r="P35" s="30" t="n"/>
      <c r="Q35" s="31" t="n"/>
      <c r="R35" s="31" t="n"/>
      <c r="S35" s="31" t="n"/>
      <c r="T35" s="31" t="n"/>
      <c r="U35" s="30" t="n"/>
      <c r="V35" s="31" t="n"/>
      <c r="W35" s="31" t="n"/>
      <c r="X35" s="31" t="n"/>
      <c r="Y35" s="31" t="n"/>
      <c r="Z35" s="31" t="n"/>
      <c r="AA35" s="31" t="n"/>
      <c r="AB35" s="31" t="n"/>
      <c r="AC35" s="31" t="n"/>
      <c r="AD35" s="31" t="n"/>
      <c r="AE35" s="31" t="n"/>
      <c r="AF35" s="27">
        <f>IF(NOT(COUNTA(A35:AE35)&gt;0),"",IF(A35="","New client","Update"))</f>
        <v/>
      </c>
      <c r="AG35" s="27">
        <f>IF(AO35&lt;&gt;"",AO35,IF(LEN(AN35)=15,MID(AN35,3,10),""))</f>
        <v/>
      </c>
      <c r="AH35" s="27">
        <f>IF(AP35="","",AP35&amp;IF(D35="","  (guessed from PAN)",""))</f>
        <v/>
      </c>
      <c r="AI35" s="27">
        <f>IF(AN35="","",IFERROR(INDEX(Lists!$L$2:$L$38,MATCH(LEFT(AN35,2),Lists!$K$2:$K$38,0)),"Unknown code"))</f>
        <v/>
      </c>
      <c r="AJ35" s="27">
        <f>IF(AN35="","",IFERROR(IF(NOT(AND(LEN(AN35)=15,ISNUMBER(MATCH(LEFT(AN35,2),Lists!$K$2:$K$38,0)),SUMPRODUCT(--ISERROR(FIND(MID(MID(AN35,3,10),{1,2,3,4,5,10},1),"ABCDEFGHIJKLMNOPQRSTUVWXYZ")))=0,SUMPRODUCT(--ISERROR(FIND(MID(MID(AN35,3,10),{6,7,8,9},1),"0123456789")))=0,ISNUMBER(FIND(MID(AN35,13,1),"123456789ABCDEFGHIJKLMNOPQRSTUVWXYZ")),MID(AN35,14,1)="Z")),"Wrong format",IF(MID("0123456789ABCDEFGHIJKLMNOPQRSTUVWXYZ",MOD(36-MOD(SUMPRODUCT(INT((FIND(MID(AN35,{1,2,3,4,5,6,7,8,9,10,11,12,13,14},1),"0123456789ABCDEFGHIJKLMNOPQRSTUVWXYZ")-1)*{1,2,1,2,1,2,1,2,1,2,1,2,1,2}/36)+MOD((FIND(MID(AN35,{1,2,3,4,5,6,7,8,9,10,11,12,13,14},1),"0123456789ABCDEFGHIJKLMNOPQRSTUVWXYZ")-1)*{1,2,1,2,1,2,1,2,1,2,1,2,1,2},36)),36),36)+1,1)=MID(AN35,15,1),"OK","Typo? check digit wrong")),"Wrong format"))</f>
        <v/>
      </c>
      <c r="AK35" s="27">
        <f>IF(AO35="","",IF(AND(LEN(AO35)=10,SUMPRODUCT(--ISERROR(FIND(MID(AO35,{1,2,3,4,5,10},1),"ABCDEFGHIJKLMNOPQRSTUVWXYZ")))=0,SUMPRODUCT(--ISERROR(FIND(MID(AO35,{6,7,8,9},1),"0123456789")))=0),"OK","Wrong format"))</f>
        <v/>
      </c>
      <c r="AL35" s="27">
        <f>IF(TRIM(H35)="","",IF(AND(LEN(UPPER(TRIM(H35)))=10,SUMPRODUCT(--ISERROR(FIND(MID(UPPER(TRIM(H35)),{1,2,3,4,10},1),"ABCDEFGHIJKLMNOPQRSTUVWXYZ")))=0,SUMPRODUCT(--ISERROR(FIND(MID(UPPER(TRIM(H35)),{5,6,7,8,9},1),"0123456789")))=0),"OK","Wrong format"))</f>
        <v/>
      </c>
      <c r="AM35" s="28">
        <f>IF(NOT(COUNTA(A35:AE35)&gt;0),"",IF(AS35&lt;&gt;"","✖ "&amp;LEFT(AS35,LEN(AS35)-2),IF(AR35&gt;0,"✔ Ready — client + "&amp;AR35&amp;" service(s)","✔ Ready — client only")))</f>
        <v/>
      </c>
      <c r="AN35" s="29">
        <f>UPPER(SUBSTITUTE(TRIM(F35)," ",""))</f>
        <v/>
      </c>
      <c r="AO35" s="29">
        <f>UPPER(SUBSTITUTE(TRIM(E35)," ",""))</f>
        <v/>
      </c>
      <c r="AP35" s="29">
        <f>IF(D35&lt;&gt;"",D35,IFERROR(VLOOKUP(MID(AG35,4,1),Lists!$E$2:$F$8,2,FALSE),""))</f>
        <v/>
      </c>
      <c r="AQ35" s="29">
        <f>IFERROR(VLOOKUP(AP35,Lists!$A$2:$C$12,3,FALSE),"")</f>
        <v/>
      </c>
      <c r="AR35" s="29">
        <f>COUNTIF(W35:AC35,"Yes")</f>
        <v/>
      </c>
      <c r="AS35" s="29">
        <f>IF(TRIM(B35)="","Legal name missing; ","")&amp;IF(AND(AJ35&lt;&gt;"",AJ35&lt;&gt;"OK"),"GSTIN: "&amp;AJ35&amp;"; ","")&amp;IF(AND(AK35&lt;&gt;"",AK35&lt;&gt;"OK"),"PAN wrong format; ","")&amp;IF(AND(AO35&lt;&gt;"",LEN(AN35)=15,MID(AN35,3,10)&lt;&gt;AO35),"PAN does not match GSTIN; ","")&amp;IF(AND(AL35&lt;&gt;"",AL35&lt;&gt;"OK"),"TAN wrong format; ","")&amp;IF(AG35="","PAN missing; ","")&amp;IF(AP35="","Entity type missing; ","")&amp;IF(AND(AN35&lt;&gt;"",COUNTIF($AN$6:$AN$1005,AN35)&gt;1),"GSTIN repeated in this sheet; ","")&amp;IF(AND(AG35&lt;&gt;"",COUNTIF($AG$6:$AG$1005,AG35)&gt;1),"PAN repeated in this sheet (same client? put extra GSTINs in Other GSTINs); ","")&amp;IF(AND(AR35&gt;0,V35=""),"Financial year missing; ","")&amp;IF(AND(AR35=0,V35&lt;&gt;""),"Financial year given but no service is Yes; ","")&amp;IF(AND(W35="Yes",AN35=""),"GST needs a GSTIN; ","")&amp;IF(AND(W35="Yes",X35=""),"GST return frequency missing; ","")&amp;IF(AND(Y35="Yes",TRIM(H35)=""),"TDS needs a TAN; ","")&amp;IF(AND(AA35="Yes",AQ35&lt;&gt;"",AQ35&lt;&gt;"company",AQ35&lt;&gt;"llp"),"ROC is only for a company / LLP; ","")&amp;IF(AND(AA35="Yes",OR(AQ35="company",AQ35="llp"),TRIM(I35)=""),"ROC needs the CIN / LLPIN; ","")</f>
        <v/>
      </c>
    </row>
    <row r="36">
      <c r="A36" s="30" t="n"/>
      <c r="B36" s="31" t="n"/>
      <c r="C36" s="31" t="n"/>
      <c r="D36" s="31" t="n"/>
      <c r="E36" s="30" t="n"/>
      <c r="F36" s="30" t="n"/>
      <c r="G36" s="30" t="n"/>
      <c r="H36" s="30" t="n"/>
      <c r="I36" s="30" t="n"/>
      <c r="J36" s="32" t="n"/>
      <c r="K36" s="31" t="n"/>
      <c r="L36" s="30" t="n"/>
      <c r="M36" s="31" t="n"/>
      <c r="N36" s="31" t="n"/>
      <c r="O36" s="31" t="n"/>
      <c r="P36" s="30" t="n"/>
      <c r="Q36" s="31" t="n"/>
      <c r="R36" s="31" t="n"/>
      <c r="S36" s="31" t="n"/>
      <c r="T36" s="31" t="n"/>
      <c r="U36" s="30" t="n"/>
      <c r="V36" s="31" t="n"/>
      <c r="W36" s="31" t="n"/>
      <c r="X36" s="31" t="n"/>
      <c r="Y36" s="31" t="n"/>
      <c r="Z36" s="31" t="n"/>
      <c r="AA36" s="31" t="n"/>
      <c r="AB36" s="31" t="n"/>
      <c r="AC36" s="31" t="n"/>
      <c r="AD36" s="31" t="n"/>
      <c r="AE36" s="31" t="n"/>
      <c r="AF36" s="27">
        <f>IF(NOT(COUNTA(A36:AE36)&gt;0),"",IF(A36="","New client","Update"))</f>
        <v/>
      </c>
      <c r="AG36" s="27">
        <f>IF(AO36&lt;&gt;"",AO36,IF(LEN(AN36)=15,MID(AN36,3,10),""))</f>
        <v/>
      </c>
      <c r="AH36" s="27">
        <f>IF(AP36="","",AP36&amp;IF(D36="","  (guessed from PAN)",""))</f>
        <v/>
      </c>
      <c r="AI36" s="27">
        <f>IF(AN36="","",IFERROR(INDEX(Lists!$L$2:$L$38,MATCH(LEFT(AN36,2),Lists!$K$2:$K$38,0)),"Unknown code"))</f>
        <v/>
      </c>
      <c r="AJ36" s="27">
        <f>IF(AN36="","",IFERROR(IF(NOT(AND(LEN(AN36)=15,ISNUMBER(MATCH(LEFT(AN36,2),Lists!$K$2:$K$38,0)),SUMPRODUCT(--ISERROR(FIND(MID(MID(AN36,3,10),{1,2,3,4,5,10},1),"ABCDEFGHIJKLMNOPQRSTUVWXYZ")))=0,SUMPRODUCT(--ISERROR(FIND(MID(MID(AN36,3,10),{6,7,8,9},1),"0123456789")))=0,ISNUMBER(FIND(MID(AN36,13,1),"123456789ABCDEFGHIJKLMNOPQRSTUVWXYZ")),MID(AN36,14,1)="Z")),"Wrong format",IF(MID("0123456789ABCDEFGHIJKLMNOPQRSTUVWXYZ",MOD(36-MOD(SUMPRODUCT(INT((FIND(MID(AN36,{1,2,3,4,5,6,7,8,9,10,11,12,13,14},1),"0123456789ABCDEFGHIJKLMNOPQRSTUVWXYZ")-1)*{1,2,1,2,1,2,1,2,1,2,1,2,1,2}/36)+MOD((FIND(MID(AN36,{1,2,3,4,5,6,7,8,9,10,11,12,13,14},1),"0123456789ABCDEFGHIJKLMNOPQRSTUVWXYZ")-1)*{1,2,1,2,1,2,1,2,1,2,1,2,1,2},36)),36),36)+1,1)=MID(AN36,15,1),"OK","Typo? check digit wrong")),"Wrong format"))</f>
        <v/>
      </c>
      <c r="AK36" s="27">
        <f>IF(AO36="","",IF(AND(LEN(AO36)=10,SUMPRODUCT(--ISERROR(FIND(MID(AO36,{1,2,3,4,5,10},1),"ABCDEFGHIJKLMNOPQRSTUVWXYZ")))=0,SUMPRODUCT(--ISERROR(FIND(MID(AO36,{6,7,8,9},1),"0123456789")))=0),"OK","Wrong format"))</f>
        <v/>
      </c>
      <c r="AL36" s="27">
        <f>IF(TRIM(H36)="","",IF(AND(LEN(UPPER(TRIM(H36)))=10,SUMPRODUCT(--ISERROR(FIND(MID(UPPER(TRIM(H36)),{1,2,3,4,10},1),"ABCDEFGHIJKLMNOPQRSTUVWXYZ")))=0,SUMPRODUCT(--ISERROR(FIND(MID(UPPER(TRIM(H36)),{5,6,7,8,9},1),"0123456789")))=0),"OK","Wrong format"))</f>
        <v/>
      </c>
      <c r="AM36" s="28">
        <f>IF(NOT(COUNTA(A36:AE36)&gt;0),"",IF(AS36&lt;&gt;"","✖ "&amp;LEFT(AS36,LEN(AS36)-2),IF(AR36&gt;0,"✔ Ready — client + "&amp;AR36&amp;" service(s)","✔ Ready — client only")))</f>
        <v/>
      </c>
      <c r="AN36" s="29">
        <f>UPPER(SUBSTITUTE(TRIM(F36)," ",""))</f>
        <v/>
      </c>
      <c r="AO36" s="29">
        <f>UPPER(SUBSTITUTE(TRIM(E36)," ",""))</f>
        <v/>
      </c>
      <c r="AP36" s="29">
        <f>IF(D36&lt;&gt;"",D36,IFERROR(VLOOKUP(MID(AG36,4,1),Lists!$E$2:$F$8,2,FALSE),""))</f>
        <v/>
      </c>
      <c r="AQ36" s="29">
        <f>IFERROR(VLOOKUP(AP36,Lists!$A$2:$C$12,3,FALSE),"")</f>
        <v/>
      </c>
      <c r="AR36" s="29">
        <f>COUNTIF(W36:AC36,"Yes")</f>
        <v/>
      </c>
      <c r="AS36" s="29">
        <f>IF(TRIM(B36)="","Legal name missing; ","")&amp;IF(AND(AJ36&lt;&gt;"",AJ36&lt;&gt;"OK"),"GSTIN: "&amp;AJ36&amp;"; ","")&amp;IF(AND(AK36&lt;&gt;"",AK36&lt;&gt;"OK"),"PAN wrong format; ","")&amp;IF(AND(AO36&lt;&gt;"",LEN(AN36)=15,MID(AN36,3,10)&lt;&gt;AO36),"PAN does not match GSTIN; ","")&amp;IF(AND(AL36&lt;&gt;"",AL36&lt;&gt;"OK"),"TAN wrong format; ","")&amp;IF(AG36="","PAN missing; ","")&amp;IF(AP36="","Entity type missing; ","")&amp;IF(AND(AN36&lt;&gt;"",COUNTIF($AN$6:$AN$1005,AN36)&gt;1),"GSTIN repeated in this sheet; ","")&amp;IF(AND(AG36&lt;&gt;"",COUNTIF($AG$6:$AG$1005,AG36)&gt;1),"PAN repeated in this sheet (same client? put extra GSTINs in Other GSTINs); ","")&amp;IF(AND(AR36&gt;0,V36=""),"Financial year missing; ","")&amp;IF(AND(AR36=0,V36&lt;&gt;""),"Financial year given but no service is Yes; ","")&amp;IF(AND(W36="Yes",AN36=""),"GST needs a GSTIN; ","")&amp;IF(AND(W36="Yes",X36=""),"GST return frequency missing; ","")&amp;IF(AND(Y36="Yes",TRIM(H36)=""),"TDS needs a TAN; ","")&amp;IF(AND(AA36="Yes",AQ36&lt;&gt;"",AQ36&lt;&gt;"company",AQ36&lt;&gt;"llp"),"ROC is only for a company / LLP; ","")&amp;IF(AND(AA36="Yes",OR(AQ36="company",AQ36="llp"),TRIM(I36)=""),"ROC needs the CIN / LLPIN; ","")</f>
        <v/>
      </c>
    </row>
    <row r="37">
      <c r="A37" s="30" t="n"/>
      <c r="B37" s="31" t="n"/>
      <c r="C37" s="31" t="n"/>
      <c r="D37" s="31" t="n"/>
      <c r="E37" s="30" t="n"/>
      <c r="F37" s="30" t="n"/>
      <c r="G37" s="30" t="n"/>
      <c r="H37" s="30" t="n"/>
      <c r="I37" s="30" t="n"/>
      <c r="J37" s="32" t="n"/>
      <c r="K37" s="31" t="n"/>
      <c r="L37" s="30" t="n"/>
      <c r="M37" s="31" t="n"/>
      <c r="N37" s="31" t="n"/>
      <c r="O37" s="31" t="n"/>
      <c r="P37" s="30" t="n"/>
      <c r="Q37" s="31" t="n"/>
      <c r="R37" s="31" t="n"/>
      <c r="S37" s="31" t="n"/>
      <c r="T37" s="31" t="n"/>
      <c r="U37" s="30" t="n"/>
      <c r="V37" s="31" t="n"/>
      <c r="W37" s="31" t="n"/>
      <c r="X37" s="31" t="n"/>
      <c r="Y37" s="31" t="n"/>
      <c r="Z37" s="31" t="n"/>
      <c r="AA37" s="31" t="n"/>
      <c r="AB37" s="31" t="n"/>
      <c r="AC37" s="31" t="n"/>
      <c r="AD37" s="31" t="n"/>
      <c r="AE37" s="31" t="n"/>
      <c r="AF37" s="27">
        <f>IF(NOT(COUNTA(A37:AE37)&gt;0),"",IF(A37="","New client","Update"))</f>
        <v/>
      </c>
      <c r="AG37" s="27">
        <f>IF(AO37&lt;&gt;"",AO37,IF(LEN(AN37)=15,MID(AN37,3,10),""))</f>
        <v/>
      </c>
      <c r="AH37" s="27">
        <f>IF(AP37="","",AP37&amp;IF(D37="","  (guessed from PAN)",""))</f>
        <v/>
      </c>
      <c r="AI37" s="27">
        <f>IF(AN37="","",IFERROR(INDEX(Lists!$L$2:$L$38,MATCH(LEFT(AN37,2),Lists!$K$2:$K$38,0)),"Unknown code"))</f>
        <v/>
      </c>
      <c r="AJ37" s="27">
        <f>IF(AN37="","",IFERROR(IF(NOT(AND(LEN(AN37)=15,ISNUMBER(MATCH(LEFT(AN37,2),Lists!$K$2:$K$38,0)),SUMPRODUCT(--ISERROR(FIND(MID(MID(AN37,3,10),{1,2,3,4,5,10},1),"ABCDEFGHIJKLMNOPQRSTUVWXYZ")))=0,SUMPRODUCT(--ISERROR(FIND(MID(MID(AN37,3,10),{6,7,8,9},1),"0123456789")))=0,ISNUMBER(FIND(MID(AN37,13,1),"123456789ABCDEFGHIJKLMNOPQRSTUVWXYZ")),MID(AN37,14,1)="Z")),"Wrong format",IF(MID("0123456789ABCDEFGHIJKLMNOPQRSTUVWXYZ",MOD(36-MOD(SUMPRODUCT(INT((FIND(MID(AN37,{1,2,3,4,5,6,7,8,9,10,11,12,13,14},1),"0123456789ABCDEFGHIJKLMNOPQRSTUVWXYZ")-1)*{1,2,1,2,1,2,1,2,1,2,1,2,1,2}/36)+MOD((FIND(MID(AN37,{1,2,3,4,5,6,7,8,9,10,11,12,13,14},1),"0123456789ABCDEFGHIJKLMNOPQRSTUVWXYZ")-1)*{1,2,1,2,1,2,1,2,1,2,1,2,1,2},36)),36),36)+1,1)=MID(AN37,15,1),"OK","Typo? check digit wrong")),"Wrong format"))</f>
        <v/>
      </c>
      <c r="AK37" s="27">
        <f>IF(AO37="","",IF(AND(LEN(AO37)=10,SUMPRODUCT(--ISERROR(FIND(MID(AO37,{1,2,3,4,5,10},1),"ABCDEFGHIJKLMNOPQRSTUVWXYZ")))=0,SUMPRODUCT(--ISERROR(FIND(MID(AO37,{6,7,8,9},1),"0123456789")))=0),"OK","Wrong format"))</f>
        <v/>
      </c>
      <c r="AL37" s="27">
        <f>IF(TRIM(H37)="","",IF(AND(LEN(UPPER(TRIM(H37)))=10,SUMPRODUCT(--ISERROR(FIND(MID(UPPER(TRIM(H37)),{1,2,3,4,10},1),"ABCDEFGHIJKLMNOPQRSTUVWXYZ")))=0,SUMPRODUCT(--ISERROR(FIND(MID(UPPER(TRIM(H37)),{5,6,7,8,9},1),"0123456789")))=0),"OK","Wrong format"))</f>
        <v/>
      </c>
      <c r="AM37" s="28">
        <f>IF(NOT(COUNTA(A37:AE37)&gt;0),"",IF(AS37&lt;&gt;"","✖ "&amp;LEFT(AS37,LEN(AS37)-2),IF(AR37&gt;0,"✔ Ready — client + "&amp;AR37&amp;" service(s)","✔ Ready — client only")))</f>
        <v/>
      </c>
      <c r="AN37" s="29">
        <f>UPPER(SUBSTITUTE(TRIM(F37)," ",""))</f>
        <v/>
      </c>
      <c r="AO37" s="29">
        <f>UPPER(SUBSTITUTE(TRIM(E37)," ",""))</f>
        <v/>
      </c>
      <c r="AP37" s="29">
        <f>IF(D37&lt;&gt;"",D37,IFERROR(VLOOKUP(MID(AG37,4,1),Lists!$E$2:$F$8,2,FALSE),""))</f>
        <v/>
      </c>
      <c r="AQ37" s="29">
        <f>IFERROR(VLOOKUP(AP37,Lists!$A$2:$C$12,3,FALSE),"")</f>
        <v/>
      </c>
      <c r="AR37" s="29">
        <f>COUNTIF(W37:AC37,"Yes")</f>
        <v/>
      </c>
      <c r="AS37" s="29">
        <f>IF(TRIM(B37)="","Legal name missing; ","")&amp;IF(AND(AJ37&lt;&gt;"",AJ37&lt;&gt;"OK"),"GSTIN: "&amp;AJ37&amp;"; ","")&amp;IF(AND(AK37&lt;&gt;"",AK37&lt;&gt;"OK"),"PAN wrong format; ","")&amp;IF(AND(AO37&lt;&gt;"",LEN(AN37)=15,MID(AN37,3,10)&lt;&gt;AO37),"PAN does not match GSTIN; ","")&amp;IF(AND(AL37&lt;&gt;"",AL37&lt;&gt;"OK"),"TAN wrong format; ","")&amp;IF(AG37="","PAN missing; ","")&amp;IF(AP37="","Entity type missing; ","")&amp;IF(AND(AN37&lt;&gt;"",COUNTIF($AN$6:$AN$1005,AN37)&gt;1),"GSTIN repeated in this sheet; ","")&amp;IF(AND(AG37&lt;&gt;"",COUNTIF($AG$6:$AG$1005,AG37)&gt;1),"PAN repeated in this sheet (same client? put extra GSTINs in Other GSTINs); ","")&amp;IF(AND(AR37&gt;0,V37=""),"Financial year missing; ","")&amp;IF(AND(AR37=0,V37&lt;&gt;""),"Financial year given but no service is Yes; ","")&amp;IF(AND(W37="Yes",AN37=""),"GST needs a GSTIN; ","")&amp;IF(AND(W37="Yes",X37=""),"GST return frequency missing; ","")&amp;IF(AND(Y37="Yes",TRIM(H37)=""),"TDS needs a TAN; ","")&amp;IF(AND(AA37="Yes",AQ37&lt;&gt;"",AQ37&lt;&gt;"company",AQ37&lt;&gt;"llp"),"ROC is only for a company / LLP; ","")&amp;IF(AND(AA37="Yes",OR(AQ37="company",AQ37="llp"),TRIM(I37)=""),"ROC needs the CIN / LLPIN; ","")</f>
        <v/>
      </c>
    </row>
    <row r="38">
      <c r="A38" s="30" t="n"/>
      <c r="B38" s="31" t="n"/>
      <c r="C38" s="31" t="n"/>
      <c r="D38" s="31" t="n"/>
      <c r="E38" s="30" t="n"/>
      <c r="F38" s="30" t="n"/>
      <c r="G38" s="30" t="n"/>
      <c r="H38" s="30" t="n"/>
      <c r="I38" s="30" t="n"/>
      <c r="J38" s="32" t="n"/>
      <c r="K38" s="31" t="n"/>
      <c r="L38" s="30" t="n"/>
      <c r="M38" s="31" t="n"/>
      <c r="N38" s="31" t="n"/>
      <c r="O38" s="31" t="n"/>
      <c r="P38" s="30" t="n"/>
      <c r="Q38" s="31" t="n"/>
      <c r="R38" s="31" t="n"/>
      <c r="S38" s="31" t="n"/>
      <c r="T38" s="31" t="n"/>
      <c r="U38" s="30" t="n"/>
      <c r="V38" s="31" t="n"/>
      <c r="W38" s="31" t="n"/>
      <c r="X38" s="31" t="n"/>
      <c r="Y38" s="31" t="n"/>
      <c r="Z38" s="31" t="n"/>
      <c r="AA38" s="31" t="n"/>
      <c r="AB38" s="31" t="n"/>
      <c r="AC38" s="31" t="n"/>
      <c r="AD38" s="31" t="n"/>
      <c r="AE38" s="31" t="n"/>
      <c r="AF38" s="27">
        <f>IF(NOT(COUNTA(A38:AE38)&gt;0),"",IF(A38="","New client","Update"))</f>
        <v/>
      </c>
      <c r="AG38" s="27">
        <f>IF(AO38&lt;&gt;"",AO38,IF(LEN(AN38)=15,MID(AN38,3,10),""))</f>
        <v/>
      </c>
      <c r="AH38" s="27">
        <f>IF(AP38="","",AP38&amp;IF(D38="","  (guessed from PAN)",""))</f>
        <v/>
      </c>
      <c r="AI38" s="27">
        <f>IF(AN38="","",IFERROR(INDEX(Lists!$L$2:$L$38,MATCH(LEFT(AN38,2),Lists!$K$2:$K$38,0)),"Unknown code"))</f>
        <v/>
      </c>
      <c r="AJ38" s="27">
        <f>IF(AN38="","",IFERROR(IF(NOT(AND(LEN(AN38)=15,ISNUMBER(MATCH(LEFT(AN38,2),Lists!$K$2:$K$38,0)),SUMPRODUCT(--ISERROR(FIND(MID(MID(AN38,3,10),{1,2,3,4,5,10},1),"ABCDEFGHIJKLMNOPQRSTUVWXYZ")))=0,SUMPRODUCT(--ISERROR(FIND(MID(MID(AN38,3,10),{6,7,8,9},1),"0123456789")))=0,ISNUMBER(FIND(MID(AN38,13,1),"123456789ABCDEFGHIJKLMNOPQRSTUVWXYZ")),MID(AN38,14,1)="Z")),"Wrong format",IF(MID("0123456789ABCDEFGHIJKLMNOPQRSTUVWXYZ",MOD(36-MOD(SUMPRODUCT(INT((FIND(MID(AN38,{1,2,3,4,5,6,7,8,9,10,11,12,13,14},1),"0123456789ABCDEFGHIJKLMNOPQRSTUVWXYZ")-1)*{1,2,1,2,1,2,1,2,1,2,1,2,1,2}/36)+MOD((FIND(MID(AN38,{1,2,3,4,5,6,7,8,9,10,11,12,13,14},1),"0123456789ABCDEFGHIJKLMNOPQRSTUVWXYZ")-1)*{1,2,1,2,1,2,1,2,1,2,1,2,1,2},36)),36),36)+1,1)=MID(AN38,15,1),"OK","Typo? check digit wrong")),"Wrong format"))</f>
        <v/>
      </c>
      <c r="AK38" s="27">
        <f>IF(AO38="","",IF(AND(LEN(AO38)=10,SUMPRODUCT(--ISERROR(FIND(MID(AO38,{1,2,3,4,5,10},1),"ABCDEFGHIJKLMNOPQRSTUVWXYZ")))=0,SUMPRODUCT(--ISERROR(FIND(MID(AO38,{6,7,8,9},1),"0123456789")))=0),"OK","Wrong format"))</f>
        <v/>
      </c>
      <c r="AL38" s="27">
        <f>IF(TRIM(H38)="","",IF(AND(LEN(UPPER(TRIM(H38)))=10,SUMPRODUCT(--ISERROR(FIND(MID(UPPER(TRIM(H38)),{1,2,3,4,10},1),"ABCDEFGHIJKLMNOPQRSTUVWXYZ")))=0,SUMPRODUCT(--ISERROR(FIND(MID(UPPER(TRIM(H38)),{5,6,7,8,9},1),"0123456789")))=0),"OK","Wrong format"))</f>
        <v/>
      </c>
      <c r="AM38" s="28">
        <f>IF(NOT(COUNTA(A38:AE38)&gt;0),"",IF(AS38&lt;&gt;"","✖ "&amp;LEFT(AS38,LEN(AS38)-2),IF(AR38&gt;0,"✔ Ready — client + "&amp;AR38&amp;" service(s)","✔ Ready — client only")))</f>
        <v/>
      </c>
      <c r="AN38" s="29">
        <f>UPPER(SUBSTITUTE(TRIM(F38)," ",""))</f>
        <v/>
      </c>
      <c r="AO38" s="29">
        <f>UPPER(SUBSTITUTE(TRIM(E38)," ",""))</f>
        <v/>
      </c>
      <c r="AP38" s="29">
        <f>IF(D38&lt;&gt;"",D38,IFERROR(VLOOKUP(MID(AG38,4,1),Lists!$E$2:$F$8,2,FALSE),""))</f>
        <v/>
      </c>
      <c r="AQ38" s="29">
        <f>IFERROR(VLOOKUP(AP38,Lists!$A$2:$C$12,3,FALSE),"")</f>
        <v/>
      </c>
      <c r="AR38" s="29">
        <f>COUNTIF(W38:AC38,"Yes")</f>
        <v/>
      </c>
      <c r="AS38" s="29">
        <f>IF(TRIM(B38)="","Legal name missing; ","")&amp;IF(AND(AJ38&lt;&gt;"",AJ38&lt;&gt;"OK"),"GSTIN: "&amp;AJ38&amp;"; ","")&amp;IF(AND(AK38&lt;&gt;"",AK38&lt;&gt;"OK"),"PAN wrong format; ","")&amp;IF(AND(AO38&lt;&gt;"",LEN(AN38)=15,MID(AN38,3,10)&lt;&gt;AO38),"PAN does not match GSTIN; ","")&amp;IF(AND(AL38&lt;&gt;"",AL38&lt;&gt;"OK"),"TAN wrong format; ","")&amp;IF(AG38="","PAN missing; ","")&amp;IF(AP38="","Entity type missing; ","")&amp;IF(AND(AN38&lt;&gt;"",COUNTIF($AN$6:$AN$1005,AN38)&gt;1),"GSTIN repeated in this sheet; ","")&amp;IF(AND(AG38&lt;&gt;"",COUNTIF($AG$6:$AG$1005,AG38)&gt;1),"PAN repeated in this sheet (same client? put extra GSTINs in Other GSTINs); ","")&amp;IF(AND(AR38&gt;0,V38=""),"Financial year missing; ","")&amp;IF(AND(AR38=0,V38&lt;&gt;""),"Financial year given but no service is Yes; ","")&amp;IF(AND(W38="Yes",AN38=""),"GST needs a GSTIN; ","")&amp;IF(AND(W38="Yes",X38=""),"GST return frequency missing; ","")&amp;IF(AND(Y38="Yes",TRIM(H38)=""),"TDS needs a TAN; ","")&amp;IF(AND(AA38="Yes",AQ38&lt;&gt;"",AQ38&lt;&gt;"company",AQ38&lt;&gt;"llp"),"ROC is only for a company / LLP; ","")&amp;IF(AND(AA38="Yes",OR(AQ38="company",AQ38="llp"),TRIM(I38)=""),"ROC needs the CIN / LLPIN; ","")</f>
        <v/>
      </c>
    </row>
    <row r="39">
      <c r="A39" s="30" t="n"/>
      <c r="B39" s="31" t="n"/>
      <c r="C39" s="31" t="n"/>
      <c r="D39" s="31" t="n"/>
      <c r="E39" s="30" t="n"/>
      <c r="F39" s="30" t="n"/>
      <c r="G39" s="30" t="n"/>
      <c r="H39" s="30" t="n"/>
      <c r="I39" s="30" t="n"/>
      <c r="J39" s="32" t="n"/>
      <c r="K39" s="31" t="n"/>
      <c r="L39" s="30" t="n"/>
      <c r="M39" s="31" t="n"/>
      <c r="N39" s="31" t="n"/>
      <c r="O39" s="31" t="n"/>
      <c r="P39" s="30" t="n"/>
      <c r="Q39" s="31" t="n"/>
      <c r="R39" s="31" t="n"/>
      <c r="S39" s="31" t="n"/>
      <c r="T39" s="31" t="n"/>
      <c r="U39" s="30" t="n"/>
      <c r="V39" s="31" t="n"/>
      <c r="W39" s="31" t="n"/>
      <c r="X39" s="31" t="n"/>
      <c r="Y39" s="31" t="n"/>
      <c r="Z39" s="31" t="n"/>
      <c r="AA39" s="31" t="n"/>
      <c r="AB39" s="31" t="n"/>
      <c r="AC39" s="31" t="n"/>
      <c r="AD39" s="31" t="n"/>
      <c r="AE39" s="31" t="n"/>
      <c r="AF39" s="27">
        <f>IF(NOT(COUNTA(A39:AE39)&gt;0),"",IF(A39="","New client","Update"))</f>
        <v/>
      </c>
      <c r="AG39" s="27">
        <f>IF(AO39&lt;&gt;"",AO39,IF(LEN(AN39)=15,MID(AN39,3,10),""))</f>
        <v/>
      </c>
      <c r="AH39" s="27">
        <f>IF(AP39="","",AP39&amp;IF(D39="","  (guessed from PAN)",""))</f>
        <v/>
      </c>
      <c r="AI39" s="27">
        <f>IF(AN39="","",IFERROR(INDEX(Lists!$L$2:$L$38,MATCH(LEFT(AN39,2),Lists!$K$2:$K$38,0)),"Unknown code"))</f>
        <v/>
      </c>
      <c r="AJ39" s="27">
        <f>IF(AN39="","",IFERROR(IF(NOT(AND(LEN(AN39)=15,ISNUMBER(MATCH(LEFT(AN39,2),Lists!$K$2:$K$38,0)),SUMPRODUCT(--ISERROR(FIND(MID(MID(AN39,3,10),{1,2,3,4,5,10},1),"ABCDEFGHIJKLMNOPQRSTUVWXYZ")))=0,SUMPRODUCT(--ISERROR(FIND(MID(MID(AN39,3,10),{6,7,8,9},1),"0123456789")))=0,ISNUMBER(FIND(MID(AN39,13,1),"123456789ABCDEFGHIJKLMNOPQRSTUVWXYZ")),MID(AN39,14,1)="Z")),"Wrong format",IF(MID("0123456789ABCDEFGHIJKLMNOPQRSTUVWXYZ",MOD(36-MOD(SUMPRODUCT(INT((FIND(MID(AN39,{1,2,3,4,5,6,7,8,9,10,11,12,13,14},1),"0123456789ABCDEFGHIJKLMNOPQRSTUVWXYZ")-1)*{1,2,1,2,1,2,1,2,1,2,1,2,1,2}/36)+MOD((FIND(MID(AN39,{1,2,3,4,5,6,7,8,9,10,11,12,13,14},1),"0123456789ABCDEFGHIJKLMNOPQRSTUVWXYZ")-1)*{1,2,1,2,1,2,1,2,1,2,1,2,1,2},36)),36),36)+1,1)=MID(AN39,15,1),"OK","Typo? check digit wrong")),"Wrong format"))</f>
        <v/>
      </c>
      <c r="AK39" s="27">
        <f>IF(AO39="","",IF(AND(LEN(AO39)=10,SUMPRODUCT(--ISERROR(FIND(MID(AO39,{1,2,3,4,5,10},1),"ABCDEFGHIJKLMNOPQRSTUVWXYZ")))=0,SUMPRODUCT(--ISERROR(FIND(MID(AO39,{6,7,8,9},1),"0123456789")))=0),"OK","Wrong format"))</f>
        <v/>
      </c>
      <c r="AL39" s="27">
        <f>IF(TRIM(H39)="","",IF(AND(LEN(UPPER(TRIM(H39)))=10,SUMPRODUCT(--ISERROR(FIND(MID(UPPER(TRIM(H39)),{1,2,3,4,10},1),"ABCDEFGHIJKLMNOPQRSTUVWXYZ")))=0,SUMPRODUCT(--ISERROR(FIND(MID(UPPER(TRIM(H39)),{5,6,7,8,9},1),"0123456789")))=0),"OK","Wrong format"))</f>
        <v/>
      </c>
      <c r="AM39" s="28">
        <f>IF(NOT(COUNTA(A39:AE39)&gt;0),"",IF(AS39&lt;&gt;"","✖ "&amp;LEFT(AS39,LEN(AS39)-2),IF(AR39&gt;0,"✔ Ready — client + "&amp;AR39&amp;" service(s)","✔ Ready — client only")))</f>
        <v/>
      </c>
      <c r="AN39" s="29">
        <f>UPPER(SUBSTITUTE(TRIM(F39)," ",""))</f>
        <v/>
      </c>
      <c r="AO39" s="29">
        <f>UPPER(SUBSTITUTE(TRIM(E39)," ",""))</f>
        <v/>
      </c>
      <c r="AP39" s="29">
        <f>IF(D39&lt;&gt;"",D39,IFERROR(VLOOKUP(MID(AG39,4,1),Lists!$E$2:$F$8,2,FALSE),""))</f>
        <v/>
      </c>
      <c r="AQ39" s="29">
        <f>IFERROR(VLOOKUP(AP39,Lists!$A$2:$C$12,3,FALSE),"")</f>
        <v/>
      </c>
      <c r="AR39" s="29">
        <f>COUNTIF(W39:AC39,"Yes")</f>
        <v/>
      </c>
      <c r="AS39" s="29">
        <f>IF(TRIM(B39)="","Legal name missing; ","")&amp;IF(AND(AJ39&lt;&gt;"",AJ39&lt;&gt;"OK"),"GSTIN: "&amp;AJ39&amp;"; ","")&amp;IF(AND(AK39&lt;&gt;"",AK39&lt;&gt;"OK"),"PAN wrong format; ","")&amp;IF(AND(AO39&lt;&gt;"",LEN(AN39)=15,MID(AN39,3,10)&lt;&gt;AO39),"PAN does not match GSTIN; ","")&amp;IF(AND(AL39&lt;&gt;"",AL39&lt;&gt;"OK"),"TAN wrong format; ","")&amp;IF(AG39="","PAN missing; ","")&amp;IF(AP39="","Entity type missing; ","")&amp;IF(AND(AN39&lt;&gt;"",COUNTIF($AN$6:$AN$1005,AN39)&gt;1),"GSTIN repeated in this sheet; ","")&amp;IF(AND(AG39&lt;&gt;"",COUNTIF($AG$6:$AG$1005,AG39)&gt;1),"PAN repeated in this sheet (same client? put extra GSTINs in Other GSTINs); ","")&amp;IF(AND(AR39&gt;0,V39=""),"Financial year missing; ","")&amp;IF(AND(AR39=0,V39&lt;&gt;""),"Financial year given but no service is Yes; ","")&amp;IF(AND(W39="Yes",AN39=""),"GST needs a GSTIN; ","")&amp;IF(AND(W39="Yes",X39=""),"GST return frequency missing; ","")&amp;IF(AND(Y39="Yes",TRIM(H39)=""),"TDS needs a TAN; ","")&amp;IF(AND(AA39="Yes",AQ39&lt;&gt;"",AQ39&lt;&gt;"company",AQ39&lt;&gt;"llp"),"ROC is only for a company / LLP; ","")&amp;IF(AND(AA39="Yes",OR(AQ39="company",AQ39="llp"),TRIM(I39)=""),"ROC needs the CIN / LLPIN; ","")</f>
        <v/>
      </c>
    </row>
    <row r="40">
      <c r="A40" s="30" t="n"/>
      <c r="B40" s="31" t="n"/>
      <c r="C40" s="31" t="n"/>
      <c r="D40" s="31" t="n"/>
      <c r="E40" s="30" t="n"/>
      <c r="F40" s="30" t="n"/>
      <c r="G40" s="30" t="n"/>
      <c r="H40" s="30" t="n"/>
      <c r="I40" s="30" t="n"/>
      <c r="J40" s="32" t="n"/>
      <c r="K40" s="31" t="n"/>
      <c r="L40" s="30" t="n"/>
      <c r="M40" s="31" t="n"/>
      <c r="N40" s="31" t="n"/>
      <c r="O40" s="31" t="n"/>
      <c r="P40" s="30" t="n"/>
      <c r="Q40" s="31" t="n"/>
      <c r="R40" s="31" t="n"/>
      <c r="S40" s="31" t="n"/>
      <c r="T40" s="31" t="n"/>
      <c r="U40" s="30" t="n"/>
      <c r="V40" s="31" t="n"/>
      <c r="W40" s="31" t="n"/>
      <c r="X40" s="31" t="n"/>
      <c r="Y40" s="31" t="n"/>
      <c r="Z40" s="31" t="n"/>
      <c r="AA40" s="31" t="n"/>
      <c r="AB40" s="31" t="n"/>
      <c r="AC40" s="31" t="n"/>
      <c r="AD40" s="31" t="n"/>
      <c r="AE40" s="31" t="n"/>
      <c r="AF40" s="27">
        <f>IF(NOT(COUNTA(A40:AE40)&gt;0),"",IF(A40="","New client","Update"))</f>
        <v/>
      </c>
      <c r="AG40" s="27">
        <f>IF(AO40&lt;&gt;"",AO40,IF(LEN(AN40)=15,MID(AN40,3,10),""))</f>
        <v/>
      </c>
      <c r="AH40" s="27">
        <f>IF(AP40="","",AP40&amp;IF(D40="","  (guessed from PAN)",""))</f>
        <v/>
      </c>
      <c r="AI40" s="27">
        <f>IF(AN40="","",IFERROR(INDEX(Lists!$L$2:$L$38,MATCH(LEFT(AN40,2),Lists!$K$2:$K$38,0)),"Unknown code"))</f>
        <v/>
      </c>
      <c r="AJ40" s="27">
        <f>IF(AN40="","",IFERROR(IF(NOT(AND(LEN(AN40)=15,ISNUMBER(MATCH(LEFT(AN40,2),Lists!$K$2:$K$38,0)),SUMPRODUCT(--ISERROR(FIND(MID(MID(AN40,3,10),{1,2,3,4,5,10},1),"ABCDEFGHIJKLMNOPQRSTUVWXYZ")))=0,SUMPRODUCT(--ISERROR(FIND(MID(MID(AN40,3,10),{6,7,8,9},1),"0123456789")))=0,ISNUMBER(FIND(MID(AN40,13,1),"123456789ABCDEFGHIJKLMNOPQRSTUVWXYZ")),MID(AN40,14,1)="Z")),"Wrong format",IF(MID("0123456789ABCDEFGHIJKLMNOPQRSTUVWXYZ",MOD(36-MOD(SUMPRODUCT(INT((FIND(MID(AN40,{1,2,3,4,5,6,7,8,9,10,11,12,13,14},1),"0123456789ABCDEFGHIJKLMNOPQRSTUVWXYZ")-1)*{1,2,1,2,1,2,1,2,1,2,1,2,1,2}/36)+MOD((FIND(MID(AN40,{1,2,3,4,5,6,7,8,9,10,11,12,13,14},1),"0123456789ABCDEFGHIJKLMNOPQRSTUVWXYZ")-1)*{1,2,1,2,1,2,1,2,1,2,1,2,1,2},36)),36),36)+1,1)=MID(AN40,15,1),"OK","Typo? check digit wrong")),"Wrong format"))</f>
        <v/>
      </c>
      <c r="AK40" s="27">
        <f>IF(AO40="","",IF(AND(LEN(AO40)=10,SUMPRODUCT(--ISERROR(FIND(MID(AO40,{1,2,3,4,5,10},1),"ABCDEFGHIJKLMNOPQRSTUVWXYZ")))=0,SUMPRODUCT(--ISERROR(FIND(MID(AO40,{6,7,8,9},1),"0123456789")))=0),"OK","Wrong format"))</f>
        <v/>
      </c>
      <c r="AL40" s="27">
        <f>IF(TRIM(H40)="","",IF(AND(LEN(UPPER(TRIM(H40)))=10,SUMPRODUCT(--ISERROR(FIND(MID(UPPER(TRIM(H40)),{1,2,3,4,10},1),"ABCDEFGHIJKLMNOPQRSTUVWXYZ")))=0,SUMPRODUCT(--ISERROR(FIND(MID(UPPER(TRIM(H40)),{5,6,7,8,9},1),"0123456789")))=0),"OK","Wrong format"))</f>
        <v/>
      </c>
      <c r="AM40" s="28">
        <f>IF(NOT(COUNTA(A40:AE40)&gt;0),"",IF(AS40&lt;&gt;"","✖ "&amp;LEFT(AS40,LEN(AS40)-2),IF(AR40&gt;0,"✔ Ready — client + "&amp;AR40&amp;" service(s)","✔ Ready — client only")))</f>
        <v/>
      </c>
      <c r="AN40" s="29">
        <f>UPPER(SUBSTITUTE(TRIM(F40)," ",""))</f>
        <v/>
      </c>
      <c r="AO40" s="29">
        <f>UPPER(SUBSTITUTE(TRIM(E40)," ",""))</f>
        <v/>
      </c>
      <c r="AP40" s="29">
        <f>IF(D40&lt;&gt;"",D40,IFERROR(VLOOKUP(MID(AG40,4,1),Lists!$E$2:$F$8,2,FALSE),""))</f>
        <v/>
      </c>
      <c r="AQ40" s="29">
        <f>IFERROR(VLOOKUP(AP40,Lists!$A$2:$C$12,3,FALSE),"")</f>
        <v/>
      </c>
      <c r="AR40" s="29">
        <f>COUNTIF(W40:AC40,"Yes")</f>
        <v/>
      </c>
      <c r="AS40" s="29">
        <f>IF(TRIM(B40)="","Legal name missing; ","")&amp;IF(AND(AJ40&lt;&gt;"",AJ40&lt;&gt;"OK"),"GSTIN: "&amp;AJ40&amp;"; ","")&amp;IF(AND(AK40&lt;&gt;"",AK40&lt;&gt;"OK"),"PAN wrong format; ","")&amp;IF(AND(AO40&lt;&gt;"",LEN(AN40)=15,MID(AN40,3,10)&lt;&gt;AO40),"PAN does not match GSTIN; ","")&amp;IF(AND(AL40&lt;&gt;"",AL40&lt;&gt;"OK"),"TAN wrong format; ","")&amp;IF(AG40="","PAN missing; ","")&amp;IF(AP40="","Entity type missing; ","")&amp;IF(AND(AN40&lt;&gt;"",COUNTIF($AN$6:$AN$1005,AN40)&gt;1),"GSTIN repeated in this sheet; ","")&amp;IF(AND(AG40&lt;&gt;"",COUNTIF($AG$6:$AG$1005,AG40)&gt;1),"PAN repeated in this sheet (same client? put extra GSTINs in Other GSTINs); ","")&amp;IF(AND(AR40&gt;0,V40=""),"Financial year missing; ","")&amp;IF(AND(AR40=0,V40&lt;&gt;""),"Financial year given but no service is Yes; ","")&amp;IF(AND(W40="Yes",AN40=""),"GST needs a GSTIN; ","")&amp;IF(AND(W40="Yes",X40=""),"GST return frequency missing; ","")&amp;IF(AND(Y40="Yes",TRIM(H40)=""),"TDS needs a TAN; ","")&amp;IF(AND(AA40="Yes",AQ40&lt;&gt;"",AQ40&lt;&gt;"company",AQ40&lt;&gt;"llp"),"ROC is only for a company / LLP; ","")&amp;IF(AND(AA40="Yes",OR(AQ40="company",AQ40="llp"),TRIM(I40)=""),"ROC needs the CIN / LLPIN; ","")</f>
        <v/>
      </c>
    </row>
    <row r="41">
      <c r="A41" s="30" t="n"/>
      <c r="B41" s="31" t="n"/>
      <c r="C41" s="31" t="n"/>
      <c r="D41" s="31" t="n"/>
      <c r="E41" s="30" t="n"/>
      <c r="F41" s="30" t="n"/>
      <c r="G41" s="30" t="n"/>
      <c r="H41" s="30" t="n"/>
      <c r="I41" s="30" t="n"/>
      <c r="J41" s="32" t="n"/>
      <c r="K41" s="31" t="n"/>
      <c r="L41" s="30" t="n"/>
      <c r="M41" s="31" t="n"/>
      <c r="N41" s="31" t="n"/>
      <c r="O41" s="31" t="n"/>
      <c r="P41" s="30" t="n"/>
      <c r="Q41" s="31" t="n"/>
      <c r="R41" s="31" t="n"/>
      <c r="S41" s="31" t="n"/>
      <c r="T41" s="31" t="n"/>
      <c r="U41" s="30" t="n"/>
      <c r="V41" s="31" t="n"/>
      <c r="W41" s="31" t="n"/>
      <c r="X41" s="31" t="n"/>
      <c r="Y41" s="31" t="n"/>
      <c r="Z41" s="31" t="n"/>
      <c r="AA41" s="31" t="n"/>
      <c r="AB41" s="31" t="n"/>
      <c r="AC41" s="31" t="n"/>
      <c r="AD41" s="31" t="n"/>
      <c r="AE41" s="31" t="n"/>
      <c r="AF41" s="27">
        <f>IF(NOT(COUNTA(A41:AE41)&gt;0),"",IF(A41="","New client","Update"))</f>
        <v/>
      </c>
      <c r="AG41" s="27">
        <f>IF(AO41&lt;&gt;"",AO41,IF(LEN(AN41)=15,MID(AN41,3,10),""))</f>
        <v/>
      </c>
      <c r="AH41" s="27">
        <f>IF(AP41="","",AP41&amp;IF(D41="","  (guessed from PAN)",""))</f>
        <v/>
      </c>
      <c r="AI41" s="27">
        <f>IF(AN41="","",IFERROR(INDEX(Lists!$L$2:$L$38,MATCH(LEFT(AN41,2),Lists!$K$2:$K$38,0)),"Unknown code"))</f>
        <v/>
      </c>
      <c r="AJ41" s="27">
        <f>IF(AN41="","",IFERROR(IF(NOT(AND(LEN(AN41)=15,ISNUMBER(MATCH(LEFT(AN41,2),Lists!$K$2:$K$38,0)),SUMPRODUCT(--ISERROR(FIND(MID(MID(AN41,3,10),{1,2,3,4,5,10},1),"ABCDEFGHIJKLMNOPQRSTUVWXYZ")))=0,SUMPRODUCT(--ISERROR(FIND(MID(MID(AN41,3,10),{6,7,8,9},1),"0123456789")))=0,ISNUMBER(FIND(MID(AN41,13,1),"123456789ABCDEFGHIJKLMNOPQRSTUVWXYZ")),MID(AN41,14,1)="Z")),"Wrong format",IF(MID("0123456789ABCDEFGHIJKLMNOPQRSTUVWXYZ",MOD(36-MOD(SUMPRODUCT(INT((FIND(MID(AN41,{1,2,3,4,5,6,7,8,9,10,11,12,13,14},1),"0123456789ABCDEFGHIJKLMNOPQRSTUVWXYZ")-1)*{1,2,1,2,1,2,1,2,1,2,1,2,1,2}/36)+MOD((FIND(MID(AN41,{1,2,3,4,5,6,7,8,9,10,11,12,13,14},1),"0123456789ABCDEFGHIJKLMNOPQRSTUVWXYZ")-1)*{1,2,1,2,1,2,1,2,1,2,1,2,1,2},36)),36),36)+1,1)=MID(AN41,15,1),"OK","Typo? check digit wrong")),"Wrong format"))</f>
        <v/>
      </c>
      <c r="AK41" s="27">
        <f>IF(AO41="","",IF(AND(LEN(AO41)=10,SUMPRODUCT(--ISERROR(FIND(MID(AO41,{1,2,3,4,5,10},1),"ABCDEFGHIJKLMNOPQRSTUVWXYZ")))=0,SUMPRODUCT(--ISERROR(FIND(MID(AO41,{6,7,8,9},1),"0123456789")))=0),"OK","Wrong format"))</f>
        <v/>
      </c>
      <c r="AL41" s="27">
        <f>IF(TRIM(H41)="","",IF(AND(LEN(UPPER(TRIM(H41)))=10,SUMPRODUCT(--ISERROR(FIND(MID(UPPER(TRIM(H41)),{1,2,3,4,10},1),"ABCDEFGHIJKLMNOPQRSTUVWXYZ")))=0,SUMPRODUCT(--ISERROR(FIND(MID(UPPER(TRIM(H41)),{5,6,7,8,9},1),"0123456789")))=0),"OK","Wrong format"))</f>
        <v/>
      </c>
      <c r="AM41" s="28">
        <f>IF(NOT(COUNTA(A41:AE41)&gt;0),"",IF(AS41&lt;&gt;"","✖ "&amp;LEFT(AS41,LEN(AS41)-2),IF(AR41&gt;0,"✔ Ready — client + "&amp;AR41&amp;" service(s)","✔ Ready — client only")))</f>
        <v/>
      </c>
      <c r="AN41" s="29">
        <f>UPPER(SUBSTITUTE(TRIM(F41)," ",""))</f>
        <v/>
      </c>
      <c r="AO41" s="29">
        <f>UPPER(SUBSTITUTE(TRIM(E41)," ",""))</f>
        <v/>
      </c>
      <c r="AP41" s="29">
        <f>IF(D41&lt;&gt;"",D41,IFERROR(VLOOKUP(MID(AG41,4,1),Lists!$E$2:$F$8,2,FALSE),""))</f>
        <v/>
      </c>
      <c r="AQ41" s="29">
        <f>IFERROR(VLOOKUP(AP41,Lists!$A$2:$C$12,3,FALSE),"")</f>
        <v/>
      </c>
      <c r="AR41" s="29">
        <f>COUNTIF(W41:AC41,"Yes")</f>
        <v/>
      </c>
      <c r="AS41" s="29">
        <f>IF(TRIM(B41)="","Legal name missing; ","")&amp;IF(AND(AJ41&lt;&gt;"",AJ41&lt;&gt;"OK"),"GSTIN: "&amp;AJ41&amp;"; ","")&amp;IF(AND(AK41&lt;&gt;"",AK41&lt;&gt;"OK"),"PAN wrong format; ","")&amp;IF(AND(AO41&lt;&gt;"",LEN(AN41)=15,MID(AN41,3,10)&lt;&gt;AO41),"PAN does not match GSTIN; ","")&amp;IF(AND(AL41&lt;&gt;"",AL41&lt;&gt;"OK"),"TAN wrong format; ","")&amp;IF(AG41="","PAN missing; ","")&amp;IF(AP41="","Entity type missing; ","")&amp;IF(AND(AN41&lt;&gt;"",COUNTIF($AN$6:$AN$1005,AN41)&gt;1),"GSTIN repeated in this sheet; ","")&amp;IF(AND(AG41&lt;&gt;"",COUNTIF($AG$6:$AG$1005,AG41)&gt;1),"PAN repeated in this sheet (same client? put extra GSTINs in Other GSTINs); ","")&amp;IF(AND(AR41&gt;0,V41=""),"Financial year missing; ","")&amp;IF(AND(AR41=0,V41&lt;&gt;""),"Financial year given but no service is Yes; ","")&amp;IF(AND(W41="Yes",AN41=""),"GST needs a GSTIN; ","")&amp;IF(AND(W41="Yes",X41=""),"GST return frequency missing; ","")&amp;IF(AND(Y41="Yes",TRIM(H41)=""),"TDS needs a TAN; ","")&amp;IF(AND(AA41="Yes",AQ41&lt;&gt;"",AQ41&lt;&gt;"company",AQ41&lt;&gt;"llp"),"ROC is only for a company / LLP; ","")&amp;IF(AND(AA41="Yes",OR(AQ41="company",AQ41="llp"),TRIM(I41)=""),"ROC needs the CIN / LLPIN; ","")</f>
        <v/>
      </c>
    </row>
    <row r="42">
      <c r="A42" s="30" t="n"/>
      <c r="B42" s="31" t="n"/>
      <c r="C42" s="31" t="n"/>
      <c r="D42" s="31" t="n"/>
      <c r="E42" s="30" t="n"/>
      <c r="F42" s="30" t="n"/>
      <c r="G42" s="30" t="n"/>
      <c r="H42" s="30" t="n"/>
      <c r="I42" s="30" t="n"/>
      <c r="J42" s="32" t="n"/>
      <c r="K42" s="31" t="n"/>
      <c r="L42" s="30" t="n"/>
      <c r="M42" s="31" t="n"/>
      <c r="N42" s="31" t="n"/>
      <c r="O42" s="31" t="n"/>
      <c r="P42" s="30" t="n"/>
      <c r="Q42" s="31" t="n"/>
      <c r="R42" s="31" t="n"/>
      <c r="S42" s="31" t="n"/>
      <c r="T42" s="31" t="n"/>
      <c r="U42" s="30" t="n"/>
      <c r="V42" s="31" t="n"/>
      <c r="W42" s="31" t="n"/>
      <c r="X42" s="31" t="n"/>
      <c r="Y42" s="31" t="n"/>
      <c r="Z42" s="31" t="n"/>
      <c r="AA42" s="31" t="n"/>
      <c r="AB42" s="31" t="n"/>
      <c r="AC42" s="31" t="n"/>
      <c r="AD42" s="31" t="n"/>
      <c r="AE42" s="31" t="n"/>
      <c r="AF42" s="27">
        <f>IF(NOT(COUNTA(A42:AE42)&gt;0),"",IF(A42="","New client","Update"))</f>
        <v/>
      </c>
      <c r="AG42" s="27">
        <f>IF(AO42&lt;&gt;"",AO42,IF(LEN(AN42)=15,MID(AN42,3,10),""))</f>
        <v/>
      </c>
      <c r="AH42" s="27">
        <f>IF(AP42="","",AP42&amp;IF(D42="","  (guessed from PAN)",""))</f>
        <v/>
      </c>
      <c r="AI42" s="27">
        <f>IF(AN42="","",IFERROR(INDEX(Lists!$L$2:$L$38,MATCH(LEFT(AN42,2),Lists!$K$2:$K$38,0)),"Unknown code"))</f>
        <v/>
      </c>
      <c r="AJ42" s="27">
        <f>IF(AN42="","",IFERROR(IF(NOT(AND(LEN(AN42)=15,ISNUMBER(MATCH(LEFT(AN42,2),Lists!$K$2:$K$38,0)),SUMPRODUCT(--ISERROR(FIND(MID(MID(AN42,3,10),{1,2,3,4,5,10},1),"ABCDEFGHIJKLMNOPQRSTUVWXYZ")))=0,SUMPRODUCT(--ISERROR(FIND(MID(MID(AN42,3,10),{6,7,8,9},1),"0123456789")))=0,ISNUMBER(FIND(MID(AN42,13,1),"123456789ABCDEFGHIJKLMNOPQRSTUVWXYZ")),MID(AN42,14,1)="Z")),"Wrong format",IF(MID("0123456789ABCDEFGHIJKLMNOPQRSTUVWXYZ",MOD(36-MOD(SUMPRODUCT(INT((FIND(MID(AN42,{1,2,3,4,5,6,7,8,9,10,11,12,13,14},1),"0123456789ABCDEFGHIJKLMNOPQRSTUVWXYZ")-1)*{1,2,1,2,1,2,1,2,1,2,1,2,1,2}/36)+MOD((FIND(MID(AN42,{1,2,3,4,5,6,7,8,9,10,11,12,13,14},1),"0123456789ABCDEFGHIJKLMNOPQRSTUVWXYZ")-1)*{1,2,1,2,1,2,1,2,1,2,1,2,1,2},36)),36),36)+1,1)=MID(AN42,15,1),"OK","Typo? check digit wrong")),"Wrong format"))</f>
        <v/>
      </c>
      <c r="AK42" s="27">
        <f>IF(AO42="","",IF(AND(LEN(AO42)=10,SUMPRODUCT(--ISERROR(FIND(MID(AO42,{1,2,3,4,5,10},1),"ABCDEFGHIJKLMNOPQRSTUVWXYZ")))=0,SUMPRODUCT(--ISERROR(FIND(MID(AO42,{6,7,8,9},1),"0123456789")))=0),"OK","Wrong format"))</f>
        <v/>
      </c>
      <c r="AL42" s="27">
        <f>IF(TRIM(H42)="","",IF(AND(LEN(UPPER(TRIM(H42)))=10,SUMPRODUCT(--ISERROR(FIND(MID(UPPER(TRIM(H42)),{1,2,3,4,10},1),"ABCDEFGHIJKLMNOPQRSTUVWXYZ")))=0,SUMPRODUCT(--ISERROR(FIND(MID(UPPER(TRIM(H42)),{5,6,7,8,9},1),"0123456789")))=0),"OK","Wrong format"))</f>
        <v/>
      </c>
      <c r="AM42" s="28">
        <f>IF(NOT(COUNTA(A42:AE42)&gt;0),"",IF(AS42&lt;&gt;"","✖ "&amp;LEFT(AS42,LEN(AS42)-2),IF(AR42&gt;0,"✔ Ready — client + "&amp;AR42&amp;" service(s)","✔ Ready — client only")))</f>
        <v/>
      </c>
      <c r="AN42" s="29">
        <f>UPPER(SUBSTITUTE(TRIM(F42)," ",""))</f>
        <v/>
      </c>
      <c r="AO42" s="29">
        <f>UPPER(SUBSTITUTE(TRIM(E42)," ",""))</f>
        <v/>
      </c>
      <c r="AP42" s="29">
        <f>IF(D42&lt;&gt;"",D42,IFERROR(VLOOKUP(MID(AG42,4,1),Lists!$E$2:$F$8,2,FALSE),""))</f>
        <v/>
      </c>
      <c r="AQ42" s="29">
        <f>IFERROR(VLOOKUP(AP42,Lists!$A$2:$C$12,3,FALSE),"")</f>
        <v/>
      </c>
      <c r="AR42" s="29">
        <f>COUNTIF(W42:AC42,"Yes")</f>
        <v/>
      </c>
      <c r="AS42" s="29">
        <f>IF(TRIM(B42)="","Legal name missing; ","")&amp;IF(AND(AJ42&lt;&gt;"",AJ42&lt;&gt;"OK"),"GSTIN: "&amp;AJ42&amp;"; ","")&amp;IF(AND(AK42&lt;&gt;"",AK42&lt;&gt;"OK"),"PAN wrong format; ","")&amp;IF(AND(AO42&lt;&gt;"",LEN(AN42)=15,MID(AN42,3,10)&lt;&gt;AO42),"PAN does not match GSTIN; ","")&amp;IF(AND(AL42&lt;&gt;"",AL42&lt;&gt;"OK"),"TAN wrong format; ","")&amp;IF(AG42="","PAN missing; ","")&amp;IF(AP42="","Entity type missing; ","")&amp;IF(AND(AN42&lt;&gt;"",COUNTIF($AN$6:$AN$1005,AN42)&gt;1),"GSTIN repeated in this sheet; ","")&amp;IF(AND(AG42&lt;&gt;"",COUNTIF($AG$6:$AG$1005,AG42)&gt;1),"PAN repeated in this sheet (same client? put extra GSTINs in Other GSTINs); ","")&amp;IF(AND(AR42&gt;0,V42=""),"Financial year missing; ","")&amp;IF(AND(AR42=0,V42&lt;&gt;""),"Financial year given but no service is Yes; ","")&amp;IF(AND(W42="Yes",AN42=""),"GST needs a GSTIN; ","")&amp;IF(AND(W42="Yes",X42=""),"GST return frequency missing; ","")&amp;IF(AND(Y42="Yes",TRIM(H42)=""),"TDS needs a TAN; ","")&amp;IF(AND(AA42="Yes",AQ42&lt;&gt;"",AQ42&lt;&gt;"company",AQ42&lt;&gt;"llp"),"ROC is only for a company / LLP; ","")&amp;IF(AND(AA42="Yes",OR(AQ42="company",AQ42="llp"),TRIM(I42)=""),"ROC needs the CIN / LLPIN; ","")</f>
        <v/>
      </c>
    </row>
    <row r="43">
      <c r="A43" s="30" t="n"/>
      <c r="B43" s="31" t="n"/>
      <c r="C43" s="31" t="n"/>
      <c r="D43" s="31" t="n"/>
      <c r="E43" s="30" t="n"/>
      <c r="F43" s="30" t="n"/>
      <c r="G43" s="30" t="n"/>
      <c r="H43" s="30" t="n"/>
      <c r="I43" s="30" t="n"/>
      <c r="J43" s="32" t="n"/>
      <c r="K43" s="31" t="n"/>
      <c r="L43" s="30" t="n"/>
      <c r="M43" s="31" t="n"/>
      <c r="N43" s="31" t="n"/>
      <c r="O43" s="31" t="n"/>
      <c r="P43" s="30" t="n"/>
      <c r="Q43" s="31" t="n"/>
      <c r="R43" s="31" t="n"/>
      <c r="S43" s="31" t="n"/>
      <c r="T43" s="31" t="n"/>
      <c r="U43" s="30" t="n"/>
      <c r="V43" s="31" t="n"/>
      <c r="W43" s="31" t="n"/>
      <c r="X43" s="31" t="n"/>
      <c r="Y43" s="31" t="n"/>
      <c r="Z43" s="31" t="n"/>
      <c r="AA43" s="31" t="n"/>
      <c r="AB43" s="31" t="n"/>
      <c r="AC43" s="31" t="n"/>
      <c r="AD43" s="31" t="n"/>
      <c r="AE43" s="31" t="n"/>
      <c r="AF43" s="27">
        <f>IF(NOT(COUNTA(A43:AE43)&gt;0),"",IF(A43="","New client","Update"))</f>
        <v/>
      </c>
      <c r="AG43" s="27">
        <f>IF(AO43&lt;&gt;"",AO43,IF(LEN(AN43)=15,MID(AN43,3,10),""))</f>
        <v/>
      </c>
      <c r="AH43" s="27">
        <f>IF(AP43="","",AP43&amp;IF(D43="","  (guessed from PAN)",""))</f>
        <v/>
      </c>
      <c r="AI43" s="27">
        <f>IF(AN43="","",IFERROR(INDEX(Lists!$L$2:$L$38,MATCH(LEFT(AN43,2),Lists!$K$2:$K$38,0)),"Unknown code"))</f>
        <v/>
      </c>
      <c r="AJ43" s="27">
        <f>IF(AN43="","",IFERROR(IF(NOT(AND(LEN(AN43)=15,ISNUMBER(MATCH(LEFT(AN43,2),Lists!$K$2:$K$38,0)),SUMPRODUCT(--ISERROR(FIND(MID(MID(AN43,3,10),{1,2,3,4,5,10},1),"ABCDEFGHIJKLMNOPQRSTUVWXYZ")))=0,SUMPRODUCT(--ISERROR(FIND(MID(MID(AN43,3,10),{6,7,8,9},1),"0123456789")))=0,ISNUMBER(FIND(MID(AN43,13,1),"123456789ABCDEFGHIJKLMNOPQRSTUVWXYZ")),MID(AN43,14,1)="Z")),"Wrong format",IF(MID("0123456789ABCDEFGHIJKLMNOPQRSTUVWXYZ",MOD(36-MOD(SUMPRODUCT(INT((FIND(MID(AN43,{1,2,3,4,5,6,7,8,9,10,11,12,13,14},1),"0123456789ABCDEFGHIJKLMNOPQRSTUVWXYZ")-1)*{1,2,1,2,1,2,1,2,1,2,1,2,1,2}/36)+MOD((FIND(MID(AN43,{1,2,3,4,5,6,7,8,9,10,11,12,13,14},1),"0123456789ABCDEFGHIJKLMNOPQRSTUVWXYZ")-1)*{1,2,1,2,1,2,1,2,1,2,1,2,1,2},36)),36),36)+1,1)=MID(AN43,15,1),"OK","Typo? check digit wrong")),"Wrong format"))</f>
        <v/>
      </c>
      <c r="AK43" s="27">
        <f>IF(AO43="","",IF(AND(LEN(AO43)=10,SUMPRODUCT(--ISERROR(FIND(MID(AO43,{1,2,3,4,5,10},1),"ABCDEFGHIJKLMNOPQRSTUVWXYZ")))=0,SUMPRODUCT(--ISERROR(FIND(MID(AO43,{6,7,8,9},1),"0123456789")))=0),"OK","Wrong format"))</f>
        <v/>
      </c>
      <c r="AL43" s="27">
        <f>IF(TRIM(H43)="","",IF(AND(LEN(UPPER(TRIM(H43)))=10,SUMPRODUCT(--ISERROR(FIND(MID(UPPER(TRIM(H43)),{1,2,3,4,10},1),"ABCDEFGHIJKLMNOPQRSTUVWXYZ")))=0,SUMPRODUCT(--ISERROR(FIND(MID(UPPER(TRIM(H43)),{5,6,7,8,9},1),"0123456789")))=0),"OK","Wrong format"))</f>
        <v/>
      </c>
      <c r="AM43" s="28">
        <f>IF(NOT(COUNTA(A43:AE43)&gt;0),"",IF(AS43&lt;&gt;"","✖ "&amp;LEFT(AS43,LEN(AS43)-2),IF(AR43&gt;0,"✔ Ready — client + "&amp;AR43&amp;" service(s)","✔ Ready — client only")))</f>
        <v/>
      </c>
      <c r="AN43" s="29">
        <f>UPPER(SUBSTITUTE(TRIM(F43)," ",""))</f>
        <v/>
      </c>
      <c r="AO43" s="29">
        <f>UPPER(SUBSTITUTE(TRIM(E43)," ",""))</f>
        <v/>
      </c>
      <c r="AP43" s="29">
        <f>IF(D43&lt;&gt;"",D43,IFERROR(VLOOKUP(MID(AG43,4,1),Lists!$E$2:$F$8,2,FALSE),""))</f>
        <v/>
      </c>
      <c r="AQ43" s="29">
        <f>IFERROR(VLOOKUP(AP43,Lists!$A$2:$C$12,3,FALSE),"")</f>
        <v/>
      </c>
      <c r="AR43" s="29">
        <f>COUNTIF(W43:AC43,"Yes")</f>
        <v/>
      </c>
      <c r="AS43" s="29">
        <f>IF(TRIM(B43)="","Legal name missing; ","")&amp;IF(AND(AJ43&lt;&gt;"",AJ43&lt;&gt;"OK"),"GSTIN: "&amp;AJ43&amp;"; ","")&amp;IF(AND(AK43&lt;&gt;"",AK43&lt;&gt;"OK"),"PAN wrong format; ","")&amp;IF(AND(AO43&lt;&gt;"",LEN(AN43)=15,MID(AN43,3,10)&lt;&gt;AO43),"PAN does not match GSTIN; ","")&amp;IF(AND(AL43&lt;&gt;"",AL43&lt;&gt;"OK"),"TAN wrong format; ","")&amp;IF(AG43="","PAN missing; ","")&amp;IF(AP43="","Entity type missing; ","")&amp;IF(AND(AN43&lt;&gt;"",COUNTIF($AN$6:$AN$1005,AN43)&gt;1),"GSTIN repeated in this sheet; ","")&amp;IF(AND(AG43&lt;&gt;"",COUNTIF($AG$6:$AG$1005,AG43)&gt;1),"PAN repeated in this sheet (same client? put extra GSTINs in Other GSTINs); ","")&amp;IF(AND(AR43&gt;0,V43=""),"Financial year missing; ","")&amp;IF(AND(AR43=0,V43&lt;&gt;""),"Financial year given but no service is Yes; ","")&amp;IF(AND(W43="Yes",AN43=""),"GST needs a GSTIN; ","")&amp;IF(AND(W43="Yes",X43=""),"GST return frequency missing; ","")&amp;IF(AND(Y43="Yes",TRIM(H43)=""),"TDS needs a TAN; ","")&amp;IF(AND(AA43="Yes",AQ43&lt;&gt;"",AQ43&lt;&gt;"company",AQ43&lt;&gt;"llp"),"ROC is only for a company / LLP; ","")&amp;IF(AND(AA43="Yes",OR(AQ43="company",AQ43="llp"),TRIM(I43)=""),"ROC needs the CIN / LLPIN; ","")</f>
        <v/>
      </c>
    </row>
    <row r="44">
      <c r="A44" s="30" t="n"/>
      <c r="B44" s="31" t="n"/>
      <c r="C44" s="31" t="n"/>
      <c r="D44" s="31" t="n"/>
      <c r="E44" s="30" t="n"/>
      <c r="F44" s="30" t="n"/>
      <c r="G44" s="30" t="n"/>
      <c r="H44" s="30" t="n"/>
      <c r="I44" s="30" t="n"/>
      <c r="J44" s="32" t="n"/>
      <c r="K44" s="31" t="n"/>
      <c r="L44" s="30" t="n"/>
      <c r="M44" s="31" t="n"/>
      <c r="N44" s="31" t="n"/>
      <c r="O44" s="31" t="n"/>
      <c r="P44" s="30" t="n"/>
      <c r="Q44" s="31" t="n"/>
      <c r="R44" s="31" t="n"/>
      <c r="S44" s="31" t="n"/>
      <c r="T44" s="31" t="n"/>
      <c r="U44" s="30" t="n"/>
      <c r="V44" s="31" t="n"/>
      <c r="W44" s="31" t="n"/>
      <c r="X44" s="31" t="n"/>
      <c r="Y44" s="31" t="n"/>
      <c r="Z44" s="31" t="n"/>
      <c r="AA44" s="31" t="n"/>
      <c r="AB44" s="31" t="n"/>
      <c r="AC44" s="31" t="n"/>
      <c r="AD44" s="31" t="n"/>
      <c r="AE44" s="31" t="n"/>
      <c r="AF44" s="27">
        <f>IF(NOT(COUNTA(A44:AE44)&gt;0),"",IF(A44="","New client","Update"))</f>
        <v/>
      </c>
      <c r="AG44" s="27">
        <f>IF(AO44&lt;&gt;"",AO44,IF(LEN(AN44)=15,MID(AN44,3,10),""))</f>
        <v/>
      </c>
      <c r="AH44" s="27">
        <f>IF(AP44="","",AP44&amp;IF(D44="","  (guessed from PAN)",""))</f>
        <v/>
      </c>
      <c r="AI44" s="27">
        <f>IF(AN44="","",IFERROR(INDEX(Lists!$L$2:$L$38,MATCH(LEFT(AN44,2),Lists!$K$2:$K$38,0)),"Unknown code"))</f>
        <v/>
      </c>
      <c r="AJ44" s="27">
        <f>IF(AN44="","",IFERROR(IF(NOT(AND(LEN(AN44)=15,ISNUMBER(MATCH(LEFT(AN44,2),Lists!$K$2:$K$38,0)),SUMPRODUCT(--ISERROR(FIND(MID(MID(AN44,3,10),{1,2,3,4,5,10},1),"ABCDEFGHIJKLMNOPQRSTUVWXYZ")))=0,SUMPRODUCT(--ISERROR(FIND(MID(MID(AN44,3,10),{6,7,8,9},1),"0123456789")))=0,ISNUMBER(FIND(MID(AN44,13,1),"123456789ABCDEFGHIJKLMNOPQRSTUVWXYZ")),MID(AN44,14,1)="Z")),"Wrong format",IF(MID("0123456789ABCDEFGHIJKLMNOPQRSTUVWXYZ",MOD(36-MOD(SUMPRODUCT(INT((FIND(MID(AN44,{1,2,3,4,5,6,7,8,9,10,11,12,13,14},1),"0123456789ABCDEFGHIJKLMNOPQRSTUVWXYZ")-1)*{1,2,1,2,1,2,1,2,1,2,1,2,1,2}/36)+MOD((FIND(MID(AN44,{1,2,3,4,5,6,7,8,9,10,11,12,13,14},1),"0123456789ABCDEFGHIJKLMNOPQRSTUVWXYZ")-1)*{1,2,1,2,1,2,1,2,1,2,1,2,1,2},36)),36),36)+1,1)=MID(AN44,15,1),"OK","Typo? check digit wrong")),"Wrong format"))</f>
        <v/>
      </c>
      <c r="AK44" s="27">
        <f>IF(AO44="","",IF(AND(LEN(AO44)=10,SUMPRODUCT(--ISERROR(FIND(MID(AO44,{1,2,3,4,5,10},1),"ABCDEFGHIJKLMNOPQRSTUVWXYZ")))=0,SUMPRODUCT(--ISERROR(FIND(MID(AO44,{6,7,8,9},1),"0123456789")))=0),"OK","Wrong format"))</f>
        <v/>
      </c>
      <c r="AL44" s="27">
        <f>IF(TRIM(H44)="","",IF(AND(LEN(UPPER(TRIM(H44)))=10,SUMPRODUCT(--ISERROR(FIND(MID(UPPER(TRIM(H44)),{1,2,3,4,10},1),"ABCDEFGHIJKLMNOPQRSTUVWXYZ")))=0,SUMPRODUCT(--ISERROR(FIND(MID(UPPER(TRIM(H44)),{5,6,7,8,9},1),"0123456789")))=0),"OK","Wrong format"))</f>
        <v/>
      </c>
      <c r="AM44" s="28">
        <f>IF(NOT(COUNTA(A44:AE44)&gt;0),"",IF(AS44&lt;&gt;"","✖ "&amp;LEFT(AS44,LEN(AS44)-2),IF(AR44&gt;0,"✔ Ready — client + "&amp;AR44&amp;" service(s)","✔ Ready — client only")))</f>
        <v/>
      </c>
      <c r="AN44" s="29">
        <f>UPPER(SUBSTITUTE(TRIM(F44)," ",""))</f>
        <v/>
      </c>
      <c r="AO44" s="29">
        <f>UPPER(SUBSTITUTE(TRIM(E44)," ",""))</f>
        <v/>
      </c>
      <c r="AP44" s="29">
        <f>IF(D44&lt;&gt;"",D44,IFERROR(VLOOKUP(MID(AG44,4,1),Lists!$E$2:$F$8,2,FALSE),""))</f>
        <v/>
      </c>
      <c r="AQ44" s="29">
        <f>IFERROR(VLOOKUP(AP44,Lists!$A$2:$C$12,3,FALSE),"")</f>
        <v/>
      </c>
      <c r="AR44" s="29">
        <f>COUNTIF(W44:AC44,"Yes")</f>
        <v/>
      </c>
      <c r="AS44" s="29">
        <f>IF(TRIM(B44)="","Legal name missing; ","")&amp;IF(AND(AJ44&lt;&gt;"",AJ44&lt;&gt;"OK"),"GSTIN: "&amp;AJ44&amp;"; ","")&amp;IF(AND(AK44&lt;&gt;"",AK44&lt;&gt;"OK"),"PAN wrong format; ","")&amp;IF(AND(AO44&lt;&gt;"",LEN(AN44)=15,MID(AN44,3,10)&lt;&gt;AO44),"PAN does not match GSTIN; ","")&amp;IF(AND(AL44&lt;&gt;"",AL44&lt;&gt;"OK"),"TAN wrong format; ","")&amp;IF(AG44="","PAN missing; ","")&amp;IF(AP44="","Entity type missing; ","")&amp;IF(AND(AN44&lt;&gt;"",COUNTIF($AN$6:$AN$1005,AN44)&gt;1),"GSTIN repeated in this sheet; ","")&amp;IF(AND(AG44&lt;&gt;"",COUNTIF($AG$6:$AG$1005,AG44)&gt;1),"PAN repeated in this sheet (same client? put extra GSTINs in Other GSTINs); ","")&amp;IF(AND(AR44&gt;0,V44=""),"Financial year missing; ","")&amp;IF(AND(AR44=0,V44&lt;&gt;""),"Financial year given but no service is Yes; ","")&amp;IF(AND(W44="Yes",AN44=""),"GST needs a GSTIN; ","")&amp;IF(AND(W44="Yes",X44=""),"GST return frequency missing; ","")&amp;IF(AND(Y44="Yes",TRIM(H44)=""),"TDS needs a TAN; ","")&amp;IF(AND(AA44="Yes",AQ44&lt;&gt;"",AQ44&lt;&gt;"company",AQ44&lt;&gt;"llp"),"ROC is only for a company / LLP; ","")&amp;IF(AND(AA44="Yes",OR(AQ44="company",AQ44="llp"),TRIM(I44)=""),"ROC needs the CIN / LLPIN; ","")</f>
        <v/>
      </c>
    </row>
    <row r="45">
      <c r="A45" s="30" t="n"/>
      <c r="B45" s="31" t="n"/>
      <c r="C45" s="31" t="n"/>
      <c r="D45" s="31" t="n"/>
      <c r="E45" s="30" t="n"/>
      <c r="F45" s="30" t="n"/>
      <c r="G45" s="30" t="n"/>
      <c r="H45" s="30" t="n"/>
      <c r="I45" s="30" t="n"/>
      <c r="J45" s="32" t="n"/>
      <c r="K45" s="31" t="n"/>
      <c r="L45" s="30" t="n"/>
      <c r="M45" s="31" t="n"/>
      <c r="N45" s="31" t="n"/>
      <c r="O45" s="31" t="n"/>
      <c r="P45" s="30" t="n"/>
      <c r="Q45" s="31" t="n"/>
      <c r="R45" s="31" t="n"/>
      <c r="S45" s="31" t="n"/>
      <c r="T45" s="31" t="n"/>
      <c r="U45" s="30" t="n"/>
      <c r="V45" s="31" t="n"/>
      <c r="W45" s="31" t="n"/>
      <c r="X45" s="31" t="n"/>
      <c r="Y45" s="31" t="n"/>
      <c r="Z45" s="31" t="n"/>
      <c r="AA45" s="31" t="n"/>
      <c r="AB45" s="31" t="n"/>
      <c r="AC45" s="31" t="n"/>
      <c r="AD45" s="31" t="n"/>
      <c r="AE45" s="31" t="n"/>
      <c r="AF45" s="27">
        <f>IF(NOT(COUNTA(A45:AE45)&gt;0),"",IF(A45="","New client","Update"))</f>
        <v/>
      </c>
      <c r="AG45" s="27">
        <f>IF(AO45&lt;&gt;"",AO45,IF(LEN(AN45)=15,MID(AN45,3,10),""))</f>
        <v/>
      </c>
      <c r="AH45" s="27">
        <f>IF(AP45="","",AP45&amp;IF(D45="","  (guessed from PAN)",""))</f>
        <v/>
      </c>
      <c r="AI45" s="27">
        <f>IF(AN45="","",IFERROR(INDEX(Lists!$L$2:$L$38,MATCH(LEFT(AN45,2),Lists!$K$2:$K$38,0)),"Unknown code"))</f>
        <v/>
      </c>
      <c r="AJ45" s="27">
        <f>IF(AN45="","",IFERROR(IF(NOT(AND(LEN(AN45)=15,ISNUMBER(MATCH(LEFT(AN45,2),Lists!$K$2:$K$38,0)),SUMPRODUCT(--ISERROR(FIND(MID(MID(AN45,3,10),{1,2,3,4,5,10},1),"ABCDEFGHIJKLMNOPQRSTUVWXYZ")))=0,SUMPRODUCT(--ISERROR(FIND(MID(MID(AN45,3,10),{6,7,8,9},1),"0123456789")))=0,ISNUMBER(FIND(MID(AN45,13,1),"123456789ABCDEFGHIJKLMNOPQRSTUVWXYZ")),MID(AN45,14,1)="Z")),"Wrong format",IF(MID("0123456789ABCDEFGHIJKLMNOPQRSTUVWXYZ",MOD(36-MOD(SUMPRODUCT(INT((FIND(MID(AN45,{1,2,3,4,5,6,7,8,9,10,11,12,13,14},1),"0123456789ABCDEFGHIJKLMNOPQRSTUVWXYZ")-1)*{1,2,1,2,1,2,1,2,1,2,1,2,1,2}/36)+MOD((FIND(MID(AN45,{1,2,3,4,5,6,7,8,9,10,11,12,13,14},1),"0123456789ABCDEFGHIJKLMNOPQRSTUVWXYZ")-1)*{1,2,1,2,1,2,1,2,1,2,1,2,1,2},36)),36),36)+1,1)=MID(AN45,15,1),"OK","Typo? check digit wrong")),"Wrong format"))</f>
        <v/>
      </c>
      <c r="AK45" s="27">
        <f>IF(AO45="","",IF(AND(LEN(AO45)=10,SUMPRODUCT(--ISERROR(FIND(MID(AO45,{1,2,3,4,5,10},1),"ABCDEFGHIJKLMNOPQRSTUVWXYZ")))=0,SUMPRODUCT(--ISERROR(FIND(MID(AO45,{6,7,8,9},1),"0123456789")))=0),"OK","Wrong format"))</f>
        <v/>
      </c>
      <c r="AL45" s="27">
        <f>IF(TRIM(H45)="","",IF(AND(LEN(UPPER(TRIM(H45)))=10,SUMPRODUCT(--ISERROR(FIND(MID(UPPER(TRIM(H45)),{1,2,3,4,10},1),"ABCDEFGHIJKLMNOPQRSTUVWXYZ")))=0,SUMPRODUCT(--ISERROR(FIND(MID(UPPER(TRIM(H45)),{5,6,7,8,9},1),"0123456789")))=0),"OK","Wrong format"))</f>
        <v/>
      </c>
      <c r="AM45" s="28">
        <f>IF(NOT(COUNTA(A45:AE45)&gt;0),"",IF(AS45&lt;&gt;"","✖ "&amp;LEFT(AS45,LEN(AS45)-2),IF(AR45&gt;0,"✔ Ready — client + "&amp;AR45&amp;" service(s)","✔ Ready — client only")))</f>
        <v/>
      </c>
      <c r="AN45" s="29">
        <f>UPPER(SUBSTITUTE(TRIM(F45)," ",""))</f>
        <v/>
      </c>
      <c r="AO45" s="29">
        <f>UPPER(SUBSTITUTE(TRIM(E45)," ",""))</f>
        <v/>
      </c>
      <c r="AP45" s="29">
        <f>IF(D45&lt;&gt;"",D45,IFERROR(VLOOKUP(MID(AG45,4,1),Lists!$E$2:$F$8,2,FALSE),""))</f>
        <v/>
      </c>
      <c r="AQ45" s="29">
        <f>IFERROR(VLOOKUP(AP45,Lists!$A$2:$C$12,3,FALSE),"")</f>
        <v/>
      </c>
      <c r="AR45" s="29">
        <f>COUNTIF(W45:AC45,"Yes")</f>
        <v/>
      </c>
      <c r="AS45" s="29">
        <f>IF(TRIM(B45)="","Legal name missing; ","")&amp;IF(AND(AJ45&lt;&gt;"",AJ45&lt;&gt;"OK"),"GSTIN: "&amp;AJ45&amp;"; ","")&amp;IF(AND(AK45&lt;&gt;"",AK45&lt;&gt;"OK"),"PAN wrong format; ","")&amp;IF(AND(AO45&lt;&gt;"",LEN(AN45)=15,MID(AN45,3,10)&lt;&gt;AO45),"PAN does not match GSTIN; ","")&amp;IF(AND(AL45&lt;&gt;"",AL45&lt;&gt;"OK"),"TAN wrong format; ","")&amp;IF(AG45="","PAN missing; ","")&amp;IF(AP45="","Entity type missing; ","")&amp;IF(AND(AN45&lt;&gt;"",COUNTIF($AN$6:$AN$1005,AN45)&gt;1),"GSTIN repeated in this sheet; ","")&amp;IF(AND(AG45&lt;&gt;"",COUNTIF($AG$6:$AG$1005,AG45)&gt;1),"PAN repeated in this sheet (same client? put extra GSTINs in Other GSTINs); ","")&amp;IF(AND(AR45&gt;0,V45=""),"Financial year missing; ","")&amp;IF(AND(AR45=0,V45&lt;&gt;""),"Financial year given but no service is Yes; ","")&amp;IF(AND(W45="Yes",AN45=""),"GST needs a GSTIN; ","")&amp;IF(AND(W45="Yes",X45=""),"GST return frequency missing; ","")&amp;IF(AND(Y45="Yes",TRIM(H45)=""),"TDS needs a TAN; ","")&amp;IF(AND(AA45="Yes",AQ45&lt;&gt;"",AQ45&lt;&gt;"company",AQ45&lt;&gt;"llp"),"ROC is only for a company / LLP; ","")&amp;IF(AND(AA45="Yes",OR(AQ45="company",AQ45="llp"),TRIM(I45)=""),"ROC needs the CIN / LLPIN; ","")</f>
        <v/>
      </c>
    </row>
    <row r="46">
      <c r="A46" s="30" t="n"/>
      <c r="B46" s="31" t="n"/>
      <c r="C46" s="31" t="n"/>
      <c r="D46" s="31" t="n"/>
      <c r="E46" s="30" t="n"/>
      <c r="F46" s="30" t="n"/>
      <c r="G46" s="30" t="n"/>
      <c r="H46" s="30" t="n"/>
      <c r="I46" s="30" t="n"/>
      <c r="J46" s="32" t="n"/>
      <c r="K46" s="31" t="n"/>
      <c r="L46" s="30" t="n"/>
      <c r="M46" s="31" t="n"/>
      <c r="N46" s="31" t="n"/>
      <c r="O46" s="31" t="n"/>
      <c r="P46" s="30" t="n"/>
      <c r="Q46" s="31" t="n"/>
      <c r="R46" s="31" t="n"/>
      <c r="S46" s="31" t="n"/>
      <c r="T46" s="31" t="n"/>
      <c r="U46" s="30" t="n"/>
      <c r="V46" s="31" t="n"/>
      <c r="W46" s="31" t="n"/>
      <c r="X46" s="31" t="n"/>
      <c r="Y46" s="31" t="n"/>
      <c r="Z46" s="31" t="n"/>
      <c r="AA46" s="31" t="n"/>
      <c r="AB46" s="31" t="n"/>
      <c r="AC46" s="31" t="n"/>
      <c r="AD46" s="31" t="n"/>
      <c r="AE46" s="31" t="n"/>
      <c r="AF46" s="27">
        <f>IF(NOT(COUNTA(A46:AE46)&gt;0),"",IF(A46="","New client","Update"))</f>
        <v/>
      </c>
      <c r="AG46" s="27">
        <f>IF(AO46&lt;&gt;"",AO46,IF(LEN(AN46)=15,MID(AN46,3,10),""))</f>
        <v/>
      </c>
      <c r="AH46" s="27">
        <f>IF(AP46="","",AP46&amp;IF(D46="","  (guessed from PAN)",""))</f>
        <v/>
      </c>
      <c r="AI46" s="27">
        <f>IF(AN46="","",IFERROR(INDEX(Lists!$L$2:$L$38,MATCH(LEFT(AN46,2),Lists!$K$2:$K$38,0)),"Unknown code"))</f>
        <v/>
      </c>
      <c r="AJ46" s="27">
        <f>IF(AN46="","",IFERROR(IF(NOT(AND(LEN(AN46)=15,ISNUMBER(MATCH(LEFT(AN46,2),Lists!$K$2:$K$38,0)),SUMPRODUCT(--ISERROR(FIND(MID(MID(AN46,3,10),{1,2,3,4,5,10},1),"ABCDEFGHIJKLMNOPQRSTUVWXYZ")))=0,SUMPRODUCT(--ISERROR(FIND(MID(MID(AN46,3,10),{6,7,8,9},1),"0123456789")))=0,ISNUMBER(FIND(MID(AN46,13,1),"123456789ABCDEFGHIJKLMNOPQRSTUVWXYZ")),MID(AN46,14,1)="Z")),"Wrong format",IF(MID("0123456789ABCDEFGHIJKLMNOPQRSTUVWXYZ",MOD(36-MOD(SUMPRODUCT(INT((FIND(MID(AN46,{1,2,3,4,5,6,7,8,9,10,11,12,13,14},1),"0123456789ABCDEFGHIJKLMNOPQRSTUVWXYZ")-1)*{1,2,1,2,1,2,1,2,1,2,1,2,1,2}/36)+MOD((FIND(MID(AN46,{1,2,3,4,5,6,7,8,9,10,11,12,13,14},1),"0123456789ABCDEFGHIJKLMNOPQRSTUVWXYZ")-1)*{1,2,1,2,1,2,1,2,1,2,1,2,1,2},36)),36),36)+1,1)=MID(AN46,15,1),"OK","Typo? check digit wrong")),"Wrong format"))</f>
        <v/>
      </c>
      <c r="AK46" s="27">
        <f>IF(AO46="","",IF(AND(LEN(AO46)=10,SUMPRODUCT(--ISERROR(FIND(MID(AO46,{1,2,3,4,5,10},1),"ABCDEFGHIJKLMNOPQRSTUVWXYZ")))=0,SUMPRODUCT(--ISERROR(FIND(MID(AO46,{6,7,8,9},1),"0123456789")))=0),"OK","Wrong format"))</f>
        <v/>
      </c>
      <c r="AL46" s="27">
        <f>IF(TRIM(H46)="","",IF(AND(LEN(UPPER(TRIM(H46)))=10,SUMPRODUCT(--ISERROR(FIND(MID(UPPER(TRIM(H46)),{1,2,3,4,10},1),"ABCDEFGHIJKLMNOPQRSTUVWXYZ")))=0,SUMPRODUCT(--ISERROR(FIND(MID(UPPER(TRIM(H46)),{5,6,7,8,9},1),"0123456789")))=0),"OK","Wrong format"))</f>
        <v/>
      </c>
      <c r="AM46" s="28">
        <f>IF(NOT(COUNTA(A46:AE46)&gt;0),"",IF(AS46&lt;&gt;"","✖ "&amp;LEFT(AS46,LEN(AS46)-2),IF(AR46&gt;0,"✔ Ready — client + "&amp;AR46&amp;" service(s)","✔ Ready — client only")))</f>
        <v/>
      </c>
      <c r="AN46" s="29">
        <f>UPPER(SUBSTITUTE(TRIM(F46)," ",""))</f>
        <v/>
      </c>
      <c r="AO46" s="29">
        <f>UPPER(SUBSTITUTE(TRIM(E46)," ",""))</f>
        <v/>
      </c>
      <c r="AP46" s="29">
        <f>IF(D46&lt;&gt;"",D46,IFERROR(VLOOKUP(MID(AG46,4,1),Lists!$E$2:$F$8,2,FALSE),""))</f>
        <v/>
      </c>
      <c r="AQ46" s="29">
        <f>IFERROR(VLOOKUP(AP46,Lists!$A$2:$C$12,3,FALSE),"")</f>
        <v/>
      </c>
      <c r="AR46" s="29">
        <f>COUNTIF(W46:AC46,"Yes")</f>
        <v/>
      </c>
      <c r="AS46" s="29">
        <f>IF(TRIM(B46)="","Legal name missing; ","")&amp;IF(AND(AJ46&lt;&gt;"",AJ46&lt;&gt;"OK"),"GSTIN: "&amp;AJ46&amp;"; ","")&amp;IF(AND(AK46&lt;&gt;"",AK46&lt;&gt;"OK"),"PAN wrong format; ","")&amp;IF(AND(AO46&lt;&gt;"",LEN(AN46)=15,MID(AN46,3,10)&lt;&gt;AO46),"PAN does not match GSTIN; ","")&amp;IF(AND(AL46&lt;&gt;"",AL46&lt;&gt;"OK"),"TAN wrong format; ","")&amp;IF(AG46="","PAN missing; ","")&amp;IF(AP46="","Entity type missing; ","")&amp;IF(AND(AN46&lt;&gt;"",COUNTIF($AN$6:$AN$1005,AN46)&gt;1),"GSTIN repeated in this sheet; ","")&amp;IF(AND(AG46&lt;&gt;"",COUNTIF($AG$6:$AG$1005,AG46)&gt;1),"PAN repeated in this sheet (same client? put extra GSTINs in Other GSTINs); ","")&amp;IF(AND(AR46&gt;0,V46=""),"Financial year missing; ","")&amp;IF(AND(AR46=0,V46&lt;&gt;""),"Financial year given but no service is Yes; ","")&amp;IF(AND(W46="Yes",AN46=""),"GST needs a GSTIN; ","")&amp;IF(AND(W46="Yes",X46=""),"GST return frequency missing; ","")&amp;IF(AND(Y46="Yes",TRIM(H46)=""),"TDS needs a TAN; ","")&amp;IF(AND(AA46="Yes",AQ46&lt;&gt;"",AQ46&lt;&gt;"company",AQ46&lt;&gt;"llp"),"ROC is only for a company / LLP; ","")&amp;IF(AND(AA46="Yes",OR(AQ46="company",AQ46="llp"),TRIM(I46)=""),"ROC needs the CIN / LLPIN; ","")</f>
        <v/>
      </c>
    </row>
    <row r="47">
      <c r="A47" s="30" t="n"/>
      <c r="B47" s="31" t="n"/>
      <c r="C47" s="31" t="n"/>
      <c r="D47" s="31" t="n"/>
      <c r="E47" s="30" t="n"/>
      <c r="F47" s="30" t="n"/>
      <c r="G47" s="30" t="n"/>
      <c r="H47" s="30" t="n"/>
      <c r="I47" s="30" t="n"/>
      <c r="J47" s="32" t="n"/>
      <c r="K47" s="31" t="n"/>
      <c r="L47" s="30" t="n"/>
      <c r="M47" s="31" t="n"/>
      <c r="N47" s="31" t="n"/>
      <c r="O47" s="31" t="n"/>
      <c r="P47" s="30" t="n"/>
      <c r="Q47" s="31" t="n"/>
      <c r="R47" s="31" t="n"/>
      <c r="S47" s="31" t="n"/>
      <c r="T47" s="31" t="n"/>
      <c r="U47" s="30" t="n"/>
      <c r="V47" s="31" t="n"/>
      <c r="W47" s="31" t="n"/>
      <c r="X47" s="31" t="n"/>
      <c r="Y47" s="31" t="n"/>
      <c r="Z47" s="31" t="n"/>
      <c r="AA47" s="31" t="n"/>
      <c r="AB47" s="31" t="n"/>
      <c r="AC47" s="31" t="n"/>
      <c r="AD47" s="31" t="n"/>
      <c r="AE47" s="31" t="n"/>
      <c r="AF47" s="27">
        <f>IF(NOT(COUNTA(A47:AE47)&gt;0),"",IF(A47="","New client","Update"))</f>
        <v/>
      </c>
      <c r="AG47" s="27">
        <f>IF(AO47&lt;&gt;"",AO47,IF(LEN(AN47)=15,MID(AN47,3,10),""))</f>
        <v/>
      </c>
      <c r="AH47" s="27">
        <f>IF(AP47="","",AP47&amp;IF(D47="","  (guessed from PAN)",""))</f>
        <v/>
      </c>
      <c r="AI47" s="27">
        <f>IF(AN47="","",IFERROR(INDEX(Lists!$L$2:$L$38,MATCH(LEFT(AN47,2),Lists!$K$2:$K$38,0)),"Unknown code"))</f>
        <v/>
      </c>
      <c r="AJ47" s="27">
        <f>IF(AN47="","",IFERROR(IF(NOT(AND(LEN(AN47)=15,ISNUMBER(MATCH(LEFT(AN47,2),Lists!$K$2:$K$38,0)),SUMPRODUCT(--ISERROR(FIND(MID(MID(AN47,3,10),{1,2,3,4,5,10},1),"ABCDEFGHIJKLMNOPQRSTUVWXYZ")))=0,SUMPRODUCT(--ISERROR(FIND(MID(MID(AN47,3,10),{6,7,8,9},1),"0123456789")))=0,ISNUMBER(FIND(MID(AN47,13,1),"123456789ABCDEFGHIJKLMNOPQRSTUVWXYZ")),MID(AN47,14,1)="Z")),"Wrong format",IF(MID("0123456789ABCDEFGHIJKLMNOPQRSTUVWXYZ",MOD(36-MOD(SUMPRODUCT(INT((FIND(MID(AN47,{1,2,3,4,5,6,7,8,9,10,11,12,13,14},1),"0123456789ABCDEFGHIJKLMNOPQRSTUVWXYZ")-1)*{1,2,1,2,1,2,1,2,1,2,1,2,1,2}/36)+MOD((FIND(MID(AN47,{1,2,3,4,5,6,7,8,9,10,11,12,13,14},1),"0123456789ABCDEFGHIJKLMNOPQRSTUVWXYZ")-1)*{1,2,1,2,1,2,1,2,1,2,1,2,1,2},36)),36),36)+1,1)=MID(AN47,15,1),"OK","Typo? check digit wrong")),"Wrong format"))</f>
        <v/>
      </c>
      <c r="AK47" s="27">
        <f>IF(AO47="","",IF(AND(LEN(AO47)=10,SUMPRODUCT(--ISERROR(FIND(MID(AO47,{1,2,3,4,5,10},1),"ABCDEFGHIJKLMNOPQRSTUVWXYZ")))=0,SUMPRODUCT(--ISERROR(FIND(MID(AO47,{6,7,8,9},1),"0123456789")))=0),"OK","Wrong format"))</f>
        <v/>
      </c>
      <c r="AL47" s="27">
        <f>IF(TRIM(H47)="","",IF(AND(LEN(UPPER(TRIM(H47)))=10,SUMPRODUCT(--ISERROR(FIND(MID(UPPER(TRIM(H47)),{1,2,3,4,10},1),"ABCDEFGHIJKLMNOPQRSTUVWXYZ")))=0,SUMPRODUCT(--ISERROR(FIND(MID(UPPER(TRIM(H47)),{5,6,7,8,9},1),"0123456789")))=0),"OK","Wrong format"))</f>
        <v/>
      </c>
      <c r="AM47" s="28">
        <f>IF(NOT(COUNTA(A47:AE47)&gt;0),"",IF(AS47&lt;&gt;"","✖ "&amp;LEFT(AS47,LEN(AS47)-2),IF(AR47&gt;0,"✔ Ready — client + "&amp;AR47&amp;" service(s)","✔ Ready — client only")))</f>
        <v/>
      </c>
      <c r="AN47" s="29">
        <f>UPPER(SUBSTITUTE(TRIM(F47)," ",""))</f>
        <v/>
      </c>
      <c r="AO47" s="29">
        <f>UPPER(SUBSTITUTE(TRIM(E47)," ",""))</f>
        <v/>
      </c>
      <c r="AP47" s="29">
        <f>IF(D47&lt;&gt;"",D47,IFERROR(VLOOKUP(MID(AG47,4,1),Lists!$E$2:$F$8,2,FALSE),""))</f>
        <v/>
      </c>
      <c r="AQ47" s="29">
        <f>IFERROR(VLOOKUP(AP47,Lists!$A$2:$C$12,3,FALSE),"")</f>
        <v/>
      </c>
      <c r="AR47" s="29">
        <f>COUNTIF(W47:AC47,"Yes")</f>
        <v/>
      </c>
      <c r="AS47" s="29">
        <f>IF(TRIM(B47)="","Legal name missing; ","")&amp;IF(AND(AJ47&lt;&gt;"",AJ47&lt;&gt;"OK"),"GSTIN: "&amp;AJ47&amp;"; ","")&amp;IF(AND(AK47&lt;&gt;"",AK47&lt;&gt;"OK"),"PAN wrong format; ","")&amp;IF(AND(AO47&lt;&gt;"",LEN(AN47)=15,MID(AN47,3,10)&lt;&gt;AO47),"PAN does not match GSTIN; ","")&amp;IF(AND(AL47&lt;&gt;"",AL47&lt;&gt;"OK"),"TAN wrong format; ","")&amp;IF(AG47="","PAN missing; ","")&amp;IF(AP47="","Entity type missing; ","")&amp;IF(AND(AN47&lt;&gt;"",COUNTIF($AN$6:$AN$1005,AN47)&gt;1),"GSTIN repeated in this sheet; ","")&amp;IF(AND(AG47&lt;&gt;"",COUNTIF($AG$6:$AG$1005,AG47)&gt;1),"PAN repeated in this sheet (same client? put extra GSTINs in Other GSTINs); ","")&amp;IF(AND(AR47&gt;0,V47=""),"Financial year missing; ","")&amp;IF(AND(AR47=0,V47&lt;&gt;""),"Financial year given but no service is Yes; ","")&amp;IF(AND(W47="Yes",AN47=""),"GST needs a GSTIN; ","")&amp;IF(AND(W47="Yes",X47=""),"GST return frequency missing; ","")&amp;IF(AND(Y47="Yes",TRIM(H47)=""),"TDS needs a TAN; ","")&amp;IF(AND(AA47="Yes",AQ47&lt;&gt;"",AQ47&lt;&gt;"company",AQ47&lt;&gt;"llp"),"ROC is only for a company / LLP; ","")&amp;IF(AND(AA47="Yes",OR(AQ47="company",AQ47="llp"),TRIM(I47)=""),"ROC needs the CIN / LLPIN; ","")</f>
        <v/>
      </c>
    </row>
    <row r="48">
      <c r="A48" s="30" t="n"/>
      <c r="B48" s="31" t="n"/>
      <c r="C48" s="31" t="n"/>
      <c r="D48" s="31" t="n"/>
      <c r="E48" s="30" t="n"/>
      <c r="F48" s="30" t="n"/>
      <c r="G48" s="30" t="n"/>
      <c r="H48" s="30" t="n"/>
      <c r="I48" s="30" t="n"/>
      <c r="J48" s="32" t="n"/>
      <c r="K48" s="31" t="n"/>
      <c r="L48" s="30" t="n"/>
      <c r="M48" s="31" t="n"/>
      <c r="N48" s="31" t="n"/>
      <c r="O48" s="31" t="n"/>
      <c r="P48" s="30" t="n"/>
      <c r="Q48" s="31" t="n"/>
      <c r="R48" s="31" t="n"/>
      <c r="S48" s="31" t="n"/>
      <c r="T48" s="31" t="n"/>
      <c r="U48" s="30" t="n"/>
      <c r="V48" s="31" t="n"/>
      <c r="W48" s="31" t="n"/>
      <c r="X48" s="31" t="n"/>
      <c r="Y48" s="31" t="n"/>
      <c r="Z48" s="31" t="n"/>
      <c r="AA48" s="31" t="n"/>
      <c r="AB48" s="31" t="n"/>
      <c r="AC48" s="31" t="n"/>
      <c r="AD48" s="31" t="n"/>
      <c r="AE48" s="31" t="n"/>
      <c r="AF48" s="27">
        <f>IF(NOT(COUNTA(A48:AE48)&gt;0),"",IF(A48="","New client","Update"))</f>
        <v/>
      </c>
      <c r="AG48" s="27">
        <f>IF(AO48&lt;&gt;"",AO48,IF(LEN(AN48)=15,MID(AN48,3,10),""))</f>
        <v/>
      </c>
      <c r="AH48" s="27">
        <f>IF(AP48="","",AP48&amp;IF(D48="","  (guessed from PAN)",""))</f>
        <v/>
      </c>
      <c r="AI48" s="27">
        <f>IF(AN48="","",IFERROR(INDEX(Lists!$L$2:$L$38,MATCH(LEFT(AN48,2),Lists!$K$2:$K$38,0)),"Unknown code"))</f>
        <v/>
      </c>
      <c r="AJ48" s="27">
        <f>IF(AN48="","",IFERROR(IF(NOT(AND(LEN(AN48)=15,ISNUMBER(MATCH(LEFT(AN48,2),Lists!$K$2:$K$38,0)),SUMPRODUCT(--ISERROR(FIND(MID(MID(AN48,3,10),{1,2,3,4,5,10},1),"ABCDEFGHIJKLMNOPQRSTUVWXYZ")))=0,SUMPRODUCT(--ISERROR(FIND(MID(MID(AN48,3,10),{6,7,8,9},1),"0123456789")))=0,ISNUMBER(FIND(MID(AN48,13,1),"123456789ABCDEFGHIJKLMNOPQRSTUVWXYZ")),MID(AN48,14,1)="Z")),"Wrong format",IF(MID("0123456789ABCDEFGHIJKLMNOPQRSTUVWXYZ",MOD(36-MOD(SUMPRODUCT(INT((FIND(MID(AN48,{1,2,3,4,5,6,7,8,9,10,11,12,13,14},1),"0123456789ABCDEFGHIJKLMNOPQRSTUVWXYZ")-1)*{1,2,1,2,1,2,1,2,1,2,1,2,1,2}/36)+MOD((FIND(MID(AN48,{1,2,3,4,5,6,7,8,9,10,11,12,13,14},1),"0123456789ABCDEFGHIJKLMNOPQRSTUVWXYZ")-1)*{1,2,1,2,1,2,1,2,1,2,1,2,1,2},36)),36),36)+1,1)=MID(AN48,15,1),"OK","Typo? check digit wrong")),"Wrong format"))</f>
        <v/>
      </c>
      <c r="AK48" s="27">
        <f>IF(AO48="","",IF(AND(LEN(AO48)=10,SUMPRODUCT(--ISERROR(FIND(MID(AO48,{1,2,3,4,5,10},1),"ABCDEFGHIJKLMNOPQRSTUVWXYZ")))=0,SUMPRODUCT(--ISERROR(FIND(MID(AO48,{6,7,8,9},1),"0123456789")))=0),"OK","Wrong format"))</f>
        <v/>
      </c>
      <c r="AL48" s="27">
        <f>IF(TRIM(H48)="","",IF(AND(LEN(UPPER(TRIM(H48)))=10,SUMPRODUCT(--ISERROR(FIND(MID(UPPER(TRIM(H48)),{1,2,3,4,10},1),"ABCDEFGHIJKLMNOPQRSTUVWXYZ")))=0,SUMPRODUCT(--ISERROR(FIND(MID(UPPER(TRIM(H48)),{5,6,7,8,9},1),"0123456789")))=0),"OK","Wrong format"))</f>
        <v/>
      </c>
      <c r="AM48" s="28">
        <f>IF(NOT(COUNTA(A48:AE48)&gt;0),"",IF(AS48&lt;&gt;"","✖ "&amp;LEFT(AS48,LEN(AS48)-2),IF(AR48&gt;0,"✔ Ready — client + "&amp;AR48&amp;" service(s)","✔ Ready — client only")))</f>
        <v/>
      </c>
      <c r="AN48" s="29">
        <f>UPPER(SUBSTITUTE(TRIM(F48)," ",""))</f>
        <v/>
      </c>
      <c r="AO48" s="29">
        <f>UPPER(SUBSTITUTE(TRIM(E48)," ",""))</f>
        <v/>
      </c>
      <c r="AP48" s="29">
        <f>IF(D48&lt;&gt;"",D48,IFERROR(VLOOKUP(MID(AG48,4,1),Lists!$E$2:$F$8,2,FALSE),""))</f>
        <v/>
      </c>
      <c r="AQ48" s="29">
        <f>IFERROR(VLOOKUP(AP48,Lists!$A$2:$C$12,3,FALSE),"")</f>
        <v/>
      </c>
      <c r="AR48" s="29">
        <f>COUNTIF(W48:AC48,"Yes")</f>
        <v/>
      </c>
      <c r="AS48" s="29">
        <f>IF(TRIM(B48)="","Legal name missing; ","")&amp;IF(AND(AJ48&lt;&gt;"",AJ48&lt;&gt;"OK"),"GSTIN: "&amp;AJ48&amp;"; ","")&amp;IF(AND(AK48&lt;&gt;"",AK48&lt;&gt;"OK"),"PAN wrong format; ","")&amp;IF(AND(AO48&lt;&gt;"",LEN(AN48)=15,MID(AN48,3,10)&lt;&gt;AO48),"PAN does not match GSTIN; ","")&amp;IF(AND(AL48&lt;&gt;"",AL48&lt;&gt;"OK"),"TAN wrong format; ","")&amp;IF(AG48="","PAN missing; ","")&amp;IF(AP48="","Entity type missing; ","")&amp;IF(AND(AN48&lt;&gt;"",COUNTIF($AN$6:$AN$1005,AN48)&gt;1),"GSTIN repeated in this sheet; ","")&amp;IF(AND(AG48&lt;&gt;"",COUNTIF($AG$6:$AG$1005,AG48)&gt;1),"PAN repeated in this sheet (same client? put extra GSTINs in Other GSTINs); ","")&amp;IF(AND(AR48&gt;0,V48=""),"Financial year missing; ","")&amp;IF(AND(AR48=0,V48&lt;&gt;""),"Financial year given but no service is Yes; ","")&amp;IF(AND(W48="Yes",AN48=""),"GST needs a GSTIN; ","")&amp;IF(AND(W48="Yes",X48=""),"GST return frequency missing; ","")&amp;IF(AND(Y48="Yes",TRIM(H48)=""),"TDS needs a TAN; ","")&amp;IF(AND(AA48="Yes",AQ48&lt;&gt;"",AQ48&lt;&gt;"company",AQ48&lt;&gt;"llp"),"ROC is only for a company / LLP; ","")&amp;IF(AND(AA48="Yes",OR(AQ48="company",AQ48="llp"),TRIM(I48)=""),"ROC needs the CIN / LLPIN; ","")</f>
        <v/>
      </c>
    </row>
    <row r="49">
      <c r="A49" s="30" t="n"/>
      <c r="B49" s="31" t="n"/>
      <c r="C49" s="31" t="n"/>
      <c r="D49" s="31" t="n"/>
      <c r="E49" s="30" t="n"/>
      <c r="F49" s="30" t="n"/>
      <c r="G49" s="30" t="n"/>
      <c r="H49" s="30" t="n"/>
      <c r="I49" s="30" t="n"/>
      <c r="J49" s="32" t="n"/>
      <c r="K49" s="31" t="n"/>
      <c r="L49" s="30" t="n"/>
      <c r="M49" s="31" t="n"/>
      <c r="N49" s="31" t="n"/>
      <c r="O49" s="31" t="n"/>
      <c r="P49" s="30" t="n"/>
      <c r="Q49" s="31" t="n"/>
      <c r="R49" s="31" t="n"/>
      <c r="S49" s="31" t="n"/>
      <c r="T49" s="31" t="n"/>
      <c r="U49" s="30" t="n"/>
      <c r="V49" s="31" t="n"/>
      <c r="W49" s="31" t="n"/>
      <c r="X49" s="31" t="n"/>
      <c r="Y49" s="31" t="n"/>
      <c r="Z49" s="31" t="n"/>
      <c r="AA49" s="31" t="n"/>
      <c r="AB49" s="31" t="n"/>
      <c r="AC49" s="31" t="n"/>
      <c r="AD49" s="31" t="n"/>
      <c r="AE49" s="31" t="n"/>
      <c r="AF49" s="27">
        <f>IF(NOT(COUNTA(A49:AE49)&gt;0),"",IF(A49="","New client","Update"))</f>
        <v/>
      </c>
      <c r="AG49" s="27">
        <f>IF(AO49&lt;&gt;"",AO49,IF(LEN(AN49)=15,MID(AN49,3,10),""))</f>
        <v/>
      </c>
      <c r="AH49" s="27">
        <f>IF(AP49="","",AP49&amp;IF(D49="","  (guessed from PAN)",""))</f>
        <v/>
      </c>
      <c r="AI49" s="27">
        <f>IF(AN49="","",IFERROR(INDEX(Lists!$L$2:$L$38,MATCH(LEFT(AN49,2),Lists!$K$2:$K$38,0)),"Unknown code"))</f>
        <v/>
      </c>
      <c r="AJ49" s="27">
        <f>IF(AN49="","",IFERROR(IF(NOT(AND(LEN(AN49)=15,ISNUMBER(MATCH(LEFT(AN49,2),Lists!$K$2:$K$38,0)),SUMPRODUCT(--ISERROR(FIND(MID(MID(AN49,3,10),{1,2,3,4,5,10},1),"ABCDEFGHIJKLMNOPQRSTUVWXYZ")))=0,SUMPRODUCT(--ISERROR(FIND(MID(MID(AN49,3,10),{6,7,8,9},1),"0123456789")))=0,ISNUMBER(FIND(MID(AN49,13,1),"123456789ABCDEFGHIJKLMNOPQRSTUVWXYZ")),MID(AN49,14,1)="Z")),"Wrong format",IF(MID("0123456789ABCDEFGHIJKLMNOPQRSTUVWXYZ",MOD(36-MOD(SUMPRODUCT(INT((FIND(MID(AN49,{1,2,3,4,5,6,7,8,9,10,11,12,13,14},1),"0123456789ABCDEFGHIJKLMNOPQRSTUVWXYZ")-1)*{1,2,1,2,1,2,1,2,1,2,1,2,1,2}/36)+MOD((FIND(MID(AN49,{1,2,3,4,5,6,7,8,9,10,11,12,13,14},1),"0123456789ABCDEFGHIJKLMNOPQRSTUVWXYZ")-1)*{1,2,1,2,1,2,1,2,1,2,1,2,1,2},36)),36),36)+1,1)=MID(AN49,15,1),"OK","Typo? check digit wrong")),"Wrong format"))</f>
        <v/>
      </c>
      <c r="AK49" s="27">
        <f>IF(AO49="","",IF(AND(LEN(AO49)=10,SUMPRODUCT(--ISERROR(FIND(MID(AO49,{1,2,3,4,5,10},1),"ABCDEFGHIJKLMNOPQRSTUVWXYZ")))=0,SUMPRODUCT(--ISERROR(FIND(MID(AO49,{6,7,8,9},1),"0123456789")))=0),"OK","Wrong format"))</f>
        <v/>
      </c>
      <c r="AL49" s="27">
        <f>IF(TRIM(H49)="","",IF(AND(LEN(UPPER(TRIM(H49)))=10,SUMPRODUCT(--ISERROR(FIND(MID(UPPER(TRIM(H49)),{1,2,3,4,10},1),"ABCDEFGHIJKLMNOPQRSTUVWXYZ")))=0,SUMPRODUCT(--ISERROR(FIND(MID(UPPER(TRIM(H49)),{5,6,7,8,9},1),"0123456789")))=0),"OK","Wrong format"))</f>
        <v/>
      </c>
      <c r="AM49" s="28">
        <f>IF(NOT(COUNTA(A49:AE49)&gt;0),"",IF(AS49&lt;&gt;"","✖ "&amp;LEFT(AS49,LEN(AS49)-2),IF(AR49&gt;0,"✔ Ready — client + "&amp;AR49&amp;" service(s)","✔ Ready — client only")))</f>
        <v/>
      </c>
      <c r="AN49" s="29">
        <f>UPPER(SUBSTITUTE(TRIM(F49)," ",""))</f>
        <v/>
      </c>
      <c r="AO49" s="29">
        <f>UPPER(SUBSTITUTE(TRIM(E49)," ",""))</f>
        <v/>
      </c>
      <c r="AP49" s="29">
        <f>IF(D49&lt;&gt;"",D49,IFERROR(VLOOKUP(MID(AG49,4,1),Lists!$E$2:$F$8,2,FALSE),""))</f>
        <v/>
      </c>
      <c r="AQ49" s="29">
        <f>IFERROR(VLOOKUP(AP49,Lists!$A$2:$C$12,3,FALSE),"")</f>
        <v/>
      </c>
      <c r="AR49" s="29">
        <f>COUNTIF(W49:AC49,"Yes")</f>
        <v/>
      </c>
      <c r="AS49" s="29">
        <f>IF(TRIM(B49)="","Legal name missing; ","")&amp;IF(AND(AJ49&lt;&gt;"",AJ49&lt;&gt;"OK"),"GSTIN: "&amp;AJ49&amp;"; ","")&amp;IF(AND(AK49&lt;&gt;"",AK49&lt;&gt;"OK"),"PAN wrong format; ","")&amp;IF(AND(AO49&lt;&gt;"",LEN(AN49)=15,MID(AN49,3,10)&lt;&gt;AO49),"PAN does not match GSTIN; ","")&amp;IF(AND(AL49&lt;&gt;"",AL49&lt;&gt;"OK"),"TAN wrong format; ","")&amp;IF(AG49="","PAN missing; ","")&amp;IF(AP49="","Entity type missing; ","")&amp;IF(AND(AN49&lt;&gt;"",COUNTIF($AN$6:$AN$1005,AN49)&gt;1),"GSTIN repeated in this sheet; ","")&amp;IF(AND(AG49&lt;&gt;"",COUNTIF($AG$6:$AG$1005,AG49)&gt;1),"PAN repeated in this sheet (same client? put extra GSTINs in Other GSTINs); ","")&amp;IF(AND(AR49&gt;0,V49=""),"Financial year missing; ","")&amp;IF(AND(AR49=0,V49&lt;&gt;""),"Financial year given but no service is Yes; ","")&amp;IF(AND(W49="Yes",AN49=""),"GST needs a GSTIN; ","")&amp;IF(AND(W49="Yes",X49=""),"GST return frequency missing; ","")&amp;IF(AND(Y49="Yes",TRIM(H49)=""),"TDS needs a TAN; ","")&amp;IF(AND(AA49="Yes",AQ49&lt;&gt;"",AQ49&lt;&gt;"company",AQ49&lt;&gt;"llp"),"ROC is only for a company / LLP; ","")&amp;IF(AND(AA49="Yes",OR(AQ49="company",AQ49="llp"),TRIM(I49)=""),"ROC needs the CIN / LLPIN; ","")</f>
        <v/>
      </c>
    </row>
    <row r="50">
      <c r="A50" s="30" t="n"/>
      <c r="B50" s="31" t="n"/>
      <c r="C50" s="31" t="n"/>
      <c r="D50" s="31" t="n"/>
      <c r="E50" s="30" t="n"/>
      <c r="F50" s="30" t="n"/>
      <c r="G50" s="30" t="n"/>
      <c r="H50" s="30" t="n"/>
      <c r="I50" s="30" t="n"/>
      <c r="J50" s="32" t="n"/>
      <c r="K50" s="31" t="n"/>
      <c r="L50" s="30" t="n"/>
      <c r="M50" s="31" t="n"/>
      <c r="N50" s="31" t="n"/>
      <c r="O50" s="31" t="n"/>
      <c r="P50" s="30" t="n"/>
      <c r="Q50" s="31" t="n"/>
      <c r="R50" s="31" t="n"/>
      <c r="S50" s="31" t="n"/>
      <c r="T50" s="31" t="n"/>
      <c r="U50" s="30" t="n"/>
      <c r="V50" s="31" t="n"/>
      <c r="W50" s="31" t="n"/>
      <c r="X50" s="31" t="n"/>
      <c r="Y50" s="31" t="n"/>
      <c r="Z50" s="31" t="n"/>
      <c r="AA50" s="31" t="n"/>
      <c r="AB50" s="31" t="n"/>
      <c r="AC50" s="31" t="n"/>
      <c r="AD50" s="31" t="n"/>
      <c r="AE50" s="31" t="n"/>
      <c r="AF50" s="27">
        <f>IF(NOT(COUNTA(A50:AE50)&gt;0),"",IF(A50="","New client","Update"))</f>
        <v/>
      </c>
      <c r="AG50" s="27">
        <f>IF(AO50&lt;&gt;"",AO50,IF(LEN(AN50)=15,MID(AN50,3,10),""))</f>
        <v/>
      </c>
      <c r="AH50" s="27">
        <f>IF(AP50="","",AP50&amp;IF(D50="","  (guessed from PAN)",""))</f>
        <v/>
      </c>
      <c r="AI50" s="27">
        <f>IF(AN50="","",IFERROR(INDEX(Lists!$L$2:$L$38,MATCH(LEFT(AN50,2),Lists!$K$2:$K$38,0)),"Unknown code"))</f>
        <v/>
      </c>
      <c r="AJ50" s="27">
        <f>IF(AN50="","",IFERROR(IF(NOT(AND(LEN(AN50)=15,ISNUMBER(MATCH(LEFT(AN50,2),Lists!$K$2:$K$38,0)),SUMPRODUCT(--ISERROR(FIND(MID(MID(AN50,3,10),{1,2,3,4,5,10},1),"ABCDEFGHIJKLMNOPQRSTUVWXYZ")))=0,SUMPRODUCT(--ISERROR(FIND(MID(MID(AN50,3,10),{6,7,8,9},1),"0123456789")))=0,ISNUMBER(FIND(MID(AN50,13,1),"123456789ABCDEFGHIJKLMNOPQRSTUVWXYZ")),MID(AN50,14,1)="Z")),"Wrong format",IF(MID("0123456789ABCDEFGHIJKLMNOPQRSTUVWXYZ",MOD(36-MOD(SUMPRODUCT(INT((FIND(MID(AN50,{1,2,3,4,5,6,7,8,9,10,11,12,13,14},1),"0123456789ABCDEFGHIJKLMNOPQRSTUVWXYZ")-1)*{1,2,1,2,1,2,1,2,1,2,1,2,1,2}/36)+MOD((FIND(MID(AN50,{1,2,3,4,5,6,7,8,9,10,11,12,13,14},1),"0123456789ABCDEFGHIJKLMNOPQRSTUVWXYZ")-1)*{1,2,1,2,1,2,1,2,1,2,1,2,1,2},36)),36),36)+1,1)=MID(AN50,15,1),"OK","Typo? check digit wrong")),"Wrong format"))</f>
        <v/>
      </c>
      <c r="AK50" s="27">
        <f>IF(AO50="","",IF(AND(LEN(AO50)=10,SUMPRODUCT(--ISERROR(FIND(MID(AO50,{1,2,3,4,5,10},1),"ABCDEFGHIJKLMNOPQRSTUVWXYZ")))=0,SUMPRODUCT(--ISERROR(FIND(MID(AO50,{6,7,8,9},1),"0123456789")))=0),"OK","Wrong format"))</f>
        <v/>
      </c>
      <c r="AL50" s="27">
        <f>IF(TRIM(H50)="","",IF(AND(LEN(UPPER(TRIM(H50)))=10,SUMPRODUCT(--ISERROR(FIND(MID(UPPER(TRIM(H50)),{1,2,3,4,10},1),"ABCDEFGHIJKLMNOPQRSTUVWXYZ")))=0,SUMPRODUCT(--ISERROR(FIND(MID(UPPER(TRIM(H50)),{5,6,7,8,9},1),"0123456789")))=0),"OK","Wrong format"))</f>
        <v/>
      </c>
      <c r="AM50" s="28">
        <f>IF(NOT(COUNTA(A50:AE50)&gt;0),"",IF(AS50&lt;&gt;"","✖ "&amp;LEFT(AS50,LEN(AS50)-2),IF(AR50&gt;0,"✔ Ready — client + "&amp;AR50&amp;" service(s)","✔ Ready — client only")))</f>
        <v/>
      </c>
      <c r="AN50" s="29">
        <f>UPPER(SUBSTITUTE(TRIM(F50)," ",""))</f>
        <v/>
      </c>
      <c r="AO50" s="29">
        <f>UPPER(SUBSTITUTE(TRIM(E50)," ",""))</f>
        <v/>
      </c>
      <c r="AP50" s="29">
        <f>IF(D50&lt;&gt;"",D50,IFERROR(VLOOKUP(MID(AG50,4,1),Lists!$E$2:$F$8,2,FALSE),""))</f>
        <v/>
      </c>
      <c r="AQ50" s="29">
        <f>IFERROR(VLOOKUP(AP50,Lists!$A$2:$C$12,3,FALSE),"")</f>
        <v/>
      </c>
      <c r="AR50" s="29">
        <f>COUNTIF(W50:AC50,"Yes")</f>
        <v/>
      </c>
      <c r="AS50" s="29">
        <f>IF(TRIM(B50)="","Legal name missing; ","")&amp;IF(AND(AJ50&lt;&gt;"",AJ50&lt;&gt;"OK"),"GSTIN: "&amp;AJ50&amp;"; ","")&amp;IF(AND(AK50&lt;&gt;"",AK50&lt;&gt;"OK"),"PAN wrong format; ","")&amp;IF(AND(AO50&lt;&gt;"",LEN(AN50)=15,MID(AN50,3,10)&lt;&gt;AO50),"PAN does not match GSTIN; ","")&amp;IF(AND(AL50&lt;&gt;"",AL50&lt;&gt;"OK"),"TAN wrong format; ","")&amp;IF(AG50="","PAN missing; ","")&amp;IF(AP50="","Entity type missing; ","")&amp;IF(AND(AN50&lt;&gt;"",COUNTIF($AN$6:$AN$1005,AN50)&gt;1),"GSTIN repeated in this sheet; ","")&amp;IF(AND(AG50&lt;&gt;"",COUNTIF($AG$6:$AG$1005,AG50)&gt;1),"PAN repeated in this sheet (same client? put extra GSTINs in Other GSTINs); ","")&amp;IF(AND(AR50&gt;0,V50=""),"Financial year missing; ","")&amp;IF(AND(AR50=0,V50&lt;&gt;""),"Financial year given but no service is Yes; ","")&amp;IF(AND(W50="Yes",AN50=""),"GST needs a GSTIN; ","")&amp;IF(AND(W50="Yes",X50=""),"GST return frequency missing; ","")&amp;IF(AND(Y50="Yes",TRIM(H50)=""),"TDS needs a TAN; ","")&amp;IF(AND(AA50="Yes",AQ50&lt;&gt;"",AQ50&lt;&gt;"company",AQ50&lt;&gt;"llp"),"ROC is only for a company / LLP; ","")&amp;IF(AND(AA50="Yes",OR(AQ50="company",AQ50="llp"),TRIM(I50)=""),"ROC needs the CIN / LLPIN; ","")</f>
        <v/>
      </c>
    </row>
    <row r="51">
      <c r="A51" s="30" t="n"/>
      <c r="B51" s="31" t="n"/>
      <c r="C51" s="31" t="n"/>
      <c r="D51" s="31" t="n"/>
      <c r="E51" s="30" t="n"/>
      <c r="F51" s="30" t="n"/>
      <c r="G51" s="30" t="n"/>
      <c r="H51" s="30" t="n"/>
      <c r="I51" s="30" t="n"/>
      <c r="J51" s="32" t="n"/>
      <c r="K51" s="31" t="n"/>
      <c r="L51" s="30" t="n"/>
      <c r="M51" s="31" t="n"/>
      <c r="N51" s="31" t="n"/>
      <c r="O51" s="31" t="n"/>
      <c r="P51" s="30" t="n"/>
      <c r="Q51" s="31" t="n"/>
      <c r="R51" s="31" t="n"/>
      <c r="S51" s="31" t="n"/>
      <c r="T51" s="31" t="n"/>
      <c r="U51" s="30" t="n"/>
      <c r="V51" s="31" t="n"/>
      <c r="W51" s="31" t="n"/>
      <c r="X51" s="31" t="n"/>
      <c r="Y51" s="31" t="n"/>
      <c r="Z51" s="31" t="n"/>
      <c r="AA51" s="31" t="n"/>
      <c r="AB51" s="31" t="n"/>
      <c r="AC51" s="31" t="n"/>
      <c r="AD51" s="31" t="n"/>
      <c r="AE51" s="31" t="n"/>
      <c r="AF51" s="27">
        <f>IF(NOT(COUNTA(A51:AE51)&gt;0),"",IF(A51="","New client","Update"))</f>
        <v/>
      </c>
      <c r="AG51" s="27">
        <f>IF(AO51&lt;&gt;"",AO51,IF(LEN(AN51)=15,MID(AN51,3,10),""))</f>
        <v/>
      </c>
      <c r="AH51" s="27">
        <f>IF(AP51="","",AP51&amp;IF(D51="","  (guessed from PAN)",""))</f>
        <v/>
      </c>
      <c r="AI51" s="27">
        <f>IF(AN51="","",IFERROR(INDEX(Lists!$L$2:$L$38,MATCH(LEFT(AN51,2),Lists!$K$2:$K$38,0)),"Unknown code"))</f>
        <v/>
      </c>
      <c r="AJ51" s="27">
        <f>IF(AN51="","",IFERROR(IF(NOT(AND(LEN(AN51)=15,ISNUMBER(MATCH(LEFT(AN51,2),Lists!$K$2:$K$38,0)),SUMPRODUCT(--ISERROR(FIND(MID(MID(AN51,3,10),{1,2,3,4,5,10},1),"ABCDEFGHIJKLMNOPQRSTUVWXYZ")))=0,SUMPRODUCT(--ISERROR(FIND(MID(MID(AN51,3,10),{6,7,8,9},1),"0123456789")))=0,ISNUMBER(FIND(MID(AN51,13,1),"123456789ABCDEFGHIJKLMNOPQRSTUVWXYZ")),MID(AN51,14,1)="Z")),"Wrong format",IF(MID("0123456789ABCDEFGHIJKLMNOPQRSTUVWXYZ",MOD(36-MOD(SUMPRODUCT(INT((FIND(MID(AN51,{1,2,3,4,5,6,7,8,9,10,11,12,13,14},1),"0123456789ABCDEFGHIJKLMNOPQRSTUVWXYZ")-1)*{1,2,1,2,1,2,1,2,1,2,1,2,1,2}/36)+MOD((FIND(MID(AN51,{1,2,3,4,5,6,7,8,9,10,11,12,13,14},1),"0123456789ABCDEFGHIJKLMNOPQRSTUVWXYZ")-1)*{1,2,1,2,1,2,1,2,1,2,1,2,1,2},36)),36),36)+1,1)=MID(AN51,15,1),"OK","Typo? check digit wrong")),"Wrong format"))</f>
        <v/>
      </c>
      <c r="AK51" s="27">
        <f>IF(AO51="","",IF(AND(LEN(AO51)=10,SUMPRODUCT(--ISERROR(FIND(MID(AO51,{1,2,3,4,5,10},1),"ABCDEFGHIJKLMNOPQRSTUVWXYZ")))=0,SUMPRODUCT(--ISERROR(FIND(MID(AO51,{6,7,8,9},1),"0123456789")))=0),"OK","Wrong format"))</f>
        <v/>
      </c>
      <c r="AL51" s="27">
        <f>IF(TRIM(H51)="","",IF(AND(LEN(UPPER(TRIM(H51)))=10,SUMPRODUCT(--ISERROR(FIND(MID(UPPER(TRIM(H51)),{1,2,3,4,10},1),"ABCDEFGHIJKLMNOPQRSTUVWXYZ")))=0,SUMPRODUCT(--ISERROR(FIND(MID(UPPER(TRIM(H51)),{5,6,7,8,9},1),"0123456789")))=0),"OK","Wrong format"))</f>
        <v/>
      </c>
      <c r="AM51" s="28">
        <f>IF(NOT(COUNTA(A51:AE51)&gt;0),"",IF(AS51&lt;&gt;"","✖ "&amp;LEFT(AS51,LEN(AS51)-2),IF(AR51&gt;0,"✔ Ready — client + "&amp;AR51&amp;" service(s)","✔ Ready — client only")))</f>
        <v/>
      </c>
      <c r="AN51" s="29">
        <f>UPPER(SUBSTITUTE(TRIM(F51)," ",""))</f>
        <v/>
      </c>
      <c r="AO51" s="29">
        <f>UPPER(SUBSTITUTE(TRIM(E51)," ",""))</f>
        <v/>
      </c>
      <c r="AP51" s="29">
        <f>IF(D51&lt;&gt;"",D51,IFERROR(VLOOKUP(MID(AG51,4,1),Lists!$E$2:$F$8,2,FALSE),""))</f>
        <v/>
      </c>
      <c r="AQ51" s="29">
        <f>IFERROR(VLOOKUP(AP51,Lists!$A$2:$C$12,3,FALSE),"")</f>
        <v/>
      </c>
      <c r="AR51" s="29">
        <f>COUNTIF(W51:AC51,"Yes")</f>
        <v/>
      </c>
      <c r="AS51" s="29">
        <f>IF(TRIM(B51)="","Legal name missing; ","")&amp;IF(AND(AJ51&lt;&gt;"",AJ51&lt;&gt;"OK"),"GSTIN: "&amp;AJ51&amp;"; ","")&amp;IF(AND(AK51&lt;&gt;"",AK51&lt;&gt;"OK"),"PAN wrong format; ","")&amp;IF(AND(AO51&lt;&gt;"",LEN(AN51)=15,MID(AN51,3,10)&lt;&gt;AO51),"PAN does not match GSTIN; ","")&amp;IF(AND(AL51&lt;&gt;"",AL51&lt;&gt;"OK"),"TAN wrong format; ","")&amp;IF(AG51="","PAN missing; ","")&amp;IF(AP51="","Entity type missing; ","")&amp;IF(AND(AN51&lt;&gt;"",COUNTIF($AN$6:$AN$1005,AN51)&gt;1),"GSTIN repeated in this sheet; ","")&amp;IF(AND(AG51&lt;&gt;"",COUNTIF($AG$6:$AG$1005,AG51)&gt;1),"PAN repeated in this sheet (same client? put extra GSTINs in Other GSTINs); ","")&amp;IF(AND(AR51&gt;0,V51=""),"Financial year missing; ","")&amp;IF(AND(AR51=0,V51&lt;&gt;""),"Financial year given but no service is Yes; ","")&amp;IF(AND(W51="Yes",AN51=""),"GST needs a GSTIN; ","")&amp;IF(AND(W51="Yes",X51=""),"GST return frequency missing; ","")&amp;IF(AND(Y51="Yes",TRIM(H51)=""),"TDS needs a TAN; ","")&amp;IF(AND(AA51="Yes",AQ51&lt;&gt;"",AQ51&lt;&gt;"company",AQ51&lt;&gt;"llp"),"ROC is only for a company / LLP; ","")&amp;IF(AND(AA51="Yes",OR(AQ51="company",AQ51="llp"),TRIM(I51)=""),"ROC needs the CIN / LLPIN; ","")</f>
        <v/>
      </c>
    </row>
    <row r="52">
      <c r="A52" s="30" t="n"/>
      <c r="B52" s="31" t="n"/>
      <c r="C52" s="31" t="n"/>
      <c r="D52" s="31" t="n"/>
      <c r="E52" s="30" t="n"/>
      <c r="F52" s="30" t="n"/>
      <c r="G52" s="30" t="n"/>
      <c r="H52" s="30" t="n"/>
      <c r="I52" s="30" t="n"/>
      <c r="J52" s="32" t="n"/>
      <c r="K52" s="31" t="n"/>
      <c r="L52" s="30" t="n"/>
      <c r="M52" s="31" t="n"/>
      <c r="N52" s="31" t="n"/>
      <c r="O52" s="31" t="n"/>
      <c r="P52" s="30" t="n"/>
      <c r="Q52" s="31" t="n"/>
      <c r="R52" s="31" t="n"/>
      <c r="S52" s="31" t="n"/>
      <c r="T52" s="31" t="n"/>
      <c r="U52" s="30" t="n"/>
      <c r="V52" s="31" t="n"/>
      <c r="W52" s="31" t="n"/>
      <c r="X52" s="31" t="n"/>
      <c r="Y52" s="31" t="n"/>
      <c r="Z52" s="31" t="n"/>
      <c r="AA52" s="31" t="n"/>
      <c r="AB52" s="31" t="n"/>
      <c r="AC52" s="31" t="n"/>
      <c r="AD52" s="31" t="n"/>
      <c r="AE52" s="31" t="n"/>
      <c r="AF52" s="27">
        <f>IF(NOT(COUNTA(A52:AE52)&gt;0),"",IF(A52="","New client","Update"))</f>
        <v/>
      </c>
      <c r="AG52" s="27">
        <f>IF(AO52&lt;&gt;"",AO52,IF(LEN(AN52)=15,MID(AN52,3,10),""))</f>
        <v/>
      </c>
      <c r="AH52" s="27">
        <f>IF(AP52="","",AP52&amp;IF(D52="","  (guessed from PAN)",""))</f>
        <v/>
      </c>
      <c r="AI52" s="27">
        <f>IF(AN52="","",IFERROR(INDEX(Lists!$L$2:$L$38,MATCH(LEFT(AN52,2),Lists!$K$2:$K$38,0)),"Unknown code"))</f>
        <v/>
      </c>
      <c r="AJ52" s="27">
        <f>IF(AN52="","",IFERROR(IF(NOT(AND(LEN(AN52)=15,ISNUMBER(MATCH(LEFT(AN52,2),Lists!$K$2:$K$38,0)),SUMPRODUCT(--ISERROR(FIND(MID(MID(AN52,3,10),{1,2,3,4,5,10},1),"ABCDEFGHIJKLMNOPQRSTUVWXYZ")))=0,SUMPRODUCT(--ISERROR(FIND(MID(MID(AN52,3,10),{6,7,8,9},1),"0123456789")))=0,ISNUMBER(FIND(MID(AN52,13,1),"123456789ABCDEFGHIJKLMNOPQRSTUVWXYZ")),MID(AN52,14,1)="Z")),"Wrong format",IF(MID("0123456789ABCDEFGHIJKLMNOPQRSTUVWXYZ",MOD(36-MOD(SUMPRODUCT(INT((FIND(MID(AN52,{1,2,3,4,5,6,7,8,9,10,11,12,13,14},1),"0123456789ABCDEFGHIJKLMNOPQRSTUVWXYZ")-1)*{1,2,1,2,1,2,1,2,1,2,1,2,1,2}/36)+MOD((FIND(MID(AN52,{1,2,3,4,5,6,7,8,9,10,11,12,13,14},1),"0123456789ABCDEFGHIJKLMNOPQRSTUVWXYZ")-1)*{1,2,1,2,1,2,1,2,1,2,1,2,1,2},36)),36),36)+1,1)=MID(AN52,15,1),"OK","Typo? check digit wrong")),"Wrong format"))</f>
        <v/>
      </c>
      <c r="AK52" s="27">
        <f>IF(AO52="","",IF(AND(LEN(AO52)=10,SUMPRODUCT(--ISERROR(FIND(MID(AO52,{1,2,3,4,5,10},1),"ABCDEFGHIJKLMNOPQRSTUVWXYZ")))=0,SUMPRODUCT(--ISERROR(FIND(MID(AO52,{6,7,8,9},1),"0123456789")))=0),"OK","Wrong format"))</f>
        <v/>
      </c>
      <c r="AL52" s="27">
        <f>IF(TRIM(H52)="","",IF(AND(LEN(UPPER(TRIM(H52)))=10,SUMPRODUCT(--ISERROR(FIND(MID(UPPER(TRIM(H52)),{1,2,3,4,10},1),"ABCDEFGHIJKLMNOPQRSTUVWXYZ")))=0,SUMPRODUCT(--ISERROR(FIND(MID(UPPER(TRIM(H52)),{5,6,7,8,9},1),"0123456789")))=0),"OK","Wrong format"))</f>
        <v/>
      </c>
      <c r="AM52" s="28">
        <f>IF(NOT(COUNTA(A52:AE52)&gt;0),"",IF(AS52&lt;&gt;"","✖ "&amp;LEFT(AS52,LEN(AS52)-2),IF(AR52&gt;0,"✔ Ready — client + "&amp;AR52&amp;" service(s)","✔ Ready — client only")))</f>
        <v/>
      </c>
      <c r="AN52" s="29">
        <f>UPPER(SUBSTITUTE(TRIM(F52)," ",""))</f>
        <v/>
      </c>
      <c r="AO52" s="29">
        <f>UPPER(SUBSTITUTE(TRIM(E52)," ",""))</f>
        <v/>
      </c>
      <c r="AP52" s="29">
        <f>IF(D52&lt;&gt;"",D52,IFERROR(VLOOKUP(MID(AG52,4,1),Lists!$E$2:$F$8,2,FALSE),""))</f>
        <v/>
      </c>
      <c r="AQ52" s="29">
        <f>IFERROR(VLOOKUP(AP52,Lists!$A$2:$C$12,3,FALSE),"")</f>
        <v/>
      </c>
      <c r="AR52" s="29">
        <f>COUNTIF(W52:AC52,"Yes")</f>
        <v/>
      </c>
      <c r="AS52" s="29">
        <f>IF(TRIM(B52)="","Legal name missing; ","")&amp;IF(AND(AJ52&lt;&gt;"",AJ52&lt;&gt;"OK"),"GSTIN: "&amp;AJ52&amp;"; ","")&amp;IF(AND(AK52&lt;&gt;"",AK52&lt;&gt;"OK"),"PAN wrong format; ","")&amp;IF(AND(AO52&lt;&gt;"",LEN(AN52)=15,MID(AN52,3,10)&lt;&gt;AO52),"PAN does not match GSTIN; ","")&amp;IF(AND(AL52&lt;&gt;"",AL52&lt;&gt;"OK"),"TAN wrong format; ","")&amp;IF(AG52="","PAN missing; ","")&amp;IF(AP52="","Entity type missing; ","")&amp;IF(AND(AN52&lt;&gt;"",COUNTIF($AN$6:$AN$1005,AN52)&gt;1),"GSTIN repeated in this sheet; ","")&amp;IF(AND(AG52&lt;&gt;"",COUNTIF($AG$6:$AG$1005,AG52)&gt;1),"PAN repeated in this sheet (same client? put extra GSTINs in Other GSTINs); ","")&amp;IF(AND(AR52&gt;0,V52=""),"Financial year missing; ","")&amp;IF(AND(AR52=0,V52&lt;&gt;""),"Financial year given but no service is Yes; ","")&amp;IF(AND(W52="Yes",AN52=""),"GST needs a GSTIN; ","")&amp;IF(AND(W52="Yes",X52=""),"GST return frequency missing; ","")&amp;IF(AND(Y52="Yes",TRIM(H52)=""),"TDS needs a TAN; ","")&amp;IF(AND(AA52="Yes",AQ52&lt;&gt;"",AQ52&lt;&gt;"company",AQ52&lt;&gt;"llp"),"ROC is only for a company / LLP; ","")&amp;IF(AND(AA52="Yes",OR(AQ52="company",AQ52="llp"),TRIM(I52)=""),"ROC needs the CIN / LLPIN; ","")</f>
        <v/>
      </c>
    </row>
    <row r="53">
      <c r="A53" s="30" t="n"/>
      <c r="B53" s="31" t="n"/>
      <c r="C53" s="31" t="n"/>
      <c r="D53" s="31" t="n"/>
      <c r="E53" s="30" t="n"/>
      <c r="F53" s="30" t="n"/>
      <c r="G53" s="30" t="n"/>
      <c r="H53" s="30" t="n"/>
      <c r="I53" s="30" t="n"/>
      <c r="J53" s="32" t="n"/>
      <c r="K53" s="31" t="n"/>
      <c r="L53" s="30" t="n"/>
      <c r="M53" s="31" t="n"/>
      <c r="N53" s="31" t="n"/>
      <c r="O53" s="31" t="n"/>
      <c r="P53" s="30" t="n"/>
      <c r="Q53" s="31" t="n"/>
      <c r="R53" s="31" t="n"/>
      <c r="S53" s="31" t="n"/>
      <c r="T53" s="31" t="n"/>
      <c r="U53" s="30" t="n"/>
      <c r="V53" s="31" t="n"/>
      <c r="W53" s="31" t="n"/>
      <c r="X53" s="31" t="n"/>
      <c r="Y53" s="31" t="n"/>
      <c r="Z53" s="31" t="n"/>
      <c r="AA53" s="31" t="n"/>
      <c r="AB53" s="31" t="n"/>
      <c r="AC53" s="31" t="n"/>
      <c r="AD53" s="31" t="n"/>
      <c r="AE53" s="31" t="n"/>
      <c r="AF53" s="27">
        <f>IF(NOT(COUNTA(A53:AE53)&gt;0),"",IF(A53="","New client","Update"))</f>
        <v/>
      </c>
      <c r="AG53" s="27">
        <f>IF(AO53&lt;&gt;"",AO53,IF(LEN(AN53)=15,MID(AN53,3,10),""))</f>
        <v/>
      </c>
      <c r="AH53" s="27">
        <f>IF(AP53="","",AP53&amp;IF(D53="","  (guessed from PAN)",""))</f>
        <v/>
      </c>
      <c r="AI53" s="27">
        <f>IF(AN53="","",IFERROR(INDEX(Lists!$L$2:$L$38,MATCH(LEFT(AN53,2),Lists!$K$2:$K$38,0)),"Unknown code"))</f>
        <v/>
      </c>
      <c r="AJ53" s="27">
        <f>IF(AN53="","",IFERROR(IF(NOT(AND(LEN(AN53)=15,ISNUMBER(MATCH(LEFT(AN53,2),Lists!$K$2:$K$38,0)),SUMPRODUCT(--ISERROR(FIND(MID(MID(AN53,3,10),{1,2,3,4,5,10},1),"ABCDEFGHIJKLMNOPQRSTUVWXYZ")))=0,SUMPRODUCT(--ISERROR(FIND(MID(MID(AN53,3,10),{6,7,8,9},1),"0123456789")))=0,ISNUMBER(FIND(MID(AN53,13,1),"123456789ABCDEFGHIJKLMNOPQRSTUVWXYZ")),MID(AN53,14,1)="Z")),"Wrong format",IF(MID("0123456789ABCDEFGHIJKLMNOPQRSTUVWXYZ",MOD(36-MOD(SUMPRODUCT(INT((FIND(MID(AN53,{1,2,3,4,5,6,7,8,9,10,11,12,13,14},1),"0123456789ABCDEFGHIJKLMNOPQRSTUVWXYZ")-1)*{1,2,1,2,1,2,1,2,1,2,1,2,1,2}/36)+MOD((FIND(MID(AN53,{1,2,3,4,5,6,7,8,9,10,11,12,13,14},1),"0123456789ABCDEFGHIJKLMNOPQRSTUVWXYZ")-1)*{1,2,1,2,1,2,1,2,1,2,1,2,1,2},36)),36),36)+1,1)=MID(AN53,15,1),"OK","Typo? check digit wrong")),"Wrong format"))</f>
        <v/>
      </c>
      <c r="AK53" s="27">
        <f>IF(AO53="","",IF(AND(LEN(AO53)=10,SUMPRODUCT(--ISERROR(FIND(MID(AO53,{1,2,3,4,5,10},1),"ABCDEFGHIJKLMNOPQRSTUVWXYZ")))=0,SUMPRODUCT(--ISERROR(FIND(MID(AO53,{6,7,8,9},1),"0123456789")))=0),"OK","Wrong format"))</f>
        <v/>
      </c>
      <c r="AL53" s="27">
        <f>IF(TRIM(H53)="","",IF(AND(LEN(UPPER(TRIM(H53)))=10,SUMPRODUCT(--ISERROR(FIND(MID(UPPER(TRIM(H53)),{1,2,3,4,10},1),"ABCDEFGHIJKLMNOPQRSTUVWXYZ")))=0,SUMPRODUCT(--ISERROR(FIND(MID(UPPER(TRIM(H53)),{5,6,7,8,9},1),"0123456789")))=0),"OK","Wrong format"))</f>
        <v/>
      </c>
      <c r="AM53" s="28">
        <f>IF(NOT(COUNTA(A53:AE53)&gt;0),"",IF(AS53&lt;&gt;"","✖ "&amp;LEFT(AS53,LEN(AS53)-2),IF(AR53&gt;0,"✔ Ready — client + "&amp;AR53&amp;" service(s)","✔ Ready — client only")))</f>
        <v/>
      </c>
      <c r="AN53" s="29">
        <f>UPPER(SUBSTITUTE(TRIM(F53)," ",""))</f>
        <v/>
      </c>
      <c r="AO53" s="29">
        <f>UPPER(SUBSTITUTE(TRIM(E53)," ",""))</f>
        <v/>
      </c>
      <c r="AP53" s="29">
        <f>IF(D53&lt;&gt;"",D53,IFERROR(VLOOKUP(MID(AG53,4,1),Lists!$E$2:$F$8,2,FALSE),""))</f>
        <v/>
      </c>
      <c r="AQ53" s="29">
        <f>IFERROR(VLOOKUP(AP53,Lists!$A$2:$C$12,3,FALSE),"")</f>
        <v/>
      </c>
      <c r="AR53" s="29">
        <f>COUNTIF(W53:AC53,"Yes")</f>
        <v/>
      </c>
      <c r="AS53" s="29">
        <f>IF(TRIM(B53)="","Legal name missing; ","")&amp;IF(AND(AJ53&lt;&gt;"",AJ53&lt;&gt;"OK"),"GSTIN: "&amp;AJ53&amp;"; ","")&amp;IF(AND(AK53&lt;&gt;"",AK53&lt;&gt;"OK"),"PAN wrong format; ","")&amp;IF(AND(AO53&lt;&gt;"",LEN(AN53)=15,MID(AN53,3,10)&lt;&gt;AO53),"PAN does not match GSTIN; ","")&amp;IF(AND(AL53&lt;&gt;"",AL53&lt;&gt;"OK"),"TAN wrong format; ","")&amp;IF(AG53="","PAN missing; ","")&amp;IF(AP53="","Entity type missing; ","")&amp;IF(AND(AN53&lt;&gt;"",COUNTIF($AN$6:$AN$1005,AN53)&gt;1),"GSTIN repeated in this sheet; ","")&amp;IF(AND(AG53&lt;&gt;"",COUNTIF($AG$6:$AG$1005,AG53)&gt;1),"PAN repeated in this sheet (same client? put extra GSTINs in Other GSTINs); ","")&amp;IF(AND(AR53&gt;0,V53=""),"Financial year missing; ","")&amp;IF(AND(AR53=0,V53&lt;&gt;""),"Financial year given but no service is Yes; ","")&amp;IF(AND(W53="Yes",AN53=""),"GST needs a GSTIN; ","")&amp;IF(AND(W53="Yes",X53=""),"GST return frequency missing; ","")&amp;IF(AND(Y53="Yes",TRIM(H53)=""),"TDS needs a TAN; ","")&amp;IF(AND(AA53="Yes",AQ53&lt;&gt;"",AQ53&lt;&gt;"company",AQ53&lt;&gt;"llp"),"ROC is only for a company / LLP; ","")&amp;IF(AND(AA53="Yes",OR(AQ53="company",AQ53="llp"),TRIM(I53)=""),"ROC needs the CIN / LLPIN; ","")</f>
        <v/>
      </c>
    </row>
    <row r="54">
      <c r="A54" s="30" t="n"/>
      <c r="B54" s="31" t="n"/>
      <c r="C54" s="31" t="n"/>
      <c r="D54" s="31" t="n"/>
      <c r="E54" s="30" t="n"/>
      <c r="F54" s="30" t="n"/>
      <c r="G54" s="30" t="n"/>
      <c r="H54" s="30" t="n"/>
      <c r="I54" s="30" t="n"/>
      <c r="J54" s="32" t="n"/>
      <c r="K54" s="31" t="n"/>
      <c r="L54" s="30" t="n"/>
      <c r="M54" s="31" t="n"/>
      <c r="N54" s="31" t="n"/>
      <c r="O54" s="31" t="n"/>
      <c r="P54" s="30" t="n"/>
      <c r="Q54" s="31" t="n"/>
      <c r="R54" s="31" t="n"/>
      <c r="S54" s="31" t="n"/>
      <c r="T54" s="31" t="n"/>
      <c r="U54" s="30" t="n"/>
      <c r="V54" s="31" t="n"/>
      <c r="W54" s="31" t="n"/>
      <c r="X54" s="31" t="n"/>
      <c r="Y54" s="31" t="n"/>
      <c r="Z54" s="31" t="n"/>
      <c r="AA54" s="31" t="n"/>
      <c r="AB54" s="31" t="n"/>
      <c r="AC54" s="31" t="n"/>
      <c r="AD54" s="31" t="n"/>
      <c r="AE54" s="31" t="n"/>
      <c r="AF54" s="27">
        <f>IF(NOT(COUNTA(A54:AE54)&gt;0),"",IF(A54="","New client","Update"))</f>
        <v/>
      </c>
      <c r="AG54" s="27">
        <f>IF(AO54&lt;&gt;"",AO54,IF(LEN(AN54)=15,MID(AN54,3,10),""))</f>
        <v/>
      </c>
      <c r="AH54" s="27">
        <f>IF(AP54="","",AP54&amp;IF(D54="","  (guessed from PAN)",""))</f>
        <v/>
      </c>
      <c r="AI54" s="27">
        <f>IF(AN54="","",IFERROR(INDEX(Lists!$L$2:$L$38,MATCH(LEFT(AN54,2),Lists!$K$2:$K$38,0)),"Unknown code"))</f>
        <v/>
      </c>
      <c r="AJ54" s="27">
        <f>IF(AN54="","",IFERROR(IF(NOT(AND(LEN(AN54)=15,ISNUMBER(MATCH(LEFT(AN54,2),Lists!$K$2:$K$38,0)),SUMPRODUCT(--ISERROR(FIND(MID(MID(AN54,3,10),{1,2,3,4,5,10},1),"ABCDEFGHIJKLMNOPQRSTUVWXYZ")))=0,SUMPRODUCT(--ISERROR(FIND(MID(MID(AN54,3,10),{6,7,8,9},1),"0123456789")))=0,ISNUMBER(FIND(MID(AN54,13,1),"123456789ABCDEFGHIJKLMNOPQRSTUVWXYZ")),MID(AN54,14,1)="Z")),"Wrong format",IF(MID("0123456789ABCDEFGHIJKLMNOPQRSTUVWXYZ",MOD(36-MOD(SUMPRODUCT(INT((FIND(MID(AN54,{1,2,3,4,5,6,7,8,9,10,11,12,13,14},1),"0123456789ABCDEFGHIJKLMNOPQRSTUVWXYZ")-1)*{1,2,1,2,1,2,1,2,1,2,1,2,1,2}/36)+MOD((FIND(MID(AN54,{1,2,3,4,5,6,7,8,9,10,11,12,13,14},1),"0123456789ABCDEFGHIJKLMNOPQRSTUVWXYZ")-1)*{1,2,1,2,1,2,1,2,1,2,1,2,1,2},36)),36),36)+1,1)=MID(AN54,15,1),"OK","Typo? check digit wrong")),"Wrong format"))</f>
        <v/>
      </c>
      <c r="AK54" s="27">
        <f>IF(AO54="","",IF(AND(LEN(AO54)=10,SUMPRODUCT(--ISERROR(FIND(MID(AO54,{1,2,3,4,5,10},1),"ABCDEFGHIJKLMNOPQRSTUVWXYZ")))=0,SUMPRODUCT(--ISERROR(FIND(MID(AO54,{6,7,8,9},1),"0123456789")))=0),"OK","Wrong format"))</f>
        <v/>
      </c>
      <c r="AL54" s="27">
        <f>IF(TRIM(H54)="","",IF(AND(LEN(UPPER(TRIM(H54)))=10,SUMPRODUCT(--ISERROR(FIND(MID(UPPER(TRIM(H54)),{1,2,3,4,10},1),"ABCDEFGHIJKLMNOPQRSTUVWXYZ")))=0,SUMPRODUCT(--ISERROR(FIND(MID(UPPER(TRIM(H54)),{5,6,7,8,9},1),"0123456789")))=0),"OK","Wrong format"))</f>
        <v/>
      </c>
      <c r="AM54" s="28">
        <f>IF(NOT(COUNTA(A54:AE54)&gt;0),"",IF(AS54&lt;&gt;"","✖ "&amp;LEFT(AS54,LEN(AS54)-2),IF(AR54&gt;0,"✔ Ready — client + "&amp;AR54&amp;" service(s)","✔ Ready — client only")))</f>
        <v/>
      </c>
      <c r="AN54" s="29">
        <f>UPPER(SUBSTITUTE(TRIM(F54)," ",""))</f>
        <v/>
      </c>
      <c r="AO54" s="29">
        <f>UPPER(SUBSTITUTE(TRIM(E54)," ",""))</f>
        <v/>
      </c>
      <c r="AP54" s="29">
        <f>IF(D54&lt;&gt;"",D54,IFERROR(VLOOKUP(MID(AG54,4,1),Lists!$E$2:$F$8,2,FALSE),""))</f>
        <v/>
      </c>
      <c r="AQ54" s="29">
        <f>IFERROR(VLOOKUP(AP54,Lists!$A$2:$C$12,3,FALSE),"")</f>
        <v/>
      </c>
      <c r="AR54" s="29">
        <f>COUNTIF(W54:AC54,"Yes")</f>
        <v/>
      </c>
      <c r="AS54" s="29">
        <f>IF(TRIM(B54)="","Legal name missing; ","")&amp;IF(AND(AJ54&lt;&gt;"",AJ54&lt;&gt;"OK"),"GSTIN: "&amp;AJ54&amp;"; ","")&amp;IF(AND(AK54&lt;&gt;"",AK54&lt;&gt;"OK"),"PAN wrong format; ","")&amp;IF(AND(AO54&lt;&gt;"",LEN(AN54)=15,MID(AN54,3,10)&lt;&gt;AO54),"PAN does not match GSTIN; ","")&amp;IF(AND(AL54&lt;&gt;"",AL54&lt;&gt;"OK"),"TAN wrong format; ","")&amp;IF(AG54="","PAN missing; ","")&amp;IF(AP54="","Entity type missing; ","")&amp;IF(AND(AN54&lt;&gt;"",COUNTIF($AN$6:$AN$1005,AN54)&gt;1),"GSTIN repeated in this sheet; ","")&amp;IF(AND(AG54&lt;&gt;"",COUNTIF($AG$6:$AG$1005,AG54)&gt;1),"PAN repeated in this sheet (same client? put extra GSTINs in Other GSTINs); ","")&amp;IF(AND(AR54&gt;0,V54=""),"Financial year missing; ","")&amp;IF(AND(AR54=0,V54&lt;&gt;""),"Financial year given but no service is Yes; ","")&amp;IF(AND(W54="Yes",AN54=""),"GST needs a GSTIN; ","")&amp;IF(AND(W54="Yes",X54=""),"GST return frequency missing; ","")&amp;IF(AND(Y54="Yes",TRIM(H54)=""),"TDS needs a TAN; ","")&amp;IF(AND(AA54="Yes",AQ54&lt;&gt;"",AQ54&lt;&gt;"company",AQ54&lt;&gt;"llp"),"ROC is only for a company / LLP; ","")&amp;IF(AND(AA54="Yes",OR(AQ54="company",AQ54="llp"),TRIM(I54)=""),"ROC needs the CIN / LLPIN; ","")</f>
        <v/>
      </c>
    </row>
    <row r="55">
      <c r="A55" s="30" t="n"/>
      <c r="B55" s="31" t="n"/>
      <c r="C55" s="31" t="n"/>
      <c r="D55" s="31" t="n"/>
      <c r="E55" s="30" t="n"/>
      <c r="F55" s="30" t="n"/>
      <c r="G55" s="30" t="n"/>
      <c r="H55" s="30" t="n"/>
      <c r="I55" s="30" t="n"/>
      <c r="J55" s="32" t="n"/>
      <c r="K55" s="31" t="n"/>
      <c r="L55" s="30" t="n"/>
      <c r="M55" s="31" t="n"/>
      <c r="N55" s="31" t="n"/>
      <c r="O55" s="31" t="n"/>
      <c r="P55" s="30" t="n"/>
      <c r="Q55" s="31" t="n"/>
      <c r="R55" s="31" t="n"/>
      <c r="S55" s="31" t="n"/>
      <c r="T55" s="31" t="n"/>
      <c r="U55" s="30" t="n"/>
      <c r="V55" s="31" t="n"/>
      <c r="W55" s="31" t="n"/>
      <c r="X55" s="31" t="n"/>
      <c r="Y55" s="31" t="n"/>
      <c r="Z55" s="31" t="n"/>
      <c r="AA55" s="31" t="n"/>
      <c r="AB55" s="31" t="n"/>
      <c r="AC55" s="31" t="n"/>
      <c r="AD55" s="31" t="n"/>
      <c r="AE55" s="31" t="n"/>
      <c r="AF55" s="27">
        <f>IF(NOT(COUNTA(A55:AE55)&gt;0),"",IF(A55="","New client","Update"))</f>
        <v/>
      </c>
      <c r="AG55" s="27">
        <f>IF(AO55&lt;&gt;"",AO55,IF(LEN(AN55)=15,MID(AN55,3,10),""))</f>
        <v/>
      </c>
      <c r="AH55" s="27">
        <f>IF(AP55="","",AP55&amp;IF(D55="","  (guessed from PAN)",""))</f>
        <v/>
      </c>
      <c r="AI55" s="27">
        <f>IF(AN55="","",IFERROR(INDEX(Lists!$L$2:$L$38,MATCH(LEFT(AN55,2),Lists!$K$2:$K$38,0)),"Unknown code"))</f>
        <v/>
      </c>
      <c r="AJ55" s="27">
        <f>IF(AN55="","",IFERROR(IF(NOT(AND(LEN(AN55)=15,ISNUMBER(MATCH(LEFT(AN55,2),Lists!$K$2:$K$38,0)),SUMPRODUCT(--ISERROR(FIND(MID(MID(AN55,3,10),{1,2,3,4,5,10},1),"ABCDEFGHIJKLMNOPQRSTUVWXYZ")))=0,SUMPRODUCT(--ISERROR(FIND(MID(MID(AN55,3,10),{6,7,8,9},1),"0123456789")))=0,ISNUMBER(FIND(MID(AN55,13,1),"123456789ABCDEFGHIJKLMNOPQRSTUVWXYZ")),MID(AN55,14,1)="Z")),"Wrong format",IF(MID("0123456789ABCDEFGHIJKLMNOPQRSTUVWXYZ",MOD(36-MOD(SUMPRODUCT(INT((FIND(MID(AN55,{1,2,3,4,5,6,7,8,9,10,11,12,13,14},1),"0123456789ABCDEFGHIJKLMNOPQRSTUVWXYZ")-1)*{1,2,1,2,1,2,1,2,1,2,1,2,1,2}/36)+MOD((FIND(MID(AN55,{1,2,3,4,5,6,7,8,9,10,11,12,13,14},1),"0123456789ABCDEFGHIJKLMNOPQRSTUVWXYZ")-1)*{1,2,1,2,1,2,1,2,1,2,1,2,1,2},36)),36),36)+1,1)=MID(AN55,15,1),"OK","Typo? check digit wrong")),"Wrong format"))</f>
        <v/>
      </c>
      <c r="AK55" s="27">
        <f>IF(AO55="","",IF(AND(LEN(AO55)=10,SUMPRODUCT(--ISERROR(FIND(MID(AO55,{1,2,3,4,5,10},1),"ABCDEFGHIJKLMNOPQRSTUVWXYZ")))=0,SUMPRODUCT(--ISERROR(FIND(MID(AO55,{6,7,8,9},1),"0123456789")))=0),"OK","Wrong format"))</f>
        <v/>
      </c>
      <c r="AL55" s="27">
        <f>IF(TRIM(H55)="","",IF(AND(LEN(UPPER(TRIM(H55)))=10,SUMPRODUCT(--ISERROR(FIND(MID(UPPER(TRIM(H55)),{1,2,3,4,10},1),"ABCDEFGHIJKLMNOPQRSTUVWXYZ")))=0,SUMPRODUCT(--ISERROR(FIND(MID(UPPER(TRIM(H55)),{5,6,7,8,9},1),"0123456789")))=0),"OK","Wrong format"))</f>
        <v/>
      </c>
      <c r="AM55" s="28">
        <f>IF(NOT(COUNTA(A55:AE55)&gt;0),"",IF(AS55&lt;&gt;"","✖ "&amp;LEFT(AS55,LEN(AS55)-2),IF(AR55&gt;0,"✔ Ready — client + "&amp;AR55&amp;" service(s)","✔ Ready — client only")))</f>
        <v/>
      </c>
      <c r="AN55" s="29">
        <f>UPPER(SUBSTITUTE(TRIM(F55)," ",""))</f>
        <v/>
      </c>
      <c r="AO55" s="29">
        <f>UPPER(SUBSTITUTE(TRIM(E55)," ",""))</f>
        <v/>
      </c>
      <c r="AP55" s="29">
        <f>IF(D55&lt;&gt;"",D55,IFERROR(VLOOKUP(MID(AG55,4,1),Lists!$E$2:$F$8,2,FALSE),""))</f>
        <v/>
      </c>
      <c r="AQ55" s="29">
        <f>IFERROR(VLOOKUP(AP55,Lists!$A$2:$C$12,3,FALSE),"")</f>
        <v/>
      </c>
      <c r="AR55" s="29">
        <f>COUNTIF(W55:AC55,"Yes")</f>
        <v/>
      </c>
      <c r="AS55" s="29">
        <f>IF(TRIM(B55)="","Legal name missing; ","")&amp;IF(AND(AJ55&lt;&gt;"",AJ55&lt;&gt;"OK"),"GSTIN: "&amp;AJ55&amp;"; ","")&amp;IF(AND(AK55&lt;&gt;"",AK55&lt;&gt;"OK"),"PAN wrong format; ","")&amp;IF(AND(AO55&lt;&gt;"",LEN(AN55)=15,MID(AN55,3,10)&lt;&gt;AO55),"PAN does not match GSTIN; ","")&amp;IF(AND(AL55&lt;&gt;"",AL55&lt;&gt;"OK"),"TAN wrong format; ","")&amp;IF(AG55="","PAN missing; ","")&amp;IF(AP55="","Entity type missing; ","")&amp;IF(AND(AN55&lt;&gt;"",COUNTIF($AN$6:$AN$1005,AN55)&gt;1),"GSTIN repeated in this sheet; ","")&amp;IF(AND(AG55&lt;&gt;"",COUNTIF($AG$6:$AG$1005,AG55)&gt;1),"PAN repeated in this sheet (same client? put extra GSTINs in Other GSTINs); ","")&amp;IF(AND(AR55&gt;0,V55=""),"Financial year missing; ","")&amp;IF(AND(AR55=0,V55&lt;&gt;""),"Financial year given but no service is Yes; ","")&amp;IF(AND(W55="Yes",AN55=""),"GST needs a GSTIN; ","")&amp;IF(AND(W55="Yes",X55=""),"GST return frequency missing; ","")&amp;IF(AND(Y55="Yes",TRIM(H55)=""),"TDS needs a TAN; ","")&amp;IF(AND(AA55="Yes",AQ55&lt;&gt;"",AQ55&lt;&gt;"company",AQ55&lt;&gt;"llp"),"ROC is only for a company / LLP; ","")&amp;IF(AND(AA55="Yes",OR(AQ55="company",AQ55="llp"),TRIM(I55)=""),"ROC needs the CIN / LLPIN; ","")</f>
        <v/>
      </c>
    </row>
    <row r="56">
      <c r="A56" s="30" t="n"/>
      <c r="B56" s="31" t="n"/>
      <c r="C56" s="31" t="n"/>
      <c r="D56" s="31" t="n"/>
      <c r="E56" s="30" t="n"/>
      <c r="F56" s="30" t="n"/>
      <c r="G56" s="30" t="n"/>
      <c r="H56" s="30" t="n"/>
      <c r="I56" s="30" t="n"/>
      <c r="J56" s="32" t="n"/>
      <c r="K56" s="31" t="n"/>
      <c r="L56" s="30" t="n"/>
      <c r="M56" s="31" t="n"/>
      <c r="N56" s="31" t="n"/>
      <c r="O56" s="31" t="n"/>
      <c r="P56" s="30" t="n"/>
      <c r="Q56" s="31" t="n"/>
      <c r="R56" s="31" t="n"/>
      <c r="S56" s="31" t="n"/>
      <c r="T56" s="31" t="n"/>
      <c r="U56" s="30" t="n"/>
      <c r="V56" s="31" t="n"/>
      <c r="W56" s="31" t="n"/>
      <c r="X56" s="31" t="n"/>
      <c r="Y56" s="31" t="n"/>
      <c r="Z56" s="31" t="n"/>
      <c r="AA56" s="31" t="n"/>
      <c r="AB56" s="31" t="n"/>
      <c r="AC56" s="31" t="n"/>
      <c r="AD56" s="31" t="n"/>
      <c r="AE56" s="31" t="n"/>
      <c r="AF56" s="27">
        <f>IF(NOT(COUNTA(A56:AE56)&gt;0),"",IF(A56="","New client","Update"))</f>
        <v/>
      </c>
      <c r="AG56" s="27">
        <f>IF(AO56&lt;&gt;"",AO56,IF(LEN(AN56)=15,MID(AN56,3,10),""))</f>
        <v/>
      </c>
      <c r="AH56" s="27">
        <f>IF(AP56="","",AP56&amp;IF(D56="","  (guessed from PAN)",""))</f>
        <v/>
      </c>
      <c r="AI56" s="27">
        <f>IF(AN56="","",IFERROR(INDEX(Lists!$L$2:$L$38,MATCH(LEFT(AN56,2),Lists!$K$2:$K$38,0)),"Unknown code"))</f>
        <v/>
      </c>
      <c r="AJ56" s="27">
        <f>IF(AN56="","",IFERROR(IF(NOT(AND(LEN(AN56)=15,ISNUMBER(MATCH(LEFT(AN56,2),Lists!$K$2:$K$38,0)),SUMPRODUCT(--ISERROR(FIND(MID(MID(AN56,3,10),{1,2,3,4,5,10},1),"ABCDEFGHIJKLMNOPQRSTUVWXYZ")))=0,SUMPRODUCT(--ISERROR(FIND(MID(MID(AN56,3,10),{6,7,8,9},1),"0123456789")))=0,ISNUMBER(FIND(MID(AN56,13,1),"123456789ABCDEFGHIJKLMNOPQRSTUVWXYZ")),MID(AN56,14,1)="Z")),"Wrong format",IF(MID("0123456789ABCDEFGHIJKLMNOPQRSTUVWXYZ",MOD(36-MOD(SUMPRODUCT(INT((FIND(MID(AN56,{1,2,3,4,5,6,7,8,9,10,11,12,13,14},1),"0123456789ABCDEFGHIJKLMNOPQRSTUVWXYZ")-1)*{1,2,1,2,1,2,1,2,1,2,1,2,1,2}/36)+MOD((FIND(MID(AN56,{1,2,3,4,5,6,7,8,9,10,11,12,13,14},1),"0123456789ABCDEFGHIJKLMNOPQRSTUVWXYZ")-1)*{1,2,1,2,1,2,1,2,1,2,1,2,1,2},36)),36),36)+1,1)=MID(AN56,15,1),"OK","Typo? check digit wrong")),"Wrong format"))</f>
        <v/>
      </c>
      <c r="AK56" s="27">
        <f>IF(AO56="","",IF(AND(LEN(AO56)=10,SUMPRODUCT(--ISERROR(FIND(MID(AO56,{1,2,3,4,5,10},1),"ABCDEFGHIJKLMNOPQRSTUVWXYZ")))=0,SUMPRODUCT(--ISERROR(FIND(MID(AO56,{6,7,8,9},1),"0123456789")))=0),"OK","Wrong format"))</f>
        <v/>
      </c>
      <c r="AL56" s="27">
        <f>IF(TRIM(H56)="","",IF(AND(LEN(UPPER(TRIM(H56)))=10,SUMPRODUCT(--ISERROR(FIND(MID(UPPER(TRIM(H56)),{1,2,3,4,10},1),"ABCDEFGHIJKLMNOPQRSTUVWXYZ")))=0,SUMPRODUCT(--ISERROR(FIND(MID(UPPER(TRIM(H56)),{5,6,7,8,9},1),"0123456789")))=0),"OK","Wrong format"))</f>
        <v/>
      </c>
      <c r="AM56" s="28">
        <f>IF(NOT(COUNTA(A56:AE56)&gt;0),"",IF(AS56&lt;&gt;"","✖ "&amp;LEFT(AS56,LEN(AS56)-2),IF(AR56&gt;0,"✔ Ready — client + "&amp;AR56&amp;" service(s)","✔ Ready — client only")))</f>
        <v/>
      </c>
      <c r="AN56" s="29">
        <f>UPPER(SUBSTITUTE(TRIM(F56)," ",""))</f>
        <v/>
      </c>
      <c r="AO56" s="29">
        <f>UPPER(SUBSTITUTE(TRIM(E56)," ",""))</f>
        <v/>
      </c>
      <c r="AP56" s="29">
        <f>IF(D56&lt;&gt;"",D56,IFERROR(VLOOKUP(MID(AG56,4,1),Lists!$E$2:$F$8,2,FALSE),""))</f>
        <v/>
      </c>
      <c r="AQ56" s="29">
        <f>IFERROR(VLOOKUP(AP56,Lists!$A$2:$C$12,3,FALSE),"")</f>
        <v/>
      </c>
      <c r="AR56" s="29">
        <f>COUNTIF(W56:AC56,"Yes")</f>
        <v/>
      </c>
      <c r="AS56" s="29">
        <f>IF(TRIM(B56)="","Legal name missing; ","")&amp;IF(AND(AJ56&lt;&gt;"",AJ56&lt;&gt;"OK"),"GSTIN: "&amp;AJ56&amp;"; ","")&amp;IF(AND(AK56&lt;&gt;"",AK56&lt;&gt;"OK"),"PAN wrong format; ","")&amp;IF(AND(AO56&lt;&gt;"",LEN(AN56)=15,MID(AN56,3,10)&lt;&gt;AO56),"PAN does not match GSTIN; ","")&amp;IF(AND(AL56&lt;&gt;"",AL56&lt;&gt;"OK"),"TAN wrong format; ","")&amp;IF(AG56="","PAN missing; ","")&amp;IF(AP56="","Entity type missing; ","")&amp;IF(AND(AN56&lt;&gt;"",COUNTIF($AN$6:$AN$1005,AN56)&gt;1),"GSTIN repeated in this sheet; ","")&amp;IF(AND(AG56&lt;&gt;"",COUNTIF($AG$6:$AG$1005,AG56)&gt;1),"PAN repeated in this sheet (same client? put extra GSTINs in Other GSTINs); ","")&amp;IF(AND(AR56&gt;0,V56=""),"Financial year missing; ","")&amp;IF(AND(AR56=0,V56&lt;&gt;""),"Financial year given but no service is Yes; ","")&amp;IF(AND(W56="Yes",AN56=""),"GST needs a GSTIN; ","")&amp;IF(AND(W56="Yes",X56=""),"GST return frequency missing; ","")&amp;IF(AND(Y56="Yes",TRIM(H56)=""),"TDS needs a TAN; ","")&amp;IF(AND(AA56="Yes",AQ56&lt;&gt;"",AQ56&lt;&gt;"company",AQ56&lt;&gt;"llp"),"ROC is only for a company / LLP; ","")&amp;IF(AND(AA56="Yes",OR(AQ56="company",AQ56="llp"),TRIM(I56)=""),"ROC needs the CIN / LLPIN; ","")</f>
        <v/>
      </c>
    </row>
    <row r="57">
      <c r="A57" s="30" t="n"/>
      <c r="B57" s="31" t="n"/>
      <c r="C57" s="31" t="n"/>
      <c r="D57" s="31" t="n"/>
      <c r="E57" s="30" t="n"/>
      <c r="F57" s="30" t="n"/>
      <c r="G57" s="30" t="n"/>
      <c r="H57" s="30" t="n"/>
      <c r="I57" s="30" t="n"/>
      <c r="J57" s="32" t="n"/>
      <c r="K57" s="31" t="n"/>
      <c r="L57" s="30" t="n"/>
      <c r="M57" s="31" t="n"/>
      <c r="N57" s="31" t="n"/>
      <c r="O57" s="31" t="n"/>
      <c r="P57" s="30" t="n"/>
      <c r="Q57" s="31" t="n"/>
      <c r="R57" s="31" t="n"/>
      <c r="S57" s="31" t="n"/>
      <c r="T57" s="31" t="n"/>
      <c r="U57" s="30" t="n"/>
      <c r="V57" s="31" t="n"/>
      <c r="W57" s="31" t="n"/>
      <c r="X57" s="31" t="n"/>
      <c r="Y57" s="31" t="n"/>
      <c r="Z57" s="31" t="n"/>
      <c r="AA57" s="31" t="n"/>
      <c r="AB57" s="31" t="n"/>
      <c r="AC57" s="31" t="n"/>
      <c r="AD57" s="31" t="n"/>
      <c r="AE57" s="31" t="n"/>
      <c r="AF57" s="27">
        <f>IF(NOT(COUNTA(A57:AE57)&gt;0),"",IF(A57="","New client","Update"))</f>
        <v/>
      </c>
      <c r="AG57" s="27">
        <f>IF(AO57&lt;&gt;"",AO57,IF(LEN(AN57)=15,MID(AN57,3,10),""))</f>
        <v/>
      </c>
      <c r="AH57" s="27">
        <f>IF(AP57="","",AP57&amp;IF(D57="","  (guessed from PAN)",""))</f>
        <v/>
      </c>
      <c r="AI57" s="27">
        <f>IF(AN57="","",IFERROR(INDEX(Lists!$L$2:$L$38,MATCH(LEFT(AN57,2),Lists!$K$2:$K$38,0)),"Unknown code"))</f>
        <v/>
      </c>
      <c r="AJ57" s="27">
        <f>IF(AN57="","",IFERROR(IF(NOT(AND(LEN(AN57)=15,ISNUMBER(MATCH(LEFT(AN57,2),Lists!$K$2:$K$38,0)),SUMPRODUCT(--ISERROR(FIND(MID(MID(AN57,3,10),{1,2,3,4,5,10},1),"ABCDEFGHIJKLMNOPQRSTUVWXYZ")))=0,SUMPRODUCT(--ISERROR(FIND(MID(MID(AN57,3,10),{6,7,8,9},1),"0123456789")))=0,ISNUMBER(FIND(MID(AN57,13,1),"123456789ABCDEFGHIJKLMNOPQRSTUVWXYZ")),MID(AN57,14,1)="Z")),"Wrong format",IF(MID("0123456789ABCDEFGHIJKLMNOPQRSTUVWXYZ",MOD(36-MOD(SUMPRODUCT(INT((FIND(MID(AN57,{1,2,3,4,5,6,7,8,9,10,11,12,13,14},1),"0123456789ABCDEFGHIJKLMNOPQRSTUVWXYZ")-1)*{1,2,1,2,1,2,1,2,1,2,1,2,1,2}/36)+MOD((FIND(MID(AN57,{1,2,3,4,5,6,7,8,9,10,11,12,13,14},1),"0123456789ABCDEFGHIJKLMNOPQRSTUVWXYZ")-1)*{1,2,1,2,1,2,1,2,1,2,1,2,1,2},36)),36),36)+1,1)=MID(AN57,15,1),"OK","Typo? check digit wrong")),"Wrong format"))</f>
        <v/>
      </c>
      <c r="AK57" s="27">
        <f>IF(AO57="","",IF(AND(LEN(AO57)=10,SUMPRODUCT(--ISERROR(FIND(MID(AO57,{1,2,3,4,5,10},1),"ABCDEFGHIJKLMNOPQRSTUVWXYZ")))=0,SUMPRODUCT(--ISERROR(FIND(MID(AO57,{6,7,8,9},1),"0123456789")))=0),"OK","Wrong format"))</f>
        <v/>
      </c>
      <c r="AL57" s="27">
        <f>IF(TRIM(H57)="","",IF(AND(LEN(UPPER(TRIM(H57)))=10,SUMPRODUCT(--ISERROR(FIND(MID(UPPER(TRIM(H57)),{1,2,3,4,10},1),"ABCDEFGHIJKLMNOPQRSTUVWXYZ")))=0,SUMPRODUCT(--ISERROR(FIND(MID(UPPER(TRIM(H57)),{5,6,7,8,9},1),"0123456789")))=0),"OK","Wrong format"))</f>
        <v/>
      </c>
      <c r="AM57" s="28">
        <f>IF(NOT(COUNTA(A57:AE57)&gt;0),"",IF(AS57&lt;&gt;"","✖ "&amp;LEFT(AS57,LEN(AS57)-2),IF(AR57&gt;0,"✔ Ready — client + "&amp;AR57&amp;" service(s)","✔ Ready — client only")))</f>
        <v/>
      </c>
      <c r="AN57" s="29">
        <f>UPPER(SUBSTITUTE(TRIM(F57)," ",""))</f>
        <v/>
      </c>
      <c r="AO57" s="29">
        <f>UPPER(SUBSTITUTE(TRIM(E57)," ",""))</f>
        <v/>
      </c>
      <c r="AP57" s="29">
        <f>IF(D57&lt;&gt;"",D57,IFERROR(VLOOKUP(MID(AG57,4,1),Lists!$E$2:$F$8,2,FALSE),""))</f>
        <v/>
      </c>
      <c r="AQ57" s="29">
        <f>IFERROR(VLOOKUP(AP57,Lists!$A$2:$C$12,3,FALSE),"")</f>
        <v/>
      </c>
      <c r="AR57" s="29">
        <f>COUNTIF(W57:AC57,"Yes")</f>
        <v/>
      </c>
      <c r="AS57" s="29">
        <f>IF(TRIM(B57)="","Legal name missing; ","")&amp;IF(AND(AJ57&lt;&gt;"",AJ57&lt;&gt;"OK"),"GSTIN: "&amp;AJ57&amp;"; ","")&amp;IF(AND(AK57&lt;&gt;"",AK57&lt;&gt;"OK"),"PAN wrong format; ","")&amp;IF(AND(AO57&lt;&gt;"",LEN(AN57)=15,MID(AN57,3,10)&lt;&gt;AO57),"PAN does not match GSTIN; ","")&amp;IF(AND(AL57&lt;&gt;"",AL57&lt;&gt;"OK"),"TAN wrong format; ","")&amp;IF(AG57="","PAN missing; ","")&amp;IF(AP57="","Entity type missing; ","")&amp;IF(AND(AN57&lt;&gt;"",COUNTIF($AN$6:$AN$1005,AN57)&gt;1),"GSTIN repeated in this sheet; ","")&amp;IF(AND(AG57&lt;&gt;"",COUNTIF($AG$6:$AG$1005,AG57)&gt;1),"PAN repeated in this sheet (same client? put extra GSTINs in Other GSTINs); ","")&amp;IF(AND(AR57&gt;0,V57=""),"Financial year missing; ","")&amp;IF(AND(AR57=0,V57&lt;&gt;""),"Financial year given but no service is Yes; ","")&amp;IF(AND(W57="Yes",AN57=""),"GST needs a GSTIN; ","")&amp;IF(AND(W57="Yes",X57=""),"GST return frequency missing; ","")&amp;IF(AND(Y57="Yes",TRIM(H57)=""),"TDS needs a TAN; ","")&amp;IF(AND(AA57="Yes",AQ57&lt;&gt;"",AQ57&lt;&gt;"company",AQ57&lt;&gt;"llp"),"ROC is only for a company / LLP; ","")&amp;IF(AND(AA57="Yes",OR(AQ57="company",AQ57="llp"),TRIM(I57)=""),"ROC needs the CIN / LLPIN; ","")</f>
        <v/>
      </c>
    </row>
    <row r="58">
      <c r="A58" s="30" t="n"/>
      <c r="B58" s="31" t="n"/>
      <c r="C58" s="31" t="n"/>
      <c r="D58" s="31" t="n"/>
      <c r="E58" s="30" t="n"/>
      <c r="F58" s="30" t="n"/>
      <c r="G58" s="30" t="n"/>
      <c r="H58" s="30" t="n"/>
      <c r="I58" s="30" t="n"/>
      <c r="J58" s="32" t="n"/>
      <c r="K58" s="31" t="n"/>
      <c r="L58" s="30" t="n"/>
      <c r="M58" s="31" t="n"/>
      <c r="N58" s="31" t="n"/>
      <c r="O58" s="31" t="n"/>
      <c r="P58" s="30" t="n"/>
      <c r="Q58" s="31" t="n"/>
      <c r="R58" s="31" t="n"/>
      <c r="S58" s="31" t="n"/>
      <c r="T58" s="31" t="n"/>
      <c r="U58" s="30" t="n"/>
      <c r="V58" s="31" t="n"/>
      <c r="W58" s="31" t="n"/>
      <c r="X58" s="31" t="n"/>
      <c r="Y58" s="31" t="n"/>
      <c r="Z58" s="31" t="n"/>
      <c r="AA58" s="31" t="n"/>
      <c r="AB58" s="31" t="n"/>
      <c r="AC58" s="31" t="n"/>
      <c r="AD58" s="31" t="n"/>
      <c r="AE58" s="31" t="n"/>
      <c r="AF58" s="27">
        <f>IF(NOT(COUNTA(A58:AE58)&gt;0),"",IF(A58="","New client","Update"))</f>
        <v/>
      </c>
      <c r="AG58" s="27">
        <f>IF(AO58&lt;&gt;"",AO58,IF(LEN(AN58)=15,MID(AN58,3,10),""))</f>
        <v/>
      </c>
      <c r="AH58" s="27">
        <f>IF(AP58="","",AP58&amp;IF(D58="","  (guessed from PAN)",""))</f>
        <v/>
      </c>
      <c r="AI58" s="27">
        <f>IF(AN58="","",IFERROR(INDEX(Lists!$L$2:$L$38,MATCH(LEFT(AN58,2),Lists!$K$2:$K$38,0)),"Unknown code"))</f>
        <v/>
      </c>
      <c r="AJ58" s="27">
        <f>IF(AN58="","",IFERROR(IF(NOT(AND(LEN(AN58)=15,ISNUMBER(MATCH(LEFT(AN58,2),Lists!$K$2:$K$38,0)),SUMPRODUCT(--ISERROR(FIND(MID(MID(AN58,3,10),{1,2,3,4,5,10},1),"ABCDEFGHIJKLMNOPQRSTUVWXYZ")))=0,SUMPRODUCT(--ISERROR(FIND(MID(MID(AN58,3,10),{6,7,8,9},1),"0123456789")))=0,ISNUMBER(FIND(MID(AN58,13,1),"123456789ABCDEFGHIJKLMNOPQRSTUVWXYZ")),MID(AN58,14,1)="Z")),"Wrong format",IF(MID("0123456789ABCDEFGHIJKLMNOPQRSTUVWXYZ",MOD(36-MOD(SUMPRODUCT(INT((FIND(MID(AN58,{1,2,3,4,5,6,7,8,9,10,11,12,13,14},1),"0123456789ABCDEFGHIJKLMNOPQRSTUVWXYZ")-1)*{1,2,1,2,1,2,1,2,1,2,1,2,1,2}/36)+MOD((FIND(MID(AN58,{1,2,3,4,5,6,7,8,9,10,11,12,13,14},1),"0123456789ABCDEFGHIJKLMNOPQRSTUVWXYZ")-1)*{1,2,1,2,1,2,1,2,1,2,1,2,1,2},36)),36),36)+1,1)=MID(AN58,15,1),"OK","Typo? check digit wrong")),"Wrong format"))</f>
        <v/>
      </c>
      <c r="AK58" s="27">
        <f>IF(AO58="","",IF(AND(LEN(AO58)=10,SUMPRODUCT(--ISERROR(FIND(MID(AO58,{1,2,3,4,5,10},1),"ABCDEFGHIJKLMNOPQRSTUVWXYZ")))=0,SUMPRODUCT(--ISERROR(FIND(MID(AO58,{6,7,8,9},1),"0123456789")))=0),"OK","Wrong format"))</f>
        <v/>
      </c>
      <c r="AL58" s="27">
        <f>IF(TRIM(H58)="","",IF(AND(LEN(UPPER(TRIM(H58)))=10,SUMPRODUCT(--ISERROR(FIND(MID(UPPER(TRIM(H58)),{1,2,3,4,10},1),"ABCDEFGHIJKLMNOPQRSTUVWXYZ")))=0,SUMPRODUCT(--ISERROR(FIND(MID(UPPER(TRIM(H58)),{5,6,7,8,9},1),"0123456789")))=0),"OK","Wrong format"))</f>
        <v/>
      </c>
      <c r="AM58" s="28">
        <f>IF(NOT(COUNTA(A58:AE58)&gt;0),"",IF(AS58&lt;&gt;"","✖ "&amp;LEFT(AS58,LEN(AS58)-2),IF(AR58&gt;0,"✔ Ready — client + "&amp;AR58&amp;" service(s)","✔ Ready — client only")))</f>
        <v/>
      </c>
      <c r="AN58" s="29">
        <f>UPPER(SUBSTITUTE(TRIM(F58)," ",""))</f>
        <v/>
      </c>
      <c r="AO58" s="29">
        <f>UPPER(SUBSTITUTE(TRIM(E58)," ",""))</f>
        <v/>
      </c>
      <c r="AP58" s="29">
        <f>IF(D58&lt;&gt;"",D58,IFERROR(VLOOKUP(MID(AG58,4,1),Lists!$E$2:$F$8,2,FALSE),""))</f>
        <v/>
      </c>
      <c r="AQ58" s="29">
        <f>IFERROR(VLOOKUP(AP58,Lists!$A$2:$C$12,3,FALSE),"")</f>
        <v/>
      </c>
      <c r="AR58" s="29">
        <f>COUNTIF(W58:AC58,"Yes")</f>
        <v/>
      </c>
      <c r="AS58" s="29">
        <f>IF(TRIM(B58)="","Legal name missing; ","")&amp;IF(AND(AJ58&lt;&gt;"",AJ58&lt;&gt;"OK"),"GSTIN: "&amp;AJ58&amp;"; ","")&amp;IF(AND(AK58&lt;&gt;"",AK58&lt;&gt;"OK"),"PAN wrong format; ","")&amp;IF(AND(AO58&lt;&gt;"",LEN(AN58)=15,MID(AN58,3,10)&lt;&gt;AO58),"PAN does not match GSTIN; ","")&amp;IF(AND(AL58&lt;&gt;"",AL58&lt;&gt;"OK"),"TAN wrong format; ","")&amp;IF(AG58="","PAN missing; ","")&amp;IF(AP58="","Entity type missing; ","")&amp;IF(AND(AN58&lt;&gt;"",COUNTIF($AN$6:$AN$1005,AN58)&gt;1),"GSTIN repeated in this sheet; ","")&amp;IF(AND(AG58&lt;&gt;"",COUNTIF($AG$6:$AG$1005,AG58)&gt;1),"PAN repeated in this sheet (same client? put extra GSTINs in Other GSTINs); ","")&amp;IF(AND(AR58&gt;0,V58=""),"Financial year missing; ","")&amp;IF(AND(AR58=0,V58&lt;&gt;""),"Financial year given but no service is Yes; ","")&amp;IF(AND(W58="Yes",AN58=""),"GST needs a GSTIN; ","")&amp;IF(AND(W58="Yes",X58=""),"GST return frequency missing; ","")&amp;IF(AND(Y58="Yes",TRIM(H58)=""),"TDS needs a TAN; ","")&amp;IF(AND(AA58="Yes",AQ58&lt;&gt;"",AQ58&lt;&gt;"company",AQ58&lt;&gt;"llp"),"ROC is only for a company / LLP; ","")&amp;IF(AND(AA58="Yes",OR(AQ58="company",AQ58="llp"),TRIM(I58)=""),"ROC needs the CIN / LLPIN; ","")</f>
        <v/>
      </c>
    </row>
    <row r="59">
      <c r="A59" s="30" t="n"/>
      <c r="B59" s="31" t="n"/>
      <c r="C59" s="31" t="n"/>
      <c r="D59" s="31" t="n"/>
      <c r="E59" s="30" t="n"/>
      <c r="F59" s="30" t="n"/>
      <c r="G59" s="30" t="n"/>
      <c r="H59" s="30" t="n"/>
      <c r="I59" s="30" t="n"/>
      <c r="J59" s="32" t="n"/>
      <c r="K59" s="31" t="n"/>
      <c r="L59" s="30" t="n"/>
      <c r="M59" s="31" t="n"/>
      <c r="N59" s="31" t="n"/>
      <c r="O59" s="31" t="n"/>
      <c r="P59" s="30" t="n"/>
      <c r="Q59" s="31" t="n"/>
      <c r="R59" s="31" t="n"/>
      <c r="S59" s="31" t="n"/>
      <c r="T59" s="31" t="n"/>
      <c r="U59" s="30" t="n"/>
      <c r="V59" s="31" t="n"/>
      <c r="W59" s="31" t="n"/>
      <c r="X59" s="31" t="n"/>
      <c r="Y59" s="31" t="n"/>
      <c r="Z59" s="31" t="n"/>
      <c r="AA59" s="31" t="n"/>
      <c r="AB59" s="31" t="n"/>
      <c r="AC59" s="31" t="n"/>
      <c r="AD59" s="31" t="n"/>
      <c r="AE59" s="31" t="n"/>
      <c r="AF59" s="27">
        <f>IF(NOT(COUNTA(A59:AE59)&gt;0),"",IF(A59="","New client","Update"))</f>
        <v/>
      </c>
      <c r="AG59" s="27">
        <f>IF(AO59&lt;&gt;"",AO59,IF(LEN(AN59)=15,MID(AN59,3,10),""))</f>
        <v/>
      </c>
      <c r="AH59" s="27">
        <f>IF(AP59="","",AP59&amp;IF(D59="","  (guessed from PAN)",""))</f>
        <v/>
      </c>
      <c r="AI59" s="27">
        <f>IF(AN59="","",IFERROR(INDEX(Lists!$L$2:$L$38,MATCH(LEFT(AN59,2),Lists!$K$2:$K$38,0)),"Unknown code"))</f>
        <v/>
      </c>
      <c r="AJ59" s="27">
        <f>IF(AN59="","",IFERROR(IF(NOT(AND(LEN(AN59)=15,ISNUMBER(MATCH(LEFT(AN59,2),Lists!$K$2:$K$38,0)),SUMPRODUCT(--ISERROR(FIND(MID(MID(AN59,3,10),{1,2,3,4,5,10},1),"ABCDEFGHIJKLMNOPQRSTUVWXYZ")))=0,SUMPRODUCT(--ISERROR(FIND(MID(MID(AN59,3,10),{6,7,8,9},1),"0123456789")))=0,ISNUMBER(FIND(MID(AN59,13,1),"123456789ABCDEFGHIJKLMNOPQRSTUVWXYZ")),MID(AN59,14,1)="Z")),"Wrong format",IF(MID("0123456789ABCDEFGHIJKLMNOPQRSTUVWXYZ",MOD(36-MOD(SUMPRODUCT(INT((FIND(MID(AN59,{1,2,3,4,5,6,7,8,9,10,11,12,13,14},1),"0123456789ABCDEFGHIJKLMNOPQRSTUVWXYZ")-1)*{1,2,1,2,1,2,1,2,1,2,1,2,1,2}/36)+MOD((FIND(MID(AN59,{1,2,3,4,5,6,7,8,9,10,11,12,13,14},1),"0123456789ABCDEFGHIJKLMNOPQRSTUVWXYZ")-1)*{1,2,1,2,1,2,1,2,1,2,1,2,1,2},36)),36),36)+1,1)=MID(AN59,15,1),"OK","Typo? check digit wrong")),"Wrong format"))</f>
        <v/>
      </c>
      <c r="AK59" s="27">
        <f>IF(AO59="","",IF(AND(LEN(AO59)=10,SUMPRODUCT(--ISERROR(FIND(MID(AO59,{1,2,3,4,5,10},1),"ABCDEFGHIJKLMNOPQRSTUVWXYZ")))=0,SUMPRODUCT(--ISERROR(FIND(MID(AO59,{6,7,8,9},1),"0123456789")))=0),"OK","Wrong format"))</f>
        <v/>
      </c>
      <c r="AL59" s="27">
        <f>IF(TRIM(H59)="","",IF(AND(LEN(UPPER(TRIM(H59)))=10,SUMPRODUCT(--ISERROR(FIND(MID(UPPER(TRIM(H59)),{1,2,3,4,10},1),"ABCDEFGHIJKLMNOPQRSTUVWXYZ")))=0,SUMPRODUCT(--ISERROR(FIND(MID(UPPER(TRIM(H59)),{5,6,7,8,9},1),"0123456789")))=0),"OK","Wrong format"))</f>
        <v/>
      </c>
      <c r="AM59" s="28">
        <f>IF(NOT(COUNTA(A59:AE59)&gt;0),"",IF(AS59&lt;&gt;"","✖ "&amp;LEFT(AS59,LEN(AS59)-2),IF(AR59&gt;0,"✔ Ready — client + "&amp;AR59&amp;" service(s)","✔ Ready — client only")))</f>
        <v/>
      </c>
      <c r="AN59" s="29">
        <f>UPPER(SUBSTITUTE(TRIM(F59)," ",""))</f>
        <v/>
      </c>
      <c r="AO59" s="29">
        <f>UPPER(SUBSTITUTE(TRIM(E59)," ",""))</f>
        <v/>
      </c>
      <c r="AP59" s="29">
        <f>IF(D59&lt;&gt;"",D59,IFERROR(VLOOKUP(MID(AG59,4,1),Lists!$E$2:$F$8,2,FALSE),""))</f>
        <v/>
      </c>
      <c r="AQ59" s="29">
        <f>IFERROR(VLOOKUP(AP59,Lists!$A$2:$C$12,3,FALSE),"")</f>
        <v/>
      </c>
      <c r="AR59" s="29">
        <f>COUNTIF(W59:AC59,"Yes")</f>
        <v/>
      </c>
      <c r="AS59" s="29">
        <f>IF(TRIM(B59)="","Legal name missing; ","")&amp;IF(AND(AJ59&lt;&gt;"",AJ59&lt;&gt;"OK"),"GSTIN: "&amp;AJ59&amp;"; ","")&amp;IF(AND(AK59&lt;&gt;"",AK59&lt;&gt;"OK"),"PAN wrong format; ","")&amp;IF(AND(AO59&lt;&gt;"",LEN(AN59)=15,MID(AN59,3,10)&lt;&gt;AO59),"PAN does not match GSTIN; ","")&amp;IF(AND(AL59&lt;&gt;"",AL59&lt;&gt;"OK"),"TAN wrong format; ","")&amp;IF(AG59="","PAN missing; ","")&amp;IF(AP59="","Entity type missing; ","")&amp;IF(AND(AN59&lt;&gt;"",COUNTIF($AN$6:$AN$1005,AN59)&gt;1),"GSTIN repeated in this sheet; ","")&amp;IF(AND(AG59&lt;&gt;"",COUNTIF($AG$6:$AG$1005,AG59)&gt;1),"PAN repeated in this sheet (same client? put extra GSTINs in Other GSTINs); ","")&amp;IF(AND(AR59&gt;0,V59=""),"Financial year missing; ","")&amp;IF(AND(AR59=0,V59&lt;&gt;""),"Financial year given but no service is Yes; ","")&amp;IF(AND(W59="Yes",AN59=""),"GST needs a GSTIN; ","")&amp;IF(AND(W59="Yes",X59=""),"GST return frequency missing; ","")&amp;IF(AND(Y59="Yes",TRIM(H59)=""),"TDS needs a TAN; ","")&amp;IF(AND(AA59="Yes",AQ59&lt;&gt;"",AQ59&lt;&gt;"company",AQ59&lt;&gt;"llp"),"ROC is only for a company / LLP; ","")&amp;IF(AND(AA59="Yes",OR(AQ59="company",AQ59="llp"),TRIM(I59)=""),"ROC needs the CIN / LLPIN; ","")</f>
        <v/>
      </c>
    </row>
    <row r="60">
      <c r="A60" s="30" t="n"/>
      <c r="B60" s="31" t="n"/>
      <c r="C60" s="31" t="n"/>
      <c r="D60" s="31" t="n"/>
      <c r="E60" s="30" t="n"/>
      <c r="F60" s="30" t="n"/>
      <c r="G60" s="30" t="n"/>
      <c r="H60" s="30" t="n"/>
      <c r="I60" s="30" t="n"/>
      <c r="J60" s="32" t="n"/>
      <c r="K60" s="31" t="n"/>
      <c r="L60" s="30" t="n"/>
      <c r="M60" s="31" t="n"/>
      <c r="N60" s="31" t="n"/>
      <c r="O60" s="31" t="n"/>
      <c r="P60" s="30" t="n"/>
      <c r="Q60" s="31" t="n"/>
      <c r="R60" s="31" t="n"/>
      <c r="S60" s="31" t="n"/>
      <c r="T60" s="31" t="n"/>
      <c r="U60" s="30" t="n"/>
      <c r="V60" s="31" t="n"/>
      <c r="W60" s="31" t="n"/>
      <c r="X60" s="31" t="n"/>
      <c r="Y60" s="31" t="n"/>
      <c r="Z60" s="31" t="n"/>
      <c r="AA60" s="31" t="n"/>
      <c r="AB60" s="31" t="n"/>
      <c r="AC60" s="31" t="n"/>
      <c r="AD60" s="31" t="n"/>
      <c r="AE60" s="31" t="n"/>
      <c r="AF60" s="27">
        <f>IF(NOT(COUNTA(A60:AE60)&gt;0),"",IF(A60="","New client","Update"))</f>
        <v/>
      </c>
      <c r="AG60" s="27">
        <f>IF(AO60&lt;&gt;"",AO60,IF(LEN(AN60)=15,MID(AN60,3,10),""))</f>
        <v/>
      </c>
      <c r="AH60" s="27">
        <f>IF(AP60="","",AP60&amp;IF(D60="","  (guessed from PAN)",""))</f>
        <v/>
      </c>
      <c r="AI60" s="27">
        <f>IF(AN60="","",IFERROR(INDEX(Lists!$L$2:$L$38,MATCH(LEFT(AN60,2),Lists!$K$2:$K$38,0)),"Unknown code"))</f>
        <v/>
      </c>
      <c r="AJ60" s="27">
        <f>IF(AN60="","",IFERROR(IF(NOT(AND(LEN(AN60)=15,ISNUMBER(MATCH(LEFT(AN60,2),Lists!$K$2:$K$38,0)),SUMPRODUCT(--ISERROR(FIND(MID(MID(AN60,3,10),{1,2,3,4,5,10},1),"ABCDEFGHIJKLMNOPQRSTUVWXYZ")))=0,SUMPRODUCT(--ISERROR(FIND(MID(MID(AN60,3,10),{6,7,8,9},1),"0123456789")))=0,ISNUMBER(FIND(MID(AN60,13,1),"123456789ABCDEFGHIJKLMNOPQRSTUVWXYZ")),MID(AN60,14,1)="Z")),"Wrong format",IF(MID("0123456789ABCDEFGHIJKLMNOPQRSTUVWXYZ",MOD(36-MOD(SUMPRODUCT(INT((FIND(MID(AN60,{1,2,3,4,5,6,7,8,9,10,11,12,13,14},1),"0123456789ABCDEFGHIJKLMNOPQRSTUVWXYZ")-1)*{1,2,1,2,1,2,1,2,1,2,1,2,1,2}/36)+MOD((FIND(MID(AN60,{1,2,3,4,5,6,7,8,9,10,11,12,13,14},1),"0123456789ABCDEFGHIJKLMNOPQRSTUVWXYZ")-1)*{1,2,1,2,1,2,1,2,1,2,1,2,1,2},36)),36),36)+1,1)=MID(AN60,15,1),"OK","Typo? check digit wrong")),"Wrong format"))</f>
        <v/>
      </c>
      <c r="AK60" s="27">
        <f>IF(AO60="","",IF(AND(LEN(AO60)=10,SUMPRODUCT(--ISERROR(FIND(MID(AO60,{1,2,3,4,5,10},1),"ABCDEFGHIJKLMNOPQRSTUVWXYZ")))=0,SUMPRODUCT(--ISERROR(FIND(MID(AO60,{6,7,8,9},1),"0123456789")))=0),"OK","Wrong format"))</f>
        <v/>
      </c>
      <c r="AL60" s="27">
        <f>IF(TRIM(H60)="","",IF(AND(LEN(UPPER(TRIM(H60)))=10,SUMPRODUCT(--ISERROR(FIND(MID(UPPER(TRIM(H60)),{1,2,3,4,10},1),"ABCDEFGHIJKLMNOPQRSTUVWXYZ")))=0,SUMPRODUCT(--ISERROR(FIND(MID(UPPER(TRIM(H60)),{5,6,7,8,9},1),"0123456789")))=0),"OK","Wrong format"))</f>
        <v/>
      </c>
      <c r="AM60" s="28">
        <f>IF(NOT(COUNTA(A60:AE60)&gt;0),"",IF(AS60&lt;&gt;"","✖ "&amp;LEFT(AS60,LEN(AS60)-2),IF(AR60&gt;0,"✔ Ready — client + "&amp;AR60&amp;" service(s)","✔ Ready — client only")))</f>
        <v/>
      </c>
      <c r="AN60" s="29">
        <f>UPPER(SUBSTITUTE(TRIM(F60)," ",""))</f>
        <v/>
      </c>
      <c r="AO60" s="29">
        <f>UPPER(SUBSTITUTE(TRIM(E60)," ",""))</f>
        <v/>
      </c>
      <c r="AP60" s="29">
        <f>IF(D60&lt;&gt;"",D60,IFERROR(VLOOKUP(MID(AG60,4,1),Lists!$E$2:$F$8,2,FALSE),""))</f>
        <v/>
      </c>
      <c r="AQ60" s="29">
        <f>IFERROR(VLOOKUP(AP60,Lists!$A$2:$C$12,3,FALSE),"")</f>
        <v/>
      </c>
      <c r="AR60" s="29">
        <f>COUNTIF(W60:AC60,"Yes")</f>
        <v/>
      </c>
      <c r="AS60" s="29">
        <f>IF(TRIM(B60)="","Legal name missing; ","")&amp;IF(AND(AJ60&lt;&gt;"",AJ60&lt;&gt;"OK"),"GSTIN: "&amp;AJ60&amp;"; ","")&amp;IF(AND(AK60&lt;&gt;"",AK60&lt;&gt;"OK"),"PAN wrong format; ","")&amp;IF(AND(AO60&lt;&gt;"",LEN(AN60)=15,MID(AN60,3,10)&lt;&gt;AO60),"PAN does not match GSTIN; ","")&amp;IF(AND(AL60&lt;&gt;"",AL60&lt;&gt;"OK"),"TAN wrong format; ","")&amp;IF(AG60="","PAN missing; ","")&amp;IF(AP60="","Entity type missing; ","")&amp;IF(AND(AN60&lt;&gt;"",COUNTIF($AN$6:$AN$1005,AN60)&gt;1),"GSTIN repeated in this sheet; ","")&amp;IF(AND(AG60&lt;&gt;"",COUNTIF($AG$6:$AG$1005,AG60)&gt;1),"PAN repeated in this sheet (same client? put extra GSTINs in Other GSTINs); ","")&amp;IF(AND(AR60&gt;0,V60=""),"Financial year missing; ","")&amp;IF(AND(AR60=0,V60&lt;&gt;""),"Financial year given but no service is Yes; ","")&amp;IF(AND(W60="Yes",AN60=""),"GST needs a GSTIN; ","")&amp;IF(AND(W60="Yes",X60=""),"GST return frequency missing; ","")&amp;IF(AND(Y60="Yes",TRIM(H60)=""),"TDS needs a TAN; ","")&amp;IF(AND(AA60="Yes",AQ60&lt;&gt;"",AQ60&lt;&gt;"company",AQ60&lt;&gt;"llp"),"ROC is only for a company / LLP; ","")&amp;IF(AND(AA60="Yes",OR(AQ60="company",AQ60="llp"),TRIM(I60)=""),"ROC needs the CIN / LLPIN; ","")</f>
        <v/>
      </c>
    </row>
    <row r="61">
      <c r="A61" s="30" t="n"/>
      <c r="B61" s="31" t="n"/>
      <c r="C61" s="31" t="n"/>
      <c r="D61" s="31" t="n"/>
      <c r="E61" s="30" t="n"/>
      <c r="F61" s="30" t="n"/>
      <c r="G61" s="30" t="n"/>
      <c r="H61" s="30" t="n"/>
      <c r="I61" s="30" t="n"/>
      <c r="J61" s="32" t="n"/>
      <c r="K61" s="31" t="n"/>
      <c r="L61" s="30" t="n"/>
      <c r="M61" s="31" t="n"/>
      <c r="N61" s="31" t="n"/>
      <c r="O61" s="31" t="n"/>
      <c r="P61" s="30" t="n"/>
      <c r="Q61" s="31" t="n"/>
      <c r="R61" s="31" t="n"/>
      <c r="S61" s="31" t="n"/>
      <c r="T61" s="31" t="n"/>
      <c r="U61" s="30" t="n"/>
      <c r="V61" s="31" t="n"/>
      <c r="W61" s="31" t="n"/>
      <c r="X61" s="31" t="n"/>
      <c r="Y61" s="31" t="n"/>
      <c r="Z61" s="31" t="n"/>
      <c r="AA61" s="31" t="n"/>
      <c r="AB61" s="31" t="n"/>
      <c r="AC61" s="31" t="n"/>
      <c r="AD61" s="31" t="n"/>
      <c r="AE61" s="31" t="n"/>
      <c r="AF61" s="27">
        <f>IF(NOT(COUNTA(A61:AE61)&gt;0),"",IF(A61="","New client","Update"))</f>
        <v/>
      </c>
      <c r="AG61" s="27">
        <f>IF(AO61&lt;&gt;"",AO61,IF(LEN(AN61)=15,MID(AN61,3,10),""))</f>
        <v/>
      </c>
      <c r="AH61" s="27">
        <f>IF(AP61="","",AP61&amp;IF(D61="","  (guessed from PAN)",""))</f>
        <v/>
      </c>
      <c r="AI61" s="27">
        <f>IF(AN61="","",IFERROR(INDEX(Lists!$L$2:$L$38,MATCH(LEFT(AN61,2),Lists!$K$2:$K$38,0)),"Unknown code"))</f>
        <v/>
      </c>
      <c r="AJ61" s="27">
        <f>IF(AN61="","",IFERROR(IF(NOT(AND(LEN(AN61)=15,ISNUMBER(MATCH(LEFT(AN61,2),Lists!$K$2:$K$38,0)),SUMPRODUCT(--ISERROR(FIND(MID(MID(AN61,3,10),{1,2,3,4,5,10},1),"ABCDEFGHIJKLMNOPQRSTUVWXYZ")))=0,SUMPRODUCT(--ISERROR(FIND(MID(MID(AN61,3,10),{6,7,8,9},1),"0123456789")))=0,ISNUMBER(FIND(MID(AN61,13,1),"123456789ABCDEFGHIJKLMNOPQRSTUVWXYZ")),MID(AN61,14,1)="Z")),"Wrong format",IF(MID("0123456789ABCDEFGHIJKLMNOPQRSTUVWXYZ",MOD(36-MOD(SUMPRODUCT(INT((FIND(MID(AN61,{1,2,3,4,5,6,7,8,9,10,11,12,13,14},1),"0123456789ABCDEFGHIJKLMNOPQRSTUVWXYZ")-1)*{1,2,1,2,1,2,1,2,1,2,1,2,1,2}/36)+MOD((FIND(MID(AN61,{1,2,3,4,5,6,7,8,9,10,11,12,13,14},1),"0123456789ABCDEFGHIJKLMNOPQRSTUVWXYZ")-1)*{1,2,1,2,1,2,1,2,1,2,1,2,1,2},36)),36),36)+1,1)=MID(AN61,15,1),"OK","Typo? check digit wrong")),"Wrong format"))</f>
        <v/>
      </c>
      <c r="AK61" s="27">
        <f>IF(AO61="","",IF(AND(LEN(AO61)=10,SUMPRODUCT(--ISERROR(FIND(MID(AO61,{1,2,3,4,5,10},1),"ABCDEFGHIJKLMNOPQRSTUVWXYZ")))=0,SUMPRODUCT(--ISERROR(FIND(MID(AO61,{6,7,8,9},1),"0123456789")))=0),"OK","Wrong format"))</f>
        <v/>
      </c>
      <c r="AL61" s="27">
        <f>IF(TRIM(H61)="","",IF(AND(LEN(UPPER(TRIM(H61)))=10,SUMPRODUCT(--ISERROR(FIND(MID(UPPER(TRIM(H61)),{1,2,3,4,10},1),"ABCDEFGHIJKLMNOPQRSTUVWXYZ")))=0,SUMPRODUCT(--ISERROR(FIND(MID(UPPER(TRIM(H61)),{5,6,7,8,9},1),"0123456789")))=0),"OK","Wrong format"))</f>
        <v/>
      </c>
      <c r="AM61" s="28">
        <f>IF(NOT(COUNTA(A61:AE61)&gt;0),"",IF(AS61&lt;&gt;"","✖ "&amp;LEFT(AS61,LEN(AS61)-2),IF(AR61&gt;0,"✔ Ready — client + "&amp;AR61&amp;" service(s)","✔ Ready — client only")))</f>
        <v/>
      </c>
      <c r="AN61" s="29">
        <f>UPPER(SUBSTITUTE(TRIM(F61)," ",""))</f>
        <v/>
      </c>
      <c r="AO61" s="29">
        <f>UPPER(SUBSTITUTE(TRIM(E61)," ",""))</f>
        <v/>
      </c>
      <c r="AP61" s="29">
        <f>IF(D61&lt;&gt;"",D61,IFERROR(VLOOKUP(MID(AG61,4,1),Lists!$E$2:$F$8,2,FALSE),""))</f>
        <v/>
      </c>
      <c r="AQ61" s="29">
        <f>IFERROR(VLOOKUP(AP61,Lists!$A$2:$C$12,3,FALSE),"")</f>
        <v/>
      </c>
      <c r="AR61" s="29">
        <f>COUNTIF(W61:AC61,"Yes")</f>
        <v/>
      </c>
      <c r="AS61" s="29">
        <f>IF(TRIM(B61)="","Legal name missing; ","")&amp;IF(AND(AJ61&lt;&gt;"",AJ61&lt;&gt;"OK"),"GSTIN: "&amp;AJ61&amp;"; ","")&amp;IF(AND(AK61&lt;&gt;"",AK61&lt;&gt;"OK"),"PAN wrong format; ","")&amp;IF(AND(AO61&lt;&gt;"",LEN(AN61)=15,MID(AN61,3,10)&lt;&gt;AO61),"PAN does not match GSTIN; ","")&amp;IF(AND(AL61&lt;&gt;"",AL61&lt;&gt;"OK"),"TAN wrong format; ","")&amp;IF(AG61="","PAN missing; ","")&amp;IF(AP61="","Entity type missing; ","")&amp;IF(AND(AN61&lt;&gt;"",COUNTIF($AN$6:$AN$1005,AN61)&gt;1),"GSTIN repeated in this sheet; ","")&amp;IF(AND(AG61&lt;&gt;"",COUNTIF($AG$6:$AG$1005,AG61)&gt;1),"PAN repeated in this sheet (same client? put extra GSTINs in Other GSTINs); ","")&amp;IF(AND(AR61&gt;0,V61=""),"Financial year missing; ","")&amp;IF(AND(AR61=0,V61&lt;&gt;""),"Financial year given but no service is Yes; ","")&amp;IF(AND(W61="Yes",AN61=""),"GST needs a GSTIN; ","")&amp;IF(AND(W61="Yes",X61=""),"GST return frequency missing; ","")&amp;IF(AND(Y61="Yes",TRIM(H61)=""),"TDS needs a TAN; ","")&amp;IF(AND(AA61="Yes",AQ61&lt;&gt;"",AQ61&lt;&gt;"company",AQ61&lt;&gt;"llp"),"ROC is only for a company / LLP; ","")&amp;IF(AND(AA61="Yes",OR(AQ61="company",AQ61="llp"),TRIM(I61)=""),"ROC needs the CIN / LLPIN; ","")</f>
        <v/>
      </c>
    </row>
    <row r="62">
      <c r="A62" s="30" t="n"/>
      <c r="B62" s="31" t="n"/>
      <c r="C62" s="31" t="n"/>
      <c r="D62" s="31" t="n"/>
      <c r="E62" s="30" t="n"/>
      <c r="F62" s="30" t="n"/>
      <c r="G62" s="30" t="n"/>
      <c r="H62" s="30" t="n"/>
      <c r="I62" s="30" t="n"/>
      <c r="J62" s="32" t="n"/>
      <c r="K62" s="31" t="n"/>
      <c r="L62" s="30" t="n"/>
      <c r="M62" s="31" t="n"/>
      <c r="N62" s="31" t="n"/>
      <c r="O62" s="31" t="n"/>
      <c r="P62" s="30" t="n"/>
      <c r="Q62" s="31" t="n"/>
      <c r="R62" s="31" t="n"/>
      <c r="S62" s="31" t="n"/>
      <c r="T62" s="31" t="n"/>
      <c r="U62" s="30" t="n"/>
      <c r="V62" s="31" t="n"/>
      <c r="W62" s="31" t="n"/>
      <c r="X62" s="31" t="n"/>
      <c r="Y62" s="31" t="n"/>
      <c r="Z62" s="31" t="n"/>
      <c r="AA62" s="31" t="n"/>
      <c r="AB62" s="31" t="n"/>
      <c r="AC62" s="31" t="n"/>
      <c r="AD62" s="31" t="n"/>
      <c r="AE62" s="31" t="n"/>
      <c r="AF62" s="27">
        <f>IF(NOT(COUNTA(A62:AE62)&gt;0),"",IF(A62="","New client","Update"))</f>
        <v/>
      </c>
      <c r="AG62" s="27">
        <f>IF(AO62&lt;&gt;"",AO62,IF(LEN(AN62)=15,MID(AN62,3,10),""))</f>
        <v/>
      </c>
      <c r="AH62" s="27">
        <f>IF(AP62="","",AP62&amp;IF(D62="","  (guessed from PAN)",""))</f>
        <v/>
      </c>
      <c r="AI62" s="27">
        <f>IF(AN62="","",IFERROR(INDEX(Lists!$L$2:$L$38,MATCH(LEFT(AN62,2),Lists!$K$2:$K$38,0)),"Unknown code"))</f>
        <v/>
      </c>
      <c r="AJ62" s="27">
        <f>IF(AN62="","",IFERROR(IF(NOT(AND(LEN(AN62)=15,ISNUMBER(MATCH(LEFT(AN62,2),Lists!$K$2:$K$38,0)),SUMPRODUCT(--ISERROR(FIND(MID(MID(AN62,3,10),{1,2,3,4,5,10},1),"ABCDEFGHIJKLMNOPQRSTUVWXYZ")))=0,SUMPRODUCT(--ISERROR(FIND(MID(MID(AN62,3,10),{6,7,8,9},1),"0123456789")))=0,ISNUMBER(FIND(MID(AN62,13,1),"123456789ABCDEFGHIJKLMNOPQRSTUVWXYZ")),MID(AN62,14,1)="Z")),"Wrong format",IF(MID("0123456789ABCDEFGHIJKLMNOPQRSTUVWXYZ",MOD(36-MOD(SUMPRODUCT(INT((FIND(MID(AN62,{1,2,3,4,5,6,7,8,9,10,11,12,13,14},1),"0123456789ABCDEFGHIJKLMNOPQRSTUVWXYZ")-1)*{1,2,1,2,1,2,1,2,1,2,1,2,1,2}/36)+MOD((FIND(MID(AN62,{1,2,3,4,5,6,7,8,9,10,11,12,13,14},1),"0123456789ABCDEFGHIJKLMNOPQRSTUVWXYZ")-1)*{1,2,1,2,1,2,1,2,1,2,1,2,1,2},36)),36),36)+1,1)=MID(AN62,15,1),"OK","Typo? check digit wrong")),"Wrong format"))</f>
        <v/>
      </c>
      <c r="AK62" s="27">
        <f>IF(AO62="","",IF(AND(LEN(AO62)=10,SUMPRODUCT(--ISERROR(FIND(MID(AO62,{1,2,3,4,5,10},1),"ABCDEFGHIJKLMNOPQRSTUVWXYZ")))=0,SUMPRODUCT(--ISERROR(FIND(MID(AO62,{6,7,8,9},1),"0123456789")))=0),"OK","Wrong format"))</f>
        <v/>
      </c>
      <c r="AL62" s="27">
        <f>IF(TRIM(H62)="","",IF(AND(LEN(UPPER(TRIM(H62)))=10,SUMPRODUCT(--ISERROR(FIND(MID(UPPER(TRIM(H62)),{1,2,3,4,10},1),"ABCDEFGHIJKLMNOPQRSTUVWXYZ")))=0,SUMPRODUCT(--ISERROR(FIND(MID(UPPER(TRIM(H62)),{5,6,7,8,9},1),"0123456789")))=0),"OK","Wrong format"))</f>
        <v/>
      </c>
      <c r="AM62" s="28">
        <f>IF(NOT(COUNTA(A62:AE62)&gt;0),"",IF(AS62&lt;&gt;"","✖ "&amp;LEFT(AS62,LEN(AS62)-2),IF(AR62&gt;0,"✔ Ready — client + "&amp;AR62&amp;" service(s)","✔ Ready — client only")))</f>
        <v/>
      </c>
      <c r="AN62" s="29">
        <f>UPPER(SUBSTITUTE(TRIM(F62)," ",""))</f>
        <v/>
      </c>
      <c r="AO62" s="29">
        <f>UPPER(SUBSTITUTE(TRIM(E62)," ",""))</f>
        <v/>
      </c>
      <c r="AP62" s="29">
        <f>IF(D62&lt;&gt;"",D62,IFERROR(VLOOKUP(MID(AG62,4,1),Lists!$E$2:$F$8,2,FALSE),""))</f>
        <v/>
      </c>
      <c r="AQ62" s="29">
        <f>IFERROR(VLOOKUP(AP62,Lists!$A$2:$C$12,3,FALSE),"")</f>
        <v/>
      </c>
      <c r="AR62" s="29">
        <f>COUNTIF(W62:AC62,"Yes")</f>
        <v/>
      </c>
      <c r="AS62" s="29">
        <f>IF(TRIM(B62)="","Legal name missing; ","")&amp;IF(AND(AJ62&lt;&gt;"",AJ62&lt;&gt;"OK"),"GSTIN: "&amp;AJ62&amp;"; ","")&amp;IF(AND(AK62&lt;&gt;"",AK62&lt;&gt;"OK"),"PAN wrong format; ","")&amp;IF(AND(AO62&lt;&gt;"",LEN(AN62)=15,MID(AN62,3,10)&lt;&gt;AO62),"PAN does not match GSTIN; ","")&amp;IF(AND(AL62&lt;&gt;"",AL62&lt;&gt;"OK"),"TAN wrong format; ","")&amp;IF(AG62="","PAN missing; ","")&amp;IF(AP62="","Entity type missing; ","")&amp;IF(AND(AN62&lt;&gt;"",COUNTIF($AN$6:$AN$1005,AN62)&gt;1),"GSTIN repeated in this sheet; ","")&amp;IF(AND(AG62&lt;&gt;"",COUNTIF($AG$6:$AG$1005,AG62)&gt;1),"PAN repeated in this sheet (same client? put extra GSTINs in Other GSTINs); ","")&amp;IF(AND(AR62&gt;0,V62=""),"Financial year missing; ","")&amp;IF(AND(AR62=0,V62&lt;&gt;""),"Financial year given but no service is Yes; ","")&amp;IF(AND(W62="Yes",AN62=""),"GST needs a GSTIN; ","")&amp;IF(AND(W62="Yes",X62=""),"GST return frequency missing; ","")&amp;IF(AND(Y62="Yes",TRIM(H62)=""),"TDS needs a TAN; ","")&amp;IF(AND(AA62="Yes",AQ62&lt;&gt;"",AQ62&lt;&gt;"company",AQ62&lt;&gt;"llp"),"ROC is only for a company / LLP; ","")&amp;IF(AND(AA62="Yes",OR(AQ62="company",AQ62="llp"),TRIM(I62)=""),"ROC needs the CIN / LLPIN; ","")</f>
        <v/>
      </c>
    </row>
    <row r="63">
      <c r="A63" s="30" t="n"/>
      <c r="B63" s="31" t="n"/>
      <c r="C63" s="31" t="n"/>
      <c r="D63" s="31" t="n"/>
      <c r="E63" s="30" t="n"/>
      <c r="F63" s="30" t="n"/>
      <c r="G63" s="30" t="n"/>
      <c r="H63" s="30" t="n"/>
      <c r="I63" s="30" t="n"/>
      <c r="J63" s="32" t="n"/>
      <c r="K63" s="31" t="n"/>
      <c r="L63" s="30" t="n"/>
      <c r="M63" s="31" t="n"/>
      <c r="N63" s="31" t="n"/>
      <c r="O63" s="31" t="n"/>
      <c r="P63" s="30" t="n"/>
      <c r="Q63" s="31" t="n"/>
      <c r="R63" s="31" t="n"/>
      <c r="S63" s="31" t="n"/>
      <c r="T63" s="31" t="n"/>
      <c r="U63" s="30" t="n"/>
      <c r="V63" s="31" t="n"/>
      <c r="W63" s="31" t="n"/>
      <c r="X63" s="31" t="n"/>
      <c r="Y63" s="31" t="n"/>
      <c r="Z63" s="31" t="n"/>
      <c r="AA63" s="31" t="n"/>
      <c r="AB63" s="31" t="n"/>
      <c r="AC63" s="31" t="n"/>
      <c r="AD63" s="31" t="n"/>
      <c r="AE63" s="31" t="n"/>
      <c r="AF63" s="27">
        <f>IF(NOT(COUNTA(A63:AE63)&gt;0),"",IF(A63="","New client","Update"))</f>
        <v/>
      </c>
      <c r="AG63" s="27">
        <f>IF(AO63&lt;&gt;"",AO63,IF(LEN(AN63)=15,MID(AN63,3,10),""))</f>
        <v/>
      </c>
      <c r="AH63" s="27">
        <f>IF(AP63="","",AP63&amp;IF(D63="","  (guessed from PAN)",""))</f>
        <v/>
      </c>
      <c r="AI63" s="27">
        <f>IF(AN63="","",IFERROR(INDEX(Lists!$L$2:$L$38,MATCH(LEFT(AN63,2),Lists!$K$2:$K$38,0)),"Unknown code"))</f>
        <v/>
      </c>
      <c r="AJ63" s="27">
        <f>IF(AN63="","",IFERROR(IF(NOT(AND(LEN(AN63)=15,ISNUMBER(MATCH(LEFT(AN63,2),Lists!$K$2:$K$38,0)),SUMPRODUCT(--ISERROR(FIND(MID(MID(AN63,3,10),{1,2,3,4,5,10},1),"ABCDEFGHIJKLMNOPQRSTUVWXYZ")))=0,SUMPRODUCT(--ISERROR(FIND(MID(MID(AN63,3,10),{6,7,8,9},1),"0123456789")))=0,ISNUMBER(FIND(MID(AN63,13,1),"123456789ABCDEFGHIJKLMNOPQRSTUVWXYZ")),MID(AN63,14,1)="Z")),"Wrong format",IF(MID("0123456789ABCDEFGHIJKLMNOPQRSTUVWXYZ",MOD(36-MOD(SUMPRODUCT(INT((FIND(MID(AN63,{1,2,3,4,5,6,7,8,9,10,11,12,13,14},1),"0123456789ABCDEFGHIJKLMNOPQRSTUVWXYZ")-1)*{1,2,1,2,1,2,1,2,1,2,1,2,1,2}/36)+MOD((FIND(MID(AN63,{1,2,3,4,5,6,7,8,9,10,11,12,13,14},1),"0123456789ABCDEFGHIJKLMNOPQRSTUVWXYZ")-1)*{1,2,1,2,1,2,1,2,1,2,1,2,1,2},36)),36),36)+1,1)=MID(AN63,15,1),"OK","Typo? check digit wrong")),"Wrong format"))</f>
        <v/>
      </c>
      <c r="AK63" s="27">
        <f>IF(AO63="","",IF(AND(LEN(AO63)=10,SUMPRODUCT(--ISERROR(FIND(MID(AO63,{1,2,3,4,5,10},1),"ABCDEFGHIJKLMNOPQRSTUVWXYZ")))=0,SUMPRODUCT(--ISERROR(FIND(MID(AO63,{6,7,8,9},1),"0123456789")))=0),"OK","Wrong format"))</f>
        <v/>
      </c>
      <c r="AL63" s="27">
        <f>IF(TRIM(H63)="","",IF(AND(LEN(UPPER(TRIM(H63)))=10,SUMPRODUCT(--ISERROR(FIND(MID(UPPER(TRIM(H63)),{1,2,3,4,10},1),"ABCDEFGHIJKLMNOPQRSTUVWXYZ")))=0,SUMPRODUCT(--ISERROR(FIND(MID(UPPER(TRIM(H63)),{5,6,7,8,9},1),"0123456789")))=0),"OK","Wrong format"))</f>
        <v/>
      </c>
      <c r="AM63" s="28">
        <f>IF(NOT(COUNTA(A63:AE63)&gt;0),"",IF(AS63&lt;&gt;"","✖ "&amp;LEFT(AS63,LEN(AS63)-2),IF(AR63&gt;0,"✔ Ready — client + "&amp;AR63&amp;" service(s)","✔ Ready — client only")))</f>
        <v/>
      </c>
      <c r="AN63" s="29">
        <f>UPPER(SUBSTITUTE(TRIM(F63)," ",""))</f>
        <v/>
      </c>
      <c r="AO63" s="29">
        <f>UPPER(SUBSTITUTE(TRIM(E63)," ",""))</f>
        <v/>
      </c>
      <c r="AP63" s="29">
        <f>IF(D63&lt;&gt;"",D63,IFERROR(VLOOKUP(MID(AG63,4,1),Lists!$E$2:$F$8,2,FALSE),""))</f>
        <v/>
      </c>
      <c r="AQ63" s="29">
        <f>IFERROR(VLOOKUP(AP63,Lists!$A$2:$C$12,3,FALSE),"")</f>
        <v/>
      </c>
      <c r="AR63" s="29">
        <f>COUNTIF(W63:AC63,"Yes")</f>
        <v/>
      </c>
      <c r="AS63" s="29">
        <f>IF(TRIM(B63)="","Legal name missing; ","")&amp;IF(AND(AJ63&lt;&gt;"",AJ63&lt;&gt;"OK"),"GSTIN: "&amp;AJ63&amp;"; ","")&amp;IF(AND(AK63&lt;&gt;"",AK63&lt;&gt;"OK"),"PAN wrong format; ","")&amp;IF(AND(AO63&lt;&gt;"",LEN(AN63)=15,MID(AN63,3,10)&lt;&gt;AO63),"PAN does not match GSTIN; ","")&amp;IF(AND(AL63&lt;&gt;"",AL63&lt;&gt;"OK"),"TAN wrong format; ","")&amp;IF(AG63="","PAN missing; ","")&amp;IF(AP63="","Entity type missing; ","")&amp;IF(AND(AN63&lt;&gt;"",COUNTIF($AN$6:$AN$1005,AN63)&gt;1),"GSTIN repeated in this sheet; ","")&amp;IF(AND(AG63&lt;&gt;"",COUNTIF($AG$6:$AG$1005,AG63)&gt;1),"PAN repeated in this sheet (same client? put extra GSTINs in Other GSTINs); ","")&amp;IF(AND(AR63&gt;0,V63=""),"Financial year missing; ","")&amp;IF(AND(AR63=0,V63&lt;&gt;""),"Financial year given but no service is Yes; ","")&amp;IF(AND(W63="Yes",AN63=""),"GST needs a GSTIN; ","")&amp;IF(AND(W63="Yes",X63=""),"GST return frequency missing; ","")&amp;IF(AND(Y63="Yes",TRIM(H63)=""),"TDS needs a TAN; ","")&amp;IF(AND(AA63="Yes",AQ63&lt;&gt;"",AQ63&lt;&gt;"company",AQ63&lt;&gt;"llp"),"ROC is only for a company / LLP; ","")&amp;IF(AND(AA63="Yes",OR(AQ63="company",AQ63="llp"),TRIM(I63)=""),"ROC needs the CIN / LLPIN; ","")</f>
        <v/>
      </c>
    </row>
    <row r="64">
      <c r="A64" s="30" t="n"/>
      <c r="B64" s="31" t="n"/>
      <c r="C64" s="31" t="n"/>
      <c r="D64" s="31" t="n"/>
      <c r="E64" s="30" t="n"/>
      <c r="F64" s="30" t="n"/>
      <c r="G64" s="30" t="n"/>
      <c r="H64" s="30" t="n"/>
      <c r="I64" s="30" t="n"/>
      <c r="J64" s="32" t="n"/>
      <c r="K64" s="31" t="n"/>
      <c r="L64" s="30" t="n"/>
      <c r="M64" s="31" t="n"/>
      <c r="N64" s="31" t="n"/>
      <c r="O64" s="31" t="n"/>
      <c r="P64" s="30" t="n"/>
      <c r="Q64" s="31" t="n"/>
      <c r="R64" s="31" t="n"/>
      <c r="S64" s="31" t="n"/>
      <c r="T64" s="31" t="n"/>
      <c r="U64" s="30" t="n"/>
      <c r="V64" s="31" t="n"/>
      <c r="W64" s="31" t="n"/>
      <c r="X64" s="31" t="n"/>
      <c r="Y64" s="31" t="n"/>
      <c r="Z64" s="31" t="n"/>
      <c r="AA64" s="31" t="n"/>
      <c r="AB64" s="31" t="n"/>
      <c r="AC64" s="31" t="n"/>
      <c r="AD64" s="31" t="n"/>
      <c r="AE64" s="31" t="n"/>
      <c r="AF64" s="27">
        <f>IF(NOT(COUNTA(A64:AE64)&gt;0),"",IF(A64="","New client","Update"))</f>
        <v/>
      </c>
      <c r="AG64" s="27">
        <f>IF(AO64&lt;&gt;"",AO64,IF(LEN(AN64)=15,MID(AN64,3,10),""))</f>
        <v/>
      </c>
      <c r="AH64" s="27">
        <f>IF(AP64="","",AP64&amp;IF(D64="","  (guessed from PAN)",""))</f>
        <v/>
      </c>
      <c r="AI64" s="27">
        <f>IF(AN64="","",IFERROR(INDEX(Lists!$L$2:$L$38,MATCH(LEFT(AN64,2),Lists!$K$2:$K$38,0)),"Unknown code"))</f>
        <v/>
      </c>
      <c r="AJ64" s="27">
        <f>IF(AN64="","",IFERROR(IF(NOT(AND(LEN(AN64)=15,ISNUMBER(MATCH(LEFT(AN64,2),Lists!$K$2:$K$38,0)),SUMPRODUCT(--ISERROR(FIND(MID(MID(AN64,3,10),{1,2,3,4,5,10},1),"ABCDEFGHIJKLMNOPQRSTUVWXYZ")))=0,SUMPRODUCT(--ISERROR(FIND(MID(MID(AN64,3,10),{6,7,8,9},1),"0123456789")))=0,ISNUMBER(FIND(MID(AN64,13,1),"123456789ABCDEFGHIJKLMNOPQRSTUVWXYZ")),MID(AN64,14,1)="Z")),"Wrong format",IF(MID("0123456789ABCDEFGHIJKLMNOPQRSTUVWXYZ",MOD(36-MOD(SUMPRODUCT(INT((FIND(MID(AN64,{1,2,3,4,5,6,7,8,9,10,11,12,13,14},1),"0123456789ABCDEFGHIJKLMNOPQRSTUVWXYZ")-1)*{1,2,1,2,1,2,1,2,1,2,1,2,1,2}/36)+MOD((FIND(MID(AN64,{1,2,3,4,5,6,7,8,9,10,11,12,13,14},1),"0123456789ABCDEFGHIJKLMNOPQRSTUVWXYZ")-1)*{1,2,1,2,1,2,1,2,1,2,1,2,1,2},36)),36),36)+1,1)=MID(AN64,15,1),"OK","Typo? check digit wrong")),"Wrong format"))</f>
        <v/>
      </c>
      <c r="AK64" s="27">
        <f>IF(AO64="","",IF(AND(LEN(AO64)=10,SUMPRODUCT(--ISERROR(FIND(MID(AO64,{1,2,3,4,5,10},1),"ABCDEFGHIJKLMNOPQRSTUVWXYZ")))=0,SUMPRODUCT(--ISERROR(FIND(MID(AO64,{6,7,8,9},1),"0123456789")))=0),"OK","Wrong format"))</f>
        <v/>
      </c>
      <c r="AL64" s="27">
        <f>IF(TRIM(H64)="","",IF(AND(LEN(UPPER(TRIM(H64)))=10,SUMPRODUCT(--ISERROR(FIND(MID(UPPER(TRIM(H64)),{1,2,3,4,10},1),"ABCDEFGHIJKLMNOPQRSTUVWXYZ")))=0,SUMPRODUCT(--ISERROR(FIND(MID(UPPER(TRIM(H64)),{5,6,7,8,9},1),"0123456789")))=0),"OK","Wrong format"))</f>
        <v/>
      </c>
      <c r="AM64" s="28">
        <f>IF(NOT(COUNTA(A64:AE64)&gt;0),"",IF(AS64&lt;&gt;"","✖ "&amp;LEFT(AS64,LEN(AS64)-2),IF(AR64&gt;0,"✔ Ready — client + "&amp;AR64&amp;" service(s)","✔ Ready — client only")))</f>
        <v/>
      </c>
      <c r="AN64" s="29">
        <f>UPPER(SUBSTITUTE(TRIM(F64)," ",""))</f>
        <v/>
      </c>
      <c r="AO64" s="29">
        <f>UPPER(SUBSTITUTE(TRIM(E64)," ",""))</f>
        <v/>
      </c>
      <c r="AP64" s="29">
        <f>IF(D64&lt;&gt;"",D64,IFERROR(VLOOKUP(MID(AG64,4,1),Lists!$E$2:$F$8,2,FALSE),""))</f>
        <v/>
      </c>
      <c r="AQ64" s="29">
        <f>IFERROR(VLOOKUP(AP64,Lists!$A$2:$C$12,3,FALSE),"")</f>
        <v/>
      </c>
      <c r="AR64" s="29">
        <f>COUNTIF(W64:AC64,"Yes")</f>
        <v/>
      </c>
      <c r="AS64" s="29">
        <f>IF(TRIM(B64)="","Legal name missing; ","")&amp;IF(AND(AJ64&lt;&gt;"",AJ64&lt;&gt;"OK"),"GSTIN: "&amp;AJ64&amp;"; ","")&amp;IF(AND(AK64&lt;&gt;"",AK64&lt;&gt;"OK"),"PAN wrong format; ","")&amp;IF(AND(AO64&lt;&gt;"",LEN(AN64)=15,MID(AN64,3,10)&lt;&gt;AO64),"PAN does not match GSTIN; ","")&amp;IF(AND(AL64&lt;&gt;"",AL64&lt;&gt;"OK"),"TAN wrong format; ","")&amp;IF(AG64="","PAN missing; ","")&amp;IF(AP64="","Entity type missing; ","")&amp;IF(AND(AN64&lt;&gt;"",COUNTIF($AN$6:$AN$1005,AN64)&gt;1),"GSTIN repeated in this sheet; ","")&amp;IF(AND(AG64&lt;&gt;"",COUNTIF($AG$6:$AG$1005,AG64)&gt;1),"PAN repeated in this sheet (same client? put extra GSTINs in Other GSTINs); ","")&amp;IF(AND(AR64&gt;0,V64=""),"Financial year missing; ","")&amp;IF(AND(AR64=0,V64&lt;&gt;""),"Financial year given but no service is Yes; ","")&amp;IF(AND(W64="Yes",AN64=""),"GST needs a GSTIN; ","")&amp;IF(AND(W64="Yes",X64=""),"GST return frequency missing; ","")&amp;IF(AND(Y64="Yes",TRIM(H64)=""),"TDS needs a TAN; ","")&amp;IF(AND(AA64="Yes",AQ64&lt;&gt;"",AQ64&lt;&gt;"company",AQ64&lt;&gt;"llp"),"ROC is only for a company / LLP; ","")&amp;IF(AND(AA64="Yes",OR(AQ64="company",AQ64="llp"),TRIM(I64)=""),"ROC needs the CIN / LLPIN; ","")</f>
        <v/>
      </c>
    </row>
    <row r="65">
      <c r="A65" s="30" t="n"/>
      <c r="B65" s="31" t="n"/>
      <c r="C65" s="31" t="n"/>
      <c r="D65" s="31" t="n"/>
      <c r="E65" s="30" t="n"/>
      <c r="F65" s="30" t="n"/>
      <c r="G65" s="30" t="n"/>
      <c r="H65" s="30" t="n"/>
      <c r="I65" s="30" t="n"/>
      <c r="J65" s="32" t="n"/>
      <c r="K65" s="31" t="n"/>
      <c r="L65" s="30" t="n"/>
      <c r="M65" s="31" t="n"/>
      <c r="N65" s="31" t="n"/>
      <c r="O65" s="31" t="n"/>
      <c r="P65" s="30" t="n"/>
      <c r="Q65" s="31" t="n"/>
      <c r="R65" s="31" t="n"/>
      <c r="S65" s="31" t="n"/>
      <c r="T65" s="31" t="n"/>
      <c r="U65" s="30" t="n"/>
      <c r="V65" s="31" t="n"/>
      <c r="W65" s="31" t="n"/>
      <c r="X65" s="31" t="n"/>
      <c r="Y65" s="31" t="n"/>
      <c r="Z65" s="31" t="n"/>
      <c r="AA65" s="31" t="n"/>
      <c r="AB65" s="31" t="n"/>
      <c r="AC65" s="31" t="n"/>
      <c r="AD65" s="31" t="n"/>
      <c r="AE65" s="31" t="n"/>
      <c r="AF65" s="27">
        <f>IF(NOT(COUNTA(A65:AE65)&gt;0),"",IF(A65="","New client","Update"))</f>
        <v/>
      </c>
      <c r="AG65" s="27">
        <f>IF(AO65&lt;&gt;"",AO65,IF(LEN(AN65)=15,MID(AN65,3,10),""))</f>
        <v/>
      </c>
      <c r="AH65" s="27">
        <f>IF(AP65="","",AP65&amp;IF(D65="","  (guessed from PAN)",""))</f>
        <v/>
      </c>
      <c r="AI65" s="27">
        <f>IF(AN65="","",IFERROR(INDEX(Lists!$L$2:$L$38,MATCH(LEFT(AN65,2),Lists!$K$2:$K$38,0)),"Unknown code"))</f>
        <v/>
      </c>
      <c r="AJ65" s="27">
        <f>IF(AN65="","",IFERROR(IF(NOT(AND(LEN(AN65)=15,ISNUMBER(MATCH(LEFT(AN65,2),Lists!$K$2:$K$38,0)),SUMPRODUCT(--ISERROR(FIND(MID(MID(AN65,3,10),{1,2,3,4,5,10},1),"ABCDEFGHIJKLMNOPQRSTUVWXYZ")))=0,SUMPRODUCT(--ISERROR(FIND(MID(MID(AN65,3,10),{6,7,8,9},1),"0123456789")))=0,ISNUMBER(FIND(MID(AN65,13,1),"123456789ABCDEFGHIJKLMNOPQRSTUVWXYZ")),MID(AN65,14,1)="Z")),"Wrong format",IF(MID("0123456789ABCDEFGHIJKLMNOPQRSTUVWXYZ",MOD(36-MOD(SUMPRODUCT(INT((FIND(MID(AN65,{1,2,3,4,5,6,7,8,9,10,11,12,13,14},1),"0123456789ABCDEFGHIJKLMNOPQRSTUVWXYZ")-1)*{1,2,1,2,1,2,1,2,1,2,1,2,1,2}/36)+MOD((FIND(MID(AN65,{1,2,3,4,5,6,7,8,9,10,11,12,13,14},1),"0123456789ABCDEFGHIJKLMNOPQRSTUVWXYZ")-1)*{1,2,1,2,1,2,1,2,1,2,1,2,1,2},36)),36),36)+1,1)=MID(AN65,15,1),"OK","Typo? check digit wrong")),"Wrong format"))</f>
        <v/>
      </c>
      <c r="AK65" s="27">
        <f>IF(AO65="","",IF(AND(LEN(AO65)=10,SUMPRODUCT(--ISERROR(FIND(MID(AO65,{1,2,3,4,5,10},1),"ABCDEFGHIJKLMNOPQRSTUVWXYZ")))=0,SUMPRODUCT(--ISERROR(FIND(MID(AO65,{6,7,8,9},1),"0123456789")))=0),"OK","Wrong format"))</f>
        <v/>
      </c>
      <c r="AL65" s="27">
        <f>IF(TRIM(H65)="","",IF(AND(LEN(UPPER(TRIM(H65)))=10,SUMPRODUCT(--ISERROR(FIND(MID(UPPER(TRIM(H65)),{1,2,3,4,10},1),"ABCDEFGHIJKLMNOPQRSTUVWXYZ")))=0,SUMPRODUCT(--ISERROR(FIND(MID(UPPER(TRIM(H65)),{5,6,7,8,9},1),"0123456789")))=0),"OK","Wrong format"))</f>
        <v/>
      </c>
      <c r="AM65" s="28">
        <f>IF(NOT(COUNTA(A65:AE65)&gt;0),"",IF(AS65&lt;&gt;"","✖ "&amp;LEFT(AS65,LEN(AS65)-2),IF(AR65&gt;0,"✔ Ready — client + "&amp;AR65&amp;" service(s)","✔ Ready — client only")))</f>
        <v/>
      </c>
      <c r="AN65" s="29">
        <f>UPPER(SUBSTITUTE(TRIM(F65)," ",""))</f>
        <v/>
      </c>
      <c r="AO65" s="29">
        <f>UPPER(SUBSTITUTE(TRIM(E65)," ",""))</f>
        <v/>
      </c>
      <c r="AP65" s="29">
        <f>IF(D65&lt;&gt;"",D65,IFERROR(VLOOKUP(MID(AG65,4,1),Lists!$E$2:$F$8,2,FALSE),""))</f>
        <v/>
      </c>
      <c r="AQ65" s="29">
        <f>IFERROR(VLOOKUP(AP65,Lists!$A$2:$C$12,3,FALSE),"")</f>
        <v/>
      </c>
      <c r="AR65" s="29">
        <f>COUNTIF(W65:AC65,"Yes")</f>
        <v/>
      </c>
      <c r="AS65" s="29">
        <f>IF(TRIM(B65)="","Legal name missing; ","")&amp;IF(AND(AJ65&lt;&gt;"",AJ65&lt;&gt;"OK"),"GSTIN: "&amp;AJ65&amp;"; ","")&amp;IF(AND(AK65&lt;&gt;"",AK65&lt;&gt;"OK"),"PAN wrong format; ","")&amp;IF(AND(AO65&lt;&gt;"",LEN(AN65)=15,MID(AN65,3,10)&lt;&gt;AO65),"PAN does not match GSTIN; ","")&amp;IF(AND(AL65&lt;&gt;"",AL65&lt;&gt;"OK"),"TAN wrong format; ","")&amp;IF(AG65="","PAN missing; ","")&amp;IF(AP65="","Entity type missing; ","")&amp;IF(AND(AN65&lt;&gt;"",COUNTIF($AN$6:$AN$1005,AN65)&gt;1),"GSTIN repeated in this sheet; ","")&amp;IF(AND(AG65&lt;&gt;"",COUNTIF($AG$6:$AG$1005,AG65)&gt;1),"PAN repeated in this sheet (same client? put extra GSTINs in Other GSTINs); ","")&amp;IF(AND(AR65&gt;0,V65=""),"Financial year missing; ","")&amp;IF(AND(AR65=0,V65&lt;&gt;""),"Financial year given but no service is Yes; ","")&amp;IF(AND(W65="Yes",AN65=""),"GST needs a GSTIN; ","")&amp;IF(AND(W65="Yes",X65=""),"GST return frequency missing; ","")&amp;IF(AND(Y65="Yes",TRIM(H65)=""),"TDS needs a TAN; ","")&amp;IF(AND(AA65="Yes",AQ65&lt;&gt;"",AQ65&lt;&gt;"company",AQ65&lt;&gt;"llp"),"ROC is only for a company / LLP; ","")&amp;IF(AND(AA65="Yes",OR(AQ65="company",AQ65="llp"),TRIM(I65)=""),"ROC needs the CIN / LLPIN; ","")</f>
        <v/>
      </c>
    </row>
    <row r="66">
      <c r="A66" s="30" t="n"/>
      <c r="B66" s="31" t="n"/>
      <c r="C66" s="31" t="n"/>
      <c r="D66" s="31" t="n"/>
      <c r="E66" s="30" t="n"/>
      <c r="F66" s="30" t="n"/>
      <c r="G66" s="30" t="n"/>
      <c r="H66" s="30" t="n"/>
      <c r="I66" s="30" t="n"/>
      <c r="J66" s="32" t="n"/>
      <c r="K66" s="31" t="n"/>
      <c r="L66" s="30" t="n"/>
      <c r="M66" s="31" t="n"/>
      <c r="N66" s="31" t="n"/>
      <c r="O66" s="31" t="n"/>
      <c r="P66" s="30" t="n"/>
      <c r="Q66" s="31" t="n"/>
      <c r="R66" s="31" t="n"/>
      <c r="S66" s="31" t="n"/>
      <c r="T66" s="31" t="n"/>
      <c r="U66" s="30" t="n"/>
      <c r="V66" s="31" t="n"/>
      <c r="W66" s="31" t="n"/>
      <c r="X66" s="31" t="n"/>
      <c r="Y66" s="31" t="n"/>
      <c r="Z66" s="31" t="n"/>
      <c r="AA66" s="31" t="n"/>
      <c r="AB66" s="31" t="n"/>
      <c r="AC66" s="31" t="n"/>
      <c r="AD66" s="31" t="n"/>
      <c r="AE66" s="31" t="n"/>
      <c r="AF66" s="27">
        <f>IF(NOT(COUNTA(A66:AE66)&gt;0),"",IF(A66="","New client","Update"))</f>
        <v/>
      </c>
      <c r="AG66" s="27">
        <f>IF(AO66&lt;&gt;"",AO66,IF(LEN(AN66)=15,MID(AN66,3,10),""))</f>
        <v/>
      </c>
      <c r="AH66" s="27">
        <f>IF(AP66="","",AP66&amp;IF(D66="","  (guessed from PAN)",""))</f>
        <v/>
      </c>
      <c r="AI66" s="27">
        <f>IF(AN66="","",IFERROR(INDEX(Lists!$L$2:$L$38,MATCH(LEFT(AN66,2),Lists!$K$2:$K$38,0)),"Unknown code"))</f>
        <v/>
      </c>
      <c r="AJ66" s="27">
        <f>IF(AN66="","",IFERROR(IF(NOT(AND(LEN(AN66)=15,ISNUMBER(MATCH(LEFT(AN66,2),Lists!$K$2:$K$38,0)),SUMPRODUCT(--ISERROR(FIND(MID(MID(AN66,3,10),{1,2,3,4,5,10},1),"ABCDEFGHIJKLMNOPQRSTUVWXYZ")))=0,SUMPRODUCT(--ISERROR(FIND(MID(MID(AN66,3,10),{6,7,8,9},1),"0123456789")))=0,ISNUMBER(FIND(MID(AN66,13,1),"123456789ABCDEFGHIJKLMNOPQRSTUVWXYZ")),MID(AN66,14,1)="Z")),"Wrong format",IF(MID("0123456789ABCDEFGHIJKLMNOPQRSTUVWXYZ",MOD(36-MOD(SUMPRODUCT(INT((FIND(MID(AN66,{1,2,3,4,5,6,7,8,9,10,11,12,13,14},1),"0123456789ABCDEFGHIJKLMNOPQRSTUVWXYZ")-1)*{1,2,1,2,1,2,1,2,1,2,1,2,1,2}/36)+MOD((FIND(MID(AN66,{1,2,3,4,5,6,7,8,9,10,11,12,13,14},1),"0123456789ABCDEFGHIJKLMNOPQRSTUVWXYZ")-1)*{1,2,1,2,1,2,1,2,1,2,1,2,1,2},36)),36),36)+1,1)=MID(AN66,15,1),"OK","Typo? check digit wrong")),"Wrong format"))</f>
        <v/>
      </c>
      <c r="AK66" s="27">
        <f>IF(AO66="","",IF(AND(LEN(AO66)=10,SUMPRODUCT(--ISERROR(FIND(MID(AO66,{1,2,3,4,5,10},1),"ABCDEFGHIJKLMNOPQRSTUVWXYZ")))=0,SUMPRODUCT(--ISERROR(FIND(MID(AO66,{6,7,8,9},1),"0123456789")))=0),"OK","Wrong format"))</f>
        <v/>
      </c>
      <c r="AL66" s="27">
        <f>IF(TRIM(H66)="","",IF(AND(LEN(UPPER(TRIM(H66)))=10,SUMPRODUCT(--ISERROR(FIND(MID(UPPER(TRIM(H66)),{1,2,3,4,10},1),"ABCDEFGHIJKLMNOPQRSTUVWXYZ")))=0,SUMPRODUCT(--ISERROR(FIND(MID(UPPER(TRIM(H66)),{5,6,7,8,9},1),"0123456789")))=0),"OK","Wrong format"))</f>
        <v/>
      </c>
      <c r="AM66" s="28">
        <f>IF(NOT(COUNTA(A66:AE66)&gt;0),"",IF(AS66&lt;&gt;"","✖ "&amp;LEFT(AS66,LEN(AS66)-2),IF(AR66&gt;0,"✔ Ready — client + "&amp;AR66&amp;" service(s)","✔ Ready — client only")))</f>
        <v/>
      </c>
      <c r="AN66" s="29">
        <f>UPPER(SUBSTITUTE(TRIM(F66)," ",""))</f>
        <v/>
      </c>
      <c r="AO66" s="29">
        <f>UPPER(SUBSTITUTE(TRIM(E66)," ",""))</f>
        <v/>
      </c>
      <c r="AP66" s="29">
        <f>IF(D66&lt;&gt;"",D66,IFERROR(VLOOKUP(MID(AG66,4,1),Lists!$E$2:$F$8,2,FALSE),""))</f>
        <v/>
      </c>
      <c r="AQ66" s="29">
        <f>IFERROR(VLOOKUP(AP66,Lists!$A$2:$C$12,3,FALSE),"")</f>
        <v/>
      </c>
      <c r="AR66" s="29">
        <f>COUNTIF(W66:AC66,"Yes")</f>
        <v/>
      </c>
      <c r="AS66" s="29">
        <f>IF(TRIM(B66)="","Legal name missing; ","")&amp;IF(AND(AJ66&lt;&gt;"",AJ66&lt;&gt;"OK"),"GSTIN: "&amp;AJ66&amp;"; ","")&amp;IF(AND(AK66&lt;&gt;"",AK66&lt;&gt;"OK"),"PAN wrong format; ","")&amp;IF(AND(AO66&lt;&gt;"",LEN(AN66)=15,MID(AN66,3,10)&lt;&gt;AO66),"PAN does not match GSTIN; ","")&amp;IF(AND(AL66&lt;&gt;"",AL66&lt;&gt;"OK"),"TAN wrong format; ","")&amp;IF(AG66="","PAN missing; ","")&amp;IF(AP66="","Entity type missing; ","")&amp;IF(AND(AN66&lt;&gt;"",COUNTIF($AN$6:$AN$1005,AN66)&gt;1),"GSTIN repeated in this sheet; ","")&amp;IF(AND(AG66&lt;&gt;"",COUNTIF($AG$6:$AG$1005,AG66)&gt;1),"PAN repeated in this sheet (same client? put extra GSTINs in Other GSTINs); ","")&amp;IF(AND(AR66&gt;0,V66=""),"Financial year missing; ","")&amp;IF(AND(AR66=0,V66&lt;&gt;""),"Financial year given but no service is Yes; ","")&amp;IF(AND(W66="Yes",AN66=""),"GST needs a GSTIN; ","")&amp;IF(AND(W66="Yes",X66=""),"GST return frequency missing; ","")&amp;IF(AND(Y66="Yes",TRIM(H66)=""),"TDS needs a TAN; ","")&amp;IF(AND(AA66="Yes",AQ66&lt;&gt;"",AQ66&lt;&gt;"company",AQ66&lt;&gt;"llp"),"ROC is only for a company / LLP; ","")&amp;IF(AND(AA66="Yes",OR(AQ66="company",AQ66="llp"),TRIM(I66)=""),"ROC needs the CIN / LLPIN; ","")</f>
        <v/>
      </c>
    </row>
    <row r="67">
      <c r="A67" s="30" t="n"/>
      <c r="B67" s="31" t="n"/>
      <c r="C67" s="31" t="n"/>
      <c r="D67" s="31" t="n"/>
      <c r="E67" s="30" t="n"/>
      <c r="F67" s="30" t="n"/>
      <c r="G67" s="30" t="n"/>
      <c r="H67" s="30" t="n"/>
      <c r="I67" s="30" t="n"/>
      <c r="J67" s="32" t="n"/>
      <c r="K67" s="31" t="n"/>
      <c r="L67" s="30" t="n"/>
      <c r="M67" s="31" t="n"/>
      <c r="N67" s="31" t="n"/>
      <c r="O67" s="31" t="n"/>
      <c r="P67" s="30" t="n"/>
      <c r="Q67" s="31" t="n"/>
      <c r="R67" s="31" t="n"/>
      <c r="S67" s="31" t="n"/>
      <c r="T67" s="31" t="n"/>
      <c r="U67" s="30" t="n"/>
      <c r="V67" s="31" t="n"/>
      <c r="W67" s="31" t="n"/>
      <c r="X67" s="31" t="n"/>
      <c r="Y67" s="31" t="n"/>
      <c r="Z67" s="31" t="n"/>
      <c r="AA67" s="31" t="n"/>
      <c r="AB67" s="31" t="n"/>
      <c r="AC67" s="31" t="n"/>
      <c r="AD67" s="31" t="n"/>
      <c r="AE67" s="31" t="n"/>
      <c r="AF67" s="27">
        <f>IF(NOT(COUNTA(A67:AE67)&gt;0),"",IF(A67="","New client","Update"))</f>
        <v/>
      </c>
      <c r="AG67" s="27">
        <f>IF(AO67&lt;&gt;"",AO67,IF(LEN(AN67)=15,MID(AN67,3,10),""))</f>
        <v/>
      </c>
      <c r="AH67" s="27">
        <f>IF(AP67="","",AP67&amp;IF(D67="","  (guessed from PAN)",""))</f>
        <v/>
      </c>
      <c r="AI67" s="27">
        <f>IF(AN67="","",IFERROR(INDEX(Lists!$L$2:$L$38,MATCH(LEFT(AN67,2),Lists!$K$2:$K$38,0)),"Unknown code"))</f>
        <v/>
      </c>
      <c r="AJ67" s="27">
        <f>IF(AN67="","",IFERROR(IF(NOT(AND(LEN(AN67)=15,ISNUMBER(MATCH(LEFT(AN67,2),Lists!$K$2:$K$38,0)),SUMPRODUCT(--ISERROR(FIND(MID(MID(AN67,3,10),{1,2,3,4,5,10},1),"ABCDEFGHIJKLMNOPQRSTUVWXYZ")))=0,SUMPRODUCT(--ISERROR(FIND(MID(MID(AN67,3,10),{6,7,8,9},1),"0123456789")))=0,ISNUMBER(FIND(MID(AN67,13,1),"123456789ABCDEFGHIJKLMNOPQRSTUVWXYZ")),MID(AN67,14,1)="Z")),"Wrong format",IF(MID("0123456789ABCDEFGHIJKLMNOPQRSTUVWXYZ",MOD(36-MOD(SUMPRODUCT(INT((FIND(MID(AN67,{1,2,3,4,5,6,7,8,9,10,11,12,13,14},1),"0123456789ABCDEFGHIJKLMNOPQRSTUVWXYZ")-1)*{1,2,1,2,1,2,1,2,1,2,1,2,1,2}/36)+MOD((FIND(MID(AN67,{1,2,3,4,5,6,7,8,9,10,11,12,13,14},1),"0123456789ABCDEFGHIJKLMNOPQRSTUVWXYZ")-1)*{1,2,1,2,1,2,1,2,1,2,1,2,1,2},36)),36),36)+1,1)=MID(AN67,15,1),"OK","Typo? check digit wrong")),"Wrong format"))</f>
        <v/>
      </c>
      <c r="AK67" s="27">
        <f>IF(AO67="","",IF(AND(LEN(AO67)=10,SUMPRODUCT(--ISERROR(FIND(MID(AO67,{1,2,3,4,5,10},1),"ABCDEFGHIJKLMNOPQRSTUVWXYZ")))=0,SUMPRODUCT(--ISERROR(FIND(MID(AO67,{6,7,8,9},1),"0123456789")))=0),"OK","Wrong format"))</f>
        <v/>
      </c>
      <c r="AL67" s="27">
        <f>IF(TRIM(H67)="","",IF(AND(LEN(UPPER(TRIM(H67)))=10,SUMPRODUCT(--ISERROR(FIND(MID(UPPER(TRIM(H67)),{1,2,3,4,10},1),"ABCDEFGHIJKLMNOPQRSTUVWXYZ")))=0,SUMPRODUCT(--ISERROR(FIND(MID(UPPER(TRIM(H67)),{5,6,7,8,9},1),"0123456789")))=0),"OK","Wrong format"))</f>
        <v/>
      </c>
      <c r="AM67" s="28">
        <f>IF(NOT(COUNTA(A67:AE67)&gt;0),"",IF(AS67&lt;&gt;"","✖ "&amp;LEFT(AS67,LEN(AS67)-2),IF(AR67&gt;0,"✔ Ready — client + "&amp;AR67&amp;" service(s)","✔ Ready — client only")))</f>
        <v/>
      </c>
      <c r="AN67" s="29">
        <f>UPPER(SUBSTITUTE(TRIM(F67)," ",""))</f>
        <v/>
      </c>
      <c r="AO67" s="29">
        <f>UPPER(SUBSTITUTE(TRIM(E67)," ",""))</f>
        <v/>
      </c>
      <c r="AP67" s="29">
        <f>IF(D67&lt;&gt;"",D67,IFERROR(VLOOKUP(MID(AG67,4,1),Lists!$E$2:$F$8,2,FALSE),""))</f>
        <v/>
      </c>
      <c r="AQ67" s="29">
        <f>IFERROR(VLOOKUP(AP67,Lists!$A$2:$C$12,3,FALSE),"")</f>
        <v/>
      </c>
      <c r="AR67" s="29">
        <f>COUNTIF(W67:AC67,"Yes")</f>
        <v/>
      </c>
      <c r="AS67" s="29">
        <f>IF(TRIM(B67)="","Legal name missing; ","")&amp;IF(AND(AJ67&lt;&gt;"",AJ67&lt;&gt;"OK"),"GSTIN: "&amp;AJ67&amp;"; ","")&amp;IF(AND(AK67&lt;&gt;"",AK67&lt;&gt;"OK"),"PAN wrong format; ","")&amp;IF(AND(AO67&lt;&gt;"",LEN(AN67)=15,MID(AN67,3,10)&lt;&gt;AO67),"PAN does not match GSTIN; ","")&amp;IF(AND(AL67&lt;&gt;"",AL67&lt;&gt;"OK"),"TAN wrong format; ","")&amp;IF(AG67="","PAN missing; ","")&amp;IF(AP67="","Entity type missing; ","")&amp;IF(AND(AN67&lt;&gt;"",COUNTIF($AN$6:$AN$1005,AN67)&gt;1),"GSTIN repeated in this sheet; ","")&amp;IF(AND(AG67&lt;&gt;"",COUNTIF($AG$6:$AG$1005,AG67)&gt;1),"PAN repeated in this sheet (same client? put extra GSTINs in Other GSTINs); ","")&amp;IF(AND(AR67&gt;0,V67=""),"Financial year missing; ","")&amp;IF(AND(AR67=0,V67&lt;&gt;""),"Financial year given but no service is Yes; ","")&amp;IF(AND(W67="Yes",AN67=""),"GST needs a GSTIN; ","")&amp;IF(AND(W67="Yes",X67=""),"GST return frequency missing; ","")&amp;IF(AND(Y67="Yes",TRIM(H67)=""),"TDS needs a TAN; ","")&amp;IF(AND(AA67="Yes",AQ67&lt;&gt;"",AQ67&lt;&gt;"company",AQ67&lt;&gt;"llp"),"ROC is only for a company / LLP; ","")&amp;IF(AND(AA67="Yes",OR(AQ67="company",AQ67="llp"),TRIM(I67)=""),"ROC needs the CIN / LLPIN; ","")</f>
        <v/>
      </c>
    </row>
    <row r="68">
      <c r="A68" s="30" t="n"/>
      <c r="B68" s="31" t="n"/>
      <c r="C68" s="31" t="n"/>
      <c r="D68" s="31" t="n"/>
      <c r="E68" s="30" t="n"/>
      <c r="F68" s="30" t="n"/>
      <c r="G68" s="30" t="n"/>
      <c r="H68" s="30" t="n"/>
      <c r="I68" s="30" t="n"/>
      <c r="J68" s="32" t="n"/>
      <c r="K68" s="31" t="n"/>
      <c r="L68" s="30" t="n"/>
      <c r="M68" s="31" t="n"/>
      <c r="N68" s="31" t="n"/>
      <c r="O68" s="31" t="n"/>
      <c r="P68" s="30" t="n"/>
      <c r="Q68" s="31" t="n"/>
      <c r="R68" s="31" t="n"/>
      <c r="S68" s="31" t="n"/>
      <c r="T68" s="31" t="n"/>
      <c r="U68" s="30" t="n"/>
      <c r="V68" s="31" t="n"/>
      <c r="W68" s="31" t="n"/>
      <c r="X68" s="31" t="n"/>
      <c r="Y68" s="31" t="n"/>
      <c r="Z68" s="31" t="n"/>
      <c r="AA68" s="31" t="n"/>
      <c r="AB68" s="31" t="n"/>
      <c r="AC68" s="31" t="n"/>
      <c r="AD68" s="31" t="n"/>
      <c r="AE68" s="31" t="n"/>
      <c r="AF68" s="27">
        <f>IF(NOT(COUNTA(A68:AE68)&gt;0),"",IF(A68="","New client","Update"))</f>
        <v/>
      </c>
      <c r="AG68" s="27">
        <f>IF(AO68&lt;&gt;"",AO68,IF(LEN(AN68)=15,MID(AN68,3,10),""))</f>
        <v/>
      </c>
      <c r="AH68" s="27">
        <f>IF(AP68="","",AP68&amp;IF(D68="","  (guessed from PAN)",""))</f>
        <v/>
      </c>
      <c r="AI68" s="27">
        <f>IF(AN68="","",IFERROR(INDEX(Lists!$L$2:$L$38,MATCH(LEFT(AN68,2),Lists!$K$2:$K$38,0)),"Unknown code"))</f>
        <v/>
      </c>
      <c r="AJ68" s="27">
        <f>IF(AN68="","",IFERROR(IF(NOT(AND(LEN(AN68)=15,ISNUMBER(MATCH(LEFT(AN68,2),Lists!$K$2:$K$38,0)),SUMPRODUCT(--ISERROR(FIND(MID(MID(AN68,3,10),{1,2,3,4,5,10},1),"ABCDEFGHIJKLMNOPQRSTUVWXYZ")))=0,SUMPRODUCT(--ISERROR(FIND(MID(MID(AN68,3,10),{6,7,8,9},1),"0123456789")))=0,ISNUMBER(FIND(MID(AN68,13,1),"123456789ABCDEFGHIJKLMNOPQRSTUVWXYZ")),MID(AN68,14,1)="Z")),"Wrong format",IF(MID("0123456789ABCDEFGHIJKLMNOPQRSTUVWXYZ",MOD(36-MOD(SUMPRODUCT(INT((FIND(MID(AN68,{1,2,3,4,5,6,7,8,9,10,11,12,13,14},1),"0123456789ABCDEFGHIJKLMNOPQRSTUVWXYZ")-1)*{1,2,1,2,1,2,1,2,1,2,1,2,1,2}/36)+MOD((FIND(MID(AN68,{1,2,3,4,5,6,7,8,9,10,11,12,13,14},1),"0123456789ABCDEFGHIJKLMNOPQRSTUVWXYZ")-1)*{1,2,1,2,1,2,1,2,1,2,1,2,1,2},36)),36),36)+1,1)=MID(AN68,15,1),"OK","Typo? check digit wrong")),"Wrong format"))</f>
        <v/>
      </c>
      <c r="AK68" s="27">
        <f>IF(AO68="","",IF(AND(LEN(AO68)=10,SUMPRODUCT(--ISERROR(FIND(MID(AO68,{1,2,3,4,5,10},1),"ABCDEFGHIJKLMNOPQRSTUVWXYZ")))=0,SUMPRODUCT(--ISERROR(FIND(MID(AO68,{6,7,8,9},1),"0123456789")))=0),"OK","Wrong format"))</f>
        <v/>
      </c>
      <c r="AL68" s="27">
        <f>IF(TRIM(H68)="","",IF(AND(LEN(UPPER(TRIM(H68)))=10,SUMPRODUCT(--ISERROR(FIND(MID(UPPER(TRIM(H68)),{1,2,3,4,10},1),"ABCDEFGHIJKLMNOPQRSTUVWXYZ")))=0,SUMPRODUCT(--ISERROR(FIND(MID(UPPER(TRIM(H68)),{5,6,7,8,9},1),"0123456789")))=0),"OK","Wrong format"))</f>
        <v/>
      </c>
      <c r="AM68" s="28">
        <f>IF(NOT(COUNTA(A68:AE68)&gt;0),"",IF(AS68&lt;&gt;"","✖ "&amp;LEFT(AS68,LEN(AS68)-2),IF(AR68&gt;0,"✔ Ready — client + "&amp;AR68&amp;" service(s)","✔ Ready — client only")))</f>
        <v/>
      </c>
      <c r="AN68" s="29">
        <f>UPPER(SUBSTITUTE(TRIM(F68)," ",""))</f>
        <v/>
      </c>
      <c r="AO68" s="29">
        <f>UPPER(SUBSTITUTE(TRIM(E68)," ",""))</f>
        <v/>
      </c>
      <c r="AP68" s="29">
        <f>IF(D68&lt;&gt;"",D68,IFERROR(VLOOKUP(MID(AG68,4,1),Lists!$E$2:$F$8,2,FALSE),""))</f>
        <v/>
      </c>
      <c r="AQ68" s="29">
        <f>IFERROR(VLOOKUP(AP68,Lists!$A$2:$C$12,3,FALSE),"")</f>
        <v/>
      </c>
      <c r="AR68" s="29">
        <f>COUNTIF(W68:AC68,"Yes")</f>
        <v/>
      </c>
      <c r="AS68" s="29">
        <f>IF(TRIM(B68)="","Legal name missing; ","")&amp;IF(AND(AJ68&lt;&gt;"",AJ68&lt;&gt;"OK"),"GSTIN: "&amp;AJ68&amp;"; ","")&amp;IF(AND(AK68&lt;&gt;"",AK68&lt;&gt;"OK"),"PAN wrong format; ","")&amp;IF(AND(AO68&lt;&gt;"",LEN(AN68)=15,MID(AN68,3,10)&lt;&gt;AO68),"PAN does not match GSTIN; ","")&amp;IF(AND(AL68&lt;&gt;"",AL68&lt;&gt;"OK"),"TAN wrong format; ","")&amp;IF(AG68="","PAN missing; ","")&amp;IF(AP68="","Entity type missing; ","")&amp;IF(AND(AN68&lt;&gt;"",COUNTIF($AN$6:$AN$1005,AN68)&gt;1),"GSTIN repeated in this sheet; ","")&amp;IF(AND(AG68&lt;&gt;"",COUNTIF($AG$6:$AG$1005,AG68)&gt;1),"PAN repeated in this sheet (same client? put extra GSTINs in Other GSTINs); ","")&amp;IF(AND(AR68&gt;0,V68=""),"Financial year missing; ","")&amp;IF(AND(AR68=0,V68&lt;&gt;""),"Financial year given but no service is Yes; ","")&amp;IF(AND(W68="Yes",AN68=""),"GST needs a GSTIN; ","")&amp;IF(AND(W68="Yes",X68=""),"GST return frequency missing; ","")&amp;IF(AND(Y68="Yes",TRIM(H68)=""),"TDS needs a TAN; ","")&amp;IF(AND(AA68="Yes",AQ68&lt;&gt;"",AQ68&lt;&gt;"company",AQ68&lt;&gt;"llp"),"ROC is only for a company / LLP; ","")&amp;IF(AND(AA68="Yes",OR(AQ68="company",AQ68="llp"),TRIM(I68)=""),"ROC needs the CIN / LLPIN; ","")</f>
        <v/>
      </c>
    </row>
    <row r="69">
      <c r="A69" s="30" t="n"/>
      <c r="B69" s="31" t="n"/>
      <c r="C69" s="31" t="n"/>
      <c r="D69" s="31" t="n"/>
      <c r="E69" s="30" t="n"/>
      <c r="F69" s="30" t="n"/>
      <c r="G69" s="30" t="n"/>
      <c r="H69" s="30" t="n"/>
      <c r="I69" s="30" t="n"/>
      <c r="J69" s="32" t="n"/>
      <c r="K69" s="31" t="n"/>
      <c r="L69" s="30" t="n"/>
      <c r="M69" s="31" t="n"/>
      <c r="N69" s="31" t="n"/>
      <c r="O69" s="31" t="n"/>
      <c r="P69" s="30" t="n"/>
      <c r="Q69" s="31" t="n"/>
      <c r="R69" s="31" t="n"/>
      <c r="S69" s="31" t="n"/>
      <c r="T69" s="31" t="n"/>
      <c r="U69" s="30" t="n"/>
      <c r="V69" s="31" t="n"/>
      <c r="W69" s="31" t="n"/>
      <c r="X69" s="31" t="n"/>
      <c r="Y69" s="31" t="n"/>
      <c r="Z69" s="31" t="n"/>
      <c r="AA69" s="31" t="n"/>
      <c r="AB69" s="31" t="n"/>
      <c r="AC69" s="31" t="n"/>
      <c r="AD69" s="31" t="n"/>
      <c r="AE69" s="31" t="n"/>
      <c r="AF69" s="27">
        <f>IF(NOT(COUNTA(A69:AE69)&gt;0),"",IF(A69="","New client","Update"))</f>
        <v/>
      </c>
      <c r="AG69" s="27">
        <f>IF(AO69&lt;&gt;"",AO69,IF(LEN(AN69)=15,MID(AN69,3,10),""))</f>
        <v/>
      </c>
      <c r="AH69" s="27">
        <f>IF(AP69="","",AP69&amp;IF(D69="","  (guessed from PAN)",""))</f>
        <v/>
      </c>
      <c r="AI69" s="27">
        <f>IF(AN69="","",IFERROR(INDEX(Lists!$L$2:$L$38,MATCH(LEFT(AN69,2),Lists!$K$2:$K$38,0)),"Unknown code"))</f>
        <v/>
      </c>
      <c r="AJ69" s="27">
        <f>IF(AN69="","",IFERROR(IF(NOT(AND(LEN(AN69)=15,ISNUMBER(MATCH(LEFT(AN69,2),Lists!$K$2:$K$38,0)),SUMPRODUCT(--ISERROR(FIND(MID(MID(AN69,3,10),{1,2,3,4,5,10},1),"ABCDEFGHIJKLMNOPQRSTUVWXYZ")))=0,SUMPRODUCT(--ISERROR(FIND(MID(MID(AN69,3,10),{6,7,8,9},1),"0123456789")))=0,ISNUMBER(FIND(MID(AN69,13,1),"123456789ABCDEFGHIJKLMNOPQRSTUVWXYZ")),MID(AN69,14,1)="Z")),"Wrong format",IF(MID("0123456789ABCDEFGHIJKLMNOPQRSTUVWXYZ",MOD(36-MOD(SUMPRODUCT(INT((FIND(MID(AN69,{1,2,3,4,5,6,7,8,9,10,11,12,13,14},1),"0123456789ABCDEFGHIJKLMNOPQRSTUVWXYZ")-1)*{1,2,1,2,1,2,1,2,1,2,1,2,1,2}/36)+MOD((FIND(MID(AN69,{1,2,3,4,5,6,7,8,9,10,11,12,13,14},1),"0123456789ABCDEFGHIJKLMNOPQRSTUVWXYZ")-1)*{1,2,1,2,1,2,1,2,1,2,1,2,1,2},36)),36),36)+1,1)=MID(AN69,15,1),"OK","Typo? check digit wrong")),"Wrong format"))</f>
        <v/>
      </c>
      <c r="AK69" s="27">
        <f>IF(AO69="","",IF(AND(LEN(AO69)=10,SUMPRODUCT(--ISERROR(FIND(MID(AO69,{1,2,3,4,5,10},1),"ABCDEFGHIJKLMNOPQRSTUVWXYZ")))=0,SUMPRODUCT(--ISERROR(FIND(MID(AO69,{6,7,8,9},1),"0123456789")))=0),"OK","Wrong format"))</f>
        <v/>
      </c>
      <c r="AL69" s="27">
        <f>IF(TRIM(H69)="","",IF(AND(LEN(UPPER(TRIM(H69)))=10,SUMPRODUCT(--ISERROR(FIND(MID(UPPER(TRIM(H69)),{1,2,3,4,10},1),"ABCDEFGHIJKLMNOPQRSTUVWXYZ")))=0,SUMPRODUCT(--ISERROR(FIND(MID(UPPER(TRIM(H69)),{5,6,7,8,9},1),"0123456789")))=0),"OK","Wrong format"))</f>
        <v/>
      </c>
      <c r="AM69" s="28">
        <f>IF(NOT(COUNTA(A69:AE69)&gt;0),"",IF(AS69&lt;&gt;"","✖ "&amp;LEFT(AS69,LEN(AS69)-2),IF(AR69&gt;0,"✔ Ready — client + "&amp;AR69&amp;" service(s)","✔ Ready — client only")))</f>
        <v/>
      </c>
      <c r="AN69" s="29">
        <f>UPPER(SUBSTITUTE(TRIM(F69)," ",""))</f>
        <v/>
      </c>
      <c r="AO69" s="29">
        <f>UPPER(SUBSTITUTE(TRIM(E69)," ",""))</f>
        <v/>
      </c>
      <c r="AP69" s="29">
        <f>IF(D69&lt;&gt;"",D69,IFERROR(VLOOKUP(MID(AG69,4,1),Lists!$E$2:$F$8,2,FALSE),""))</f>
        <v/>
      </c>
      <c r="AQ69" s="29">
        <f>IFERROR(VLOOKUP(AP69,Lists!$A$2:$C$12,3,FALSE),"")</f>
        <v/>
      </c>
      <c r="AR69" s="29">
        <f>COUNTIF(W69:AC69,"Yes")</f>
        <v/>
      </c>
      <c r="AS69" s="29">
        <f>IF(TRIM(B69)="","Legal name missing; ","")&amp;IF(AND(AJ69&lt;&gt;"",AJ69&lt;&gt;"OK"),"GSTIN: "&amp;AJ69&amp;"; ","")&amp;IF(AND(AK69&lt;&gt;"",AK69&lt;&gt;"OK"),"PAN wrong format; ","")&amp;IF(AND(AO69&lt;&gt;"",LEN(AN69)=15,MID(AN69,3,10)&lt;&gt;AO69),"PAN does not match GSTIN; ","")&amp;IF(AND(AL69&lt;&gt;"",AL69&lt;&gt;"OK"),"TAN wrong format; ","")&amp;IF(AG69="","PAN missing; ","")&amp;IF(AP69="","Entity type missing; ","")&amp;IF(AND(AN69&lt;&gt;"",COUNTIF($AN$6:$AN$1005,AN69)&gt;1),"GSTIN repeated in this sheet; ","")&amp;IF(AND(AG69&lt;&gt;"",COUNTIF($AG$6:$AG$1005,AG69)&gt;1),"PAN repeated in this sheet (same client? put extra GSTINs in Other GSTINs); ","")&amp;IF(AND(AR69&gt;0,V69=""),"Financial year missing; ","")&amp;IF(AND(AR69=0,V69&lt;&gt;""),"Financial year given but no service is Yes; ","")&amp;IF(AND(W69="Yes",AN69=""),"GST needs a GSTIN; ","")&amp;IF(AND(W69="Yes",X69=""),"GST return frequency missing; ","")&amp;IF(AND(Y69="Yes",TRIM(H69)=""),"TDS needs a TAN; ","")&amp;IF(AND(AA69="Yes",AQ69&lt;&gt;"",AQ69&lt;&gt;"company",AQ69&lt;&gt;"llp"),"ROC is only for a company / LLP; ","")&amp;IF(AND(AA69="Yes",OR(AQ69="company",AQ69="llp"),TRIM(I69)=""),"ROC needs the CIN / LLPIN; ","")</f>
        <v/>
      </c>
    </row>
    <row r="70">
      <c r="A70" s="30" t="n"/>
      <c r="B70" s="31" t="n"/>
      <c r="C70" s="31" t="n"/>
      <c r="D70" s="31" t="n"/>
      <c r="E70" s="30" t="n"/>
      <c r="F70" s="30" t="n"/>
      <c r="G70" s="30" t="n"/>
      <c r="H70" s="30" t="n"/>
      <c r="I70" s="30" t="n"/>
      <c r="J70" s="32" t="n"/>
      <c r="K70" s="31" t="n"/>
      <c r="L70" s="30" t="n"/>
      <c r="M70" s="31" t="n"/>
      <c r="N70" s="31" t="n"/>
      <c r="O70" s="31" t="n"/>
      <c r="P70" s="30" t="n"/>
      <c r="Q70" s="31" t="n"/>
      <c r="R70" s="31" t="n"/>
      <c r="S70" s="31" t="n"/>
      <c r="T70" s="31" t="n"/>
      <c r="U70" s="30" t="n"/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27">
        <f>IF(NOT(COUNTA(A70:AE70)&gt;0),"",IF(A70="","New client","Update"))</f>
        <v/>
      </c>
      <c r="AG70" s="27">
        <f>IF(AO70&lt;&gt;"",AO70,IF(LEN(AN70)=15,MID(AN70,3,10),""))</f>
        <v/>
      </c>
      <c r="AH70" s="27">
        <f>IF(AP70="","",AP70&amp;IF(D70="","  (guessed from PAN)",""))</f>
        <v/>
      </c>
      <c r="AI70" s="27">
        <f>IF(AN70="","",IFERROR(INDEX(Lists!$L$2:$L$38,MATCH(LEFT(AN70,2),Lists!$K$2:$K$38,0)),"Unknown code"))</f>
        <v/>
      </c>
      <c r="AJ70" s="27">
        <f>IF(AN70="","",IFERROR(IF(NOT(AND(LEN(AN70)=15,ISNUMBER(MATCH(LEFT(AN70,2),Lists!$K$2:$K$38,0)),SUMPRODUCT(--ISERROR(FIND(MID(MID(AN70,3,10),{1,2,3,4,5,10},1),"ABCDEFGHIJKLMNOPQRSTUVWXYZ")))=0,SUMPRODUCT(--ISERROR(FIND(MID(MID(AN70,3,10),{6,7,8,9},1),"0123456789")))=0,ISNUMBER(FIND(MID(AN70,13,1),"123456789ABCDEFGHIJKLMNOPQRSTUVWXYZ")),MID(AN70,14,1)="Z")),"Wrong format",IF(MID("0123456789ABCDEFGHIJKLMNOPQRSTUVWXYZ",MOD(36-MOD(SUMPRODUCT(INT((FIND(MID(AN70,{1,2,3,4,5,6,7,8,9,10,11,12,13,14},1),"0123456789ABCDEFGHIJKLMNOPQRSTUVWXYZ")-1)*{1,2,1,2,1,2,1,2,1,2,1,2,1,2}/36)+MOD((FIND(MID(AN70,{1,2,3,4,5,6,7,8,9,10,11,12,13,14},1),"0123456789ABCDEFGHIJKLMNOPQRSTUVWXYZ")-1)*{1,2,1,2,1,2,1,2,1,2,1,2,1,2},36)),36),36)+1,1)=MID(AN70,15,1),"OK","Typo? check digit wrong")),"Wrong format"))</f>
        <v/>
      </c>
      <c r="AK70" s="27">
        <f>IF(AO70="","",IF(AND(LEN(AO70)=10,SUMPRODUCT(--ISERROR(FIND(MID(AO70,{1,2,3,4,5,10},1),"ABCDEFGHIJKLMNOPQRSTUVWXYZ")))=0,SUMPRODUCT(--ISERROR(FIND(MID(AO70,{6,7,8,9},1),"0123456789")))=0),"OK","Wrong format"))</f>
        <v/>
      </c>
      <c r="AL70" s="27">
        <f>IF(TRIM(H70)="","",IF(AND(LEN(UPPER(TRIM(H70)))=10,SUMPRODUCT(--ISERROR(FIND(MID(UPPER(TRIM(H70)),{1,2,3,4,10},1),"ABCDEFGHIJKLMNOPQRSTUVWXYZ")))=0,SUMPRODUCT(--ISERROR(FIND(MID(UPPER(TRIM(H70)),{5,6,7,8,9},1),"0123456789")))=0),"OK","Wrong format"))</f>
        <v/>
      </c>
      <c r="AM70" s="28">
        <f>IF(NOT(COUNTA(A70:AE70)&gt;0),"",IF(AS70&lt;&gt;"","✖ "&amp;LEFT(AS70,LEN(AS70)-2),IF(AR70&gt;0,"✔ Ready — client + "&amp;AR70&amp;" service(s)","✔ Ready — client only")))</f>
        <v/>
      </c>
      <c r="AN70" s="29">
        <f>UPPER(SUBSTITUTE(TRIM(F70)," ",""))</f>
        <v/>
      </c>
      <c r="AO70" s="29">
        <f>UPPER(SUBSTITUTE(TRIM(E70)," ",""))</f>
        <v/>
      </c>
      <c r="AP70" s="29">
        <f>IF(D70&lt;&gt;"",D70,IFERROR(VLOOKUP(MID(AG70,4,1),Lists!$E$2:$F$8,2,FALSE),""))</f>
        <v/>
      </c>
      <c r="AQ70" s="29">
        <f>IFERROR(VLOOKUP(AP70,Lists!$A$2:$C$12,3,FALSE),"")</f>
        <v/>
      </c>
      <c r="AR70" s="29">
        <f>COUNTIF(W70:AC70,"Yes")</f>
        <v/>
      </c>
      <c r="AS70" s="29">
        <f>IF(TRIM(B70)="","Legal name missing; ","")&amp;IF(AND(AJ70&lt;&gt;"",AJ70&lt;&gt;"OK"),"GSTIN: "&amp;AJ70&amp;"; ","")&amp;IF(AND(AK70&lt;&gt;"",AK70&lt;&gt;"OK"),"PAN wrong format; ","")&amp;IF(AND(AO70&lt;&gt;"",LEN(AN70)=15,MID(AN70,3,10)&lt;&gt;AO70),"PAN does not match GSTIN; ","")&amp;IF(AND(AL70&lt;&gt;"",AL70&lt;&gt;"OK"),"TAN wrong format; ","")&amp;IF(AG70="","PAN missing; ","")&amp;IF(AP70="","Entity type missing; ","")&amp;IF(AND(AN70&lt;&gt;"",COUNTIF($AN$6:$AN$1005,AN70)&gt;1),"GSTIN repeated in this sheet; ","")&amp;IF(AND(AG70&lt;&gt;"",COUNTIF($AG$6:$AG$1005,AG70)&gt;1),"PAN repeated in this sheet (same client? put extra GSTINs in Other GSTINs); ","")&amp;IF(AND(AR70&gt;0,V70=""),"Financial year missing; ","")&amp;IF(AND(AR70=0,V70&lt;&gt;""),"Financial year given but no service is Yes; ","")&amp;IF(AND(W70="Yes",AN70=""),"GST needs a GSTIN; ","")&amp;IF(AND(W70="Yes",X70=""),"GST return frequency missing; ","")&amp;IF(AND(Y70="Yes",TRIM(H70)=""),"TDS needs a TAN; ","")&amp;IF(AND(AA70="Yes",AQ70&lt;&gt;"",AQ70&lt;&gt;"company",AQ70&lt;&gt;"llp"),"ROC is only for a company / LLP; ","")&amp;IF(AND(AA70="Yes",OR(AQ70="company",AQ70="llp"),TRIM(I70)=""),"ROC needs the CIN / LLPIN; ","")</f>
        <v/>
      </c>
    </row>
    <row r="71">
      <c r="A71" s="30" t="n"/>
      <c r="B71" s="31" t="n"/>
      <c r="C71" s="31" t="n"/>
      <c r="D71" s="31" t="n"/>
      <c r="E71" s="30" t="n"/>
      <c r="F71" s="30" t="n"/>
      <c r="G71" s="30" t="n"/>
      <c r="H71" s="30" t="n"/>
      <c r="I71" s="30" t="n"/>
      <c r="J71" s="32" t="n"/>
      <c r="K71" s="31" t="n"/>
      <c r="L71" s="30" t="n"/>
      <c r="M71" s="31" t="n"/>
      <c r="N71" s="31" t="n"/>
      <c r="O71" s="31" t="n"/>
      <c r="P71" s="30" t="n"/>
      <c r="Q71" s="31" t="n"/>
      <c r="R71" s="31" t="n"/>
      <c r="S71" s="31" t="n"/>
      <c r="T71" s="31" t="n"/>
      <c r="U71" s="30" t="n"/>
      <c r="V71" s="31" t="n"/>
      <c r="W71" s="31" t="n"/>
      <c r="X71" s="31" t="n"/>
      <c r="Y71" s="31" t="n"/>
      <c r="Z71" s="31" t="n"/>
      <c r="AA71" s="31" t="n"/>
      <c r="AB71" s="31" t="n"/>
      <c r="AC71" s="31" t="n"/>
      <c r="AD71" s="31" t="n"/>
      <c r="AE71" s="31" t="n"/>
      <c r="AF71" s="27">
        <f>IF(NOT(COUNTA(A71:AE71)&gt;0),"",IF(A71="","New client","Update"))</f>
        <v/>
      </c>
      <c r="AG71" s="27">
        <f>IF(AO71&lt;&gt;"",AO71,IF(LEN(AN71)=15,MID(AN71,3,10),""))</f>
        <v/>
      </c>
      <c r="AH71" s="27">
        <f>IF(AP71="","",AP71&amp;IF(D71="","  (guessed from PAN)",""))</f>
        <v/>
      </c>
      <c r="AI71" s="27">
        <f>IF(AN71="","",IFERROR(INDEX(Lists!$L$2:$L$38,MATCH(LEFT(AN71,2),Lists!$K$2:$K$38,0)),"Unknown code"))</f>
        <v/>
      </c>
      <c r="AJ71" s="27">
        <f>IF(AN71="","",IFERROR(IF(NOT(AND(LEN(AN71)=15,ISNUMBER(MATCH(LEFT(AN71,2),Lists!$K$2:$K$38,0)),SUMPRODUCT(--ISERROR(FIND(MID(MID(AN71,3,10),{1,2,3,4,5,10},1),"ABCDEFGHIJKLMNOPQRSTUVWXYZ")))=0,SUMPRODUCT(--ISERROR(FIND(MID(MID(AN71,3,10),{6,7,8,9},1),"0123456789")))=0,ISNUMBER(FIND(MID(AN71,13,1),"123456789ABCDEFGHIJKLMNOPQRSTUVWXYZ")),MID(AN71,14,1)="Z")),"Wrong format",IF(MID("0123456789ABCDEFGHIJKLMNOPQRSTUVWXYZ",MOD(36-MOD(SUMPRODUCT(INT((FIND(MID(AN71,{1,2,3,4,5,6,7,8,9,10,11,12,13,14},1),"0123456789ABCDEFGHIJKLMNOPQRSTUVWXYZ")-1)*{1,2,1,2,1,2,1,2,1,2,1,2,1,2}/36)+MOD((FIND(MID(AN71,{1,2,3,4,5,6,7,8,9,10,11,12,13,14},1),"0123456789ABCDEFGHIJKLMNOPQRSTUVWXYZ")-1)*{1,2,1,2,1,2,1,2,1,2,1,2,1,2},36)),36),36)+1,1)=MID(AN71,15,1),"OK","Typo? check digit wrong")),"Wrong format"))</f>
        <v/>
      </c>
      <c r="AK71" s="27">
        <f>IF(AO71="","",IF(AND(LEN(AO71)=10,SUMPRODUCT(--ISERROR(FIND(MID(AO71,{1,2,3,4,5,10},1),"ABCDEFGHIJKLMNOPQRSTUVWXYZ")))=0,SUMPRODUCT(--ISERROR(FIND(MID(AO71,{6,7,8,9},1),"0123456789")))=0),"OK","Wrong format"))</f>
        <v/>
      </c>
      <c r="AL71" s="27">
        <f>IF(TRIM(H71)="","",IF(AND(LEN(UPPER(TRIM(H71)))=10,SUMPRODUCT(--ISERROR(FIND(MID(UPPER(TRIM(H71)),{1,2,3,4,10},1),"ABCDEFGHIJKLMNOPQRSTUVWXYZ")))=0,SUMPRODUCT(--ISERROR(FIND(MID(UPPER(TRIM(H71)),{5,6,7,8,9},1),"0123456789")))=0),"OK","Wrong format"))</f>
        <v/>
      </c>
      <c r="AM71" s="28">
        <f>IF(NOT(COUNTA(A71:AE71)&gt;0),"",IF(AS71&lt;&gt;"","✖ "&amp;LEFT(AS71,LEN(AS71)-2),IF(AR71&gt;0,"✔ Ready — client + "&amp;AR71&amp;" service(s)","✔ Ready — client only")))</f>
        <v/>
      </c>
      <c r="AN71" s="29">
        <f>UPPER(SUBSTITUTE(TRIM(F71)," ",""))</f>
        <v/>
      </c>
      <c r="AO71" s="29">
        <f>UPPER(SUBSTITUTE(TRIM(E71)," ",""))</f>
        <v/>
      </c>
      <c r="AP71" s="29">
        <f>IF(D71&lt;&gt;"",D71,IFERROR(VLOOKUP(MID(AG71,4,1),Lists!$E$2:$F$8,2,FALSE),""))</f>
        <v/>
      </c>
      <c r="AQ71" s="29">
        <f>IFERROR(VLOOKUP(AP71,Lists!$A$2:$C$12,3,FALSE),"")</f>
        <v/>
      </c>
      <c r="AR71" s="29">
        <f>COUNTIF(W71:AC71,"Yes")</f>
        <v/>
      </c>
      <c r="AS71" s="29">
        <f>IF(TRIM(B71)="","Legal name missing; ","")&amp;IF(AND(AJ71&lt;&gt;"",AJ71&lt;&gt;"OK"),"GSTIN: "&amp;AJ71&amp;"; ","")&amp;IF(AND(AK71&lt;&gt;"",AK71&lt;&gt;"OK"),"PAN wrong format; ","")&amp;IF(AND(AO71&lt;&gt;"",LEN(AN71)=15,MID(AN71,3,10)&lt;&gt;AO71),"PAN does not match GSTIN; ","")&amp;IF(AND(AL71&lt;&gt;"",AL71&lt;&gt;"OK"),"TAN wrong format; ","")&amp;IF(AG71="","PAN missing; ","")&amp;IF(AP71="","Entity type missing; ","")&amp;IF(AND(AN71&lt;&gt;"",COUNTIF($AN$6:$AN$1005,AN71)&gt;1),"GSTIN repeated in this sheet; ","")&amp;IF(AND(AG71&lt;&gt;"",COUNTIF($AG$6:$AG$1005,AG71)&gt;1),"PAN repeated in this sheet (same client? put extra GSTINs in Other GSTINs); ","")&amp;IF(AND(AR71&gt;0,V71=""),"Financial year missing; ","")&amp;IF(AND(AR71=0,V71&lt;&gt;""),"Financial year given but no service is Yes; ","")&amp;IF(AND(W71="Yes",AN71=""),"GST needs a GSTIN; ","")&amp;IF(AND(W71="Yes",X71=""),"GST return frequency missing; ","")&amp;IF(AND(Y71="Yes",TRIM(H71)=""),"TDS needs a TAN; ","")&amp;IF(AND(AA71="Yes",AQ71&lt;&gt;"",AQ71&lt;&gt;"company",AQ71&lt;&gt;"llp"),"ROC is only for a company / LLP; ","")&amp;IF(AND(AA71="Yes",OR(AQ71="company",AQ71="llp"),TRIM(I71)=""),"ROC needs the CIN / LLPIN; ","")</f>
        <v/>
      </c>
    </row>
    <row r="72">
      <c r="A72" s="30" t="n"/>
      <c r="B72" s="31" t="n"/>
      <c r="C72" s="31" t="n"/>
      <c r="D72" s="31" t="n"/>
      <c r="E72" s="30" t="n"/>
      <c r="F72" s="30" t="n"/>
      <c r="G72" s="30" t="n"/>
      <c r="H72" s="30" t="n"/>
      <c r="I72" s="30" t="n"/>
      <c r="J72" s="32" t="n"/>
      <c r="K72" s="31" t="n"/>
      <c r="L72" s="30" t="n"/>
      <c r="M72" s="31" t="n"/>
      <c r="N72" s="31" t="n"/>
      <c r="O72" s="31" t="n"/>
      <c r="P72" s="30" t="n"/>
      <c r="Q72" s="31" t="n"/>
      <c r="R72" s="31" t="n"/>
      <c r="S72" s="31" t="n"/>
      <c r="T72" s="31" t="n"/>
      <c r="U72" s="30" t="n"/>
      <c r="V72" s="31" t="n"/>
      <c r="W72" s="31" t="n"/>
      <c r="X72" s="31" t="n"/>
      <c r="Y72" s="31" t="n"/>
      <c r="Z72" s="31" t="n"/>
      <c r="AA72" s="31" t="n"/>
      <c r="AB72" s="31" t="n"/>
      <c r="AC72" s="31" t="n"/>
      <c r="AD72" s="31" t="n"/>
      <c r="AE72" s="31" t="n"/>
      <c r="AF72" s="27">
        <f>IF(NOT(COUNTA(A72:AE72)&gt;0),"",IF(A72="","New client","Update"))</f>
        <v/>
      </c>
      <c r="AG72" s="27">
        <f>IF(AO72&lt;&gt;"",AO72,IF(LEN(AN72)=15,MID(AN72,3,10),""))</f>
        <v/>
      </c>
      <c r="AH72" s="27">
        <f>IF(AP72="","",AP72&amp;IF(D72="","  (guessed from PAN)",""))</f>
        <v/>
      </c>
      <c r="AI72" s="27">
        <f>IF(AN72="","",IFERROR(INDEX(Lists!$L$2:$L$38,MATCH(LEFT(AN72,2),Lists!$K$2:$K$38,0)),"Unknown code"))</f>
        <v/>
      </c>
      <c r="AJ72" s="27">
        <f>IF(AN72="","",IFERROR(IF(NOT(AND(LEN(AN72)=15,ISNUMBER(MATCH(LEFT(AN72,2),Lists!$K$2:$K$38,0)),SUMPRODUCT(--ISERROR(FIND(MID(MID(AN72,3,10),{1,2,3,4,5,10},1),"ABCDEFGHIJKLMNOPQRSTUVWXYZ")))=0,SUMPRODUCT(--ISERROR(FIND(MID(MID(AN72,3,10),{6,7,8,9},1),"0123456789")))=0,ISNUMBER(FIND(MID(AN72,13,1),"123456789ABCDEFGHIJKLMNOPQRSTUVWXYZ")),MID(AN72,14,1)="Z")),"Wrong format",IF(MID("0123456789ABCDEFGHIJKLMNOPQRSTUVWXYZ",MOD(36-MOD(SUMPRODUCT(INT((FIND(MID(AN72,{1,2,3,4,5,6,7,8,9,10,11,12,13,14},1),"0123456789ABCDEFGHIJKLMNOPQRSTUVWXYZ")-1)*{1,2,1,2,1,2,1,2,1,2,1,2,1,2}/36)+MOD((FIND(MID(AN72,{1,2,3,4,5,6,7,8,9,10,11,12,13,14},1),"0123456789ABCDEFGHIJKLMNOPQRSTUVWXYZ")-1)*{1,2,1,2,1,2,1,2,1,2,1,2,1,2},36)),36),36)+1,1)=MID(AN72,15,1),"OK","Typo? check digit wrong")),"Wrong format"))</f>
        <v/>
      </c>
      <c r="AK72" s="27">
        <f>IF(AO72="","",IF(AND(LEN(AO72)=10,SUMPRODUCT(--ISERROR(FIND(MID(AO72,{1,2,3,4,5,10},1),"ABCDEFGHIJKLMNOPQRSTUVWXYZ")))=0,SUMPRODUCT(--ISERROR(FIND(MID(AO72,{6,7,8,9},1),"0123456789")))=0),"OK","Wrong format"))</f>
        <v/>
      </c>
      <c r="AL72" s="27">
        <f>IF(TRIM(H72)="","",IF(AND(LEN(UPPER(TRIM(H72)))=10,SUMPRODUCT(--ISERROR(FIND(MID(UPPER(TRIM(H72)),{1,2,3,4,10},1),"ABCDEFGHIJKLMNOPQRSTUVWXYZ")))=0,SUMPRODUCT(--ISERROR(FIND(MID(UPPER(TRIM(H72)),{5,6,7,8,9},1),"0123456789")))=0),"OK","Wrong format"))</f>
        <v/>
      </c>
      <c r="AM72" s="28">
        <f>IF(NOT(COUNTA(A72:AE72)&gt;0),"",IF(AS72&lt;&gt;"","✖ "&amp;LEFT(AS72,LEN(AS72)-2),IF(AR72&gt;0,"✔ Ready — client + "&amp;AR72&amp;" service(s)","✔ Ready — client only")))</f>
        <v/>
      </c>
      <c r="AN72" s="29">
        <f>UPPER(SUBSTITUTE(TRIM(F72)," ",""))</f>
        <v/>
      </c>
      <c r="AO72" s="29">
        <f>UPPER(SUBSTITUTE(TRIM(E72)," ",""))</f>
        <v/>
      </c>
      <c r="AP72" s="29">
        <f>IF(D72&lt;&gt;"",D72,IFERROR(VLOOKUP(MID(AG72,4,1),Lists!$E$2:$F$8,2,FALSE),""))</f>
        <v/>
      </c>
      <c r="AQ72" s="29">
        <f>IFERROR(VLOOKUP(AP72,Lists!$A$2:$C$12,3,FALSE),"")</f>
        <v/>
      </c>
      <c r="AR72" s="29">
        <f>COUNTIF(W72:AC72,"Yes")</f>
        <v/>
      </c>
      <c r="AS72" s="29">
        <f>IF(TRIM(B72)="","Legal name missing; ","")&amp;IF(AND(AJ72&lt;&gt;"",AJ72&lt;&gt;"OK"),"GSTIN: "&amp;AJ72&amp;"; ","")&amp;IF(AND(AK72&lt;&gt;"",AK72&lt;&gt;"OK"),"PAN wrong format; ","")&amp;IF(AND(AO72&lt;&gt;"",LEN(AN72)=15,MID(AN72,3,10)&lt;&gt;AO72),"PAN does not match GSTIN; ","")&amp;IF(AND(AL72&lt;&gt;"",AL72&lt;&gt;"OK"),"TAN wrong format; ","")&amp;IF(AG72="","PAN missing; ","")&amp;IF(AP72="","Entity type missing; ","")&amp;IF(AND(AN72&lt;&gt;"",COUNTIF($AN$6:$AN$1005,AN72)&gt;1),"GSTIN repeated in this sheet; ","")&amp;IF(AND(AG72&lt;&gt;"",COUNTIF($AG$6:$AG$1005,AG72)&gt;1),"PAN repeated in this sheet (same client? put extra GSTINs in Other GSTINs); ","")&amp;IF(AND(AR72&gt;0,V72=""),"Financial year missing; ","")&amp;IF(AND(AR72=0,V72&lt;&gt;""),"Financial year given but no service is Yes; ","")&amp;IF(AND(W72="Yes",AN72=""),"GST needs a GSTIN; ","")&amp;IF(AND(W72="Yes",X72=""),"GST return frequency missing; ","")&amp;IF(AND(Y72="Yes",TRIM(H72)=""),"TDS needs a TAN; ","")&amp;IF(AND(AA72="Yes",AQ72&lt;&gt;"",AQ72&lt;&gt;"company",AQ72&lt;&gt;"llp"),"ROC is only for a company / LLP; ","")&amp;IF(AND(AA72="Yes",OR(AQ72="company",AQ72="llp"),TRIM(I72)=""),"ROC needs the CIN / LLPIN; ","")</f>
        <v/>
      </c>
    </row>
    <row r="73">
      <c r="A73" s="30" t="n"/>
      <c r="B73" s="31" t="n"/>
      <c r="C73" s="31" t="n"/>
      <c r="D73" s="31" t="n"/>
      <c r="E73" s="30" t="n"/>
      <c r="F73" s="30" t="n"/>
      <c r="G73" s="30" t="n"/>
      <c r="H73" s="30" t="n"/>
      <c r="I73" s="30" t="n"/>
      <c r="J73" s="32" t="n"/>
      <c r="K73" s="31" t="n"/>
      <c r="L73" s="30" t="n"/>
      <c r="M73" s="31" t="n"/>
      <c r="N73" s="31" t="n"/>
      <c r="O73" s="31" t="n"/>
      <c r="P73" s="30" t="n"/>
      <c r="Q73" s="31" t="n"/>
      <c r="R73" s="31" t="n"/>
      <c r="S73" s="31" t="n"/>
      <c r="T73" s="31" t="n"/>
      <c r="U73" s="30" t="n"/>
      <c r="V73" s="31" t="n"/>
      <c r="W73" s="31" t="n"/>
      <c r="X73" s="31" t="n"/>
      <c r="Y73" s="31" t="n"/>
      <c r="Z73" s="31" t="n"/>
      <c r="AA73" s="31" t="n"/>
      <c r="AB73" s="31" t="n"/>
      <c r="AC73" s="31" t="n"/>
      <c r="AD73" s="31" t="n"/>
      <c r="AE73" s="31" t="n"/>
      <c r="AF73" s="27">
        <f>IF(NOT(COUNTA(A73:AE73)&gt;0),"",IF(A73="","New client","Update"))</f>
        <v/>
      </c>
      <c r="AG73" s="27">
        <f>IF(AO73&lt;&gt;"",AO73,IF(LEN(AN73)=15,MID(AN73,3,10),""))</f>
        <v/>
      </c>
      <c r="AH73" s="27">
        <f>IF(AP73="","",AP73&amp;IF(D73="","  (guessed from PAN)",""))</f>
        <v/>
      </c>
      <c r="AI73" s="27">
        <f>IF(AN73="","",IFERROR(INDEX(Lists!$L$2:$L$38,MATCH(LEFT(AN73,2),Lists!$K$2:$K$38,0)),"Unknown code"))</f>
        <v/>
      </c>
      <c r="AJ73" s="27">
        <f>IF(AN73="","",IFERROR(IF(NOT(AND(LEN(AN73)=15,ISNUMBER(MATCH(LEFT(AN73,2),Lists!$K$2:$K$38,0)),SUMPRODUCT(--ISERROR(FIND(MID(MID(AN73,3,10),{1,2,3,4,5,10},1),"ABCDEFGHIJKLMNOPQRSTUVWXYZ")))=0,SUMPRODUCT(--ISERROR(FIND(MID(MID(AN73,3,10),{6,7,8,9},1),"0123456789")))=0,ISNUMBER(FIND(MID(AN73,13,1),"123456789ABCDEFGHIJKLMNOPQRSTUVWXYZ")),MID(AN73,14,1)="Z")),"Wrong format",IF(MID("0123456789ABCDEFGHIJKLMNOPQRSTUVWXYZ",MOD(36-MOD(SUMPRODUCT(INT((FIND(MID(AN73,{1,2,3,4,5,6,7,8,9,10,11,12,13,14},1),"0123456789ABCDEFGHIJKLMNOPQRSTUVWXYZ")-1)*{1,2,1,2,1,2,1,2,1,2,1,2,1,2}/36)+MOD((FIND(MID(AN73,{1,2,3,4,5,6,7,8,9,10,11,12,13,14},1),"0123456789ABCDEFGHIJKLMNOPQRSTUVWXYZ")-1)*{1,2,1,2,1,2,1,2,1,2,1,2,1,2},36)),36),36)+1,1)=MID(AN73,15,1),"OK","Typo? check digit wrong")),"Wrong format"))</f>
        <v/>
      </c>
      <c r="AK73" s="27">
        <f>IF(AO73="","",IF(AND(LEN(AO73)=10,SUMPRODUCT(--ISERROR(FIND(MID(AO73,{1,2,3,4,5,10},1),"ABCDEFGHIJKLMNOPQRSTUVWXYZ")))=0,SUMPRODUCT(--ISERROR(FIND(MID(AO73,{6,7,8,9},1),"0123456789")))=0),"OK","Wrong format"))</f>
        <v/>
      </c>
      <c r="AL73" s="27">
        <f>IF(TRIM(H73)="","",IF(AND(LEN(UPPER(TRIM(H73)))=10,SUMPRODUCT(--ISERROR(FIND(MID(UPPER(TRIM(H73)),{1,2,3,4,10},1),"ABCDEFGHIJKLMNOPQRSTUVWXYZ")))=0,SUMPRODUCT(--ISERROR(FIND(MID(UPPER(TRIM(H73)),{5,6,7,8,9},1),"0123456789")))=0),"OK","Wrong format"))</f>
        <v/>
      </c>
      <c r="AM73" s="28">
        <f>IF(NOT(COUNTA(A73:AE73)&gt;0),"",IF(AS73&lt;&gt;"","✖ "&amp;LEFT(AS73,LEN(AS73)-2),IF(AR73&gt;0,"✔ Ready — client + "&amp;AR73&amp;" service(s)","✔ Ready — client only")))</f>
        <v/>
      </c>
      <c r="AN73" s="29">
        <f>UPPER(SUBSTITUTE(TRIM(F73)," ",""))</f>
        <v/>
      </c>
      <c r="AO73" s="29">
        <f>UPPER(SUBSTITUTE(TRIM(E73)," ",""))</f>
        <v/>
      </c>
      <c r="AP73" s="29">
        <f>IF(D73&lt;&gt;"",D73,IFERROR(VLOOKUP(MID(AG73,4,1),Lists!$E$2:$F$8,2,FALSE),""))</f>
        <v/>
      </c>
      <c r="AQ73" s="29">
        <f>IFERROR(VLOOKUP(AP73,Lists!$A$2:$C$12,3,FALSE),"")</f>
        <v/>
      </c>
      <c r="AR73" s="29">
        <f>COUNTIF(W73:AC73,"Yes")</f>
        <v/>
      </c>
      <c r="AS73" s="29">
        <f>IF(TRIM(B73)="","Legal name missing; ","")&amp;IF(AND(AJ73&lt;&gt;"",AJ73&lt;&gt;"OK"),"GSTIN: "&amp;AJ73&amp;"; ","")&amp;IF(AND(AK73&lt;&gt;"",AK73&lt;&gt;"OK"),"PAN wrong format; ","")&amp;IF(AND(AO73&lt;&gt;"",LEN(AN73)=15,MID(AN73,3,10)&lt;&gt;AO73),"PAN does not match GSTIN; ","")&amp;IF(AND(AL73&lt;&gt;"",AL73&lt;&gt;"OK"),"TAN wrong format; ","")&amp;IF(AG73="","PAN missing; ","")&amp;IF(AP73="","Entity type missing; ","")&amp;IF(AND(AN73&lt;&gt;"",COUNTIF($AN$6:$AN$1005,AN73)&gt;1),"GSTIN repeated in this sheet; ","")&amp;IF(AND(AG73&lt;&gt;"",COUNTIF($AG$6:$AG$1005,AG73)&gt;1),"PAN repeated in this sheet (same client? put extra GSTINs in Other GSTINs); ","")&amp;IF(AND(AR73&gt;0,V73=""),"Financial year missing; ","")&amp;IF(AND(AR73=0,V73&lt;&gt;""),"Financial year given but no service is Yes; ","")&amp;IF(AND(W73="Yes",AN73=""),"GST needs a GSTIN; ","")&amp;IF(AND(W73="Yes",X73=""),"GST return frequency missing; ","")&amp;IF(AND(Y73="Yes",TRIM(H73)=""),"TDS needs a TAN; ","")&amp;IF(AND(AA73="Yes",AQ73&lt;&gt;"",AQ73&lt;&gt;"company",AQ73&lt;&gt;"llp"),"ROC is only for a company / LLP; ","")&amp;IF(AND(AA73="Yes",OR(AQ73="company",AQ73="llp"),TRIM(I73)=""),"ROC needs the CIN / LLPIN; ","")</f>
        <v/>
      </c>
    </row>
    <row r="74">
      <c r="A74" s="30" t="n"/>
      <c r="B74" s="31" t="n"/>
      <c r="C74" s="31" t="n"/>
      <c r="D74" s="31" t="n"/>
      <c r="E74" s="30" t="n"/>
      <c r="F74" s="30" t="n"/>
      <c r="G74" s="30" t="n"/>
      <c r="H74" s="30" t="n"/>
      <c r="I74" s="30" t="n"/>
      <c r="J74" s="32" t="n"/>
      <c r="K74" s="31" t="n"/>
      <c r="L74" s="30" t="n"/>
      <c r="M74" s="31" t="n"/>
      <c r="N74" s="31" t="n"/>
      <c r="O74" s="31" t="n"/>
      <c r="P74" s="30" t="n"/>
      <c r="Q74" s="31" t="n"/>
      <c r="R74" s="31" t="n"/>
      <c r="S74" s="31" t="n"/>
      <c r="T74" s="31" t="n"/>
      <c r="U74" s="30" t="n"/>
      <c r="V74" s="31" t="n"/>
      <c r="W74" s="31" t="n"/>
      <c r="X74" s="31" t="n"/>
      <c r="Y74" s="31" t="n"/>
      <c r="Z74" s="31" t="n"/>
      <c r="AA74" s="31" t="n"/>
      <c r="AB74" s="31" t="n"/>
      <c r="AC74" s="31" t="n"/>
      <c r="AD74" s="31" t="n"/>
      <c r="AE74" s="31" t="n"/>
      <c r="AF74" s="27">
        <f>IF(NOT(COUNTA(A74:AE74)&gt;0),"",IF(A74="","New client","Update"))</f>
        <v/>
      </c>
      <c r="AG74" s="27">
        <f>IF(AO74&lt;&gt;"",AO74,IF(LEN(AN74)=15,MID(AN74,3,10),""))</f>
        <v/>
      </c>
      <c r="AH74" s="27">
        <f>IF(AP74="","",AP74&amp;IF(D74="","  (guessed from PAN)",""))</f>
        <v/>
      </c>
      <c r="AI74" s="27">
        <f>IF(AN74="","",IFERROR(INDEX(Lists!$L$2:$L$38,MATCH(LEFT(AN74,2),Lists!$K$2:$K$38,0)),"Unknown code"))</f>
        <v/>
      </c>
      <c r="AJ74" s="27">
        <f>IF(AN74="","",IFERROR(IF(NOT(AND(LEN(AN74)=15,ISNUMBER(MATCH(LEFT(AN74,2),Lists!$K$2:$K$38,0)),SUMPRODUCT(--ISERROR(FIND(MID(MID(AN74,3,10),{1,2,3,4,5,10},1),"ABCDEFGHIJKLMNOPQRSTUVWXYZ")))=0,SUMPRODUCT(--ISERROR(FIND(MID(MID(AN74,3,10),{6,7,8,9},1),"0123456789")))=0,ISNUMBER(FIND(MID(AN74,13,1),"123456789ABCDEFGHIJKLMNOPQRSTUVWXYZ")),MID(AN74,14,1)="Z")),"Wrong format",IF(MID("0123456789ABCDEFGHIJKLMNOPQRSTUVWXYZ",MOD(36-MOD(SUMPRODUCT(INT((FIND(MID(AN74,{1,2,3,4,5,6,7,8,9,10,11,12,13,14},1),"0123456789ABCDEFGHIJKLMNOPQRSTUVWXYZ")-1)*{1,2,1,2,1,2,1,2,1,2,1,2,1,2}/36)+MOD((FIND(MID(AN74,{1,2,3,4,5,6,7,8,9,10,11,12,13,14},1),"0123456789ABCDEFGHIJKLMNOPQRSTUVWXYZ")-1)*{1,2,1,2,1,2,1,2,1,2,1,2,1,2},36)),36),36)+1,1)=MID(AN74,15,1),"OK","Typo? check digit wrong")),"Wrong format"))</f>
        <v/>
      </c>
      <c r="AK74" s="27">
        <f>IF(AO74="","",IF(AND(LEN(AO74)=10,SUMPRODUCT(--ISERROR(FIND(MID(AO74,{1,2,3,4,5,10},1),"ABCDEFGHIJKLMNOPQRSTUVWXYZ")))=0,SUMPRODUCT(--ISERROR(FIND(MID(AO74,{6,7,8,9},1),"0123456789")))=0),"OK","Wrong format"))</f>
        <v/>
      </c>
      <c r="AL74" s="27">
        <f>IF(TRIM(H74)="","",IF(AND(LEN(UPPER(TRIM(H74)))=10,SUMPRODUCT(--ISERROR(FIND(MID(UPPER(TRIM(H74)),{1,2,3,4,10},1),"ABCDEFGHIJKLMNOPQRSTUVWXYZ")))=0,SUMPRODUCT(--ISERROR(FIND(MID(UPPER(TRIM(H74)),{5,6,7,8,9},1),"0123456789")))=0),"OK","Wrong format"))</f>
        <v/>
      </c>
      <c r="AM74" s="28">
        <f>IF(NOT(COUNTA(A74:AE74)&gt;0),"",IF(AS74&lt;&gt;"","✖ "&amp;LEFT(AS74,LEN(AS74)-2),IF(AR74&gt;0,"✔ Ready — client + "&amp;AR74&amp;" service(s)","✔ Ready — client only")))</f>
        <v/>
      </c>
      <c r="AN74" s="29">
        <f>UPPER(SUBSTITUTE(TRIM(F74)," ",""))</f>
        <v/>
      </c>
      <c r="AO74" s="29">
        <f>UPPER(SUBSTITUTE(TRIM(E74)," ",""))</f>
        <v/>
      </c>
      <c r="AP74" s="29">
        <f>IF(D74&lt;&gt;"",D74,IFERROR(VLOOKUP(MID(AG74,4,1),Lists!$E$2:$F$8,2,FALSE),""))</f>
        <v/>
      </c>
      <c r="AQ74" s="29">
        <f>IFERROR(VLOOKUP(AP74,Lists!$A$2:$C$12,3,FALSE),"")</f>
        <v/>
      </c>
      <c r="AR74" s="29">
        <f>COUNTIF(W74:AC74,"Yes")</f>
        <v/>
      </c>
      <c r="AS74" s="29">
        <f>IF(TRIM(B74)="","Legal name missing; ","")&amp;IF(AND(AJ74&lt;&gt;"",AJ74&lt;&gt;"OK"),"GSTIN: "&amp;AJ74&amp;"; ","")&amp;IF(AND(AK74&lt;&gt;"",AK74&lt;&gt;"OK"),"PAN wrong format; ","")&amp;IF(AND(AO74&lt;&gt;"",LEN(AN74)=15,MID(AN74,3,10)&lt;&gt;AO74),"PAN does not match GSTIN; ","")&amp;IF(AND(AL74&lt;&gt;"",AL74&lt;&gt;"OK"),"TAN wrong format; ","")&amp;IF(AG74="","PAN missing; ","")&amp;IF(AP74="","Entity type missing; ","")&amp;IF(AND(AN74&lt;&gt;"",COUNTIF($AN$6:$AN$1005,AN74)&gt;1),"GSTIN repeated in this sheet; ","")&amp;IF(AND(AG74&lt;&gt;"",COUNTIF($AG$6:$AG$1005,AG74)&gt;1),"PAN repeated in this sheet (same client? put extra GSTINs in Other GSTINs); ","")&amp;IF(AND(AR74&gt;0,V74=""),"Financial year missing; ","")&amp;IF(AND(AR74=0,V74&lt;&gt;""),"Financial year given but no service is Yes; ","")&amp;IF(AND(W74="Yes",AN74=""),"GST needs a GSTIN; ","")&amp;IF(AND(W74="Yes",X74=""),"GST return frequency missing; ","")&amp;IF(AND(Y74="Yes",TRIM(H74)=""),"TDS needs a TAN; ","")&amp;IF(AND(AA74="Yes",AQ74&lt;&gt;"",AQ74&lt;&gt;"company",AQ74&lt;&gt;"llp"),"ROC is only for a company / LLP; ","")&amp;IF(AND(AA74="Yes",OR(AQ74="company",AQ74="llp"),TRIM(I74)=""),"ROC needs the CIN / LLPIN; ","")</f>
        <v/>
      </c>
    </row>
    <row r="75">
      <c r="A75" s="30" t="n"/>
      <c r="B75" s="31" t="n"/>
      <c r="C75" s="31" t="n"/>
      <c r="D75" s="31" t="n"/>
      <c r="E75" s="30" t="n"/>
      <c r="F75" s="30" t="n"/>
      <c r="G75" s="30" t="n"/>
      <c r="H75" s="30" t="n"/>
      <c r="I75" s="30" t="n"/>
      <c r="J75" s="32" t="n"/>
      <c r="K75" s="31" t="n"/>
      <c r="L75" s="30" t="n"/>
      <c r="M75" s="31" t="n"/>
      <c r="N75" s="31" t="n"/>
      <c r="O75" s="31" t="n"/>
      <c r="P75" s="30" t="n"/>
      <c r="Q75" s="31" t="n"/>
      <c r="R75" s="31" t="n"/>
      <c r="S75" s="31" t="n"/>
      <c r="T75" s="31" t="n"/>
      <c r="U75" s="30" t="n"/>
      <c r="V75" s="31" t="n"/>
      <c r="W75" s="31" t="n"/>
      <c r="X75" s="31" t="n"/>
      <c r="Y75" s="31" t="n"/>
      <c r="Z75" s="31" t="n"/>
      <c r="AA75" s="31" t="n"/>
      <c r="AB75" s="31" t="n"/>
      <c r="AC75" s="31" t="n"/>
      <c r="AD75" s="31" t="n"/>
      <c r="AE75" s="31" t="n"/>
      <c r="AF75" s="27">
        <f>IF(NOT(COUNTA(A75:AE75)&gt;0),"",IF(A75="","New client","Update"))</f>
        <v/>
      </c>
      <c r="AG75" s="27">
        <f>IF(AO75&lt;&gt;"",AO75,IF(LEN(AN75)=15,MID(AN75,3,10),""))</f>
        <v/>
      </c>
      <c r="AH75" s="27">
        <f>IF(AP75="","",AP75&amp;IF(D75="","  (guessed from PAN)",""))</f>
        <v/>
      </c>
      <c r="AI75" s="27">
        <f>IF(AN75="","",IFERROR(INDEX(Lists!$L$2:$L$38,MATCH(LEFT(AN75,2),Lists!$K$2:$K$38,0)),"Unknown code"))</f>
        <v/>
      </c>
      <c r="AJ75" s="27">
        <f>IF(AN75="","",IFERROR(IF(NOT(AND(LEN(AN75)=15,ISNUMBER(MATCH(LEFT(AN75,2),Lists!$K$2:$K$38,0)),SUMPRODUCT(--ISERROR(FIND(MID(MID(AN75,3,10),{1,2,3,4,5,10},1),"ABCDEFGHIJKLMNOPQRSTUVWXYZ")))=0,SUMPRODUCT(--ISERROR(FIND(MID(MID(AN75,3,10),{6,7,8,9},1),"0123456789")))=0,ISNUMBER(FIND(MID(AN75,13,1),"123456789ABCDEFGHIJKLMNOPQRSTUVWXYZ")),MID(AN75,14,1)="Z")),"Wrong format",IF(MID("0123456789ABCDEFGHIJKLMNOPQRSTUVWXYZ",MOD(36-MOD(SUMPRODUCT(INT((FIND(MID(AN75,{1,2,3,4,5,6,7,8,9,10,11,12,13,14},1),"0123456789ABCDEFGHIJKLMNOPQRSTUVWXYZ")-1)*{1,2,1,2,1,2,1,2,1,2,1,2,1,2}/36)+MOD((FIND(MID(AN75,{1,2,3,4,5,6,7,8,9,10,11,12,13,14},1),"0123456789ABCDEFGHIJKLMNOPQRSTUVWXYZ")-1)*{1,2,1,2,1,2,1,2,1,2,1,2,1,2},36)),36),36)+1,1)=MID(AN75,15,1),"OK","Typo? check digit wrong")),"Wrong format"))</f>
        <v/>
      </c>
      <c r="AK75" s="27">
        <f>IF(AO75="","",IF(AND(LEN(AO75)=10,SUMPRODUCT(--ISERROR(FIND(MID(AO75,{1,2,3,4,5,10},1),"ABCDEFGHIJKLMNOPQRSTUVWXYZ")))=0,SUMPRODUCT(--ISERROR(FIND(MID(AO75,{6,7,8,9},1),"0123456789")))=0),"OK","Wrong format"))</f>
        <v/>
      </c>
      <c r="AL75" s="27">
        <f>IF(TRIM(H75)="","",IF(AND(LEN(UPPER(TRIM(H75)))=10,SUMPRODUCT(--ISERROR(FIND(MID(UPPER(TRIM(H75)),{1,2,3,4,10},1),"ABCDEFGHIJKLMNOPQRSTUVWXYZ")))=0,SUMPRODUCT(--ISERROR(FIND(MID(UPPER(TRIM(H75)),{5,6,7,8,9},1),"0123456789")))=0),"OK","Wrong format"))</f>
        <v/>
      </c>
      <c r="AM75" s="28">
        <f>IF(NOT(COUNTA(A75:AE75)&gt;0),"",IF(AS75&lt;&gt;"","✖ "&amp;LEFT(AS75,LEN(AS75)-2),IF(AR75&gt;0,"✔ Ready — client + "&amp;AR75&amp;" service(s)","✔ Ready — client only")))</f>
        <v/>
      </c>
      <c r="AN75" s="29">
        <f>UPPER(SUBSTITUTE(TRIM(F75)," ",""))</f>
        <v/>
      </c>
      <c r="AO75" s="29">
        <f>UPPER(SUBSTITUTE(TRIM(E75)," ",""))</f>
        <v/>
      </c>
      <c r="AP75" s="29">
        <f>IF(D75&lt;&gt;"",D75,IFERROR(VLOOKUP(MID(AG75,4,1),Lists!$E$2:$F$8,2,FALSE),""))</f>
        <v/>
      </c>
      <c r="AQ75" s="29">
        <f>IFERROR(VLOOKUP(AP75,Lists!$A$2:$C$12,3,FALSE),"")</f>
        <v/>
      </c>
      <c r="AR75" s="29">
        <f>COUNTIF(W75:AC75,"Yes")</f>
        <v/>
      </c>
      <c r="AS75" s="29">
        <f>IF(TRIM(B75)="","Legal name missing; ","")&amp;IF(AND(AJ75&lt;&gt;"",AJ75&lt;&gt;"OK"),"GSTIN: "&amp;AJ75&amp;"; ","")&amp;IF(AND(AK75&lt;&gt;"",AK75&lt;&gt;"OK"),"PAN wrong format; ","")&amp;IF(AND(AO75&lt;&gt;"",LEN(AN75)=15,MID(AN75,3,10)&lt;&gt;AO75),"PAN does not match GSTIN; ","")&amp;IF(AND(AL75&lt;&gt;"",AL75&lt;&gt;"OK"),"TAN wrong format; ","")&amp;IF(AG75="","PAN missing; ","")&amp;IF(AP75="","Entity type missing; ","")&amp;IF(AND(AN75&lt;&gt;"",COUNTIF($AN$6:$AN$1005,AN75)&gt;1),"GSTIN repeated in this sheet; ","")&amp;IF(AND(AG75&lt;&gt;"",COUNTIF($AG$6:$AG$1005,AG75)&gt;1),"PAN repeated in this sheet (same client? put extra GSTINs in Other GSTINs); ","")&amp;IF(AND(AR75&gt;0,V75=""),"Financial year missing; ","")&amp;IF(AND(AR75=0,V75&lt;&gt;""),"Financial year given but no service is Yes; ","")&amp;IF(AND(W75="Yes",AN75=""),"GST needs a GSTIN; ","")&amp;IF(AND(W75="Yes",X75=""),"GST return frequency missing; ","")&amp;IF(AND(Y75="Yes",TRIM(H75)=""),"TDS needs a TAN; ","")&amp;IF(AND(AA75="Yes",AQ75&lt;&gt;"",AQ75&lt;&gt;"company",AQ75&lt;&gt;"llp"),"ROC is only for a company / LLP; ","")&amp;IF(AND(AA75="Yes",OR(AQ75="company",AQ75="llp"),TRIM(I75)=""),"ROC needs the CIN / LLPIN; ","")</f>
        <v/>
      </c>
    </row>
    <row r="76">
      <c r="A76" s="30" t="n"/>
      <c r="B76" s="31" t="n"/>
      <c r="C76" s="31" t="n"/>
      <c r="D76" s="31" t="n"/>
      <c r="E76" s="30" t="n"/>
      <c r="F76" s="30" t="n"/>
      <c r="G76" s="30" t="n"/>
      <c r="H76" s="30" t="n"/>
      <c r="I76" s="30" t="n"/>
      <c r="J76" s="32" t="n"/>
      <c r="K76" s="31" t="n"/>
      <c r="L76" s="30" t="n"/>
      <c r="M76" s="31" t="n"/>
      <c r="N76" s="31" t="n"/>
      <c r="O76" s="31" t="n"/>
      <c r="P76" s="30" t="n"/>
      <c r="Q76" s="31" t="n"/>
      <c r="R76" s="31" t="n"/>
      <c r="S76" s="31" t="n"/>
      <c r="T76" s="31" t="n"/>
      <c r="U76" s="30" t="n"/>
      <c r="V76" s="31" t="n"/>
      <c r="W76" s="31" t="n"/>
      <c r="X76" s="31" t="n"/>
      <c r="Y76" s="31" t="n"/>
      <c r="Z76" s="31" t="n"/>
      <c r="AA76" s="31" t="n"/>
      <c r="AB76" s="31" t="n"/>
      <c r="AC76" s="31" t="n"/>
      <c r="AD76" s="31" t="n"/>
      <c r="AE76" s="31" t="n"/>
      <c r="AF76" s="27">
        <f>IF(NOT(COUNTA(A76:AE76)&gt;0),"",IF(A76="","New client","Update"))</f>
        <v/>
      </c>
      <c r="AG76" s="27">
        <f>IF(AO76&lt;&gt;"",AO76,IF(LEN(AN76)=15,MID(AN76,3,10),""))</f>
        <v/>
      </c>
      <c r="AH76" s="27">
        <f>IF(AP76="","",AP76&amp;IF(D76="","  (guessed from PAN)",""))</f>
        <v/>
      </c>
      <c r="AI76" s="27">
        <f>IF(AN76="","",IFERROR(INDEX(Lists!$L$2:$L$38,MATCH(LEFT(AN76,2),Lists!$K$2:$K$38,0)),"Unknown code"))</f>
        <v/>
      </c>
      <c r="AJ76" s="27">
        <f>IF(AN76="","",IFERROR(IF(NOT(AND(LEN(AN76)=15,ISNUMBER(MATCH(LEFT(AN76,2),Lists!$K$2:$K$38,0)),SUMPRODUCT(--ISERROR(FIND(MID(MID(AN76,3,10),{1,2,3,4,5,10},1),"ABCDEFGHIJKLMNOPQRSTUVWXYZ")))=0,SUMPRODUCT(--ISERROR(FIND(MID(MID(AN76,3,10),{6,7,8,9},1),"0123456789")))=0,ISNUMBER(FIND(MID(AN76,13,1),"123456789ABCDEFGHIJKLMNOPQRSTUVWXYZ")),MID(AN76,14,1)="Z")),"Wrong format",IF(MID("0123456789ABCDEFGHIJKLMNOPQRSTUVWXYZ",MOD(36-MOD(SUMPRODUCT(INT((FIND(MID(AN76,{1,2,3,4,5,6,7,8,9,10,11,12,13,14},1),"0123456789ABCDEFGHIJKLMNOPQRSTUVWXYZ")-1)*{1,2,1,2,1,2,1,2,1,2,1,2,1,2}/36)+MOD((FIND(MID(AN76,{1,2,3,4,5,6,7,8,9,10,11,12,13,14},1),"0123456789ABCDEFGHIJKLMNOPQRSTUVWXYZ")-1)*{1,2,1,2,1,2,1,2,1,2,1,2,1,2},36)),36),36)+1,1)=MID(AN76,15,1),"OK","Typo? check digit wrong")),"Wrong format"))</f>
        <v/>
      </c>
      <c r="AK76" s="27">
        <f>IF(AO76="","",IF(AND(LEN(AO76)=10,SUMPRODUCT(--ISERROR(FIND(MID(AO76,{1,2,3,4,5,10},1),"ABCDEFGHIJKLMNOPQRSTUVWXYZ")))=0,SUMPRODUCT(--ISERROR(FIND(MID(AO76,{6,7,8,9},1),"0123456789")))=0),"OK","Wrong format"))</f>
        <v/>
      </c>
      <c r="AL76" s="27">
        <f>IF(TRIM(H76)="","",IF(AND(LEN(UPPER(TRIM(H76)))=10,SUMPRODUCT(--ISERROR(FIND(MID(UPPER(TRIM(H76)),{1,2,3,4,10},1),"ABCDEFGHIJKLMNOPQRSTUVWXYZ")))=0,SUMPRODUCT(--ISERROR(FIND(MID(UPPER(TRIM(H76)),{5,6,7,8,9},1),"0123456789")))=0),"OK","Wrong format"))</f>
        <v/>
      </c>
      <c r="AM76" s="28">
        <f>IF(NOT(COUNTA(A76:AE76)&gt;0),"",IF(AS76&lt;&gt;"","✖ "&amp;LEFT(AS76,LEN(AS76)-2),IF(AR76&gt;0,"✔ Ready — client + "&amp;AR76&amp;" service(s)","✔ Ready — client only")))</f>
        <v/>
      </c>
      <c r="AN76" s="29">
        <f>UPPER(SUBSTITUTE(TRIM(F76)," ",""))</f>
        <v/>
      </c>
      <c r="AO76" s="29">
        <f>UPPER(SUBSTITUTE(TRIM(E76)," ",""))</f>
        <v/>
      </c>
      <c r="AP76" s="29">
        <f>IF(D76&lt;&gt;"",D76,IFERROR(VLOOKUP(MID(AG76,4,1),Lists!$E$2:$F$8,2,FALSE),""))</f>
        <v/>
      </c>
      <c r="AQ76" s="29">
        <f>IFERROR(VLOOKUP(AP76,Lists!$A$2:$C$12,3,FALSE),"")</f>
        <v/>
      </c>
      <c r="AR76" s="29">
        <f>COUNTIF(W76:AC76,"Yes")</f>
        <v/>
      </c>
      <c r="AS76" s="29">
        <f>IF(TRIM(B76)="","Legal name missing; ","")&amp;IF(AND(AJ76&lt;&gt;"",AJ76&lt;&gt;"OK"),"GSTIN: "&amp;AJ76&amp;"; ","")&amp;IF(AND(AK76&lt;&gt;"",AK76&lt;&gt;"OK"),"PAN wrong format; ","")&amp;IF(AND(AO76&lt;&gt;"",LEN(AN76)=15,MID(AN76,3,10)&lt;&gt;AO76),"PAN does not match GSTIN; ","")&amp;IF(AND(AL76&lt;&gt;"",AL76&lt;&gt;"OK"),"TAN wrong format; ","")&amp;IF(AG76="","PAN missing; ","")&amp;IF(AP76="","Entity type missing; ","")&amp;IF(AND(AN76&lt;&gt;"",COUNTIF($AN$6:$AN$1005,AN76)&gt;1),"GSTIN repeated in this sheet; ","")&amp;IF(AND(AG76&lt;&gt;"",COUNTIF($AG$6:$AG$1005,AG76)&gt;1),"PAN repeated in this sheet (same client? put extra GSTINs in Other GSTINs); ","")&amp;IF(AND(AR76&gt;0,V76=""),"Financial year missing; ","")&amp;IF(AND(AR76=0,V76&lt;&gt;""),"Financial year given but no service is Yes; ","")&amp;IF(AND(W76="Yes",AN76=""),"GST needs a GSTIN; ","")&amp;IF(AND(W76="Yes",X76=""),"GST return frequency missing; ","")&amp;IF(AND(Y76="Yes",TRIM(H76)=""),"TDS needs a TAN; ","")&amp;IF(AND(AA76="Yes",AQ76&lt;&gt;"",AQ76&lt;&gt;"company",AQ76&lt;&gt;"llp"),"ROC is only for a company / LLP; ","")&amp;IF(AND(AA76="Yes",OR(AQ76="company",AQ76="llp"),TRIM(I76)=""),"ROC needs the CIN / LLPIN; ","")</f>
        <v/>
      </c>
    </row>
    <row r="77">
      <c r="A77" s="30" t="n"/>
      <c r="B77" s="31" t="n"/>
      <c r="C77" s="31" t="n"/>
      <c r="D77" s="31" t="n"/>
      <c r="E77" s="30" t="n"/>
      <c r="F77" s="30" t="n"/>
      <c r="G77" s="30" t="n"/>
      <c r="H77" s="30" t="n"/>
      <c r="I77" s="30" t="n"/>
      <c r="J77" s="32" t="n"/>
      <c r="K77" s="31" t="n"/>
      <c r="L77" s="30" t="n"/>
      <c r="M77" s="31" t="n"/>
      <c r="N77" s="31" t="n"/>
      <c r="O77" s="31" t="n"/>
      <c r="P77" s="30" t="n"/>
      <c r="Q77" s="31" t="n"/>
      <c r="R77" s="31" t="n"/>
      <c r="S77" s="31" t="n"/>
      <c r="T77" s="31" t="n"/>
      <c r="U77" s="30" t="n"/>
      <c r="V77" s="31" t="n"/>
      <c r="W77" s="31" t="n"/>
      <c r="X77" s="31" t="n"/>
      <c r="Y77" s="31" t="n"/>
      <c r="Z77" s="31" t="n"/>
      <c r="AA77" s="31" t="n"/>
      <c r="AB77" s="31" t="n"/>
      <c r="AC77" s="31" t="n"/>
      <c r="AD77" s="31" t="n"/>
      <c r="AE77" s="31" t="n"/>
      <c r="AF77" s="27">
        <f>IF(NOT(COUNTA(A77:AE77)&gt;0),"",IF(A77="","New client","Update"))</f>
        <v/>
      </c>
      <c r="AG77" s="27">
        <f>IF(AO77&lt;&gt;"",AO77,IF(LEN(AN77)=15,MID(AN77,3,10),""))</f>
        <v/>
      </c>
      <c r="AH77" s="27">
        <f>IF(AP77="","",AP77&amp;IF(D77="","  (guessed from PAN)",""))</f>
        <v/>
      </c>
      <c r="AI77" s="27">
        <f>IF(AN77="","",IFERROR(INDEX(Lists!$L$2:$L$38,MATCH(LEFT(AN77,2),Lists!$K$2:$K$38,0)),"Unknown code"))</f>
        <v/>
      </c>
      <c r="AJ77" s="27">
        <f>IF(AN77="","",IFERROR(IF(NOT(AND(LEN(AN77)=15,ISNUMBER(MATCH(LEFT(AN77,2),Lists!$K$2:$K$38,0)),SUMPRODUCT(--ISERROR(FIND(MID(MID(AN77,3,10),{1,2,3,4,5,10},1),"ABCDEFGHIJKLMNOPQRSTUVWXYZ")))=0,SUMPRODUCT(--ISERROR(FIND(MID(MID(AN77,3,10),{6,7,8,9},1),"0123456789")))=0,ISNUMBER(FIND(MID(AN77,13,1),"123456789ABCDEFGHIJKLMNOPQRSTUVWXYZ")),MID(AN77,14,1)="Z")),"Wrong format",IF(MID("0123456789ABCDEFGHIJKLMNOPQRSTUVWXYZ",MOD(36-MOD(SUMPRODUCT(INT((FIND(MID(AN77,{1,2,3,4,5,6,7,8,9,10,11,12,13,14},1),"0123456789ABCDEFGHIJKLMNOPQRSTUVWXYZ")-1)*{1,2,1,2,1,2,1,2,1,2,1,2,1,2}/36)+MOD((FIND(MID(AN77,{1,2,3,4,5,6,7,8,9,10,11,12,13,14},1),"0123456789ABCDEFGHIJKLMNOPQRSTUVWXYZ")-1)*{1,2,1,2,1,2,1,2,1,2,1,2,1,2},36)),36),36)+1,1)=MID(AN77,15,1),"OK","Typo? check digit wrong")),"Wrong format"))</f>
        <v/>
      </c>
      <c r="AK77" s="27">
        <f>IF(AO77="","",IF(AND(LEN(AO77)=10,SUMPRODUCT(--ISERROR(FIND(MID(AO77,{1,2,3,4,5,10},1),"ABCDEFGHIJKLMNOPQRSTUVWXYZ")))=0,SUMPRODUCT(--ISERROR(FIND(MID(AO77,{6,7,8,9},1),"0123456789")))=0),"OK","Wrong format"))</f>
        <v/>
      </c>
      <c r="AL77" s="27">
        <f>IF(TRIM(H77)="","",IF(AND(LEN(UPPER(TRIM(H77)))=10,SUMPRODUCT(--ISERROR(FIND(MID(UPPER(TRIM(H77)),{1,2,3,4,10},1),"ABCDEFGHIJKLMNOPQRSTUVWXYZ")))=0,SUMPRODUCT(--ISERROR(FIND(MID(UPPER(TRIM(H77)),{5,6,7,8,9},1),"0123456789")))=0),"OK","Wrong format"))</f>
        <v/>
      </c>
      <c r="AM77" s="28">
        <f>IF(NOT(COUNTA(A77:AE77)&gt;0),"",IF(AS77&lt;&gt;"","✖ "&amp;LEFT(AS77,LEN(AS77)-2),IF(AR77&gt;0,"✔ Ready — client + "&amp;AR77&amp;" service(s)","✔ Ready — client only")))</f>
        <v/>
      </c>
      <c r="AN77" s="29">
        <f>UPPER(SUBSTITUTE(TRIM(F77)," ",""))</f>
        <v/>
      </c>
      <c r="AO77" s="29">
        <f>UPPER(SUBSTITUTE(TRIM(E77)," ",""))</f>
        <v/>
      </c>
      <c r="AP77" s="29">
        <f>IF(D77&lt;&gt;"",D77,IFERROR(VLOOKUP(MID(AG77,4,1),Lists!$E$2:$F$8,2,FALSE),""))</f>
        <v/>
      </c>
      <c r="AQ77" s="29">
        <f>IFERROR(VLOOKUP(AP77,Lists!$A$2:$C$12,3,FALSE),"")</f>
        <v/>
      </c>
      <c r="AR77" s="29">
        <f>COUNTIF(W77:AC77,"Yes")</f>
        <v/>
      </c>
      <c r="AS77" s="29">
        <f>IF(TRIM(B77)="","Legal name missing; ","")&amp;IF(AND(AJ77&lt;&gt;"",AJ77&lt;&gt;"OK"),"GSTIN: "&amp;AJ77&amp;"; ","")&amp;IF(AND(AK77&lt;&gt;"",AK77&lt;&gt;"OK"),"PAN wrong format; ","")&amp;IF(AND(AO77&lt;&gt;"",LEN(AN77)=15,MID(AN77,3,10)&lt;&gt;AO77),"PAN does not match GSTIN; ","")&amp;IF(AND(AL77&lt;&gt;"",AL77&lt;&gt;"OK"),"TAN wrong format; ","")&amp;IF(AG77="","PAN missing; ","")&amp;IF(AP77="","Entity type missing; ","")&amp;IF(AND(AN77&lt;&gt;"",COUNTIF($AN$6:$AN$1005,AN77)&gt;1),"GSTIN repeated in this sheet; ","")&amp;IF(AND(AG77&lt;&gt;"",COUNTIF($AG$6:$AG$1005,AG77)&gt;1),"PAN repeated in this sheet (same client? put extra GSTINs in Other GSTINs); ","")&amp;IF(AND(AR77&gt;0,V77=""),"Financial year missing; ","")&amp;IF(AND(AR77=0,V77&lt;&gt;""),"Financial year given but no service is Yes; ","")&amp;IF(AND(W77="Yes",AN77=""),"GST needs a GSTIN; ","")&amp;IF(AND(W77="Yes",X77=""),"GST return frequency missing; ","")&amp;IF(AND(Y77="Yes",TRIM(H77)=""),"TDS needs a TAN; ","")&amp;IF(AND(AA77="Yes",AQ77&lt;&gt;"",AQ77&lt;&gt;"company",AQ77&lt;&gt;"llp"),"ROC is only for a company / LLP; ","")&amp;IF(AND(AA77="Yes",OR(AQ77="company",AQ77="llp"),TRIM(I77)=""),"ROC needs the CIN / LLPIN; ","")</f>
        <v/>
      </c>
    </row>
    <row r="78">
      <c r="A78" s="30" t="n"/>
      <c r="B78" s="31" t="n"/>
      <c r="C78" s="31" t="n"/>
      <c r="D78" s="31" t="n"/>
      <c r="E78" s="30" t="n"/>
      <c r="F78" s="30" t="n"/>
      <c r="G78" s="30" t="n"/>
      <c r="H78" s="30" t="n"/>
      <c r="I78" s="30" t="n"/>
      <c r="J78" s="32" t="n"/>
      <c r="K78" s="31" t="n"/>
      <c r="L78" s="30" t="n"/>
      <c r="M78" s="31" t="n"/>
      <c r="N78" s="31" t="n"/>
      <c r="O78" s="31" t="n"/>
      <c r="P78" s="30" t="n"/>
      <c r="Q78" s="31" t="n"/>
      <c r="R78" s="31" t="n"/>
      <c r="S78" s="31" t="n"/>
      <c r="T78" s="31" t="n"/>
      <c r="U78" s="30" t="n"/>
      <c r="V78" s="31" t="n"/>
      <c r="W78" s="31" t="n"/>
      <c r="X78" s="31" t="n"/>
      <c r="Y78" s="31" t="n"/>
      <c r="Z78" s="31" t="n"/>
      <c r="AA78" s="31" t="n"/>
      <c r="AB78" s="31" t="n"/>
      <c r="AC78" s="31" t="n"/>
      <c r="AD78" s="31" t="n"/>
      <c r="AE78" s="31" t="n"/>
      <c r="AF78" s="27">
        <f>IF(NOT(COUNTA(A78:AE78)&gt;0),"",IF(A78="","New client","Update"))</f>
        <v/>
      </c>
      <c r="AG78" s="27">
        <f>IF(AO78&lt;&gt;"",AO78,IF(LEN(AN78)=15,MID(AN78,3,10),""))</f>
        <v/>
      </c>
      <c r="AH78" s="27">
        <f>IF(AP78="","",AP78&amp;IF(D78="","  (guessed from PAN)",""))</f>
        <v/>
      </c>
      <c r="AI78" s="27">
        <f>IF(AN78="","",IFERROR(INDEX(Lists!$L$2:$L$38,MATCH(LEFT(AN78,2),Lists!$K$2:$K$38,0)),"Unknown code"))</f>
        <v/>
      </c>
      <c r="AJ78" s="27">
        <f>IF(AN78="","",IFERROR(IF(NOT(AND(LEN(AN78)=15,ISNUMBER(MATCH(LEFT(AN78,2),Lists!$K$2:$K$38,0)),SUMPRODUCT(--ISERROR(FIND(MID(MID(AN78,3,10),{1,2,3,4,5,10},1),"ABCDEFGHIJKLMNOPQRSTUVWXYZ")))=0,SUMPRODUCT(--ISERROR(FIND(MID(MID(AN78,3,10),{6,7,8,9},1),"0123456789")))=0,ISNUMBER(FIND(MID(AN78,13,1),"123456789ABCDEFGHIJKLMNOPQRSTUVWXYZ")),MID(AN78,14,1)="Z")),"Wrong format",IF(MID("0123456789ABCDEFGHIJKLMNOPQRSTUVWXYZ",MOD(36-MOD(SUMPRODUCT(INT((FIND(MID(AN78,{1,2,3,4,5,6,7,8,9,10,11,12,13,14},1),"0123456789ABCDEFGHIJKLMNOPQRSTUVWXYZ")-1)*{1,2,1,2,1,2,1,2,1,2,1,2,1,2}/36)+MOD((FIND(MID(AN78,{1,2,3,4,5,6,7,8,9,10,11,12,13,14},1),"0123456789ABCDEFGHIJKLMNOPQRSTUVWXYZ")-1)*{1,2,1,2,1,2,1,2,1,2,1,2,1,2},36)),36),36)+1,1)=MID(AN78,15,1),"OK","Typo? check digit wrong")),"Wrong format"))</f>
        <v/>
      </c>
      <c r="AK78" s="27">
        <f>IF(AO78="","",IF(AND(LEN(AO78)=10,SUMPRODUCT(--ISERROR(FIND(MID(AO78,{1,2,3,4,5,10},1),"ABCDEFGHIJKLMNOPQRSTUVWXYZ")))=0,SUMPRODUCT(--ISERROR(FIND(MID(AO78,{6,7,8,9},1),"0123456789")))=0),"OK","Wrong format"))</f>
        <v/>
      </c>
      <c r="AL78" s="27">
        <f>IF(TRIM(H78)="","",IF(AND(LEN(UPPER(TRIM(H78)))=10,SUMPRODUCT(--ISERROR(FIND(MID(UPPER(TRIM(H78)),{1,2,3,4,10},1),"ABCDEFGHIJKLMNOPQRSTUVWXYZ")))=0,SUMPRODUCT(--ISERROR(FIND(MID(UPPER(TRIM(H78)),{5,6,7,8,9},1),"0123456789")))=0),"OK","Wrong format"))</f>
        <v/>
      </c>
      <c r="AM78" s="28">
        <f>IF(NOT(COUNTA(A78:AE78)&gt;0),"",IF(AS78&lt;&gt;"","✖ "&amp;LEFT(AS78,LEN(AS78)-2),IF(AR78&gt;0,"✔ Ready — client + "&amp;AR78&amp;" service(s)","✔ Ready — client only")))</f>
        <v/>
      </c>
      <c r="AN78" s="29">
        <f>UPPER(SUBSTITUTE(TRIM(F78)," ",""))</f>
        <v/>
      </c>
      <c r="AO78" s="29">
        <f>UPPER(SUBSTITUTE(TRIM(E78)," ",""))</f>
        <v/>
      </c>
      <c r="AP78" s="29">
        <f>IF(D78&lt;&gt;"",D78,IFERROR(VLOOKUP(MID(AG78,4,1),Lists!$E$2:$F$8,2,FALSE),""))</f>
        <v/>
      </c>
      <c r="AQ78" s="29">
        <f>IFERROR(VLOOKUP(AP78,Lists!$A$2:$C$12,3,FALSE),"")</f>
        <v/>
      </c>
      <c r="AR78" s="29">
        <f>COUNTIF(W78:AC78,"Yes")</f>
        <v/>
      </c>
      <c r="AS78" s="29">
        <f>IF(TRIM(B78)="","Legal name missing; ","")&amp;IF(AND(AJ78&lt;&gt;"",AJ78&lt;&gt;"OK"),"GSTIN: "&amp;AJ78&amp;"; ","")&amp;IF(AND(AK78&lt;&gt;"",AK78&lt;&gt;"OK"),"PAN wrong format; ","")&amp;IF(AND(AO78&lt;&gt;"",LEN(AN78)=15,MID(AN78,3,10)&lt;&gt;AO78),"PAN does not match GSTIN; ","")&amp;IF(AND(AL78&lt;&gt;"",AL78&lt;&gt;"OK"),"TAN wrong format; ","")&amp;IF(AG78="","PAN missing; ","")&amp;IF(AP78="","Entity type missing; ","")&amp;IF(AND(AN78&lt;&gt;"",COUNTIF($AN$6:$AN$1005,AN78)&gt;1),"GSTIN repeated in this sheet; ","")&amp;IF(AND(AG78&lt;&gt;"",COUNTIF($AG$6:$AG$1005,AG78)&gt;1),"PAN repeated in this sheet (same client? put extra GSTINs in Other GSTINs); ","")&amp;IF(AND(AR78&gt;0,V78=""),"Financial year missing; ","")&amp;IF(AND(AR78=0,V78&lt;&gt;""),"Financial year given but no service is Yes; ","")&amp;IF(AND(W78="Yes",AN78=""),"GST needs a GSTIN; ","")&amp;IF(AND(W78="Yes",X78=""),"GST return frequency missing; ","")&amp;IF(AND(Y78="Yes",TRIM(H78)=""),"TDS needs a TAN; ","")&amp;IF(AND(AA78="Yes",AQ78&lt;&gt;"",AQ78&lt;&gt;"company",AQ78&lt;&gt;"llp"),"ROC is only for a company / LLP; ","")&amp;IF(AND(AA78="Yes",OR(AQ78="company",AQ78="llp"),TRIM(I78)=""),"ROC needs the CIN / LLPIN; ","")</f>
        <v/>
      </c>
    </row>
    <row r="79">
      <c r="A79" s="30" t="n"/>
      <c r="B79" s="31" t="n"/>
      <c r="C79" s="31" t="n"/>
      <c r="D79" s="31" t="n"/>
      <c r="E79" s="30" t="n"/>
      <c r="F79" s="30" t="n"/>
      <c r="G79" s="30" t="n"/>
      <c r="H79" s="30" t="n"/>
      <c r="I79" s="30" t="n"/>
      <c r="J79" s="32" t="n"/>
      <c r="K79" s="31" t="n"/>
      <c r="L79" s="30" t="n"/>
      <c r="M79" s="31" t="n"/>
      <c r="N79" s="31" t="n"/>
      <c r="O79" s="31" t="n"/>
      <c r="P79" s="30" t="n"/>
      <c r="Q79" s="31" t="n"/>
      <c r="R79" s="31" t="n"/>
      <c r="S79" s="31" t="n"/>
      <c r="T79" s="31" t="n"/>
      <c r="U79" s="30" t="n"/>
      <c r="V79" s="31" t="n"/>
      <c r="W79" s="31" t="n"/>
      <c r="X79" s="31" t="n"/>
      <c r="Y79" s="31" t="n"/>
      <c r="Z79" s="31" t="n"/>
      <c r="AA79" s="31" t="n"/>
      <c r="AB79" s="31" t="n"/>
      <c r="AC79" s="31" t="n"/>
      <c r="AD79" s="31" t="n"/>
      <c r="AE79" s="31" t="n"/>
      <c r="AF79" s="27">
        <f>IF(NOT(COUNTA(A79:AE79)&gt;0),"",IF(A79="","New client","Update"))</f>
        <v/>
      </c>
      <c r="AG79" s="27">
        <f>IF(AO79&lt;&gt;"",AO79,IF(LEN(AN79)=15,MID(AN79,3,10),""))</f>
        <v/>
      </c>
      <c r="AH79" s="27">
        <f>IF(AP79="","",AP79&amp;IF(D79="","  (guessed from PAN)",""))</f>
        <v/>
      </c>
      <c r="AI79" s="27">
        <f>IF(AN79="","",IFERROR(INDEX(Lists!$L$2:$L$38,MATCH(LEFT(AN79,2),Lists!$K$2:$K$38,0)),"Unknown code"))</f>
        <v/>
      </c>
      <c r="AJ79" s="27">
        <f>IF(AN79="","",IFERROR(IF(NOT(AND(LEN(AN79)=15,ISNUMBER(MATCH(LEFT(AN79,2),Lists!$K$2:$K$38,0)),SUMPRODUCT(--ISERROR(FIND(MID(MID(AN79,3,10),{1,2,3,4,5,10},1),"ABCDEFGHIJKLMNOPQRSTUVWXYZ")))=0,SUMPRODUCT(--ISERROR(FIND(MID(MID(AN79,3,10),{6,7,8,9},1),"0123456789")))=0,ISNUMBER(FIND(MID(AN79,13,1),"123456789ABCDEFGHIJKLMNOPQRSTUVWXYZ")),MID(AN79,14,1)="Z")),"Wrong format",IF(MID("0123456789ABCDEFGHIJKLMNOPQRSTUVWXYZ",MOD(36-MOD(SUMPRODUCT(INT((FIND(MID(AN79,{1,2,3,4,5,6,7,8,9,10,11,12,13,14},1),"0123456789ABCDEFGHIJKLMNOPQRSTUVWXYZ")-1)*{1,2,1,2,1,2,1,2,1,2,1,2,1,2}/36)+MOD((FIND(MID(AN79,{1,2,3,4,5,6,7,8,9,10,11,12,13,14},1),"0123456789ABCDEFGHIJKLMNOPQRSTUVWXYZ")-1)*{1,2,1,2,1,2,1,2,1,2,1,2,1,2},36)),36),36)+1,1)=MID(AN79,15,1),"OK","Typo? check digit wrong")),"Wrong format"))</f>
        <v/>
      </c>
      <c r="AK79" s="27">
        <f>IF(AO79="","",IF(AND(LEN(AO79)=10,SUMPRODUCT(--ISERROR(FIND(MID(AO79,{1,2,3,4,5,10},1),"ABCDEFGHIJKLMNOPQRSTUVWXYZ")))=0,SUMPRODUCT(--ISERROR(FIND(MID(AO79,{6,7,8,9},1),"0123456789")))=0),"OK","Wrong format"))</f>
        <v/>
      </c>
      <c r="AL79" s="27">
        <f>IF(TRIM(H79)="","",IF(AND(LEN(UPPER(TRIM(H79)))=10,SUMPRODUCT(--ISERROR(FIND(MID(UPPER(TRIM(H79)),{1,2,3,4,10},1),"ABCDEFGHIJKLMNOPQRSTUVWXYZ")))=0,SUMPRODUCT(--ISERROR(FIND(MID(UPPER(TRIM(H79)),{5,6,7,8,9},1),"0123456789")))=0),"OK","Wrong format"))</f>
        <v/>
      </c>
      <c r="AM79" s="28">
        <f>IF(NOT(COUNTA(A79:AE79)&gt;0),"",IF(AS79&lt;&gt;"","✖ "&amp;LEFT(AS79,LEN(AS79)-2),IF(AR79&gt;0,"✔ Ready — client + "&amp;AR79&amp;" service(s)","✔ Ready — client only")))</f>
        <v/>
      </c>
      <c r="AN79" s="29">
        <f>UPPER(SUBSTITUTE(TRIM(F79)," ",""))</f>
        <v/>
      </c>
      <c r="AO79" s="29">
        <f>UPPER(SUBSTITUTE(TRIM(E79)," ",""))</f>
        <v/>
      </c>
      <c r="AP79" s="29">
        <f>IF(D79&lt;&gt;"",D79,IFERROR(VLOOKUP(MID(AG79,4,1),Lists!$E$2:$F$8,2,FALSE),""))</f>
        <v/>
      </c>
      <c r="AQ79" s="29">
        <f>IFERROR(VLOOKUP(AP79,Lists!$A$2:$C$12,3,FALSE),"")</f>
        <v/>
      </c>
      <c r="AR79" s="29">
        <f>COUNTIF(W79:AC79,"Yes")</f>
        <v/>
      </c>
      <c r="AS79" s="29">
        <f>IF(TRIM(B79)="","Legal name missing; ","")&amp;IF(AND(AJ79&lt;&gt;"",AJ79&lt;&gt;"OK"),"GSTIN: "&amp;AJ79&amp;"; ","")&amp;IF(AND(AK79&lt;&gt;"",AK79&lt;&gt;"OK"),"PAN wrong format; ","")&amp;IF(AND(AO79&lt;&gt;"",LEN(AN79)=15,MID(AN79,3,10)&lt;&gt;AO79),"PAN does not match GSTIN; ","")&amp;IF(AND(AL79&lt;&gt;"",AL79&lt;&gt;"OK"),"TAN wrong format; ","")&amp;IF(AG79="","PAN missing; ","")&amp;IF(AP79="","Entity type missing; ","")&amp;IF(AND(AN79&lt;&gt;"",COUNTIF($AN$6:$AN$1005,AN79)&gt;1),"GSTIN repeated in this sheet; ","")&amp;IF(AND(AG79&lt;&gt;"",COUNTIF($AG$6:$AG$1005,AG79)&gt;1),"PAN repeated in this sheet (same client? put extra GSTINs in Other GSTINs); ","")&amp;IF(AND(AR79&gt;0,V79=""),"Financial year missing; ","")&amp;IF(AND(AR79=0,V79&lt;&gt;""),"Financial year given but no service is Yes; ","")&amp;IF(AND(W79="Yes",AN79=""),"GST needs a GSTIN; ","")&amp;IF(AND(W79="Yes",X79=""),"GST return frequency missing; ","")&amp;IF(AND(Y79="Yes",TRIM(H79)=""),"TDS needs a TAN; ","")&amp;IF(AND(AA79="Yes",AQ79&lt;&gt;"",AQ79&lt;&gt;"company",AQ79&lt;&gt;"llp"),"ROC is only for a company / LLP; ","")&amp;IF(AND(AA79="Yes",OR(AQ79="company",AQ79="llp"),TRIM(I79)=""),"ROC needs the CIN / LLPIN; ","")</f>
        <v/>
      </c>
    </row>
    <row r="80">
      <c r="A80" s="30" t="n"/>
      <c r="B80" s="31" t="n"/>
      <c r="C80" s="31" t="n"/>
      <c r="D80" s="31" t="n"/>
      <c r="E80" s="30" t="n"/>
      <c r="F80" s="30" t="n"/>
      <c r="G80" s="30" t="n"/>
      <c r="H80" s="30" t="n"/>
      <c r="I80" s="30" t="n"/>
      <c r="J80" s="32" t="n"/>
      <c r="K80" s="31" t="n"/>
      <c r="L80" s="30" t="n"/>
      <c r="M80" s="31" t="n"/>
      <c r="N80" s="31" t="n"/>
      <c r="O80" s="31" t="n"/>
      <c r="P80" s="30" t="n"/>
      <c r="Q80" s="31" t="n"/>
      <c r="R80" s="31" t="n"/>
      <c r="S80" s="31" t="n"/>
      <c r="T80" s="31" t="n"/>
      <c r="U80" s="30" t="n"/>
      <c r="V80" s="31" t="n"/>
      <c r="W80" s="31" t="n"/>
      <c r="X80" s="31" t="n"/>
      <c r="Y80" s="31" t="n"/>
      <c r="Z80" s="31" t="n"/>
      <c r="AA80" s="31" t="n"/>
      <c r="AB80" s="31" t="n"/>
      <c r="AC80" s="31" t="n"/>
      <c r="AD80" s="31" t="n"/>
      <c r="AE80" s="31" t="n"/>
      <c r="AF80" s="27">
        <f>IF(NOT(COUNTA(A80:AE80)&gt;0),"",IF(A80="","New client","Update"))</f>
        <v/>
      </c>
      <c r="AG80" s="27">
        <f>IF(AO80&lt;&gt;"",AO80,IF(LEN(AN80)=15,MID(AN80,3,10),""))</f>
        <v/>
      </c>
      <c r="AH80" s="27">
        <f>IF(AP80="","",AP80&amp;IF(D80="","  (guessed from PAN)",""))</f>
        <v/>
      </c>
      <c r="AI80" s="27">
        <f>IF(AN80="","",IFERROR(INDEX(Lists!$L$2:$L$38,MATCH(LEFT(AN80,2),Lists!$K$2:$K$38,0)),"Unknown code"))</f>
        <v/>
      </c>
      <c r="AJ80" s="27">
        <f>IF(AN80="","",IFERROR(IF(NOT(AND(LEN(AN80)=15,ISNUMBER(MATCH(LEFT(AN80,2),Lists!$K$2:$K$38,0)),SUMPRODUCT(--ISERROR(FIND(MID(MID(AN80,3,10),{1,2,3,4,5,10},1),"ABCDEFGHIJKLMNOPQRSTUVWXYZ")))=0,SUMPRODUCT(--ISERROR(FIND(MID(MID(AN80,3,10),{6,7,8,9},1),"0123456789")))=0,ISNUMBER(FIND(MID(AN80,13,1),"123456789ABCDEFGHIJKLMNOPQRSTUVWXYZ")),MID(AN80,14,1)="Z")),"Wrong format",IF(MID("0123456789ABCDEFGHIJKLMNOPQRSTUVWXYZ",MOD(36-MOD(SUMPRODUCT(INT((FIND(MID(AN80,{1,2,3,4,5,6,7,8,9,10,11,12,13,14},1),"0123456789ABCDEFGHIJKLMNOPQRSTUVWXYZ")-1)*{1,2,1,2,1,2,1,2,1,2,1,2,1,2}/36)+MOD((FIND(MID(AN80,{1,2,3,4,5,6,7,8,9,10,11,12,13,14},1),"0123456789ABCDEFGHIJKLMNOPQRSTUVWXYZ")-1)*{1,2,1,2,1,2,1,2,1,2,1,2,1,2},36)),36),36)+1,1)=MID(AN80,15,1),"OK","Typo? check digit wrong")),"Wrong format"))</f>
        <v/>
      </c>
      <c r="AK80" s="27">
        <f>IF(AO80="","",IF(AND(LEN(AO80)=10,SUMPRODUCT(--ISERROR(FIND(MID(AO80,{1,2,3,4,5,10},1),"ABCDEFGHIJKLMNOPQRSTUVWXYZ")))=0,SUMPRODUCT(--ISERROR(FIND(MID(AO80,{6,7,8,9},1),"0123456789")))=0),"OK","Wrong format"))</f>
        <v/>
      </c>
      <c r="AL80" s="27">
        <f>IF(TRIM(H80)="","",IF(AND(LEN(UPPER(TRIM(H80)))=10,SUMPRODUCT(--ISERROR(FIND(MID(UPPER(TRIM(H80)),{1,2,3,4,10},1),"ABCDEFGHIJKLMNOPQRSTUVWXYZ")))=0,SUMPRODUCT(--ISERROR(FIND(MID(UPPER(TRIM(H80)),{5,6,7,8,9},1),"0123456789")))=0),"OK","Wrong format"))</f>
        <v/>
      </c>
      <c r="AM80" s="28">
        <f>IF(NOT(COUNTA(A80:AE80)&gt;0),"",IF(AS80&lt;&gt;"","✖ "&amp;LEFT(AS80,LEN(AS80)-2),IF(AR80&gt;0,"✔ Ready — client + "&amp;AR80&amp;" service(s)","✔ Ready — client only")))</f>
        <v/>
      </c>
      <c r="AN80" s="29">
        <f>UPPER(SUBSTITUTE(TRIM(F80)," ",""))</f>
        <v/>
      </c>
      <c r="AO80" s="29">
        <f>UPPER(SUBSTITUTE(TRIM(E80)," ",""))</f>
        <v/>
      </c>
      <c r="AP80" s="29">
        <f>IF(D80&lt;&gt;"",D80,IFERROR(VLOOKUP(MID(AG80,4,1),Lists!$E$2:$F$8,2,FALSE),""))</f>
        <v/>
      </c>
      <c r="AQ80" s="29">
        <f>IFERROR(VLOOKUP(AP80,Lists!$A$2:$C$12,3,FALSE),"")</f>
        <v/>
      </c>
      <c r="AR80" s="29">
        <f>COUNTIF(W80:AC80,"Yes")</f>
        <v/>
      </c>
      <c r="AS80" s="29">
        <f>IF(TRIM(B80)="","Legal name missing; ","")&amp;IF(AND(AJ80&lt;&gt;"",AJ80&lt;&gt;"OK"),"GSTIN: "&amp;AJ80&amp;"; ","")&amp;IF(AND(AK80&lt;&gt;"",AK80&lt;&gt;"OK"),"PAN wrong format; ","")&amp;IF(AND(AO80&lt;&gt;"",LEN(AN80)=15,MID(AN80,3,10)&lt;&gt;AO80),"PAN does not match GSTIN; ","")&amp;IF(AND(AL80&lt;&gt;"",AL80&lt;&gt;"OK"),"TAN wrong format; ","")&amp;IF(AG80="","PAN missing; ","")&amp;IF(AP80="","Entity type missing; ","")&amp;IF(AND(AN80&lt;&gt;"",COUNTIF($AN$6:$AN$1005,AN80)&gt;1),"GSTIN repeated in this sheet; ","")&amp;IF(AND(AG80&lt;&gt;"",COUNTIF($AG$6:$AG$1005,AG80)&gt;1),"PAN repeated in this sheet (same client? put extra GSTINs in Other GSTINs); ","")&amp;IF(AND(AR80&gt;0,V80=""),"Financial year missing; ","")&amp;IF(AND(AR80=0,V80&lt;&gt;""),"Financial year given but no service is Yes; ","")&amp;IF(AND(W80="Yes",AN80=""),"GST needs a GSTIN; ","")&amp;IF(AND(W80="Yes",X80=""),"GST return frequency missing; ","")&amp;IF(AND(Y80="Yes",TRIM(H80)=""),"TDS needs a TAN; ","")&amp;IF(AND(AA80="Yes",AQ80&lt;&gt;"",AQ80&lt;&gt;"company",AQ80&lt;&gt;"llp"),"ROC is only for a company / LLP; ","")&amp;IF(AND(AA80="Yes",OR(AQ80="company",AQ80="llp"),TRIM(I80)=""),"ROC needs the CIN / LLPIN; ","")</f>
        <v/>
      </c>
    </row>
    <row r="81">
      <c r="A81" s="30" t="n"/>
      <c r="B81" s="31" t="n"/>
      <c r="C81" s="31" t="n"/>
      <c r="D81" s="31" t="n"/>
      <c r="E81" s="30" t="n"/>
      <c r="F81" s="30" t="n"/>
      <c r="G81" s="30" t="n"/>
      <c r="H81" s="30" t="n"/>
      <c r="I81" s="30" t="n"/>
      <c r="J81" s="32" t="n"/>
      <c r="K81" s="31" t="n"/>
      <c r="L81" s="30" t="n"/>
      <c r="M81" s="31" t="n"/>
      <c r="N81" s="31" t="n"/>
      <c r="O81" s="31" t="n"/>
      <c r="P81" s="30" t="n"/>
      <c r="Q81" s="31" t="n"/>
      <c r="R81" s="31" t="n"/>
      <c r="S81" s="31" t="n"/>
      <c r="T81" s="31" t="n"/>
      <c r="U81" s="30" t="n"/>
      <c r="V81" s="31" t="n"/>
      <c r="W81" s="31" t="n"/>
      <c r="X81" s="31" t="n"/>
      <c r="Y81" s="31" t="n"/>
      <c r="Z81" s="31" t="n"/>
      <c r="AA81" s="31" t="n"/>
      <c r="AB81" s="31" t="n"/>
      <c r="AC81" s="31" t="n"/>
      <c r="AD81" s="31" t="n"/>
      <c r="AE81" s="31" t="n"/>
      <c r="AF81" s="27">
        <f>IF(NOT(COUNTA(A81:AE81)&gt;0),"",IF(A81="","New client","Update"))</f>
        <v/>
      </c>
      <c r="AG81" s="27">
        <f>IF(AO81&lt;&gt;"",AO81,IF(LEN(AN81)=15,MID(AN81,3,10),""))</f>
        <v/>
      </c>
      <c r="AH81" s="27">
        <f>IF(AP81="","",AP81&amp;IF(D81="","  (guessed from PAN)",""))</f>
        <v/>
      </c>
      <c r="AI81" s="27">
        <f>IF(AN81="","",IFERROR(INDEX(Lists!$L$2:$L$38,MATCH(LEFT(AN81,2),Lists!$K$2:$K$38,0)),"Unknown code"))</f>
        <v/>
      </c>
      <c r="AJ81" s="27">
        <f>IF(AN81="","",IFERROR(IF(NOT(AND(LEN(AN81)=15,ISNUMBER(MATCH(LEFT(AN81,2),Lists!$K$2:$K$38,0)),SUMPRODUCT(--ISERROR(FIND(MID(MID(AN81,3,10),{1,2,3,4,5,10},1),"ABCDEFGHIJKLMNOPQRSTUVWXYZ")))=0,SUMPRODUCT(--ISERROR(FIND(MID(MID(AN81,3,10),{6,7,8,9},1),"0123456789")))=0,ISNUMBER(FIND(MID(AN81,13,1),"123456789ABCDEFGHIJKLMNOPQRSTUVWXYZ")),MID(AN81,14,1)="Z")),"Wrong format",IF(MID("0123456789ABCDEFGHIJKLMNOPQRSTUVWXYZ",MOD(36-MOD(SUMPRODUCT(INT((FIND(MID(AN81,{1,2,3,4,5,6,7,8,9,10,11,12,13,14},1),"0123456789ABCDEFGHIJKLMNOPQRSTUVWXYZ")-1)*{1,2,1,2,1,2,1,2,1,2,1,2,1,2}/36)+MOD((FIND(MID(AN81,{1,2,3,4,5,6,7,8,9,10,11,12,13,14},1),"0123456789ABCDEFGHIJKLMNOPQRSTUVWXYZ")-1)*{1,2,1,2,1,2,1,2,1,2,1,2,1,2},36)),36),36)+1,1)=MID(AN81,15,1),"OK","Typo? check digit wrong")),"Wrong format"))</f>
        <v/>
      </c>
      <c r="AK81" s="27">
        <f>IF(AO81="","",IF(AND(LEN(AO81)=10,SUMPRODUCT(--ISERROR(FIND(MID(AO81,{1,2,3,4,5,10},1),"ABCDEFGHIJKLMNOPQRSTUVWXYZ")))=0,SUMPRODUCT(--ISERROR(FIND(MID(AO81,{6,7,8,9},1),"0123456789")))=0),"OK","Wrong format"))</f>
        <v/>
      </c>
      <c r="AL81" s="27">
        <f>IF(TRIM(H81)="","",IF(AND(LEN(UPPER(TRIM(H81)))=10,SUMPRODUCT(--ISERROR(FIND(MID(UPPER(TRIM(H81)),{1,2,3,4,10},1),"ABCDEFGHIJKLMNOPQRSTUVWXYZ")))=0,SUMPRODUCT(--ISERROR(FIND(MID(UPPER(TRIM(H81)),{5,6,7,8,9},1),"0123456789")))=0),"OK","Wrong format"))</f>
        <v/>
      </c>
      <c r="AM81" s="28">
        <f>IF(NOT(COUNTA(A81:AE81)&gt;0),"",IF(AS81&lt;&gt;"","✖ "&amp;LEFT(AS81,LEN(AS81)-2),IF(AR81&gt;0,"✔ Ready — client + "&amp;AR81&amp;" service(s)","✔ Ready — client only")))</f>
        <v/>
      </c>
      <c r="AN81" s="29">
        <f>UPPER(SUBSTITUTE(TRIM(F81)," ",""))</f>
        <v/>
      </c>
      <c r="AO81" s="29">
        <f>UPPER(SUBSTITUTE(TRIM(E81)," ",""))</f>
        <v/>
      </c>
      <c r="AP81" s="29">
        <f>IF(D81&lt;&gt;"",D81,IFERROR(VLOOKUP(MID(AG81,4,1),Lists!$E$2:$F$8,2,FALSE),""))</f>
        <v/>
      </c>
      <c r="AQ81" s="29">
        <f>IFERROR(VLOOKUP(AP81,Lists!$A$2:$C$12,3,FALSE),"")</f>
        <v/>
      </c>
      <c r="AR81" s="29">
        <f>COUNTIF(W81:AC81,"Yes")</f>
        <v/>
      </c>
      <c r="AS81" s="29">
        <f>IF(TRIM(B81)="","Legal name missing; ","")&amp;IF(AND(AJ81&lt;&gt;"",AJ81&lt;&gt;"OK"),"GSTIN: "&amp;AJ81&amp;"; ","")&amp;IF(AND(AK81&lt;&gt;"",AK81&lt;&gt;"OK"),"PAN wrong format; ","")&amp;IF(AND(AO81&lt;&gt;"",LEN(AN81)=15,MID(AN81,3,10)&lt;&gt;AO81),"PAN does not match GSTIN; ","")&amp;IF(AND(AL81&lt;&gt;"",AL81&lt;&gt;"OK"),"TAN wrong format; ","")&amp;IF(AG81="","PAN missing; ","")&amp;IF(AP81="","Entity type missing; ","")&amp;IF(AND(AN81&lt;&gt;"",COUNTIF($AN$6:$AN$1005,AN81)&gt;1),"GSTIN repeated in this sheet; ","")&amp;IF(AND(AG81&lt;&gt;"",COUNTIF($AG$6:$AG$1005,AG81)&gt;1),"PAN repeated in this sheet (same client? put extra GSTINs in Other GSTINs); ","")&amp;IF(AND(AR81&gt;0,V81=""),"Financial year missing; ","")&amp;IF(AND(AR81=0,V81&lt;&gt;""),"Financial year given but no service is Yes; ","")&amp;IF(AND(W81="Yes",AN81=""),"GST needs a GSTIN; ","")&amp;IF(AND(W81="Yes",X81=""),"GST return frequency missing; ","")&amp;IF(AND(Y81="Yes",TRIM(H81)=""),"TDS needs a TAN; ","")&amp;IF(AND(AA81="Yes",AQ81&lt;&gt;"",AQ81&lt;&gt;"company",AQ81&lt;&gt;"llp"),"ROC is only for a company / LLP; ","")&amp;IF(AND(AA81="Yes",OR(AQ81="company",AQ81="llp"),TRIM(I81)=""),"ROC needs the CIN / LLPIN; ","")</f>
        <v/>
      </c>
    </row>
    <row r="82">
      <c r="A82" s="30" t="n"/>
      <c r="B82" s="31" t="n"/>
      <c r="C82" s="31" t="n"/>
      <c r="D82" s="31" t="n"/>
      <c r="E82" s="30" t="n"/>
      <c r="F82" s="30" t="n"/>
      <c r="G82" s="30" t="n"/>
      <c r="H82" s="30" t="n"/>
      <c r="I82" s="30" t="n"/>
      <c r="J82" s="32" t="n"/>
      <c r="K82" s="31" t="n"/>
      <c r="L82" s="30" t="n"/>
      <c r="M82" s="31" t="n"/>
      <c r="N82" s="31" t="n"/>
      <c r="O82" s="31" t="n"/>
      <c r="P82" s="30" t="n"/>
      <c r="Q82" s="31" t="n"/>
      <c r="R82" s="31" t="n"/>
      <c r="S82" s="31" t="n"/>
      <c r="T82" s="31" t="n"/>
      <c r="U82" s="30" t="n"/>
      <c r="V82" s="31" t="n"/>
      <c r="W82" s="31" t="n"/>
      <c r="X82" s="31" t="n"/>
      <c r="Y82" s="31" t="n"/>
      <c r="Z82" s="31" t="n"/>
      <c r="AA82" s="31" t="n"/>
      <c r="AB82" s="31" t="n"/>
      <c r="AC82" s="31" t="n"/>
      <c r="AD82" s="31" t="n"/>
      <c r="AE82" s="31" t="n"/>
      <c r="AF82" s="27">
        <f>IF(NOT(COUNTA(A82:AE82)&gt;0),"",IF(A82="","New client","Update"))</f>
        <v/>
      </c>
      <c r="AG82" s="27">
        <f>IF(AO82&lt;&gt;"",AO82,IF(LEN(AN82)=15,MID(AN82,3,10),""))</f>
        <v/>
      </c>
      <c r="AH82" s="27">
        <f>IF(AP82="","",AP82&amp;IF(D82="","  (guessed from PAN)",""))</f>
        <v/>
      </c>
      <c r="AI82" s="27">
        <f>IF(AN82="","",IFERROR(INDEX(Lists!$L$2:$L$38,MATCH(LEFT(AN82,2),Lists!$K$2:$K$38,0)),"Unknown code"))</f>
        <v/>
      </c>
      <c r="AJ82" s="27">
        <f>IF(AN82="","",IFERROR(IF(NOT(AND(LEN(AN82)=15,ISNUMBER(MATCH(LEFT(AN82,2),Lists!$K$2:$K$38,0)),SUMPRODUCT(--ISERROR(FIND(MID(MID(AN82,3,10),{1,2,3,4,5,10},1),"ABCDEFGHIJKLMNOPQRSTUVWXYZ")))=0,SUMPRODUCT(--ISERROR(FIND(MID(MID(AN82,3,10),{6,7,8,9},1),"0123456789")))=0,ISNUMBER(FIND(MID(AN82,13,1),"123456789ABCDEFGHIJKLMNOPQRSTUVWXYZ")),MID(AN82,14,1)="Z")),"Wrong format",IF(MID("0123456789ABCDEFGHIJKLMNOPQRSTUVWXYZ",MOD(36-MOD(SUMPRODUCT(INT((FIND(MID(AN82,{1,2,3,4,5,6,7,8,9,10,11,12,13,14},1),"0123456789ABCDEFGHIJKLMNOPQRSTUVWXYZ")-1)*{1,2,1,2,1,2,1,2,1,2,1,2,1,2}/36)+MOD((FIND(MID(AN82,{1,2,3,4,5,6,7,8,9,10,11,12,13,14},1),"0123456789ABCDEFGHIJKLMNOPQRSTUVWXYZ")-1)*{1,2,1,2,1,2,1,2,1,2,1,2,1,2},36)),36),36)+1,1)=MID(AN82,15,1),"OK","Typo? check digit wrong")),"Wrong format"))</f>
        <v/>
      </c>
      <c r="AK82" s="27">
        <f>IF(AO82="","",IF(AND(LEN(AO82)=10,SUMPRODUCT(--ISERROR(FIND(MID(AO82,{1,2,3,4,5,10},1),"ABCDEFGHIJKLMNOPQRSTUVWXYZ")))=0,SUMPRODUCT(--ISERROR(FIND(MID(AO82,{6,7,8,9},1),"0123456789")))=0),"OK","Wrong format"))</f>
        <v/>
      </c>
      <c r="AL82" s="27">
        <f>IF(TRIM(H82)="","",IF(AND(LEN(UPPER(TRIM(H82)))=10,SUMPRODUCT(--ISERROR(FIND(MID(UPPER(TRIM(H82)),{1,2,3,4,10},1),"ABCDEFGHIJKLMNOPQRSTUVWXYZ")))=0,SUMPRODUCT(--ISERROR(FIND(MID(UPPER(TRIM(H82)),{5,6,7,8,9},1),"0123456789")))=0),"OK","Wrong format"))</f>
        <v/>
      </c>
      <c r="AM82" s="28">
        <f>IF(NOT(COUNTA(A82:AE82)&gt;0),"",IF(AS82&lt;&gt;"","✖ "&amp;LEFT(AS82,LEN(AS82)-2),IF(AR82&gt;0,"✔ Ready — client + "&amp;AR82&amp;" service(s)","✔ Ready — client only")))</f>
        <v/>
      </c>
      <c r="AN82" s="29">
        <f>UPPER(SUBSTITUTE(TRIM(F82)," ",""))</f>
        <v/>
      </c>
      <c r="AO82" s="29">
        <f>UPPER(SUBSTITUTE(TRIM(E82)," ",""))</f>
        <v/>
      </c>
      <c r="AP82" s="29">
        <f>IF(D82&lt;&gt;"",D82,IFERROR(VLOOKUP(MID(AG82,4,1),Lists!$E$2:$F$8,2,FALSE),""))</f>
        <v/>
      </c>
      <c r="AQ82" s="29">
        <f>IFERROR(VLOOKUP(AP82,Lists!$A$2:$C$12,3,FALSE),"")</f>
        <v/>
      </c>
      <c r="AR82" s="29">
        <f>COUNTIF(W82:AC82,"Yes")</f>
        <v/>
      </c>
      <c r="AS82" s="29">
        <f>IF(TRIM(B82)="","Legal name missing; ","")&amp;IF(AND(AJ82&lt;&gt;"",AJ82&lt;&gt;"OK"),"GSTIN: "&amp;AJ82&amp;"; ","")&amp;IF(AND(AK82&lt;&gt;"",AK82&lt;&gt;"OK"),"PAN wrong format; ","")&amp;IF(AND(AO82&lt;&gt;"",LEN(AN82)=15,MID(AN82,3,10)&lt;&gt;AO82),"PAN does not match GSTIN; ","")&amp;IF(AND(AL82&lt;&gt;"",AL82&lt;&gt;"OK"),"TAN wrong format; ","")&amp;IF(AG82="","PAN missing; ","")&amp;IF(AP82="","Entity type missing; ","")&amp;IF(AND(AN82&lt;&gt;"",COUNTIF($AN$6:$AN$1005,AN82)&gt;1),"GSTIN repeated in this sheet; ","")&amp;IF(AND(AG82&lt;&gt;"",COUNTIF($AG$6:$AG$1005,AG82)&gt;1),"PAN repeated in this sheet (same client? put extra GSTINs in Other GSTINs); ","")&amp;IF(AND(AR82&gt;0,V82=""),"Financial year missing; ","")&amp;IF(AND(AR82=0,V82&lt;&gt;""),"Financial year given but no service is Yes; ","")&amp;IF(AND(W82="Yes",AN82=""),"GST needs a GSTIN; ","")&amp;IF(AND(W82="Yes",X82=""),"GST return frequency missing; ","")&amp;IF(AND(Y82="Yes",TRIM(H82)=""),"TDS needs a TAN; ","")&amp;IF(AND(AA82="Yes",AQ82&lt;&gt;"",AQ82&lt;&gt;"company",AQ82&lt;&gt;"llp"),"ROC is only for a company / LLP; ","")&amp;IF(AND(AA82="Yes",OR(AQ82="company",AQ82="llp"),TRIM(I82)=""),"ROC needs the CIN / LLPIN; ","")</f>
        <v/>
      </c>
    </row>
    <row r="83">
      <c r="A83" s="30" t="n"/>
      <c r="B83" s="31" t="n"/>
      <c r="C83" s="31" t="n"/>
      <c r="D83" s="31" t="n"/>
      <c r="E83" s="30" t="n"/>
      <c r="F83" s="30" t="n"/>
      <c r="G83" s="30" t="n"/>
      <c r="H83" s="30" t="n"/>
      <c r="I83" s="30" t="n"/>
      <c r="J83" s="32" t="n"/>
      <c r="K83" s="31" t="n"/>
      <c r="L83" s="30" t="n"/>
      <c r="M83" s="31" t="n"/>
      <c r="N83" s="31" t="n"/>
      <c r="O83" s="31" t="n"/>
      <c r="P83" s="30" t="n"/>
      <c r="Q83" s="31" t="n"/>
      <c r="R83" s="31" t="n"/>
      <c r="S83" s="31" t="n"/>
      <c r="T83" s="31" t="n"/>
      <c r="U83" s="30" t="n"/>
      <c r="V83" s="31" t="n"/>
      <c r="W83" s="31" t="n"/>
      <c r="X83" s="31" t="n"/>
      <c r="Y83" s="31" t="n"/>
      <c r="Z83" s="31" t="n"/>
      <c r="AA83" s="31" t="n"/>
      <c r="AB83" s="31" t="n"/>
      <c r="AC83" s="31" t="n"/>
      <c r="AD83" s="31" t="n"/>
      <c r="AE83" s="31" t="n"/>
      <c r="AF83" s="27">
        <f>IF(NOT(COUNTA(A83:AE83)&gt;0),"",IF(A83="","New client","Update"))</f>
        <v/>
      </c>
      <c r="AG83" s="27">
        <f>IF(AO83&lt;&gt;"",AO83,IF(LEN(AN83)=15,MID(AN83,3,10),""))</f>
        <v/>
      </c>
      <c r="AH83" s="27">
        <f>IF(AP83="","",AP83&amp;IF(D83="","  (guessed from PAN)",""))</f>
        <v/>
      </c>
      <c r="AI83" s="27">
        <f>IF(AN83="","",IFERROR(INDEX(Lists!$L$2:$L$38,MATCH(LEFT(AN83,2),Lists!$K$2:$K$38,0)),"Unknown code"))</f>
        <v/>
      </c>
      <c r="AJ83" s="27">
        <f>IF(AN83="","",IFERROR(IF(NOT(AND(LEN(AN83)=15,ISNUMBER(MATCH(LEFT(AN83,2),Lists!$K$2:$K$38,0)),SUMPRODUCT(--ISERROR(FIND(MID(MID(AN83,3,10),{1,2,3,4,5,10},1),"ABCDEFGHIJKLMNOPQRSTUVWXYZ")))=0,SUMPRODUCT(--ISERROR(FIND(MID(MID(AN83,3,10),{6,7,8,9},1),"0123456789")))=0,ISNUMBER(FIND(MID(AN83,13,1),"123456789ABCDEFGHIJKLMNOPQRSTUVWXYZ")),MID(AN83,14,1)="Z")),"Wrong format",IF(MID("0123456789ABCDEFGHIJKLMNOPQRSTUVWXYZ",MOD(36-MOD(SUMPRODUCT(INT((FIND(MID(AN83,{1,2,3,4,5,6,7,8,9,10,11,12,13,14},1),"0123456789ABCDEFGHIJKLMNOPQRSTUVWXYZ")-1)*{1,2,1,2,1,2,1,2,1,2,1,2,1,2}/36)+MOD((FIND(MID(AN83,{1,2,3,4,5,6,7,8,9,10,11,12,13,14},1),"0123456789ABCDEFGHIJKLMNOPQRSTUVWXYZ")-1)*{1,2,1,2,1,2,1,2,1,2,1,2,1,2},36)),36),36)+1,1)=MID(AN83,15,1),"OK","Typo? check digit wrong")),"Wrong format"))</f>
        <v/>
      </c>
      <c r="AK83" s="27">
        <f>IF(AO83="","",IF(AND(LEN(AO83)=10,SUMPRODUCT(--ISERROR(FIND(MID(AO83,{1,2,3,4,5,10},1),"ABCDEFGHIJKLMNOPQRSTUVWXYZ")))=0,SUMPRODUCT(--ISERROR(FIND(MID(AO83,{6,7,8,9},1),"0123456789")))=0),"OK","Wrong format"))</f>
        <v/>
      </c>
      <c r="AL83" s="27">
        <f>IF(TRIM(H83)="","",IF(AND(LEN(UPPER(TRIM(H83)))=10,SUMPRODUCT(--ISERROR(FIND(MID(UPPER(TRIM(H83)),{1,2,3,4,10},1),"ABCDEFGHIJKLMNOPQRSTUVWXYZ")))=0,SUMPRODUCT(--ISERROR(FIND(MID(UPPER(TRIM(H83)),{5,6,7,8,9},1),"0123456789")))=0),"OK","Wrong format"))</f>
        <v/>
      </c>
      <c r="AM83" s="28">
        <f>IF(NOT(COUNTA(A83:AE83)&gt;0),"",IF(AS83&lt;&gt;"","✖ "&amp;LEFT(AS83,LEN(AS83)-2),IF(AR83&gt;0,"✔ Ready — client + "&amp;AR83&amp;" service(s)","✔ Ready — client only")))</f>
        <v/>
      </c>
      <c r="AN83" s="29">
        <f>UPPER(SUBSTITUTE(TRIM(F83)," ",""))</f>
        <v/>
      </c>
      <c r="AO83" s="29">
        <f>UPPER(SUBSTITUTE(TRIM(E83)," ",""))</f>
        <v/>
      </c>
      <c r="AP83" s="29">
        <f>IF(D83&lt;&gt;"",D83,IFERROR(VLOOKUP(MID(AG83,4,1),Lists!$E$2:$F$8,2,FALSE),""))</f>
        <v/>
      </c>
      <c r="AQ83" s="29">
        <f>IFERROR(VLOOKUP(AP83,Lists!$A$2:$C$12,3,FALSE),"")</f>
        <v/>
      </c>
      <c r="AR83" s="29">
        <f>COUNTIF(W83:AC83,"Yes")</f>
        <v/>
      </c>
      <c r="AS83" s="29">
        <f>IF(TRIM(B83)="","Legal name missing; ","")&amp;IF(AND(AJ83&lt;&gt;"",AJ83&lt;&gt;"OK"),"GSTIN: "&amp;AJ83&amp;"; ","")&amp;IF(AND(AK83&lt;&gt;"",AK83&lt;&gt;"OK"),"PAN wrong format; ","")&amp;IF(AND(AO83&lt;&gt;"",LEN(AN83)=15,MID(AN83,3,10)&lt;&gt;AO83),"PAN does not match GSTIN; ","")&amp;IF(AND(AL83&lt;&gt;"",AL83&lt;&gt;"OK"),"TAN wrong format; ","")&amp;IF(AG83="","PAN missing; ","")&amp;IF(AP83="","Entity type missing; ","")&amp;IF(AND(AN83&lt;&gt;"",COUNTIF($AN$6:$AN$1005,AN83)&gt;1),"GSTIN repeated in this sheet; ","")&amp;IF(AND(AG83&lt;&gt;"",COUNTIF($AG$6:$AG$1005,AG83)&gt;1),"PAN repeated in this sheet (same client? put extra GSTINs in Other GSTINs); ","")&amp;IF(AND(AR83&gt;0,V83=""),"Financial year missing; ","")&amp;IF(AND(AR83=0,V83&lt;&gt;""),"Financial year given but no service is Yes; ","")&amp;IF(AND(W83="Yes",AN83=""),"GST needs a GSTIN; ","")&amp;IF(AND(W83="Yes",X83=""),"GST return frequency missing; ","")&amp;IF(AND(Y83="Yes",TRIM(H83)=""),"TDS needs a TAN; ","")&amp;IF(AND(AA83="Yes",AQ83&lt;&gt;"",AQ83&lt;&gt;"company",AQ83&lt;&gt;"llp"),"ROC is only for a company / LLP; ","")&amp;IF(AND(AA83="Yes",OR(AQ83="company",AQ83="llp"),TRIM(I83)=""),"ROC needs the CIN / LLPIN; ","")</f>
        <v/>
      </c>
    </row>
    <row r="84">
      <c r="A84" s="30" t="n"/>
      <c r="B84" s="31" t="n"/>
      <c r="C84" s="31" t="n"/>
      <c r="D84" s="31" t="n"/>
      <c r="E84" s="30" t="n"/>
      <c r="F84" s="30" t="n"/>
      <c r="G84" s="30" t="n"/>
      <c r="H84" s="30" t="n"/>
      <c r="I84" s="30" t="n"/>
      <c r="J84" s="32" t="n"/>
      <c r="K84" s="31" t="n"/>
      <c r="L84" s="30" t="n"/>
      <c r="M84" s="31" t="n"/>
      <c r="N84" s="31" t="n"/>
      <c r="O84" s="31" t="n"/>
      <c r="P84" s="30" t="n"/>
      <c r="Q84" s="31" t="n"/>
      <c r="R84" s="31" t="n"/>
      <c r="S84" s="31" t="n"/>
      <c r="T84" s="31" t="n"/>
      <c r="U84" s="30" t="n"/>
      <c r="V84" s="31" t="n"/>
      <c r="W84" s="31" t="n"/>
      <c r="X84" s="31" t="n"/>
      <c r="Y84" s="31" t="n"/>
      <c r="Z84" s="31" t="n"/>
      <c r="AA84" s="31" t="n"/>
      <c r="AB84" s="31" t="n"/>
      <c r="AC84" s="31" t="n"/>
      <c r="AD84" s="31" t="n"/>
      <c r="AE84" s="31" t="n"/>
      <c r="AF84" s="27">
        <f>IF(NOT(COUNTA(A84:AE84)&gt;0),"",IF(A84="","New client","Update"))</f>
        <v/>
      </c>
      <c r="AG84" s="27">
        <f>IF(AO84&lt;&gt;"",AO84,IF(LEN(AN84)=15,MID(AN84,3,10),""))</f>
        <v/>
      </c>
      <c r="AH84" s="27">
        <f>IF(AP84="","",AP84&amp;IF(D84="","  (guessed from PAN)",""))</f>
        <v/>
      </c>
      <c r="AI84" s="27">
        <f>IF(AN84="","",IFERROR(INDEX(Lists!$L$2:$L$38,MATCH(LEFT(AN84,2),Lists!$K$2:$K$38,0)),"Unknown code"))</f>
        <v/>
      </c>
      <c r="AJ84" s="27">
        <f>IF(AN84="","",IFERROR(IF(NOT(AND(LEN(AN84)=15,ISNUMBER(MATCH(LEFT(AN84,2),Lists!$K$2:$K$38,0)),SUMPRODUCT(--ISERROR(FIND(MID(MID(AN84,3,10),{1,2,3,4,5,10},1),"ABCDEFGHIJKLMNOPQRSTUVWXYZ")))=0,SUMPRODUCT(--ISERROR(FIND(MID(MID(AN84,3,10),{6,7,8,9},1),"0123456789")))=0,ISNUMBER(FIND(MID(AN84,13,1),"123456789ABCDEFGHIJKLMNOPQRSTUVWXYZ")),MID(AN84,14,1)="Z")),"Wrong format",IF(MID("0123456789ABCDEFGHIJKLMNOPQRSTUVWXYZ",MOD(36-MOD(SUMPRODUCT(INT((FIND(MID(AN84,{1,2,3,4,5,6,7,8,9,10,11,12,13,14},1),"0123456789ABCDEFGHIJKLMNOPQRSTUVWXYZ")-1)*{1,2,1,2,1,2,1,2,1,2,1,2,1,2}/36)+MOD((FIND(MID(AN84,{1,2,3,4,5,6,7,8,9,10,11,12,13,14},1),"0123456789ABCDEFGHIJKLMNOPQRSTUVWXYZ")-1)*{1,2,1,2,1,2,1,2,1,2,1,2,1,2},36)),36),36)+1,1)=MID(AN84,15,1),"OK","Typo? check digit wrong")),"Wrong format"))</f>
        <v/>
      </c>
      <c r="AK84" s="27">
        <f>IF(AO84="","",IF(AND(LEN(AO84)=10,SUMPRODUCT(--ISERROR(FIND(MID(AO84,{1,2,3,4,5,10},1),"ABCDEFGHIJKLMNOPQRSTUVWXYZ")))=0,SUMPRODUCT(--ISERROR(FIND(MID(AO84,{6,7,8,9},1),"0123456789")))=0),"OK","Wrong format"))</f>
        <v/>
      </c>
      <c r="AL84" s="27">
        <f>IF(TRIM(H84)="","",IF(AND(LEN(UPPER(TRIM(H84)))=10,SUMPRODUCT(--ISERROR(FIND(MID(UPPER(TRIM(H84)),{1,2,3,4,10},1),"ABCDEFGHIJKLMNOPQRSTUVWXYZ")))=0,SUMPRODUCT(--ISERROR(FIND(MID(UPPER(TRIM(H84)),{5,6,7,8,9},1),"0123456789")))=0),"OK","Wrong format"))</f>
        <v/>
      </c>
      <c r="AM84" s="28">
        <f>IF(NOT(COUNTA(A84:AE84)&gt;0),"",IF(AS84&lt;&gt;"","✖ "&amp;LEFT(AS84,LEN(AS84)-2),IF(AR84&gt;0,"✔ Ready — client + "&amp;AR84&amp;" service(s)","✔ Ready — client only")))</f>
        <v/>
      </c>
      <c r="AN84" s="29">
        <f>UPPER(SUBSTITUTE(TRIM(F84)," ",""))</f>
        <v/>
      </c>
      <c r="AO84" s="29">
        <f>UPPER(SUBSTITUTE(TRIM(E84)," ",""))</f>
        <v/>
      </c>
      <c r="AP84" s="29">
        <f>IF(D84&lt;&gt;"",D84,IFERROR(VLOOKUP(MID(AG84,4,1),Lists!$E$2:$F$8,2,FALSE),""))</f>
        <v/>
      </c>
      <c r="AQ84" s="29">
        <f>IFERROR(VLOOKUP(AP84,Lists!$A$2:$C$12,3,FALSE),"")</f>
        <v/>
      </c>
      <c r="AR84" s="29">
        <f>COUNTIF(W84:AC84,"Yes")</f>
        <v/>
      </c>
      <c r="AS84" s="29">
        <f>IF(TRIM(B84)="","Legal name missing; ","")&amp;IF(AND(AJ84&lt;&gt;"",AJ84&lt;&gt;"OK"),"GSTIN: "&amp;AJ84&amp;"; ","")&amp;IF(AND(AK84&lt;&gt;"",AK84&lt;&gt;"OK"),"PAN wrong format; ","")&amp;IF(AND(AO84&lt;&gt;"",LEN(AN84)=15,MID(AN84,3,10)&lt;&gt;AO84),"PAN does not match GSTIN; ","")&amp;IF(AND(AL84&lt;&gt;"",AL84&lt;&gt;"OK"),"TAN wrong format; ","")&amp;IF(AG84="","PAN missing; ","")&amp;IF(AP84="","Entity type missing; ","")&amp;IF(AND(AN84&lt;&gt;"",COUNTIF($AN$6:$AN$1005,AN84)&gt;1),"GSTIN repeated in this sheet; ","")&amp;IF(AND(AG84&lt;&gt;"",COUNTIF($AG$6:$AG$1005,AG84)&gt;1),"PAN repeated in this sheet (same client? put extra GSTINs in Other GSTINs); ","")&amp;IF(AND(AR84&gt;0,V84=""),"Financial year missing; ","")&amp;IF(AND(AR84=0,V84&lt;&gt;""),"Financial year given but no service is Yes; ","")&amp;IF(AND(W84="Yes",AN84=""),"GST needs a GSTIN; ","")&amp;IF(AND(W84="Yes",X84=""),"GST return frequency missing; ","")&amp;IF(AND(Y84="Yes",TRIM(H84)=""),"TDS needs a TAN; ","")&amp;IF(AND(AA84="Yes",AQ84&lt;&gt;"",AQ84&lt;&gt;"company",AQ84&lt;&gt;"llp"),"ROC is only for a company / LLP; ","")&amp;IF(AND(AA84="Yes",OR(AQ84="company",AQ84="llp"),TRIM(I84)=""),"ROC needs the CIN / LLPIN; ","")</f>
        <v/>
      </c>
    </row>
    <row r="85">
      <c r="A85" s="30" t="n"/>
      <c r="B85" s="31" t="n"/>
      <c r="C85" s="31" t="n"/>
      <c r="D85" s="31" t="n"/>
      <c r="E85" s="30" t="n"/>
      <c r="F85" s="30" t="n"/>
      <c r="G85" s="30" t="n"/>
      <c r="H85" s="30" t="n"/>
      <c r="I85" s="30" t="n"/>
      <c r="J85" s="32" t="n"/>
      <c r="K85" s="31" t="n"/>
      <c r="L85" s="30" t="n"/>
      <c r="M85" s="31" t="n"/>
      <c r="N85" s="31" t="n"/>
      <c r="O85" s="31" t="n"/>
      <c r="P85" s="30" t="n"/>
      <c r="Q85" s="31" t="n"/>
      <c r="R85" s="31" t="n"/>
      <c r="S85" s="31" t="n"/>
      <c r="T85" s="31" t="n"/>
      <c r="U85" s="30" t="n"/>
      <c r="V85" s="31" t="n"/>
      <c r="W85" s="31" t="n"/>
      <c r="X85" s="31" t="n"/>
      <c r="Y85" s="31" t="n"/>
      <c r="Z85" s="31" t="n"/>
      <c r="AA85" s="31" t="n"/>
      <c r="AB85" s="31" t="n"/>
      <c r="AC85" s="31" t="n"/>
      <c r="AD85" s="31" t="n"/>
      <c r="AE85" s="31" t="n"/>
      <c r="AF85" s="27">
        <f>IF(NOT(COUNTA(A85:AE85)&gt;0),"",IF(A85="","New client","Update"))</f>
        <v/>
      </c>
      <c r="AG85" s="27">
        <f>IF(AO85&lt;&gt;"",AO85,IF(LEN(AN85)=15,MID(AN85,3,10),""))</f>
        <v/>
      </c>
      <c r="AH85" s="27">
        <f>IF(AP85="","",AP85&amp;IF(D85="","  (guessed from PAN)",""))</f>
        <v/>
      </c>
      <c r="AI85" s="27">
        <f>IF(AN85="","",IFERROR(INDEX(Lists!$L$2:$L$38,MATCH(LEFT(AN85,2),Lists!$K$2:$K$38,0)),"Unknown code"))</f>
        <v/>
      </c>
      <c r="AJ85" s="27">
        <f>IF(AN85="","",IFERROR(IF(NOT(AND(LEN(AN85)=15,ISNUMBER(MATCH(LEFT(AN85,2),Lists!$K$2:$K$38,0)),SUMPRODUCT(--ISERROR(FIND(MID(MID(AN85,3,10),{1,2,3,4,5,10},1),"ABCDEFGHIJKLMNOPQRSTUVWXYZ")))=0,SUMPRODUCT(--ISERROR(FIND(MID(MID(AN85,3,10),{6,7,8,9},1),"0123456789")))=0,ISNUMBER(FIND(MID(AN85,13,1),"123456789ABCDEFGHIJKLMNOPQRSTUVWXYZ")),MID(AN85,14,1)="Z")),"Wrong format",IF(MID("0123456789ABCDEFGHIJKLMNOPQRSTUVWXYZ",MOD(36-MOD(SUMPRODUCT(INT((FIND(MID(AN85,{1,2,3,4,5,6,7,8,9,10,11,12,13,14},1),"0123456789ABCDEFGHIJKLMNOPQRSTUVWXYZ")-1)*{1,2,1,2,1,2,1,2,1,2,1,2,1,2}/36)+MOD((FIND(MID(AN85,{1,2,3,4,5,6,7,8,9,10,11,12,13,14},1),"0123456789ABCDEFGHIJKLMNOPQRSTUVWXYZ")-1)*{1,2,1,2,1,2,1,2,1,2,1,2,1,2},36)),36),36)+1,1)=MID(AN85,15,1),"OK","Typo? check digit wrong")),"Wrong format"))</f>
        <v/>
      </c>
      <c r="AK85" s="27">
        <f>IF(AO85="","",IF(AND(LEN(AO85)=10,SUMPRODUCT(--ISERROR(FIND(MID(AO85,{1,2,3,4,5,10},1),"ABCDEFGHIJKLMNOPQRSTUVWXYZ")))=0,SUMPRODUCT(--ISERROR(FIND(MID(AO85,{6,7,8,9},1),"0123456789")))=0),"OK","Wrong format"))</f>
        <v/>
      </c>
      <c r="AL85" s="27">
        <f>IF(TRIM(H85)="","",IF(AND(LEN(UPPER(TRIM(H85)))=10,SUMPRODUCT(--ISERROR(FIND(MID(UPPER(TRIM(H85)),{1,2,3,4,10},1),"ABCDEFGHIJKLMNOPQRSTUVWXYZ")))=0,SUMPRODUCT(--ISERROR(FIND(MID(UPPER(TRIM(H85)),{5,6,7,8,9},1),"0123456789")))=0),"OK","Wrong format"))</f>
        <v/>
      </c>
      <c r="AM85" s="28">
        <f>IF(NOT(COUNTA(A85:AE85)&gt;0),"",IF(AS85&lt;&gt;"","✖ "&amp;LEFT(AS85,LEN(AS85)-2),IF(AR85&gt;0,"✔ Ready — client + "&amp;AR85&amp;" service(s)","✔ Ready — client only")))</f>
        <v/>
      </c>
      <c r="AN85" s="29">
        <f>UPPER(SUBSTITUTE(TRIM(F85)," ",""))</f>
        <v/>
      </c>
      <c r="AO85" s="29">
        <f>UPPER(SUBSTITUTE(TRIM(E85)," ",""))</f>
        <v/>
      </c>
      <c r="AP85" s="29">
        <f>IF(D85&lt;&gt;"",D85,IFERROR(VLOOKUP(MID(AG85,4,1),Lists!$E$2:$F$8,2,FALSE),""))</f>
        <v/>
      </c>
      <c r="AQ85" s="29">
        <f>IFERROR(VLOOKUP(AP85,Lists!$A$2:$C$12,3,FALSE),"")</f>
        <v/>
      </c>
      <c r="AR85" s="29">
        <f>COUNTIF(W85:AC85,"Yes")</f>
        <v/>
      </c>
      <c r="AS85" s="29">
        <f>IF(TRIM(B85)="","Legal name missing; ","")&amp;IF(AND(AJ85&lt;&gt;"",AJ85&lt;&gt;"OK"),"GSTIN: "&amp;AJ85&amp;"; ","")&amp;IF(AND(AK85&lt;&gt;"",AK85&lt;&gt;"OK"),"PAN wrong format; ","")&amp;IF(AND(AO85&lt;&gt;"",LEN(AN85)=15,MID(AN85,3,10)&lt;&gt;AO85),"PAN does not match GSTIN; ","")&amp;IF(AND(AL85&lt;&gt;"",AL85&lt;&gt;"OK"),"TAN wrong format; ","")&amp;IF(AG85="","PAN missing; ","")&amp;IF(AP85="","Entity type missing; ","")&amp;IF(AND(AN85&lt;&gt;"",COUNTIF($AN$6:$AN$1005,AN85)&gt;1),"GSTIN repeated in this sheet; ","")&amp;IF(AND(AG85&lt;&gt;"",COUNTIF($AG$6:$AG$1005,AG85)&gt;1),"PAN repeated in this sheet (same client? put extra GSTINs in Other GSTINs); ","")&amp;IF(AND(AR85&gt;0,V85=""),"Financial year missing; ","")&amp;IF(AND(AR85=0,V85&lt;&gt;""),"Financial year given but no service is Yes; ","")&amp;IF(AND(W85="Yes",AN85=""),"GST needs a GSTIN; ","")&amp;IF(AND(W85="Yes",X85=""),"GST return frequency missing; ","")&amp;IF(AND(Y85="Yes",TRIM(H85)=""),"TDS needs a TAN; ","")&amp;IF(AND(AA85="Yes",AQ85&lt;&gt;"",AQ85&lt;&gt;"company",AQ85&lt;&gt;"llp"),"ROC is only for a company / LLP; ","")&amp;IF(AND(AA85="Yes",OR(AQ85="company",AQ85="llp"),TRIM(I85)=""),"ROC needs the CIN / LLPIN; ","")</f>
        <v/>
      </c>
    </row>
    <row r="86">
      <c r="A86" s="30" t="n"/>
      <c r="B86" s="31" t="n"/>
      <c r="C86" s="31" t="n"/>
      <c r="D86" s="31" t="n"/>
      <c r="E86" s="30" t="n"/>
      <c r="F86" s="30" t="n"/>
      <c r="G86" s="30" t="n"/>
      <c r="H86" s="30" t="n"/>
      <c r="I86" s="30" t="n"/>
      <c r="J86" s="32" t="n"/>
      <c r="K86" s="31" t="n"/>
      <c r="L86" s="30" t="n"/>
      <c r="M86" s="31" t="n"/>
      <c r="N86" s="31" t="n"/>
      <c r="O86" s="31" t="n"/>
      <c r="P86" s="30" t="n"/>
      <c r="Q86" s="31" t="n"/>
      <c r="R86" s="31" t="n"/>
      <c r="S86" s="31" t="n"/>
      <c r="T86" s="31" t="n"/>
      <c r="U86" s="30" t="n"/>
      <c r="V86" s="31" t="n"/>
      <c r="W86" s="31" t="n"/>
      <c r="X86" s="31" t="n"/>
      <c r="Y86" s="31" t="n"/>
      <c r="Z86" s="31" t="n"/>
      <c r="AA86" s="31" t="n"/>
      <c r="AB86" s="31" t="n"/>
      <c r="AC86" s="31" t="n"/>
      <c r="AD86" s="31" t="n"/>
      <c r="AE86" s="31" t="n"/>
      <c r="AF86" s="27">
        <f>IF(NOT(COUNTA(A86:AE86)&gt;0),"",IF(A86="","New client","Update"))</f>
        <v/>
      </c>
      <c r="AG86" s="27">
        <f>IF(AO86&lt;&gt;"",AO86,IF(LEN(AN86)=15,MID(AN86,3,10),""))</f>
        <v/>
      </c>
      <c r="AH86" s="27">
        <f>IF(AP86="","",AP86&amp;IF(D86="","  (guessed from PAN)",""))</f>
        <v/>
      </c>
      <c r="AI86" s="27">
        <f>IF(AN86="","",IFERROR(INDEX(Lists!$L$2:$L$38,MATCH(LEFT(AN86,2),Lists!$K$2:$K$38,0)),"Unknown code"))</f>
        <v/>
      </c>
      <c r="AJ86" s="27">
        <f>IF(AN86="","",IFERROR(IF(NOT(AND(LEN(AN86)=15,ISNUMBER(MATCH(LEFT(AN86,2),Lists!$K$2:$K$38,0)),SUMPRODUCT(--ISERROR(FIND(MID(MID(AN86,3,10),{1,2,3,4,5,10},1),"ABCDEFGHIJKLMNOPQRSTUVWXYZ")))=0,SUMPRODUCT(--ISERROR(FIND(MID(MID(AN86,3,10),{6,7,8,9},1),"0123456789")))=0,ISNUMBER(FIND(MID(AN86,13,1),"123456789ABCDEFGHIJKLMNOPQRSTUVWXYZ")),MID(AN86,14,1)="Z")),"Wrong format",IF(MID("0123456789ABCDEFGHIJKLMNOPQRSTUVWXYZ",MOD(36-MOD(SUMPRODUCT(INT((FIND(MID(AN86,{1,2,3,4,5,6,7,8,9,10,11,12,13,14},1),"0123456789ABCDEFGHIJKLMNOPQRSTUVWXYZ")-1)*{1,2,1,2,1,2,1,2,1,2,1,2,1,2}/36)+MOD((FIND(MID(AN86,{1,2,3,4,5,6,7,8,9,10,11,12,13,14},1),"0123456789ABCDEFGHIJKLMNOPQRSTUVWXYZ")-1)*{1,2,1,2,1,2,1,2,1,2,1,2,1,2},36)),36),36)+1,1)=MID(AN86,15,1),"OK","Typo? check digit wrong")),"Wrong format"))</f>
        <v/>
      </c>
      <c r="AK86" s="27">
        <f>IF(AO86="","",IF(AND(LEN(AO86)=10,SUMPRODUCT(--ISERROR(FIND(MID(AO86,{1,2,3,4,5,10},1),"ABCDEFGHIJKLMNOPQRSTUVWXYZ")))=0,SUMPRODUCT(--ISERROR(FIND(MID(AO86,{6,7,8,9},1),"0123456789")))=0),"OK","Wrong format"))</f>
        <v/>
      </c>
      <c r="AL86" s="27">
        <f>IF(TRIM(H86)="","",IF(AND(LEN(UPPER(TRIM(H86)))=10,SUMPRODUCT(--ISERROR(FIND(MID(UPPER(TRIM(H86)),{1,2,3,4,10},1),"ABCDEFGHIJKLMNOPQRSTUVWXYZ")))=0,SUMPRODUCT(--ISERROR(FIND(MID(UPPER(TRIM(H86)),{5,6,7,8,9},1),"0123456789")))=0),"OK","Wrong format"))</f>
        <v/>
      </c>
      <c r="AM86" s="28">
        <f>IF(NOT(COUNTA(A86:AE86)&gt;0),"",IF(AS86&lt;&gt;"","✖ "&amp;LEFT(AS86,LEN(AS86)-2),IF(AR86&gt;0,"✔ Ready — client + "&amp;AR86&amp;" service(s)","✔ Ready — client only")))</f>
        <v/>
      </c>
      <c r="AN86" s="29">
        <f>UPPER(SUBSTITUTE(TRIM(F86)," ",""))</f>
        <v/>
      </c>
      <c r="AO86" s="29">
        <f>UPPER(SUBSTITUTE(TRIM(E86)," ",""))</f>
        <v/>
      </c>
      <c r="AP86" s="29">
        <f>IF(D86&lt;&gt;"",D86,IFERROR(VLOOKUP(MID(AG86,4,1),Lists!$E$2:$F$8,2,FALSE),""))</f>
        <v/>
      </c>
      <c r="AQ86" s="29">
        <f>IFERROR(VLOOKUP(AP86,Lists!$A$2:$C$12,3,FALSE),"")</f>
        <v/>
      </c>
      <c r="AR86" s="29">
        <f>COUNTIF(W86:AC86,"Yes")</f>
        <v/>
      </c>
      <c r="AS86" s="29">
        <f>IF(TRIM(B86)="","Legal name missing; ","")&amp;IF(AND(AJ86&lt;&gt;"",AJ86&lt;&gt;"OK"),"GSTIN: "&amp;AJ86&amp;"; ","")&amp;IF(AND(AK86&lt;&gt;"",AK86&lt;&gt;"OK"),"PAN wrong format; ","")&amp;IF(AND(AO86&lt;&gt;"",LEN(AN86)=15,MID(AN86,3,10)&lt;&gt;AO86),"PAN does not match GSTIN; ","")&amp;IF(AND(AL86&lt;&gt;"",AL86&lt;&gt;"OK"),"TAN wrong format; ","")&amp;IF(AG86="","PAN missing; ","")&amp;IF(AP86="","Entity type missing; ","")&amp;IF(AND(AN86&lt;&gt;"",COUNTIF($AN$6:$AN$1005,AN86)&gt;1),"GSTIN repeated in this sheet; ","")&amp;IF(AND(AG86&lt;&gt;"",COUNTIF($AG$6:$AG$1005,AG86)&gt;1),"PAN repeated in this sheet (same client? put extra GSTINs in Other GSTINs); ","")&amp;IF(AND(AR86&gt;0,V86=""),"Financial year missing; ","")&amp;IF(AND(AR86=0,V86&lt;&gt;""),"Financial year given but no service is Yes; ","")&amp;IF(AND(W86="Yes",AN86=""),"GST needs a GSTIN; ","")&amp;IF(AND(W86="Yes",X86=""),"GST return frequency missing; ","")&amp;IF(AND(Y86="Yes",TRIM(H86)=""),"TDS needs a TAN; ","")&amp;IF(AND(AA86="Yes",AQ86&lt;&gt;"",AQ86&lt;&gt;"company",AQ86&lt;&gt;"llp"),"ROC is only for a company / LLP; ","")&amp;IF(AND(AA86="Yes",OR(AQ86="company",AQ86="llp"),TRIM(I86)=""),"ROC needs the CIN / LLPIN; ","")</f>
        <v/>
      </c>
    </row>
    <row r="87">
      <c r="A87" s="30" t="n"/>
      <c r="B87" s="31" t="n"/>
      <c r="C87" s="31" t="n"/>
      <c r="D87" s="31" t="n"/>
      <c r="E87" s="30" t="n"/>
      <c r="F87" s="30" t="n"/>
      <c r="G87" s="30" t="n"/>
      <c r="H87" s="30" t="n"/>
      <c r="I87" s="30" t="n"/>
      <c r="J87" s="32" t="n"/>
      <c r="K87" s="31" t="n"/>
      <c r="L87" s="30" t="n"/>
      <c r="M87" s="31" t="n"/>
      <c r="N87" s="31" t="n"/>
      <c r="O87" s="31" t="n"/>
      <c r="P87" s="30" t="n"/>
      <c r="Q87" s="31" t="n"/>
      <c r="R87" s="31" t="n"/>
      <c r="S87" s="31" t="n"/>
      <c r="T87" s="31" t="n"/>
      <c r="U87" s="30" t="n"/>
      <c r="V87" s="31" t="n"/>
      <c r="W87" s="31" t="n"/>
      <c r="X87" s="31" t="n"/>
      <c r="Y87" s="31" t="n"/>
      <c r="Z87" s="31" t="n"/>
      <c r="AA87" s="31" t="n"/>
      <c r="AB87" s="31" t="n"/>
      <c r="AC87" s="31" t="n"/>
      <c r="AD87" s="31" t="n"/>
      <c r="AE87" s="31" t="n"/>
      <c r="AF87" s="27">
        <f>IF(NOT(COUNTA(A87:AE87)&gt;0),"",IF(A87="","New client","Update"))</f>
        <v/>
      </c>
      <c r="AG87" s="27">
        <f>IF(AO87&lt;&gt;"",AO87,IF(LEN(AN87)=15,MID(AN87,3,10),""))</f>
        <v/>
      </c>
      <c r="AH87" s="27">
        <f>IF(AP87="","",AP87&amp;IF(D87="","  (guessed from PAN)",""))</f>
        <v/>
      </c>
      <c r="AI87" s="27">
        <f>IF(AN87="","",IFERROR(INDEX(Lists!$L$2:$L$38,MATCH(LEFT(AN87,2),Lists!$K$2:$K$38,0)),"Unknown code"))</f>
        <v/>
      </c>
      <c r="AJ87" s="27">
        <f>IF(AN87="","",IFERROR(IF(NOT(AND(LEN(AN87)=15,ISNUMBER(MATCH(LEFT(AN87,2),Lists!$K$2:$K$38,0)),SUMPRODUCT(--ISERROR(FIND(MID(MID(AN87,3,10),{1,2,3,4,5,10},1),"ABCDEFGHIJKLMNOPQRSTUVWXYZ")))=0,SUMPRODUCT(--ISERROR(FIND(MID(MID(AN87,3,10),{6,7,8,9},1),"0123456789")))=0,ISNUMBER(FIND(MID(AN87,13,1),"123456789ABCDEFGHIJKLMNOPQRSTUVWXYZ")),MID(AN87,14,1)="Z")),"Wrong format",IF(MID("0123456789ABCDEFGHIJKLMNOPQRSTUVWXYZ",MOD(36-MOD(SUMPRODUCT(INT((FIND(MID(AN87,{1,2,3,4,5,6,7,8,9,10,11,12,13,14},1),"0123456789ABCDEFGHIJKLMNOPQRSTUVWXYZ")-1)*{1,2,1,2,1,2,1,2,1,2,1,2,1,2}/36)+MOD((FIND(MID(AN87,{1,2,3,4,5,6,7,8,9,10,11,12,13,14},1),"0123456789ABCDEFGHIJKLMNOPQRSTUVWXYZ")-1)*{1,2,1,2,1,2,1,2,1,2,1,2,1,2},36)),36),36)+1,1)=MID(AN87,15,1),"OK","Typo? check digit wrong")),"Wrong format"))</f>
        <v/>
      </c>
      <c r="AK87" s="27">
        <f>IF(AO87="","",IF(AND(LEN(AO87)=10,SUMPRODUCT(--ISERROR(FIND(MID(AO87,{1,2,3,4,5,10},1),"ABCDEFGHIJKLMNOPQRSTUVWXYZ")))=0,SUMPRODUCT(--ISERROR(FIND(MID(AO87,{6,7,8,9},1),"0123456789")))=0),"OK","Wrong format"))</f>
        <v/>
      </c>
      <c r="AL87" s="27">
        <f>IF(TRIM(H87)="","",IF(AND(LEN(UPPER(TRIM(H87)))=10,SUMPRODUCT(--ISERROR(FIND(MID(UPPER(TRIM(H87)),{1,2,3,4,10},1),"ABCDEFGHIJKLMNOPQRSTUVWXYZ")))=0,SUMPRODUCT(--ISERROR(FIND(MID(UPPER(TRIM(H87)),{5,6,7,8,9},1),"0123456789")))=0),"OK","Wrong format"))</f>
        <v/>
      </c>
      <c r="AM87" s="28">
        <f>IF(NOT(COUNTA(A87:AE87)&gt;0),"",IF(AS87&lt;&gt;"","✖ "&amp;LEFT(AS87,LEN(AS87)-2),IF(AR87&gt;0,"✔ Ready — client + "&amp;AR87&amp;" service(s)","✔ Ready — client only")))</f>
        <v/>
      </c>
      <c r="AN87" s="29">
        <f>UPPER(SUBSTITUTE(TRIM(F87)," ",""))</f>
        <v/>
      </c>
      <c r="AO87" s="29">
        <f>UPPER(SUBSTITUTE(TRIM(E87)," ",""))</f>
        <v/>
      </c>
      <c r="AP87" s="29">
        <f>IF(D87&lt;&gt;"",D87,IFERROR(VLOOKUP(MID(AG87,4,1),Lists!$E$2:$F$8,2,FALSE),""))</f>
        <v/>
      </c>
      <c r="AQ87" s="29">
        <f>IFERROR(VLOOKUP(AP87,Lists!$A$2:$C$12,3,FALSE),"")</f>
        <v/>
      </c>
      <c r="AR87" s="29">
        <f>COUNTIF(W87:AC87,"Yes")</f>
        <v/>
      </c>
      <c r="AS87" s="29">
        <f>IF(TRIM(B87)="","Legal name missing; ","")&amp;IF(AND(AJ87&lt;&gt;"",AJ87&lt;&gt;"OK"),"GSTIN: "&amp;AJ87&amp;"; ","")&amp;IF(AND(AK87&lt;&gt;"",AK87&lt;&gt;"OK"),"PAN wrong format; ","")&amp;IF(AND(AO87&lt;&gt;"",LEN(AN87)=15,MID(AN87,3,10)&lt;&gt;AO87),"PAN does not match GSTIN; ","")&amp;IF(AND(AL87&lt;&gt;"",AL87&lt;&gt;"OK"),"TAN wrong format; ","")&amp;IF(AG87="","PAN missing; ","")&amp;IF(AP87="","Entity type missing; ","")&amp;IF(AND(AN87&lt;&gt;"",COUNTIF($AN$6:$AN$1005,AN87)&gt;1),"GSTIN repeated in this sheet; ","")&amp;IF(AND(AG87&lt;&gt;"",COUNTIF($AG$6:$AG$1005,AG87)&gt;1),"PAN repeated in this sheet (same client? put extra GSTINs in Other GSTINs); ","")&amp;IF(AND(AR87&gt;0,V87=""),"Financial year missing; ","")&amp;IF(AND(AR87=0,V87&lt;&gt;""),"Financial year given but no service is Yes; ","")&amp;IF(AND(W87="Yes",AN87=""),"GST needs a GSTIN; ","")&amp;IF(AND(W87="Yes",X87=""),"GST return frequency missing; ","")&amp;IF(AND(Y87="Yes",TRIM(H87)=""),"TDS needs a TAN; ","")&amp;IF(AND(AA87="Yes",AQ87&lt;&gt;"",AQ87&lt;&gt;"company",AQ87&lt;&gt;"llp"),"ROC is only for a company / LLP; ","")&amp;IF(AND(AA87="Yes",OR(AQ87="company",AQ87="llp"),TRIM(I87)=""),"ROC needs the CIN / LLPIN; ","")</f>
        <v/>
      </c>
    </row>
    <row r="88">
      <c r="A88" s="30" t="n"/>
      <c r="B88" s="31" t="n"/>
      <c r="C88" s="31" t="n"/>
      <c r="D88" s="31" t="n"/>
      <c r="E88" s="30" t="n"/>
      <c r="F88" s="30" t="n"/>
      <c r="G88" s="30" t="n"/>
      <c r="H88" s="30" t="n"/>
      <c r="I88" s="30" t="n"/>
      <c r="J88" s="32" t="n"/>
      <c r="K88" s="31" t="n"/>
      <c r="L88" s="30" t="n"/>
      <c r="M88" s="31" t="n"/>
      <c r="N88" s="31" t="n"/>
      <c r="O88" s="31" t="n"/>
      <c r="P88" s="30" t="n"/>
      <c r="Q88" s="31" t="n"/>
      <c r="R88" s="31" t="n"/>
      <c r="S88" s="31" t="n"/>
      <c r="T88" s="31" t="n"/>
      <c r="U88" s="30" t="n"/>
      <c r="V88" s="31" t="n"/>
      <c r="W88" s="31" t="n"/>
      <c r="X88" s="31" t="n"/>
      <c r="Y88" s="31" t="n"/>
      <c r="Z88" s="31" t="n"/>
      <c r="AA88" s="31" t="n"/>
      <c r="AB88" s="31" t="n"/>
      <c r="AC88" s="31" t="n"/>
      <c r="AD88" s="31" t="n"/>
      <c r="AE88" s="31" t="n"/>
      <c r="AF88" s="27">
        <f>IF(NOT(COUNTA(A88:AE88)&gt;0),"",IF(A88="","New client","Update"))</f>
        <v/>
      </c>
      <c r="AG88" s="27">
        <f>IF(AO88&lt;&gt;"",AO88,IF(LEN(AN88)=15,MID(AN88,3,10),""))</f>
        <v/>
      </c>
      <c r="AH88" s="27">
        <f>IF(AP88="","",AP88&amp;IF(D88="","  (guessed from PAN)",""))</f>
        <v/>
      </c>
      <c r="AI88" s="27">
        <f>IF(AN88="","",IFERROR(INDEX(Lists!$L$2:$L$38,MATCH(LEFT(AN88,2),Lists!$K$2:$K$38,0)),"Unknown code"))</f>
        <v/>
      </c>
      <c r="AJ88" s="27">
        <f>IF(AN88="","",IFERROR(IF(NOT(AND(LEN(AN88)=15,ISNUMBER(MATCH(LEFT(AN88,2),Lists!$K$2:$K$38,0)),SUMPRODUCT(--ISERROR(FIND(MID(MID(AN88,3,10),{1,2,3,4,5,10},1),"ABCDEFGHIJKLMNOPQRSTUVWXYZ")))=0,SUMPRODUCT(--ISERROR(FIND(MID(MID(AN88,3,10),{6,7,8,9},1),"0123456789")))=0,ISNUMBER(FIND(MID(AN88,13,1),"123456789ABCDEFGHIJKLMNOPQRSTUVWXYZ")),MID(AN88,14,1)="Z")),"Wrong format",IF(MID("0123456789ABCDEFGHIJKLMNOPQRSTUVWXYZ",MOD(36-MOD(SUMPRODUCT(INT((FIND(MID(AN88,{1,2,3,4,5,6,7,8,9,10,11,12,13,14},1),"0123456789ABCDEFGHIJKLMNOPQRSTUVWXYZ")-1)*{1,2,1,2,1,2,1,2,1,2,1,2,1,2}/36)+MOD((FIND(MID(AN88,{1,2,3,4,5,6,7,8,9,10,11,12,13,14},1),"0123456789ABCDEFGHIJKLMNOPQRSTUVWXYZ")-1)*{1,2,1,2,1,2,1,2,1,2,1,2,1,2},36)),36),36)+1,1)=MID(AN88,15,1),"OK","Typo? check digit wrong")),"Wrong format"))</f>
        <v/>
      </c>
      <c r="AK88" s="27">
        <f>IF(AO88="","",IF(AND(LEN(AO88)=10,SUMPRODUCT(--ISERROR(FIND(MID(AO88,{1,2,3,4,5,10},1),"ABCDEFGHIJKLMNOPQRSTUVWXYZ")))=0,SUMPRODUCT(--ISERROR(FIND(MID(AO88,{6,7,8,9},1),"0123456789")))=0),"OK","Wrong format"))</f>
        <v/>
      </c>
      <c r="AL88" s="27">
        <f>IF(TRIM(H88)="","",IF(AND(LEN(UPPER(TRIM(H88)))=10,SUMPRODUCT(--ISERROR(FIND(MID(UPPER(TRIM(H88)),{1,2,3,4,10},1),"ABCDEFGHIJKLMNOPQRSTUVWXYZ")))=0,SUMPRODUCT(--ISERROR(FIND(MID(UPPER(TRIM(H88)),{5,6,7,8,9},1),"0123456789")))=0),"OK","Wrong format"))</f>
        <v/>
      </c>
      <c r="AM88" s="28">
        <f>IF(NOT(COUNTA(A88:AE88)&gt;0),"",IF(AS88&lt;&gt;"","✖ "&amp;LEFT(AS88,LEN(AS88)-2),IF(AR88&gt;0,"✔ Ready — client + "&amp;AR88&amp;" service(s)","✔ Ready — client only")))</f>
        <v/>
      </c>
      <c r="AN88" s="29">
        <f>UPPER(SUBSTITUTE(TRIM(F88)," ",""))</f>
        <v/>
      </c>
      <c r="AO88" s="29">
        <f>UPPER(SUBSTITUTE(TRIM(E88)," ",""))</f>
        <v/>
      </c>
      <c r="AP88" s="29">
        <f>IF(D88&lt;&gt;"",D88,IFERROR(VLOOKUP(MID(AG88,4,1),Lists!$E$2:$F$8,2,FALSE),""))</f>
        <v/>
      </c>
      <c r="AQ88" s="29">
        <f>IFERROR(VLOOKUP(AP88,Lists!$A$2:$C$12,3,FALSE),"")</f>
        <v/>
      </c>
      <c r="AR88" s="29">
        <f>COUNTIF(W88:AC88,"Yes")</f>
        <v/>
      </c>
      <c r="AS88" s="29">
        <f>IF(TRIM(B88)="","Legal name missing; ","")&amp;IF(AND(AJ88&lt;&gt;"",AJ88&lt;&gt;"OK"),"GSTIN: "&amp;AJ88&amp;"; ","")&amp;IF(AND(AK88&lt;&gt;"",AK88&lt;&gt;"OK"),"PAN wrong format; ","")&amp;IF(AND(AO88&lt;&gt;"",LEN(AN88)=15,MID(AN88,3,10)&lt;&gt;AO88),"PAN does not match GSTIN; ","")&amp;IF(AND(AL88&lt;&gt;"",AL88&lt;&gt;"OK"),"TAN wrong format; ","")&amp;IF(AG88="","PAN missing; ","")&amp;IF(AP88="","Entity type missing; ","")&amp;IF(AND(AN88&lt;&gt;"",COUNTIF($AN$6:$AN$1005,AN88)&gt;1),"GSTIN repeated in this sheet; ","")&amp;IF(AND(AG88&lt;&gt;"",COUNTIF($AG$6:$AG$1005,AG88)&gt;1),"PAN repeated in this sheet (same client? put extra GSTINs in Other GSTINs); ","")&amp;IF(AND(AR88&gt;0,V88=""),"Financial year missing; ","")&amp;IF(AND(AR88=0,V88&lt;&gt;""),"Financial year given but no service is Yes; ","")&amp;IF(AND(W88="Yes",AN88=""),"GST needs a GSTIN; ","")&amp;IF(AND(W88="Yes",X88=""),"GST return frequency missing; ","")&amp;IF(AND(Y88="Yes",TRIM(H88)=""),"TDS needs a TAN; ","")&amp;IF(AND(AA88="Yes",AQ88&lt;&gt;"",AQ88&lt;&gt;"company",AQ88&lt;&gt;"llp"),"ROC is only for a company / LLP; ","")&amp;IF(AND(AA88="Yes",OR(AQ88="company",AQ88="llp"),TRIM(I88)=""),"ROC needs the CIN / LLPIN; ","")</f>
        <v/>
      </c>
    </row>
    <row r="89">
      <c r="A89" s="30" t="n"/>
      <c r="B89" s="31" t="n"/>
      <c r="C89" s="31" t="n"/>
      <c r="D89" s="31" t="n"/>
      <c r="E89" s="30" t="n"/>
      <c r="F89" s="30" t="n"/>
      <c r="G89" s="30" t="n"/>
      <c r="H89" s="30" t="n"/>
      <c r="I89" s="30" t="n"/>
      <c r="J89" s="32" t="n"/>
      <c r="K89" s="31" t="n"/>
      <c r="L89" s="30" t="n"/>
      <c r="M89" s="31" t="n"/>
      <c r="N89" s="31" t="n"/>
      <c r="O89" s="31" t="n"/>
      <c r="P89" s="30" t="n"/>
      <c r="Q89" s="31" t="n"/>
      <c r="R89" s="31" t="n"/>
      <c r="S89" s="31" t="n"/>
      <c r="T89" s="31" t="n"/>
      <c r="U89" s="30" t="n"/>
      <c r="V89" s="31" t="n"/>
      <c r="W89" s="31" t="n"/>
      <c r="X89" s="31" t="n"/>
      <c r="Y89" s="31" t="n"/>
      <c r="Z89" s="31" t="n"/>
      <c r="AA89" s="31" t="n"/>
      <c r="AB89" s="31" t="n"/>
      <c r="AC89" s="31" t="n"/>
      <c r="AD89" s="31" t="n"/>
      <c r="AE89" s="31" t="n"/>
      <c r="AF89" s="27">
        <f>IF(NOT(COUNTA(A89:AE89)&gt;0),"",IF(A89="","New client","Update"))</f>
        <v/>
      </c>
      <c r="AG89" s="27">
        <f>IF(AO89&lt;&gt;"",AO89,IF(LEN(AN89)=15,MID(AN89,3,10),""))</f>
        <v/>
      </c>
      <c r="AH89" s="27">
        <f>IF(AP89="","",AP89&amp;IF(D89="","  (guessed from PAN)",""))</f>
        <v/>
      </c>
      <c r="AI89" s="27">
        <f>IF(AN89="","",IFERROR(INDEX(Lists!$L$2:$L$38,MATCH(LEFT(AN89,2),Lists!$K$2:$K$38,0)),"Unknown code"))</f>
        <v/>
      </c>
      <c r="AJ89" s="27">
        <f>IF(AN89="","",IFERROR(IF(NOT(AND(LEN(AN89)=15,ISNUMBER(MATCH(LEFT(AN89,2),Lists!$K$2:$K$38,0)),SUMPRODUCT(--ISERROR(FIND(MID(MID(AN89,3,10),{1,2,3,4,5,10},1),"ABCDEFGHIJKLMNOPQRSTUVWXYZ")))=0,SUMPRODUCT(--ISERROR(FIND(MID(MID(AN89,3,10),{6,7,8,9},1),"0123456789")))=0,ISNUMBER(FIND(MID(AN89,13,1),"123456789ABCDEFGHIJKLMNOPQRSTUVWXYZ")),MID(AN89,14,1)="Z")),"Wrong format",IF(MID("0123456789ABCDEFGHIJKLMNOPQRSTUVWXYZ",MOD(36-MOD(SUMPRODUCT(INT((FIND(MID(AN89,{1,2,3,4,5,6,7,8,9,10,11,12,13,14},1),"0123456789ABCDEFGHIJKLMNOPQRSTUVWXYZ")-1)*{1,2,1,2,1,2,1,2,1,2,1,2,1,2}/36)+MOD((FIND(MID(AN89,{1,2,3,4,5,6,7,8,9,10,11,12,13,14},1),"0123456789ABCDEFGHIJKLMNOPQRSTUVWXYZ")-1)*{1,2,1,2,1,2,1,2,1,2,1,2,1,2},36)),36),36)+1,1)=MID(AN89,15,1),"OK","Typo? check digit wrong")),"Wrong format"))</f>
        <v/>
      </c>
      <c r="AK89" s="27">
        <f>IF(AO89="","",IF(AND(LEN(AO89)=10,SUMPRODUCT(--ISERROR(FIND(MID(AO89,{1,2,3,4,5,10},1),"ABCDEFGHIJKLMNOPQRSTUVWXYZ")))=0,SUMPRODUCT(--ISERROR(FIND(MID(AO89,{6,7,8,9},1),"0123456789")))=0),"OK","Wrong format"))</f>
        <v/>
      </c>
      <c r="AL89" s="27">
        <f>IF(TRIM(H89)="","",IF(AND(LEN(UPPER(TRIM(H89)))=10,SUMPRODUCT(--ISERROR(FIND(MID(UPPER(TRIM(H89)),{1,2,3,4,10},1),"ABCDEFGHIJKLMNOPQRSTUVWXYZ")))=0,SUMPRODUCT(--ISERROR(FIND(MID(UPPER(TRIM(H89)),{5,6,7,8,9},1),"0123456789")))=0),"OK","Wrong format"))</f>
        <v/>
      </c>
      <c r="AM89" s="28">
        <f>IF(NOT(COUNTA(A89:AE89)&gt;0),"",IF(AS89&lt;&gt;"","✖ "&amp;LEFT(AS89,LEN(AS89)-2),IF(AR89&gt;0,"✔ Ready — client + "&amp;AR89&amp;" service(s)","✔ Ready — client only")))</f>
        <v/>
      </c>
      <c r="AN89" s="29">
        <f>UPPER(SUBSTITUTE(TRIM(F89)," ",""))</f>
        <v/>
      </c>
      <c r="AO89" s="29">
        <f>UPPER(SUBSTITUTE(TRIM(E89)," ",""))</f>
        <v/>
      </c>
      <c r="AP89" s="29">
        <f>IF(D89&lt;&gt;"",D89,IFERROR(VLOOKUP(MID(AG89,4,1),Lists!$E$2:$F$8,2,FALSE),""))</f>
        <v/>
      </c>
      <c r="AQ89" s="29">
        <f>IFERROR(VLOOKUP(AP89,Lists!$A$2:$C$12,3,FALSE),"")</f>
        <v/>
      </c>
      <c r="AR89" s="29">
        <f>COUNTIF(W89:AC89,"Yes")</f>
        <v/>
      </c>
      <c r="AS89" s="29">
        <f>IF(TRIM(B89)="","Legal name missing; ","")&amp;IF(AND(AJ89&lt;&gt;"",AJ89&lt;&gt;"OK"),"GSTIN: "&amp;AJ89&amp;"; ","")&amp;IF(AND(AK89&lt;&gt;"",AK89&lt;&gt;"OK"),"PAN wrong format; ","")&amp;IF(AND(AO89&lt;&gt;"",LEN(AN89)=15,MID(AN89,3,10)&lt;&gt;AO89),"PAN does not match GSTIN; ","")&amp;IF(AND(AL89&lt;&gt;"",AL89&lt;&gt;"OK"),"TAN wrong format; ","")&amp;IF(AG89="","PAN missing; ","")&amp;IF(AP89="","Entity type missing; ","")&amp;IF(AND(AN89&lt;&gt;"",COUNTIF($AN$6:$AN$1005,AN89)&gt;1),"GSTIN repeated in this sheet; ","")&amp;IF(AND(AG89&lt;&gt;"",COUNTIF($AG$6:$AG$1005,AG89)&gt;1),"PAN repeated in this sheet (same client? put extra GSTINs in Other GSTINs); ","")&amp;IF(AND(AR89&gt;0,V89=""),"Financial year missing; ","")&amp;IF(AND(AR89=0,V89&lt;&gt;""),"Financial year given but no service is Yes; ","")&amp;IF(AND(W89="Yes",AN89=""),"GST needs a GSTIN; ","")&amp;IF(AND(W89="Yes",X89=""),"GST return frequency missing; ","")&amp;IF(AND(Y89="Yes",TRIM(H89)=""),"TDS needs a TAN; ","")&amp;IF(AND(AA89="Yes",AQ89&lt;&gt;"",AQ89&lt;&gt;"company",AQ89&lt;&gt;"llp"),"ROC is only for a company / LLP; ","")&amp;IF(AND(AA89="Yes",OR(AQ89="company",AQ89="llp"),TRIM(I89)=""),"ROC needs the CIN / LLPIN; ","")</f>
        <v/>
      </c>
    </row>
    <row r="90">
      <c r="A90" s="30" t="n"/>
      <c r="B90" s="31" t="n"/>
      <c r="C90" s="31" t="n"/>
      <c r="D90" s="31" t="n"/>
      <c r="E90" s="30" t="n"/>
      <c r="F90" s="30" t="n"/>
      <c r="G90" s="30" t="n"/>
      <c r="H90" s="30" t="n"/>
      <c r="I90" s="30" t="n"/>
      <c r="J90" s="32" t="n"/>
      <c r="K90" s="31" t="n"/>
      <c r="L90" s="30" t="n"/>
      <c r="M90" s="31" t="n"/>
      <c r="N90" s="31" t="n"/>
      <c r="O90" s="31" t="n"/>
      <c r="P90" s="30" t="n"/>
      <c r="Q90" s="31" t="n"/>
      <c r="R90" s="31" t="n"/>
      <c r="S90" s="31" t="n"/>
      <c r="T90" s="31" t="n"/>
      <c r="U90" s="30" t="n"/>
      <c r="V90" s="31" t="n"/>
      <c r="W90" s="31" t="n"/>
      <c r="X90" s="31" t="n"/>
      <c r="Y90" s="31" t="n"/>
      <c r="Z90" s="31" t="n"/>
      <c r="AA90" s="31" t="n"/>
      <c r="AB90" s="31" t="n"/>
      <c r="AC90" s="31" t="n"/>
      <c r="AD90" s="31" t="n"/>
      <c r="AE90" s="31" t="n"/>
      <c r="AF90" s="27">
        <f>IF(NOT(COUNTA(A90:AE90)&gt;0),"",IF(A90="","New client","Update"))</f>
        <v/>
      </c>
      <c r="AG90" s="27">
        <f>IF(AO90&lt;&gt;"",AO90,IF(LEN(AN90)=15,MID(AN90,3,10),""))</f>
        <v/>
      </c>
      <c r="AH90" s="27">
        <f>IF(AP90="","",AP90&amp;IF(D90="","  (guessed from PAN)",""))</f>
        <v/>
      </c>
      <c r="AI90" s="27">
        <f>IF(AN90="","",IFERROR(INDEX(Lists!$L$2:$L$38,MATCH(LEFT(AN90,2),Lists!$K$2:$K$38,0)),"Unknown code"))</f>
        <v/>
      </c>
      <c r="AJ90" s="27">
        <f>IF(AN90="","",IFERROR(IF(NOT(AND(LEN(AN90)=15,ISNUMBER(MATCH(LEFT(AN90,2),Lists!$K$2:$K$38,0)),SUMPRODUCT(--ISERROR(FIND(MID(MID(AN90,3,10),{1,2,3,4,5,10},1),"ABCDEFGHIJKLMNOPQRSTUVWXYZ")))=0,SUMPRODUCT(--ISERROR(FIND(MID(MID(AN90,3,10),{6,7,8,9},1),"0123456789")))=0,ISNUMBER(FIND(MID(AN90,13,1),"123456789ABCDEFGHIJKLMNOPQRSTUVWXYZ")),MID(AN90,14,1)="Z")),"Wrong format",IF(MID("0123456789ABCDEFGHIJKLMNOPQRSTUVWXYZ",MOD(36-MOD(SUMPRODUCT(INT((FIND(MID(AN90,{1,2,3,4,5,6,7,8,9,10,11,12,13,14},1),"0123456789ABCDEFGHIJKLMNOPQRSTUVWXYZ")-1)*{1,2,1,2,1,2,1,2,1,2,1,2,1,2}/36)+MOD((FIND(MID(AN90,{1,2,3,4,5,6,7,8,9,10,11,12,13,14},1),"0123456789ABCDEFGHIJKLMNOPQRSTUVWXYZ")-1)*{1,2,1,2,1,2,1,2,1,2,1,2,1,2},36)),36),36)+1,1)=MID(AN90,15,1),"OK","Typo? check digit wrong")),"Wrong format"))</f>
        <v/>
      </c>
      <c r="AK90" s="27">
        <f>IF(AO90="","",IF(AND(LEN(AO90)=10,SUMPRODUCT(--ISERROR(FIND(MID(AO90,{1,2,3,4,5,10},1),"ABCDEFGHIJKLMNOPQRSTUVWXYZ")))=0,SUMPRODUCT(--ISERROR(FIND(MID(AO90,{6,7,8,9},1),"0123456789")))=0),"OK","Wrong format"))</f>
        <v/>
      </c>
      <c r="AL90" s="27">
        <f>IF(TRIM(H90)="","",IF(AND(LEN(UPPER(TRIM(H90)))=10,SUMPRODUCT(--ISERROR(FIND(MID(UPPER(TRIM(H90)),{1,2,3,4,10},1),"ABCDEFGHIJKLMNOPQRSTUVWXYZ")))=0,SUMPRODUCT(--ISERROR(FIND(MID(UPPER(TRIM(H90)),{5,6,7,8,9},1),"0123456789")))=0),"OK","Wrong format"))</f>
        <v/>
      </c>
      <c r="AM90" s="28">
        <f>IF(NOT(COUNTA(A90:AE90)&gt;0),"",IF(AS90&lt;&gt;"","✖ "&amp;LEFT(AS90,LEN(AS90)-2),IF(AR90&gt;0,"✔ Ready — client + "&amp;AR90&amp;" service(s)","✔ Ready — client only")))</f>
        <v/>
      </c>
      <c r="AN90" s="29">
        <f>UPPER(SUBSTITUTE(TRIM(F90)," ",""))</f>
        <v/>
      </c>
      <c r="AO90" s="29">
        <f>UPPER(SUBSTITUTE(TRIM(E90)," ",""))</f>
        <v/>
      </c>
      <c r="AP90" s="29">
        <f>IF(D90&lt;&gt;"",D90,IFERROR(VLOOKUP(MID(AG90,4,1),Lists!$E$2:$F$8,2,FALSE),""))</f>
        <v/>
      </c>
      <c r="AQ90" s="29">
        <f>IFERROR(VLOOKUP(AP90,Lists!$A$2:$C$12,3,FALSE),"")</f>
        <v/>
      </c>
      <c r="AR90" s="29">
        <f>COUNTIF(W90:AC90,"Yes")</f>
        <v/>
      </c>
      <c r="AS90" s="29">
        <f>IF(TRIM(B90)="","Legal name missing; ","")&amp;IF(AND(AJ90&lt;&gt;"",AJ90&lt;&gt;"OK"),"GSTIN: "&amp;AJ90&amp;"; ","")&amp;IF(AND(AK90&lt;&gt;"",AK90&lt;&gt;"OK"),"PAN wrong format; ","")&amp;IF(AND(AO90&lt;&gt;"",LEN(AN90)=15,MID(AN90,3,10)&lt;&gt;AO90),"PAN does not match GSTIN; ","")&amp;IF(AND(AL90&lt;&gt;"",AL90&lt;&gt;"OK"),"TAN wrong format; ","")&amp;IF(AG90="","PAN missing; ","")&amp;IF(AP90="","Entity type missing; ","")&amp;IF(AND(AN90&lt;&gt;"",COUNTIF($AN$6:$AN$1005,AN90)&gt;1),"GSTIN repeated in this sheet; ","")&amp;IF(AND(AG90&lt;&gt;"",COUNTIF($AG$6:$AG$1005,AG90)&gt;1),"PAN repeated in this sheet (same client? put extra GSTINs in Other GSTINs); ","")&amp;IF(AND(AR90&gt;0,V90=""),"Financial year missing; ","")&amp;IF(AND(AR90=0,V90&lt;&gt;""),"Financial year given but no service is Yes; ","")&amp;IF(AND(W90="Yes",AN90=""),"GST needs a GSTIN; ","")&amp;IF(AND(W90="Yes",X90=""),"GST return frequency missing; ","")&amp;IF(AND(Y90="Yes",TRIM(H90)=""),"TDS needs a TAN; ","")&amp;IF(AND(AA90="Yes",AQ90&lt;&gt;"",AQ90&lt;&gt;"company",AQ90&lt;&gt;"llp"),"ROC is only for a company / LLP; ","")&amp;IF(AND(AA90="Yes",OR(AQ90="company",AQ90="llp"),TRIM(I90)=""),"ROC needs the CIN / LLPIN; ","")</f>
        <v/>
      </c>
    </row>
    <row r="91">
      <c r="A91" s="30" t="n"/>
      <c r="B91" s="31" t="n"/>
      <c r="C91" s="31" t="n"/>
      <c r="D91" s="31" t="n"/>
      <c r="E91" s="30" t="n"/>
      <c r="F91" s="30" t="n"/>
      <c r="G91" s="30" t="n"/>
      <c r="H91" s="30" t="n"/>
      <c r="I91" s="30" t="n"/>
      <c r="J91" s="32" t="n"/>
      <c r="K91" s="31" t="n"/>
      <c r="L91" s="30" t="n"/>
      <c r="M91" s="31" t="n"/>
      <c r="N91" s="31" t="n"/>
      <c r="O91" s="31" t="n"/>
      <c r="P91" s="30" t="n"/>
      <c r="Q91" s="31" t="n"/>
      <c r="R91" s="31" t="n"/>
      <c r="S91" s="31" t="n"/>
      <c r="T91" s="31" t="n"/>
      <c r="U91" s="30" t="n"/>
      <c r="V91" s="31" t="n"/>
      <c r="W91" s="31" t="n"/>
      <c r="X91" s="31" t="n"/>
      <c r="Y91" s="31" t="n"/>
      <c r="Z91" s="31" t="n"/>
      <c r="AA91" s="31" t="n"/>
      <c r="AB91" s="31" t="n"/>
      <c r="AC91" s="31" t="n"/>
      <c r="AD91" s="31" t="n"/>
      <c r="AE91" s="31" t="n"/>
      <c r="AF91" s="27">
        <f>IF(NOT(COUNTA(A91:AE91)&gt;0),"",IF(A91="","New client","Update"))</f>
        <v/>
      </c>
      <c r="AG91" s="27">
        <f>IF(AO91&lt;&gt;"",AO91,IF(LEN(AN91)=15,MID(AN91,3,10),""))</f>
        <v/>
      </c>
      <c r="AH91" s="27">
        <f>IF(AP91="","",AP91&amp;IF(D91="","  (guessed from PAN)",""))</f>
        <v/>
      </c>
      <c r="AI91" s="27">
        <f>IF(AN91="","",IFERROR(INDEX(Lists!$L$2:$L$38,MATCH(LEFT(AN91,2),Lists!$K$2:$K$38,0)),"Unknown code"))</f>
        <v/>
      </c>
      <c r="AJ91" s="27">
        <f>IF(AN91="","",IFERROR(IF(NOT(AND(LEN(AN91)=15,ISNUMBER(MATCH(LEFT(AN91,2),Lists!$K$2:$K$38,0)),SUMPRODUCT(--ISERROR(FIND(MID(MID(AN91,3,10),{1,2,3,4,5,10},1),"ABCDEFGHIJKLMNOPQRSTUVWXYZ")))=0,SUMPRODUCT(--ISERROR(FIND(MID(MID(AN91,3,10),{6,7,8,9},1),"0123456789")))=0,ISNUMBER(FIND(MID(AN91,13,1),"123456789ABCDEFGHIJKLMNOPQRSTUVWXYZ")),MID(AN91,14,1)="Z")),"Wrong format",IF(MID("0123456789ABCDEFGHIJKLMNOPQRSTUVWXYZ",MOD(36-MOD(SUMPRODUCT(INT((FIND(MID(AN91,{1,2,3,4,5,6,7,8,9,10,11,12,13,14},1),"0123456789ABCDEFGHIJKLMNOPQRSTUVWXYZ")-1)*{1,2,1,2,1,2,1,2,1,2,1,2,1,2}/36)+MOD((FIND(MID(AN91,{1,2,3,4,5,6,7,8,9,10,11,12,13,14},1),"0123456789ABCDEFGHIJKLMNOPQRSTUVWXYZ")-1)*{1,2,1,2,1,2,1,2,1,2,1,2,1,2},36)),36),36)+1,1)=MID(AN91,15,1),"OK","Typo? check digit wrong")),"Wrong format"))</f>
        <v/>
      </c>
      <c r="AK91" s="27">
        <f>IF(AO91="","",IF(AND(LEN(AO91)=10,SUMPRODUCT(--ISERROR(FIND(MID(AO91,{1,2,3,4,5,10},1),"ABCDEFGHIJKLMNOPQRSTUVWXYZ")))=0,SUMPRODUCT(--ISERROR(FIND(MID(AO91,{6,7,8,9},1),"0123456789")))=0),"OK","Wrong format"))</f>
        <v/>
      </c>
      <c r="AL91" s="27">
        <f>IF(TRIM(H91)="","",IF(AND(LEN(UPPER(TRIM(H91)))=10,SUMPRODUCT(--ISERROR(FIND(MID(UPPER(TRIM(H91)),{1,2,3,4,10},1),"ABCDEFGHIJKLMNOPQRSTUVWXYZ")))=0,SUMPRODUCT(--ISERROR(FIND(MID(UPPER(TRIM(H91)),{5,6,7,8,9},1),"0123456789")))=0),"OK","Wrong format"))</f>
        <v/>
      </c>
      <c r="AM91" s="28">
        <f>IF(NOT(COUNTA(A91:AE91)&gt;0),"",IF(AS91&lt;&gt;"","✖ "&amp;LEFT(AS91,LEN(AS91)-2),IF(AR91&gt;0,"✔ Ready — client + "&amp;AR91&amp;" service(s)","✔ Ready — client only")))</f>
        <v/>
      </c>
      <c r="AN91" s="29">
        <f>UPPER(SUBSTITUTE(TRIM(F91)," ",""))</f>
        <v/>
      </c>
      <c r="AO91" s="29">
        <f>UPPER(SUBSTITUTE(TRIM(E91)," ",""))</f>
        <v/>
      </c>
      <c r="AP91" s="29">
        <f>IF(D91&lt;&gt;"",D91,IFERROR(VLOOKUP(MID(AG91,4,1),Lists!$E$2:$F$8,2,FALSE),""))</f>
        <v/>
      </c>
      <c r="AQ91" s="29">
        <f>IFERROR(VLOOKUP(AP91,Lists!$A$2:$C$12,3,FALSE),"")</f>
        <v/>
      </c>
      <c r="AR91" s="29">
        <f>COUNTIF(W91:AC91,"Yes")</f>
        <v/>
      </c>
      <c r="AS91" s="29">
        <f>IF(TRIM(B91)="","Legal name missing; ","")&amp;IF(AND(AJ91&lt;&gt;"",AJ91&lt;&gt;"OK"),"GSTIN: "&amp;AJ91&amp;"; ","")&amp;IF(AND(AK91&lt;&gt;"",AK91&lt;&gt;"OK"),"PAN wrong format; ","")&amp;IF(AND(AO91&lt;&gt;"",LEN(AN91)=15,MID(AN91,3,10)&lt;&gt;AO91),"PAN does not match GSTIN; ","")&amp;IF(AND(AL91&lt;&gt;"",AL91&lt;&gt;"OK"),"TAN wrong format; ","")&amp;IF(AG91="","PAN missing; ","")&amp;IF(AP91="","Entity type missing; ","")&amp;IF(AND(AN91&lt;&gt;"",COUNTIF($AN$6:$AN$1005,AN91)&gt;1),"GSTIN repeated in this sheet; ","")&amp;IF(AND(AG91&lt;&gt;"",COUNTIF($AG$6:$AG$1005,AG91)&gt;1),"PAN repeated in this sheet (same client? put extra GSTINs in Other GSTINs); ","")&amp;IF(AND(AR91&gt;0,V91=""),"Financial year missing; ","")&amp;IF(AND(AR91=0,V91&lt;&gt;""),"Financial year given but no service is Yes; ","")&amp;IF(AND(W91="Yes",AN91=""),"GST needs a GSTIN; ","")&amp;IF(AND(W91="Yes",X91=""),"GST return frequency missing; ","")&amp;IF(AND(Y91="Yes",TRIM(H91)=""),"TDS needs a TAN; ","")&amp;IF(AND(AA91="Yes",AQ91&lt;&gt;"",AQ91&lt;&gt;"company",AQ91&lt;&gt;"llp"),"ROC is only for a company / LLP; ","")&amp;IF(AND(AA91="Yes",OR(AQ91="company",AQ91="llp"),TRIM(I91)=""),"ROC needs the CIN / LLPIN; ","")</f>
        <v/>
      </c>
    </row>
    <row r="92">
      <c r="A92" s="30" t="n"/>
      <c r="B92" s="31" t="n"/>
      <c r="C92" s="31" t="n"/>
      <c r="D92" s="31" t="n"/>
      <c r="E92" s="30" t="n"/>
      <c r="F92" s="30" t="n"/>
      <c r="G92" s="30" t="n"/>
      <c r="H92" s="30" t="n"/>
      <c r="I92" s="30" t="n"/>
      <c r="J92" s="32" t="n"/>
      <c r="K92" s="31" t="n"/>
      <c r="L92" s="30" t="n"/>
      <c r="M92" s="31" t="n"/>
      <c r="N92" s="31" t="n"/>
      <c r="O92" s="31" t="n"/>
      <c r="P92" s="30" t="n"/>
      <c r="Q92" s="31" t="n"/>
      <c r="R92" s="31" t="n"/>
      <c r="S92" s="31" t="n"/>
      <c r="T92" s="31" t="n"/>
      <c r="U92" s="30" t="n"/>
      <c r="V92" s="31" t="n"/>
      <c r="W92" s="31" t="n"/>
      <c r="X92" s="31" t="n"/>
      <c r="Y92" s="31" t="n"/>
      <c r="Z92" s="31" t="n"/>
      <c r="AA92" s="31" t="n"/>
      <c r="AB92" s="31" t="n"/>
      <c r="AC92" s="31" t="n"/>
      <c r="AD92" s="31" t="n"/>
      <c r="AE92" s="31" t="n"/>
      <c r="AF92" s="27">
        <f>IF(NOT(COUNTA(A92:AE92)&gt;0),"",IF(A92="","New client","Update"))</f>
        <v/>
      </c>
      <c r="AG92" s="27">
        <f>IF(AO92&lt;&gt;"",AO92,IF(LEN(AN92)=15,MID(AN92,3,10),""))</f>
        <v/>
      </c>
      <c r="AH92" s="27">
        <f>IF(AP92="","",AP92&amp;IF(D92="","  (guessed from PAN)",""))</f>
        <v/>
      </c>
      <c r="AI92" s="27">
        <f>IF(AN92="","",IFERROR(INDEX(Lists!$L$2:$L$38,MATCH(LEFT(AN92,2),Lists!$K$2:$K$38,0)),"Unknown code"))</f>
        <v/>
      </c>
      <c r="AJ92" s="27">
        <f>IF(AN92="","",IFERROR(IF(NOT(AND(LEN(AN92)=15,ISNUMBER(MATCH(LEFT(AN92,2),Lists!$K$2:$K$38,0)),SUMPRODUCT(--ISERROR(FIND(MID(MID(AN92,3,10),{1,2,3,4,5,10},1),"ABCDEFGHIJKLMNOPQRSTUVWXYZ")))=0,SUMPRODUCT(--ISERROR(FIND(MID(MID(AN92,3,10),{6,7,8,9},1),"0123456789")))=0,ISNUMBER(FIND(MID(AN92,13,1),"123456789ABCDEFGHIJKLMNOPQRSTUVWXYZ")),MID(AN92,14,1)="Z")),"Wrong format",IF(MID("0123456789ABCDEFGHIJKLMNOPQRSTUVWXYZ",MOD(36-MOD(SUMPRODUCT(INT((FIND(MID(AN92,{1,2,3,4,5,6,7,8,9,10,11,12,13,14},1),"0123456789ABCDEFGHIJKLMNOPQRSTUVWXYZ")-1)*{1,2,1,2,1,2,1,2,1,2,1,2,1,2}/36)+MOD((FIND(MID(AN92,{1,2,3,4,5,6,7,8,9,10,11,12,13,14},1),"0123456789ABCDEFGHIJKLMNOPQRSTUVWXYZ")-1)*{1,2,1,2,1,2,1,2,1,2,1,2,1,2},36)),36),36)+1,1)=MID(AN92,15,1),"OK","Typo? check digit wrong")),"Wrong format"))</f>
        <v/>
      </c>
      <c r="AK92" s="27">
        <f>IF(AO92="","",IF(AND(LEN(AO92)=10,SUMPRODUCT(--ISERROR(FIND(MID(AO92,{1,2,3,4,5,10},1),"ABCDEFGHIJKLMNOPQRSTUVWXYZ")))=0,SUMPRODUCT(--ISERROR(FIND(MID(AO92,{6,7,8,9},1),"0123456789")))=0),"OK","Wrong format"))</f>
        <v/>
      </c>
      <c r="AL92" s="27">
        <f>IF(TRIM(H92)="","",IF(AND(LEN(UPPER(TRIM(H92)))=10,SUMPRODUCT(--ISERROR(FIND(MID(UPPER(TRIM(H92)),{1,2,3,4,10},1),"ABCDEFGHIJKLMNOPQRSTUVWXYZ")))=0,SUMPRODUCT(--ISERROR(FIND(MID(UPPER(TRIM(H92)),{5,6,7,8,9},1),"0123456789")))=0),"OK","Wrong format"))</f>
        <v/>
      </c>
      <c r="AM92" s="28">
        <f>IF(NOT(COUNTA(A92:AE92)&gt;0),"",IF(AS92&lt;&gt;"","✖ "&amp;LEFT(AS92,LEN(AS92)-2),IF(AR92&gt;0,"✔ Ready — client + "&amp;AR92&amp;" service(s)","✔ Ready — client only")))</f>
        <v/>
      </c>
      <c r="AN92" s="29">
        <f>UPPER(SUBSTITUTE(TRIM(F92)," ",""))</f>
        <v/>
      </c>
      <c r="AO92" s="29">
        <f>UPPER(SUBSTITUTE(TRIM(E92)," ",""))</f>
        <v/>
      </c>
      <c r="AP92" s="29">
        <f>IF(D92&lt;&gt;"",D92,IFERROR(VLOOKUP(MID(AG92,4,1),Lists!$E$2:$F$8,2,FALSE),""))</f>
        <v/>
      </c>
      <c r="AQ92" s="29">
        <f>IFERROR(VLOOKUP(AP92,Lists!$A$2:$C$12,3,FALSE),"")</f>
        <v/>
      </c>
      <c r="AR92" s="29">
        <f>COUNTIF(W92:AC92,"Yes")</f>
        <v/>
      </c>
      <c r="AS92" s="29">
        <f>IF(TRIM(B92)="","Legal name missing; ","")&amp;IF(AND(AJ92&lt;&gt;"",AJ92&lt;&gt;"OK"),"GSTIN: "&amp;AJ92&amp;"; ","")&amp;IF(AND(AK92&lt;&gt;"",AK92&lt;&gt;"OK"),"PAN wrong format; ","")&amp;IF(AND(AO92&lt;&gt;"",LEN(AN92)=15,MID(AN92,3,10)&lt;&gt;AO92),"PAN does not match GSTIN; ","")&amp;IF(AND(AL92&lt;&gt;"",AL92&lt;&gt;"OK"),"TAN wrong format; ","")&amp;IF(AG92="","PAN missing; ","")&amp;IF(AP92="","Entity type missing; ","")&amp;IF(AND(AN92&lt;&gt;"",COUNTIF($AN$6:$AN$1005,AN92)&gt;1),"GSTIN repeated in this sheet; ","")&amp;IF(AND(AG92&lt;&gt;"",COUNTIF($AG$6:$AG$1005,AG92)&gt;1),"PAN repeated in this sheet (same client? put extra GSTINs in Other GSTINs); ","")&amp;IF(AND(AR92&gt;0,V92=""),"Financial year missing; ","")&amp;IF(AND(AR92=0,V92&lt;&gt;""),"Financial year given but no service is Yes; ","")&amp;IF(AND(W92="Yes",AN92=""),"GST needs a GSTIN; ","")&amp;IF(AND(W92="Yes",X92=""),"GST return frequency missing; ","")&amp;IF(AND(Y92="Yes",TRIM(H92)=""),"TDS needs a TAN; ","")&amp;IF(AND(AA92="Yes",AQ92&lt;&gt;"",AQ92&lt;&gt;"company",AQ92&lt;&gt;"llp"),"ROC is only for a company / LLP; ","")&amp;IF(AND(AA92="Yes",OR(AQ92="company",AQ92="llp"),TRIM(I92)=""),"ROC needs the CIN / LLPIN; ","")</f>
        <v/>
      </c>
    </row>
    <row r="93">
      <c r="A93" s="30" t="n"/>
      <c r="B93" s="31" t="n"/>
      <c r="C93" s="31" t="n"/>
      <c r="D93" s="31" t="n"/>
      <c r="E93" s="30" t="n"/>
      <c r="F93" s="30" t="n"/>
      <c r="G93" s="30" t="n"/>
      <c r="H93" s="30" t="n"/>
      <c r="I93" s="30" t="n"/>
      <c r="J93" s="32" t="n"/>
      <c r="K93" s="31" t="n"/>
      <c r="L93" s="30" t="n"/>
      <c r="M93" s="31" t="n"/>
      <c r="N93" s="31" t="n"/>
      <c r="O93" s="31" t="n"/>
      <c r="P93" s="30" t="n"/>
      <c r="Q93" s="31" t="n"/>
      <c r="R93" s="31" t="n"/>
      <c r="S93" s="31" t="n"/>
      <c r="T93" s="31" t="n"/>
      <c r="U93" s="30" t="n"/>
      <c r="V93" s="31" t="n"/>
      <c r="W93" s="31" t="n"/>
      <c r="X93" s="31" t="n"/>
      <c r="Y93" s="31" t="n"/>
      <c r="Z93" s="31" t="n"/>
      <c r="AA93" s="31" t="n"/>
      <c r="AB93" s="31" t="n"/>
      <c r="AC93" s="31" t="n"/>
      <c r="AD93" s="31" t="n"/>
      <c r="AE93" s="31" t="n"/>
      <c r="AF93" s="27">
        <f>IF(NOT(COUNTA(A93:AE93)&gt;0),"",IF(A93="","New client","Update"))</f>
        <v/>
      </c>
      <c r="AG93" s="27">
        <f>IF(AO93&lt;&gt;"",AO93,IF(LEN(AN93)=15,MID(AN93,3,10),""))</f>
        <v/>
      </c>
      <c r="AH93" s="27">
        <f>IF(AP93="","",AP93&amp;IF(D93="","  (guessed from PAN)",""))</f>
        <v/>
      </c>
      <c r="AI93" s="27">
        <f>IF(AN93="","",IFERROR(INDEX(Lists!$L$2:$L$38,MATCH(LEFT(AN93,2),Lists!$K$2:$K$38,0)),"Unknown code"))</f>
        <v/>
      </c>
      <c r="AJ93" s="27">
        <f>IF(AN93="","",IFERROR(IF(NOT(AND(LEN(AN93)=15,ISNUMBER(MATCH(LEFT(AN93,2),Lists!$K$2:$K$38,0)),SUMPRODUCT(--ISERROR(FIND(MID(MID(AN93,3,10),{1,2,3,4,5,10},1),"ABCDEFGHIJKLMNOPQRSTUVWXYZ")))=0,SUMPRODUCT(--ISERROR(FIND(MID(MID(AN93,3,10),{6,7,8,9},1),"0123456789")))=0,ISNUMBER(FIND(MID(AN93,13,1),"123456789ABCDEFGHIJKLMNOPQRSTUVWXYZ")),MID(AN93,14,1)="Z")),"Wrong format",IF(MID("0123456789ABCDEFGHIJKLMNOPQRSTUVWXYZ",MOD(36-MOD(SUMPRODUCT(INT((FIND(MID(AN93,{1,2,3,4,5,6,7,8,9,10,11,12,13,14},1),"0123456789ABCDEFGHIJKLMNOPQRSTUVWXYZ")-1)*{1,2,1,2,1,2,1,2,1,2,1,2,1,2}/36)+MOD((FIND(MID(AN93,{1,2,3,4,5,6,7,8,9,10,11,12,13,14},1),"0123456789ABCDEFGHIJKLMNOPQRSTUVWXYZ")-1)*{1,2,1,2,1,2,1,2,1,2,1,2,1,2},36)),36),36)+1,1)=MID(AN93,15,1),"OK","Typo? check digit wrong")),"Wrong format"))</f>
        <v/>
      </c>
      <c r="AK93" s="27">
        <f>IF(AO93="","",IF(AND(LEN(AO93)=10,SUMPRODUCT(--ISERROR(FIND(MID(AO93,{1,2,3,4,5,10},1),"ABCDEFGHIJKLMNOPQRSTUVWXYZ")))=0,SUMPRODUCT(--ISERROR(FIND(MID(AO93,{6,7,8,9},1),"0123456789")))=0),"OK","Wrong format"))</f>
        <v/>
      </c>
      <c r="AL93" s="27">
        <f>IF(TRIM(H93)="","",IF(AND(LEN(UPPER(TRIM(H93)))=10,SUMPRODUCT(--ISERROR(FIND(MID(UPPER(TRIM(H93)),{1,2,3,4,10},1),"ABCDEFGHIJKLMNOPQRSTUVWXYZ")))=0,SUMPRODUCT(--ISERROR(FIND(MID(UPPER(TRIM(H93)),{5,6,7,8,9},1),"0123456789")))=0),"OK","Wrong format"))</f>
        <v/>
      </c>
      <c r="AM93" s="28">
        <f>IF(NOT(COUNTA(A93:AE93)&gt;0),"",IF(AS93&lt;&gt;"","✖ "&amp;LEFT(AS93,LEN(AS93)-2),IF(AR93&gt;0,"✔ Ready — client + "&amp;AR93&amp;" service(s)","✔ Ready — client only")))</f>
        <v/>
      </c>
      <c r="AN93" s="29">
        <f>UPPER(SUBSTITUTE(TRIM(F93)," ",""))</f>
        <v/>
      </c>
      <c r="AO93" s="29">
        <f>UPPER(SUBSTITUTE(TRIM(E93)," ",""))</f>
        <v/>
      </c>
      <c r="AP93" s="29">
        <f>IF(D93&lt;&gt;"",D93,IFERROR(VLOOKUP(MID(AG93,4,1),Lists!$E$2:$F$8,2,FALSE),""))</f>
        <v/>
      </c>
      <c r="AQ93" s="29">
        <f>IFERROR(VLOOKUP(AP93,Lists!$A$2:$C$12,3,FALSE),"")</f>
        <v/>
      </c>
      <c r="AR93" s="29">
        <f>COUNTIF(W93:AC93,"Yes")</f>
        <v/>
      </c>
      <c r="AS93" s="29">
        <f>IF(TRIM(B93)="","Legal name missing; ","")&amp;IF(AND(AJ93&lt;&gt;"",AJ93&lt;&gt;"OK"),"GSTIN: "&amp;AJ93&amp;"; ","")&amp;IF(AND(AK93&lt;&gt;"",AK93&lt;&gt;"OK"),"PAN wrong format; ","")&amp;IF(AND(AO93&lt;&gt;"",LEN(AN93)=15,MID(AN93,3,10)&lt;&gt;AO93),"PAN does not match GSTIN; ","")&amp;IF(AND(AL93&lt;&gt;"",AL93&lt;&gt;"OK"),"TAN wrong format; ","")&amp;IF(AG93="","PAN missing; ","")&amp;IF(AP93="","Entity type missing; ","")&amp;IF(AND(AN93&lt;&gt;"",COUNTIF($AN$6:$AN$1005,AN93)&gt;1),"GSTIN repeated in this sheet; ","")&amp;IF(AND(AG93&lt;&gt;"",COUNTIF($AG$6:$AG$1005,AG93)&gt;1),"PAN repeated in this sheet (same client? put extra GSTINs in Other GSTINs); ","")&amp;IF(AND(AR93&gt;0,V93=""),"Financial year missing; ","")&amp;IF(AND(AR93=0,V93&lt;&gt;""),"Financial year given but no service is Yes; ","")&amp;IF(AND(W93="Yes",AN93=""),"GST needs a GSTIN; ","")&amp;IF(AND(W93="Yes",X93=""),"GST return frequency missing; ","")&amp;IF(AND(Y93="Yes",TRIM(H93)=""),"TDS needs a TAN; ","")&amp;IF(AND(AA93="Yes",AQ93&lt;&gt;"",AQ93&lt;&gt;"company",AQ93&lt;&gt;"llp"),"ROC is only for a company / LLP; ","")&amp;IF(AND(AA93="Yes",OR(AQ93="company",AQ93="llp"),TRIM(I93)=""),"ROC needs the CIN / LLPIN; ","")</f>
        <v/>
      </c>
    </row>
    <row r="94">
      <c r="A94" s="30" t="n"/>
      <c r="B94" s="31" t="n"/>
      <c r="C94" s="31" t="n"/>
      <c r="D94" s="31" t="n"/>
      <c r="E94" s="30" t="n"/>
      <c r="F94" s="30" t="n"/>
      <c r="G94" s="30" t="n"/>
      <c r="H94" s="30" t="n"/>
      <c r="I94" s="30" t="n"/>
      <c r="J94" s="32" t="n"/>
      <c r="K94" s="31" t="n"/>
      <c r="L94" s="30" t="n"/>
      <c r="M94" s="31" t="n"/>
      <c r="N94" s="31" t="n"/>
      <c r="O94" s="31" t="n"/>
      <c r="P94" s="30" t="n"/>
      <c r="Q94" s="31" t="n"/>
      <c r="R94" s="31" t="n"/>
      <c r="S94" s="31" t="n"/>
      <c r="T94" s="31" t="n"/>
      <c r="U94" s="30" t="n"/>
      <c r="V94" s="31" t="n"/>
      <c r="W94" s="31" t="n"/>
      <c r="X94" s="31" t="n"/>
      <c r="Y94" s="31" t="n"/>
      <c r="Z94" s="31" t="n"/>
      <c r="AA94" s="31" t="n"/>
      <c r="AB94" s="31" t="n"/>
      <c r="AC94" s="31" t="n"/>
      <c r="AD94" s="31" t="n"/>
      <c r="AE94" s="31" t="n"/>
      <c r="AF94" s="27">
        <f>IF(NOT(COUNTA(A94:AE94)&gt;0),"",IF(A94="","New client","Update"))</f>
        <v/>
      </c>
      <c r="AG94" s="27">
        <f>IF(AO94&lt;&gt;"",AO94,IF(LEN(AN94)=15,MID(AN94,3,10),""))</f>
        <v/>
      </c>
      <c r="AH94" s="27">
        <f>IF(AP94="","",AP94&amp;IF(D94="","  (guessed from PAN)",""))</f>
        <v/>
      </c>
      <c r="AI94" s="27">
        <f>IF(AN94="","",IFERROR(INDEX(Lists!$L$2:$L$38,MATCH(LEFT(AN94,2),Lists!$K$2:$K$38,0)),"Unknown code"))</f>
        <v/>
      </c>
      <c r="AJ94" s="27">
        <f>IF(AN94="","",IFERROR(IF(NOT(AND(LEN(AN94)=15,ISNUMBER(MATCH(LEFT(AN94,2),Lists!$K$2:$K$38,0)),SUMPRODUCT(--ISERROR(FIND(MID(MID(AN94,3,10),{1,2,3,4,5,10},1),"ABCDEFGHIJKLMNOPQRSTUVWXYZ")))=0,SUMPRODUCT(--ISERROR(FIND(MID(MID(AN94,3,10),{6,7,8,9},1),"0123456789")))=0,ISNUMBER(FIND(MID(AN94,13,1),"123456789ABCDEFGHIJKLMNOPQRSTUVWXYZ")),MID(AN94,14,1)="Z")),"Wrong format",IF(MID("0123456789ABCDEFGHIJKLMNOPQRSTUVWXYZ",MOD(36-MOD(SUMPRODUCT(INT((FIND(MID(AN94,{1,2,3,4,5,6,7,8,9,10,11,12,13,14},1),"0123456789ABCDEFGHIJKLMNOPQRSTUVWXYZ")-1)*{1,2,1,2,1,2,1,2,1,2,1,2,1,2}/36)+MOD((FIND(MID(AN94,{1,2,3,4,5,6,7,8,9,10,11,12,13,14},1),"0123456789ABCDEFGHIJKLMNOPQRSTUVWXYZ")-1)*{1,2,1,2,1,2,1,2,1,2,1,2,1,2},36)),36),36)+1,1)=MID(AN94,15,1),"OK","Typo? check digit wrong")),"Wrong format"))</f>
        <v/>
      </c>
      <c r="AK94" s="27">
        <f>IF(AO94="","",IF(AND(LEN(AO94)=10,SUMPRODUCT(--ISERROR(FIND(MID(AO94,{1,2,3,4,5,10},1),"ABCDEFGHIJKLMNOPQRSTUVWXYZ")))=0,SUMPRODUCT(--ISERROR(FIND(MID(AO94,{6,7,8,9},1),"0123456789")))=0),"OK","Wrong format"))</f>
        <v/>
      </c>
      <c r="AL94" s="27">
        <f>IF(TRIM(H94)="","",IF(AND(LEN(UPPER(TRIM(H94)))=10,SUMPRODUCT(--ISERROR(FIND(MID(UPPER(TRIM(H94)),{1,2,3,4,10},1),"ABCDEFGHIJKLMNOPQRSTUVWXYZ")))=0,SUMPRODUCT(--ISERROR(FIND(MID(UPPER(TRIM(H94)),{5,6,7,8,9},1),"0123456789")))=0),"OK","Wrong format"))</f>
        <v/>
      </c>
      <c r="AM94" s="28">
        <f>IF(NOT(COUNTA(A94:AE94)&gt;0),"",IF(AS94&lt;&gt;"","✖ "&amp;LEFT(AS94,LEN(AS94)-2),IF(AR94&gt;0,"✔ Ready — client + "&amp;AR94&amp;" service(s)","✔ Ready — client only")))</f>
        <v/>
      </c>
      <c r="AN94" s="29">
        <f>UPPER(SUBSTITUTE(TRIM(F94)," ",""))</f>
        <v/>
      </c>
      <c r="AO94" s="29">
        <f>UPPER(SUBSTITUTE(TRIM(E94)," ",""))</f>
        <v/>
      </c>
      <c r="AP94" s="29">
        <f>IF(D94&lt;&gt;"",D94,IFERROR(VLOOKUP(MID(AG94,4,1),Lists!$E$2:$F$8,2,FALSE),""))</f>
        <v/>
      </c>
      <c r="AQ94" s="29">
        <f>IFERROR(VLOOKUP(AP94,Lists!$A$2:$C$12,3,FALSE),"")</f>
        <v/>
      </c>
      <c r="AR94" s="29">
        <f>COUNTIF(W94:AC94,"Yes")</f>
        <v/>
      </c>
      <c r="AS94" s="29">
        <f>IF(TRIM(B94)="","Legal name missing; ","")&amp;IF(AND(AJ94&lt;&gt;"",AJ94&lt;&gt;"OK"),"GSTIN: "&amp;AJ94&amp;"; ","")&amp;IF(AND(AK94&lt;&gt;"",AK94&lt;&gt;"OK"),"PAN wrong format; ","")&amp;IF(AND(AO94&lt;&gt;"",LEN(AN94)=15,MID(AN94,3,10)&lt;&gt;AO94),"PAN does not match GSTIN; ","")&amp;IF(AND(AL94&lt;&gt;"",AL94&lt;&gt;"OK"),"TAN wrong format; ","")&amp;IF(AG94="","PAN missing; ","")&amp;IF(AP94="","Entity type missing; ","")&amp;IF(AND(AN94&lt;&gt;"",COUNTIF($AN$6:$AN$1005,AN94)&gt;1),"GSTIN repeated in this sheet; ","")&amp;IF(AND(AG94&lt;&gt;"",COUNTIF($AG$6:$AG$1005,AG94)&gt;1),"PAN repeated in this sheet (same client? put extra GSTINs in Other GSTINs); ","")&amp;IF(AND(AR94&gt;0,V94=""),"Financial year missing; ","")&amp;IF(AND(AR94=0,V94&lt;&gt;""),"Financial year given but no service is Yes; ","")&amp;IF(AND(W94="Yes",AN94=""),"GST needs a GSTIN; ","")&amp;IF(AND(W94="Yes",X94=""),"GST return frequency missing; ","")&amp;IF(AND(Y94="Yes",TRIM(H94)=""),"TDS needs a TAN; ","")&amp;IF(AND(AA94="Yes",AQ94&lt;&gt;"",AQ94&lt;&gt;"company",AQ94&lt;&gt;"llp"),"ROC is only for a company / LLP; ","")&amp;IF(AND(AA94="Yes",OR(AQ94="company",AQ94="llp"),TRIM(I94)=""),"ROC needs the CIN / LLPIN; ","")</f>
        <v/>
      </c>
    </row>
    <row r="95">
      <c r="A95" s="30" t="n"/>
      <c r="B95" s="31" t="n"/>
      <c r="C95" s="31" t="n"/>
      <c r="D95" s="31" t="n"/>
      <c r="E95" s="30" t="n"/>
      <c r="F95" s="30" t="n"/>
      <c r="G95" s="30" t="n"/>
      <c r="H95" s="30" t="n"/>
      <c r="I95" s="30" t="n"/>
      <c r="J95" s="32" t="n"/>
      <c r="K95" s="31" t="n"/>
      <c r="L95" s="30" t="n"/>
      <c r="M95" s="31" t="n"/>
      <c r="N95" s="31" t="n"/>
      <c r="O95" s="31" t="n"/>
      <c r="P95" s="30" t="n"/>
      <c r="Q95" s="31" t="n"/>
      <c r="R95" s="31" t="n"/>
      <c r="S95" s="31" t="n"/>
      <c r="T95" s="31" t="n"/>
      <c r="U95" s="30" t="n"/>
      <c r="V95" s="31" t="n"/>
      <c r="W95" s="31" t="n"/>
      <c r="X95" s="31" t="n"/>
      <c r="Y95" s="31" t="n"/>
      <c r="Z95" s="31" t="n"/>
      <c r="AA95" s="31" t="n"/>
      <c r="AB95" s="31" t="n"/>
      <c r="AC95" s="31" t="n"/>
      <c r="AD95" s="31" t="n"/>
      <c r="AE95" s="31" t="n"/>
      <c r="AF95" s="27">
        <f>IF(NOT(COUNTA(A95:AE95)&gt;0),"",IF(A95="","New client","Update"))</f>
        <v/>
      </c>
      <c r="AG95" s="27">
        <f>IF(AO95&lt;&gt;"",AO95,IF(LEN(AN95)=15,MID(AN95,3,10),""))</f>
        <v/>
      </c>
      <c r="AH95" s="27">
        <f>IF(AP95="","",AP95&amp;IF(D95="","  (guessed from PAN)",""))</f>
        <v/>
      </c>
      <c r="AI95" s="27">
        <f>IF(AN95="","",IFERROR(INDEX(Lists!$L$2:$L$38,MATCH(LEFT(AN95,2),Lists!$K$2:$K$38,0)),"Unknown code"))</f>
        <v/>
      </c>
      <c r="AJ95" s="27">
        <f>IF(AN95="","",IFERROR(IF(NOT(AND(LEN(AN95)=15,ISNUMBER(MATCH(LEFT(AN95,2),Lists!$K$2:$K$38,0)),SUMPRODUCT(--ISERROR(FIND(MID(MID(AN95,3,10),{1,2,3,4,5,10},1),"ABCDEFGHIJKLMNOPQRSTUVWXYZ")))=0,SUMPRODUCT(--ISERROR(FIND(MID(MID(AN95,3,10),{6,7,8,9},1),"0123456789")))=0,ISNUMBER(FIND(MID(AN95,13,1),"123456789ABCDEFGHIJKLMNOPQRSTUVWXYZ")),MID(AN95,14,1)="Z")),"Wrong format",IF(MID("0123456789ABCDEFGHIJKLMNOPQRSTUVWXYZ",MOD(36-MOD(SUMPRODUCT(INT((FIND(MID(AN95,{1,2,3,4,5,6,7,8,9,10,11,12,13,14},1),"0123456789ABCDEFGHIJKLMNOPQRSTUVWXYZ")-1)*{1,2,1,2,1,2,1,2,1,2,1,2,1,2}/36)+MOD((FIND(MID(AN95,{1,2,3,4,5,6,7,8,9,10,11,12,13,14},1),"0123456789ABCDEFGHIJKLMNOPQRSTUVWXYZ")-1)*{1,2,1,2,1,2,1,2,1,2,1,2,1,2},36)),36),36)+1,1)=MID(AN95,15,1),"OK","Typo? check digit wrong")),"Wrong format"))</f>
        <v/>
      </c>
      <c r="AK95" s="27">
        <f>IF(AO95="","",IF(AND(LEN(AO95)=10,SUMPRODUCT(--ISERROR(FIND(MID(AO95,{1,2,3,4,5,10},1),"ABCDEFGHIJKLMNOPQRSTUVWXYZ")))=0,SUMPRODUCT(--ISERROR(FIND(MID(AO95,{6,7,8,9},1),"0123456789")))=0),"OK","Wrong format"))</f>
        <v/>
      </c>
      <c r="AL95" s="27">
        <f>IF(TRIM(H95)="","",IF(AND(LEN(UPPER(TRIM(H95)))=10,SUMPRODUCT(--ISERROR(FIND(MID(UPPER(TRIM(H95)),{1,2,3,4,10},1),"ABCDEFGHIJKLMNOPQRSTUVWXYZ")))=0,SUMPRODUCT(--ISERROR(FIND(MID(UPPER(TRIM(H95)),{5,6,7,8,9},1),"0123456789")))=0),"OK","Wrong format"))</f>
        <v/>
      </c>
      <c r="AM95" s="28">
        <f>IF(NOT(COUNTA(A95:AE95)&gt;0),"",IF(AS95&lt;&gt;"","✖ "&amp;LEFT(AS95,LEN(AS95)-2),IF(AR95&gt;0,"✔ Ready — client + "&amp;AR95&amp;" service(s)","✔ Ready — client only")))</f>
        <v/>
      </c>
      <c r="AN95" s="29">
        <f>UPPER(SUBSTITUTE(TRIM(F95)," ",""))</f>
        <v/>
      </c>
      <c r="AO95" s="29">
        <f>UPPER(SUBSTITUTE(TRIM(E95)," ",""))</f>
        <v/>
      </c>
      <c r="AP95" s="29">
        <f>IF(D95&lt;&gt;"",D95,IFERROR(VLOOKUP(MID(AG95,4,1),Lists!$E$2:$F$8,2,FALSE),""))</f>
        <v/>
      </c>
      <c r="AQ95" s="29">
        <f>IFERROR(VLOOKUP(AP95,Lists!$A$2:$C$12,3,FALSE),"")</f>
        <v/>
      </c>
      <c r="AR95" s="29">
        <f>COUNTIF(W95:AC95,"Yes")</f>
        <v/>
      </c>
      <c r="AS95" s="29">
        <f>IF(TRIM(B95)="","Legal name missing; ","")&amp;IF(AND(AJ95&lt;&gt;"",AJ95&lt;&gt;"OK"),"GSTIN: "&amp;AJ95&amp;"; ","")&amp;IF(AND(AK95&lt;&gt;"",AK95&lt;&gt;"OK"),"PAN wrong format; ","")&amp;IF(AND(AO95&lt;&gt;"",LEN(AN95)=15,MID(AN95,3,10)&lt;&gt;AO95),"PAN does not match GSTIN; ","")&amp;IF(AND(AL95&lt;&gt;"",AL95&lt;&gt;"OK"),"TAN wrong format; ","")&amp;IF(AG95="","PAN missing; ","")&amp;IF(AP95="","Entity type missing; ","")&amp;IF(AND(AN95&lt;&gt;"",COUNTIF($AN$6:$AN$1005,AN95)&gt;1),"GSTIN repeated in this sheet; ","")&amp;IF(AND(AG95&lt;&gt;"",COUNTIF($AG$6:$AG$1005,AG95)&gt;1),"PAN repeated in this sheet (same client? put extra GSTINs in Other GSTINs); ","")&amp;IF(AND(AR95&gt;0,V95=""),"Financial year missing; ","")&amp;IF(AND(AR95=0,V95&lt;&gt;""),"Financial year given but no service is Yes; ","")&amp;IF(AND(W95="Yes",AN95=""),"GST needs a GSTIN; ","")&amp;IF(AND(W95="Yes",X95=""),"GST return frequency missing; ","")&amp;IF(AND(Y95="Yes",TRIM(H95)=""),"TDS needs a TAN; ","")&amp;IF(AND(AA95="Yes",AQ95&lt;&gt;"",AQ95&lt;&gt;"company",AQ95&lt;&gt;"llp"),"ROC is only for a company / LLP; ","")&amp;IF(AND(AA95="Yes",OR(AQ95="company",AQ95="llp"),TRIM(I95)=""),"ROC needs the CIN / LLPIN; ","")</f>
        <v/>
      </c>
    </row>
    <row r="96">
      <c r="A96" s="30" t="n"/>
      <c r="B96" s="31" t="n"/>
      <c r="C96" s="31" t="n"/>
      <c r="D96" s="31" t="n"/>
      <c r="E96" s="30" t="n"/>
      <c r="F96" s="30" t="n"/>
      <c r="G96" s="30" t="n"/>
      <c r="H96" s="30" t="n"/>
      <c r="I96" s="30" t="n"/>
      <c r="J96" s="32" t="n"/>
      <c r="K96" s="31" t="n"/>
      <c r="L96" s="30" t="n"/>
      <c r="M96" s="31" t="n"/>
      <c r="N96" s="31" t="n"/>
      <c r="O96" s="31" t="n"/>
      <c r="P96" s="30" t="n"/>
      <c r="Q96" s="31" t="n"/>
      <c r="R96" s="31" t="n"/>
      <c r="S96" s="31" t="n"/>
      <c r="T96" s="31" t="n"/>
      <c r="U96" s="30" t="n"/>
      <c r="V96" s="31" t="n"/>
      <c r="W96" s="31" t="n"/>
      <c r="X96" s="31" t="n"/>
      <c r="Y96" s="31" t="n"/>
      <c r="Z96" s="31" t="n"/>
      <c r="AA96" s="31" t="n"/>
      <c r="AB96" s="31" t="n"/>
      <c r="AC96" s="31" t="n"/>
      <c r="AD96" s="31" t="n"/>
      <c r="AE96" s="31" t="n"/>
      <c r="AF96" s="27">
        <f>IF(NOT(COUNTA(A96:AE96)&gt;0),"",IF(A96="","New client","Update"))</f>
        <v/>
      </c>
      <c r="AG96" s="27">
        <f>IF(AO96&lt;&gt;"",AO96,IF(LEN(AN96)=15,MID(AN96,3,10),""))</f>
        <v/>
      </c>
      <c r="AH96" s="27">
        <f>IF(AP96="","",AP96&amp;IF(D96="","  (guessed from PAN)",""))</f>
        <v/>
      </c>
      <c r="AI96" s="27">
        <f>IF(AN96="","",IFERROR(INDEX(Lists!$L$2:$L$38,MATCH(LEFT(AN96,2),Lists!$K$2:$K$38,0)),"Unknown code"))</f>
        <v/>
      </c>
      <c r="AJ96" s="27">
        <f>IF(AN96="","",IFERROR(IF(NOT(AND(LEN(AN96)=15,ISNUMBER(MATCH(LEFT(AN96,2),Lists!$K$2:$K$38,0)),SUMPRODUCT(--ISERROR(FIND(MID(MID(AN96,3,10),{1,2,3,4,5,10},1),"ABCDEFGHIJKLMNOPQRSTUVWXYZ")))=0,SUMPRODUCT(--ISERROR(FIND(MID(MID(AN96,3,10),{6,7,8,9},1),"0123456789")))=0,ISNUMBER(FIND(MID(AN96,13,1),"123456789ABCDEFGHIJKLMNOPQRSTUVWXYZ")),MID(AN96,14,1)="Z")),"Wrong format",IF(MID("0123456789ABCDEFGHIJKLMNOPQRSTUVWXYZ",MOD(36-MOD(SUMPRODUCT(INT((FIND(MID(AN96,{1,2,3,4,5,6,7,8,9,10,11,12,13,14},1),"0123456789ABCDEFGHIJKLMNOPQRSTUVWXYZ")-1)*{1,2,1,2,1,2,1,2,1,2,1,2,1,2}/36)+MOD((FIND(MID(AN96,{1,2,3,4,5,6,7,8,9,10,11,12,13,14},1),"0123456789ABCDEFGHIJKLMNOPQRSTUVWXYZ")-1)*{1,2,1,2,1,2,1,2,1,2,1,2,1,2},36)),36),36)+1,1)=MID(AN96,15,1),"OK","Typo? check digit wrong")),"Wrong format"))</f>
        <v/>
      </c>
      <c r="AK96" s="27">
        <f>IF(AO96="","",IF(AND(LEN(AO96)=10,SUMPRODUCT(--ISERROR(FIND(MID(AO96,{1,2,3,4,5,10},1),"ABCDEFGHIJKLMNOPQRSTUVWXYZ")))=0,SUMPRODUCT(--ISERROR(FIND(MID(AO96,{6,7,8,9},1),"0123456789")))=0),"OK","Wrong format"))</f>
        <v/>
      </c>
      <c r="AL96" s="27">
        <f>IF(TRIM(H96)="","",IF(AND(LEN(UPPER(TRIM(H96)))=10,SUMPRODUCT(--ISERROR(FIND(MID(UPPER(TRIM(H96)),{1,2,3,4,10},1),"ABCDEFGHIJKLMNOPQRSTUVWXYZ")))=0,SUMPRODUCT(--ISERROR(FIND(MID(UPPER(TRIM(H96)),{5,6,7,8,9},1),"0123456789")))=0),"OK","Wrong format"))</f>
        <v/>
      </c>
      <c r="AM96" s="28">
        <f>IF(NOT(COUNTA(A96:AE96)&gt;0),"",IF(AS96&lt;&gt;"","✖ "&amp;LEFT(AS96,LEN(AS96)-2),IF(AR96&gt;0,"✔ Ready — client + "&amp;AR96&amp;" service(s)","✔ Ready — client only")))</f>
        <v/>
      </c>
      <c r="AN96" s="29">
        <f>UPPER(SUBSTITUTE(TRIM(F96)," ",""))</f>
        <v/>
      </c>
      <c r="AO96" s="29">
        <f>UPPER(SUBSTITUTE(TRIM(E96)," ",""))</f>
        <v/>
      </c>
      <c r="AP96" s="29">
        <f>IF(D96&lt;&gt;"",D96,IFERROR(VLOOKUP(MID(AG96,4,1),Lists!$E$2:$F$8,2,FALSE),""))</f>
        <v/>
      </c>
      <c r="AQ96" s="29">
        <f>IFERROR(VLOOKUP(AP96,Lists!$A$2:$C$12,3,FALSE),"")</f>
        <v/>
      </c>
      <c r="AR96" s="29">
        <f>COUNTIF(W96:AC96,"Yes")</f>
        <v/>
      </c>
      <c r="AS96" s="29">
        <f>IF(TRIM(B96)="","Legal name missing; ","")&amp;IF(AND(AJ96&lt;&gt;"",AJ96&lt;&gt;"OK"),"GSTIN: "&amp;AJ96&amp;"; ","")&amp;IF(AND(AK96&lt;&gt;"",AK96&lt;&gt;"OK"),"PAN wrong format; ","")&amp;IF(AND(AO96&lt;&gt;"",LEN(AN96)=15,MID(AN96,3,10)&lt;&gt;AO96),"PAN does not match GSTIN; ","")&amp;IF(AND(AL96&lt;&gt;"",AL96&lt;&gt;"OK"),"TAN wrong format; ","")&amp;IF(AG96="","PAN missing; ","")&amp;IF(AP96="","Entity type missing; ","")&amp;IF(AND(AN96&lt;&gt;"",COUNTIF($AN$6:$AN$1005,AN96)&gt;1),"GSTIN repeated in this sheet; ","")&amp;IF(AND(AG96&lt;&gt;"",COUNTIF($AG$6:$AG$1005,AG96)&gt;1),"PAN repeated in this sheet (same client? put extra GSTINs in Other GSTINs); ","")&amp;IF(AND(AR96&gt;0,V96=""),"Financial year missing; ","")&amp;IF(AND(AR96=0,V96&lt;&gt;""),"Financial year given but no service is Yes; ","")&amp;IF(AND(W96="Yes",AN96=""),"GST needs a GSTIN; ","")&amp;IF(AND(W96="Yes",X96=""),"GST return frequency missing; ","")&amp;IF(AND(Y96="Yes",TRIM(H96)=""),"TDS needs a TAN; ","")&amp;IF(AND(AA96="Yes",AQ96&lt;&gt;"",AQ96&lt;&gt;"company",AQ96&lt;&gt;"llp"),"ROC is only for a company / LLP; ","")&amp;IF(AND(AA96="Yes",OR(AQ96="company",AQ96="llp"),TRIM(I96)=""),"ROC needs the CIN / LLPIN; ","")</f>
        <v/>
      </c>
    </row>
    <row r="97">
      <c r="A97" s="30" t="n"/>
      <c r="B97" s="31" t="n"/>
      <c r="C97" s="31" t="n"/>
      <c r="D97" s="31" t="n"/>
      <c r="E97" s="30" t="n"/>
      <c r="F97" s="30" t="n"/>
      <c r="G97" s="30" t="n"/>
      <c r="H97" s="30" t="n"/>
      <c r="I97" s="30" t="n"/>
      <c r="J97" s="32" t="n"/>
      <c r="K97" s="31" t="n"/>
      <c r="L97" s="30" t="n"/>
      <c r="M97" s="31" t="n"/>
      <c r="N97" s="31" t="n"/>
      <c r="O97" s="31" t="n"/>
      <c r="P97" s="30" t="n"/>
      <c r="Q97" s="31" t="n"/>
      <c r="R97" s="31" t="n"/>
      <c r="S97" s="31" t="n"/>
      <c r="T97" s="31" t="n"/>
      <c r="U97" s="30" t="n"/>
      <c r="V97" s="31" t="n"/>
      <c r="W97" s="31" t="n"/>
      <c r="X97" s="31" t="n"/>
      <c r="Y97" s="31" t="n"/>
      <c r="Z97" s="31" t="n"/>
      <c r="AA97" s="31" t="n"/>
      <c r="AB97" s="31" t="n"/>
      <c r="AC97" s="31" t="n"/>
      <c r="AD97" s="31" t="n"/>
      <c r="AE97" s="31" t="n"/>
      <c r="AF97" s="27">
        <f>IF(NOT(COUNTA(A97:AE97)&gt;0),"",IF(A97="","New client","Update"))</f>
        <v/>
      </c>
      <c r="AG97" s="27">
        <f>IF(AO97&lt;&gt;"",AO97,IF(LEN(AN97)=15,MID(AN97,3,10),""))</f>
        <v/>
      </c>
      <c r="AH97" s="27">
        <f>IF(AP97="","",AP97&amp;IF(D97="","  (guessed from PAN)",""))</f>
        <v/>
      </c>
      <c r="AI97" s="27">
        <f>IF(AN97="","",IFERROR(INDEX(Lists!$L$2:$L$38,MATCH(LEFT(AN97,2),Lists!$K$2:$K$38,0)),"Unknown code"))</f>
        <v/>
      </c>
      <c r="AJ97" s="27">
        <f>IF(AN97="","",IFERROR(IF(NOT(AND(LEN(AN97)=15,ISNUMBER(MATCH(LEFT(AN97,2),Lists!$K$2:$K$38,0)),SUMPRODUCT(--ISERROR(FIND(MID(MID(AN97,3,10),{1,2,3,4,5,10},1),"ABCDEFGHIJKLMNOPQRSTUVWXYZ")))=0,SUMPRODUCT(--ISERROR(FIND(MID(MID(AN97,3,10),{6,7,8,9},1),"0123456789")))=0,ISNUMBER(FIND(MID(AN97,13,1),"123456789ABCDEFGHIJKLMNOPQRSTUVWXYZ")),MID(AN97,14,1)="Z")),"Wrong format",IF(MID("0123456789ABCDEFGHIJKLMNOPQRSTUVWXYZ",MOD(36-MOD(SUMPRODUCT(INT((FIND(MID(AN97,{1,2,3,4,5,6,7,8,9,10,11,12,13,14},1),"0123456789ABCDEFGHIJKLMNOPQRSTUVWXYZ")-1)*{1,2,1,2,1,2,1,2,1,2,1,2,1,2}/36)+MOD((FIND(MID(AN97,{1,2,3,4,5,6,7,8,9,10,11,12,13,14},1),"0123456789ABCDEFGHIJKLMNOPQRSTUVWXYZ")-1)*{1,2,1,2,1,2,1,2,1,2,1,2,1,2},36)),36),36)+1,1)=MID(AN97,15,1),"OK","Typo? check digit wrong")),"Wrong format"))</f>
        <v/>
      </c>
      <c r="AK97" s="27">
        <f>IF(AO97="","",IF(AND(LEN(AO97)=10,SUMPRODUCT(--ISERROR(FIND(MID(AO97,{1,2,3,4,5,10},1),"ABCDEFGHIJKLMNOPQRSTUVWXYZ")))=0,SUMPRODUCT(--ISERROR(FIND(MID(AO97,{6,7,8,9},1),"0123456789")))=0),"OK","Wrong format"))</f>
        <v/>
      </c>
      <c r="AL97" s="27">
        <f>IF(TRIM(H97)="","",IF(AND(LEN(UPPER(TRIM(H97)))=10,SUMPRODUCT(--ISERROR(FIND(MID(UPPER(TRIM(H97)),{1,2,3,4,10},1),"ABCDEFGHIJKLMNOPQRSTUVWXYZ")))=0,SUMPRODUCT(--ISERROR(FIND(MID(UPPER(TRIM(H97)),{5,6,7,8,9},1),"0123456789")))=0),"OK","Wrong format"))</f>
        <v/>
      </c>
      <c r="AM97" s="28">
        <f>IF(NOT(COUNTA(A97:AE97)&gt;0),"",IF(AS97&lt;&gt;"","✖ "&amp;LEFT(AS97,LEN(AS97)-2),IF(AR97&gt;0,"✔ Ready — client + "&amp;AR97&amp;" service(s)","✔ Ready — client only")))</f>
        <v/>
      </c>
      <c r="AN97" s="29">
        <f>UPPER(SUBSTITUTE(TRIM(F97)," ",""))</f>
        <v/>
      </c>
      <c r="AO97" s="29">
        <f>UPPER(SUBSTITUTE(TRIM(E97)," ",""))</f>
        <v/>
      </c>
      <c r="AP97" s="29">
        <f>IF(D97&lt;&gt;"",D97,IFERROR(VLOOKUP(MID(AG97,4,1),Lists!$E$2:$F$8,2,FALSE),""))</f>
        <v/>
      </c>
      <c r="AQ97" s="29">
        <f>IFERROR(VLOOKUP(AP97,Lists!$A$2:$C$12,3,FALSE),"")</f>
        <v/>
      </c>
      <c r="AR97" s="29">
        <f>COUNTIF(W97:AC97,"Yes")</f>
        <v/>
      </c>
      <c r="AS97" s="29">
        <f>IF(TRIM(B97)="","Legal name missing; ","")&amp;IF(AND(AJ97&lt;&gt;"",AJ97&lt;&gt;"OK"),"GSTIN: "&amp;AJ97&amp;"; ","")&amp;IF(AND(AK97&lt;&gt;"",AK97&lt;&gt;"OK"),"PAN wrong format; ","")&amp;IF(AND(AO97&lt;&gt;"",LEN(AN97)=15,MID(AN97,3,10)&lt;&gt;AO97),"PAN does not match GSTIN; ","")&amp;IF(AND(AL97&lt;&gt;"",AL97&lt;&gt;"OK"),"TAN wrong format; ","")&amp;IF(AG97="","PAN missing; ","")&amp;IF(AP97="","Entity type missing; ","")&amp;IF(AND(AN97&lt;&gt;"",COUNTIF($AN$6:$AN$1005,AN97)&gt;1),"GSTIN repeated in this sheet; ","")&amp;IF(AND(AG97&lt;&gt;"",COUNTIF($AG$6:$AG$1005,AG97)&gt;1),"PAN repeated in this sheet (same client? put extra GSTINs in Other GSTINs); ","")&amp;IF(AND(AR97&gt;0,V97=""),"Financial year missing; ","")&amp;IF(AND(AR97=0,V97&lt;&gt;""),"Financial year given but no service is Yes; ","")&amp;IF(AND(W97="Yes",AN97=""),"GST needs a GSTIN; ","")&amp;IF(AND(W97="Yes",X97=""),"GST return frequency missing; ","")&amp;IF(AND(Y97="Yes",TRIM(H97)=""),"TDS needs a TAN; ","")&amp;IF(AND(AA97="Yes",AQ97&lt;&gt;"",AQ97&lt;&gt;"company",AQ97&lt;&gt;"llp"),"ROC is only for a company / LLP; ","")&amp;IF(AND(AA97="Yes",OR(AQ97="company",AQ97="llp"),TRIM(I97)=""),"ROC needs the CIN / LLPIN; ","")</f>
        <v/>
      </c>
    </row>
    <row r="98">
      <c r="A98" s="30" t="n"/>
      <c r="B98" s="31" t="n"/>
      <c r="C98" s="31" t="n"/>
      <c r="D98" s="31" t="n"/>
      <c r="E98" s="30" t="n"/>
      <c r="F98" s="30" t="n"/>
      <c r="G98" s="30" t="n"/>
      <c r="H98" s="30" t="n"/>
      <c r="I98" s="30" t="n"/>
      <c r="J98" s="32" t="n"/>
      <c r="K98" s="31" t="n"/>
      <c r="L98" s="30" t="n"/>
      <c r="M98" s="31" t="n"/>
      <c r="N98" s="31" t="n"/>
      <c r="O98" s="31" t="n"/>
      <c r="P98" s="30" t="n"/>
      <c r="Q98" s="31" t="n"/>
      <c r="R98" s="31" t="n"/>
      <c r="S98" s="31" t="n"/>
      <c r="T98" s="31" t="n"/>
      <c r="U98" s="30" t="n"/>
      <c r="V98" s="31" t="n"/>
      <c r="W98" s="31" t="n"/>
      <c r="X98" s="31" t="n"/>
      <c r="Y98" s="31" t="n"/>
      <c r="Z98" s="31" t="n"/>
      <c r="AA98" s="31" t="n"/>
      <c r="AB98" s="31" t="n"/>
      <c r="AC98" s="31" t="n"/>
      <c r="AD98" s="31" t="n"/>
      <c r="AE98" s="31" t="n"/>
      <c r="AF98" s="27">
        <f>IF(NOT(COUNTA(A98:AE98)&gt;0),"",IF(A98="","New client","Update"))</f>
        <v/>
      </c>
      <c r="AG98" s="27">
        <f>IF(AO98&lt;&gt;"",AO98,IF(LEN(AN98)=15,MID(AN98,3,10),""))</f>
        <v/>
      </c>
      <c r="AH98" s="27">
        <f>IF(AP98="","",AP98&amp;IF(D98="","  (guessed from PAN)",""))</f>
        <v/>
      </c>
      <c r="AI98" s="27">
        <f>IF(AN98="","",IFERROR(INDEX(Lists!$L$2:$L$38,MATCH(LEFT(AN98,2),Lists!$K$2:$K$38,0)),"Unknown code"))</f>
        <v/>
      </c>
      <c r="AJ98" s="27">
        <f>IF(AN98="","",IFERROR(IF(NOT(AND(LEN(AN98)=15,ISNUMBER(MATCH(LEFT(AN98,2),Lists!$K$2:$K$38,0)),SUMPRODUCT(--ISERROR(FIND(MID(MID(AN98,3,10),{1,2,3,4,5,10},1),"ABCDEFGHIJKLMNOPQRSTUVWXYZ")))=0,SUMPRODUCT(--ISERROR(FIND(MID(MID(AN98,3,10),{6,7,8,9},1),"0123456789")))=0,ISNUMBER(FIND(MID(AN98,13,1),"123456789ABCDEFGHIJKLMNOPQRSTUVWXYZ")),MID(AN98,14,1)="Z")),"Wrong format",IF(MID("0123456789ABCDEFGHIJKLMNOPQRSTUVWXYZ",MOD(36-MOD(SUMPRODUCT(INT((FIND(MID(AN98,{1,2,3,4,5,6,7,8,9,10,11,12,13,14},1),"0123456789ABCDEFGHIJKLMNOPQRSTUVWXYZ")-1)*{1,2,1,2,1,2,1,2,1,2,1,2,1,2}/36)+MOD((FIND(MID(AN98,{1,2,3,4,5,6,7,8,9,10,11,12,13,14},1),"0123456789ABCDEFGHIJKLMNOPQRSTUVWXYZ")-1)*{1,2,1,2,1,2,1,2,1,2,1,2,1,2},36)),36),36)+1,1)=MID(AN98,15,1),"OK","Typo? check digit wrong")),"Wrong format"))</f>
        <v/>
      </c>
      <c r="AK98" s="27">
        <f>IF(AO98="","",IF(AND(LEN(AO98)=10,SUMPRODUCT(--ISERROR(FIND(MID(AO98,{1,2,3,4,5,10},1),"ABCDEFGHIJKLMNOPQRSTUVWXYZ")))=0,SUMPRODUCT(--ISERROR(FIND(MID(AO98,{6,7,8,9},1),"0123456789")))=0),"OK","Wrong format"))</f>
        <v/>
      </c>
      <c r="AL98" s="27">
        <f>IF(TRIM(H98)="","",IF(AND(LEN(UPPER(TRIM(H98)))=10,SUMPRODUCT(--ISERROR(FIND(MID(UPPER(TRIM(H98)),{1,2,3,4,10},1),"ABCDEFGHIJKLMNOPQRSTUVWXYZ")))=0,SUMPRODUCT(--ISERROR(FIND(MID(UPPER(TRIM(H98)),{5,6,7,8,9},1),"0123456789")))=0),"OK","Wrong format"))</f>
        <v/>
      </c>
      <c r="AM98" s="28">
        <f>IF(NOT(COUNTA(A98:AE98)&gt;0),"",IF(AS98&lt;&gt;"","✖ "&amp;LEFT(AS98,LEN(AS98)-2),IF(AR98&gt;0,"✔ Ready — client + "&amp;AR98&amp;" service(s)","✔ Ready — client only")))</f>
        <v/>
      </c>
      <c r="AN98" s="29">
        <f>UPPER(SUBSTITUTE(TRIM(F98)," ",""))</f>
        <v/>
      </c>
      <c r="AO98" s="29">
        <f>UPPER(SUBSTITUTE(TRIM(E98)," ",""))</f>
        <v/>
      </c>
      <c r="AP98" s="29">
        <f>IF(D98&lt;&gt;"",D98,IFERROR(VLOOKUP(MID(AG98,4,1),Lists!$E$2:$F$8,2,FALSE),""))</f>
        <v/>
      </c>
      <c r="AQ98" s="29">
        <f>IFERROR(VLOOKUP(AP98,Lists!$A$2:$C$12,3,FALSE),"")</f>
        <v/>
      </c>
      <c r="AR98" s="29">
        <f>COUNTIF(W98:AC98,"Yes")</f>
        <v/>
      </c>
      <c r="AS98" s="29">
        <f>IF(TRIM(B98)="","Legal name missing; ","")&amp;IF(AND(AJ98&lt;&gt;"",AJ98&lt;&gt;"OK"),"GSTIN: "&amp;AJ98&amp;"; ","")&amp;IF(AND(AK98&lt;&gt;"",AK98&lt;&gt;"OK"),"PAN wrong format; ","")&amp;IF(AND(AO98&lt;&gt;"",LEN(AN98)=15,MID(AN98,3,10)&lt;&gt;AO98),"PAN does not match GSTIN; ","")&amp;IF(AND(AL98&lt;&gt;"",AL98&lt;&gt;"OK"),"TAN wrong format; ","")&amp;IF(AG98="","PAN missing; ","")&amp;IF(AP98="","Entity type missing; ","")&amp;IF(AND(AN98&lt;&gt;"",COUNTIF($AN$6:$AN$1005,AN98)&gt;1),"GSTIN repeated in this sheet; ","")&amp;IF(AND(AG98&lt;&gt;"",COUNTIF($AG$6:$AG$1005,AG98)&gt;1),"PAN repeated in this sheet (same client? put extra GSTINs in Other GSTINs); ","")&amp;IF(AND(AR98&gt;0,V98=""),"Financial year missing; ","")&amp;IF(AND(AR98=0,V98&lt;&gt;""),"Financial year given but no service is Yes; ","")&amp;IF(AND(W98="Yes",AN98=""),"GST needs a GSTIN; ","")&amp;IF(AND(W98="Yes",X98=""),"GST return frequency missing; ","")&amp;IF(AND(Y98="Yes",TRIM(H98)=""),"TDS needs a TAN; ","")&amp;IF(AND(AA98="Yes",AQ98&lt;&gt;"",AQ98&lt;&gt;"company",AQ98&lt;&gt;"llp"),"ROC is only for a company / LLP; ","")&amp;IF(AND(AA98="Yes",OR(AQ98="company",AQ98="llp"),TRIM(I98)=""),"ROC needs the CIN / LLPIN; ","")</f>
        <v/>
      </c>
    </row>
    <row r="99">
      <c r="A99" s="30" t="n"/>
      <c r="B99" s="31" t="n"/>
      <c r="C99" s="31" t="n"/>
      <c r="D99" s="31" t="n"/>
      <c r="E99" s="30" t="n"/>
      <c r="F99" s="30" t="n"/>
      <c r="G99" s="30" t="n"/>
      <c r="H99" s="30" t="n"/>
      <c r="I99" s="30" t="n"/>
      <c r="J99" s="32" t="n"/>
      <c r="K99" s="31" t="n"/>
      <c r="L99" s="30" t="n"/>
      <c r="M99" s="31" t="n"/>
      <c r="N99" s="31" t="n"/>
      <c r="O99" s="31" t="n"/>
      <c r="P99" s="30" t="n"/>
      <c r="Q99" s="31" t="n"/>
      <c r="R99" s="31" t="n"/>
      <c r="S99" s="31" t="n"/>
      <c r="T99" s="31" t="n"/>
      <c r="U99" s="30" t="n"/>
      <c r="V99" s="31" t="n"/>
      <c r="W99" s="31" t="n"/>
      <c r="X99" s="31" t="n"/>
      <c r="Y99" s="31" t="n"/>
      <c r="Z99" s="31" t="n"/>
      <c r="AA99" s="31" t="n"/>
      <c r="AB99" s="31" t="n"/>
      <c r="AC99" s="31" t="n"/>
      <c r="AD99" s="31" t="n"/>
      <c r="AE99" s="31" t="n"/>
      <c r="AF99" s="27">
        <f>IF(NOT(COUNTA(A99:AE99)&gt;0),"",IF(A99="","New client","Update"))</f>
        <v/>
      </c>
      <c r="AG99" s="27">
        <f>IF(AO99&lt;&gt;"",AO99,IF(LEN(AN99)=15,MID(AN99,3,10),""))</f>
        <v/>
      </c>
      <c r="AH99" s="27">
        <f>IF(AP99="","",AP99&amp;IF(D99="","  (guessed from PAN)",""))</f>
        <v/>
      </c>
      <c r="AI99" s="27">
        <f>IF(AN99="","",IFERROR(INDEX(Lists!$L$2:$L$38,MATCH(LEFT(AN99,2),Lists!$K$2:$K$38,0)),"Unknown code"))</f>
        <v/>
      </c>
      <c r="AJ99" s="27">
        <f>IF(AN99="","",IFERROR(IF(NOT(AND(LEN(AN99)=15,ISNUMBER(MATCH(LEFT(AN99,2),Lists!$K$2:$K$38,0)),SUMPRODUCT(--ISERROR(FIND(MID(MID(AN99,3,10),{1,2,3,4,5,10},1),"ABCDEFGHIJKLMNOPQRSTUVWXYZ")))=0,SUMPRODUCT(--ISERROR(FIND(MID(MID(AN99,3,10),{6,7,8,9},1),"0123456789")))=0,ISNUMBER(FIND(MID(AN99,13,1),"123456789ABCDEFGHIJKLMNOPQRSTUVWXYZ")),MID(AN99,14,1)="Z")),"Wrong format",IF(MID("0123456789ABCDEFGHIJKLMNOPQRSTUVWXYZ",MOD(36-MOD(SUMPRODUCT(INT((FIND(MID(AN99,{1,2,3,4,5,6,7,8,9,10,11,12,13,14},1),"0123456789ABCDEFGHIJKLMNOPQRSTUVWXYZ")-1)*{1,2,1,2,1,2,1,2,1,2,1,2,1,2}/36)+MOD((FIND(MID(AN99,{1,2,3,4,5,6,7,8,9,10,11,12,13,14},1),"0123456789ABCDEFGHIJKLMNOPQRSTUVWXYZ")-1)*{1,2,1,2,1,2,1,2,1,2,1,2,1,2},36)),36),36)+1,1)=MID(AN99,15,1),"OK","Typo? check digit wrong")),"Wrong format"))</f>
        <v/>
      </c>
      <c r="AK99" s="27">
        <f>IF(AO99="","",IF(AND(LEN(AO99)=10,SUMPRODUCT(--ISERROR(FIND(MID(AO99,{1,2,3,4,5,10},1),"ABCDEFGHIJKLMNOPQRSTUVWXYZ")))=0,SUMPRODUCT(--ISERROR(FIND(MID(AO99,{6,7,8,9},1),"0123456789")))=0),"OK","Wrong format"))</f>
        <v/>
      </c>
      <c r="AL99" s="27">
        <f>IF(TRIM(H99)="","",IF(AND(LEN(UPPER(TRIM(H99)))=10,SUMPRODUCT(--ISERROR(FIND(MID(UPPER(TRIM(H99)),{1,2,3,4,10},1),"ABCDEFGHIJKLMNOPQRSTUVWXYZ")))=0,SUMPRODUCT(--ISERROR(FIND(MID(UPPER(TRIM(H99)),{5,6,7,8,9},1),"0123456789")))=0),"OK","Wrong format"))</f>
        <v/>
      </c>
      <c r="AM99" s="28">
        <f>IF(NOT(COUNTA(A99:AE99)&gt;0),"",IF(AS99&lt;&gt;"","✖ "&amp;LEFT(AS99,LEN(AS99)-2),IF(AR99&gt;0,"✔ Ready — client + "&amp;AR99&amp;" service(s)","✔ Ready — client only")))</f>
        <v/>
      </c>
      <c r="AN99" s="29">
        <f>UPPER(SUBSTITUTE(TRIM(F99)," ",""))</f>
        <v/>
      </c>
      <c r="AO99" s="29">
        <f>UPPER(SUBSTITUTE(TRIM(E99)," ",""))</f>
        <v/>
      </c>
      <c r="AP99" s="29">
        <f>IF(D99&lt;&gt;"",D99,IFERROR(VLOOKUP(MID(AG99,4,1),Lists!$E$2:$F$8,2,FALSE),""))</f>
        <v/>
      </c>
      <c r="AQ99" s="29">
        <f>IFERROR(VLOOKUP(AP99,Lists!$A$2:$C$12,3,FALSE),"")</f>
        <v/>
      </c>
      <c r="AR99" s="29">
        <f>COUNTIF(W99:AC99,"Yes")</f>
        <v/>
      </c>
      <c r="AS99" s="29">
        <f>IF(TRIM(B99)="","Legal name missing; ","")&amp;IF(AND(AJ99&lt;&gt;"",AJ99&lt;&gt;"OK"),"GSTIN: "&amp;AJ99&amp;"; ","")&amp;IF(AND(AK99&lt;&gt;"",AK99&lt;&gt;"OK"),"PAN wrong format; ","")&amp;IF(AND(AO99&lt;&gt;"",LEN(AN99)=15,MID(AN99,3,10)&lt;&gt;AO99),"PAN does not match GSTIN; ","")&amp;IF(AND(AL99&lt;&gt;"",AL99&lt;&gt;"OK"),"TAN wrong format; ","")&amp;IF(AG99="","PAN missing; ","")&amp;IF(AP99="","Entity type missing; ","")&amp;IF(AND(AN99&lt;&gt;"",COUNTIF($AN$6:$AN$1005,AN99)&gt;1),"GSTIN repeated in this sheet; ","")&amp;IF(AND(AG99&lt;&gt;"",COUNTIF($AG$6:$AG$1005,AG99)&gt;1),"PAN repeated in this sheet (same client? put extra GSTINs in Other GSTINs); ","")&amp;IF(AND(AR99&gt;0,V99=""),"Financial year missing; ","")&amp;IF(AND(AR99=0,V99&lt;&gt;""),"Financial year given but no service is Yes; ","")&amp;IF(AND(W99="Yes",AN99=""),"GST needs a GSTIN; ","")&amp;IF(AND(W99="Yes",X99=""),"GST return frequency missing; ","")&amp;IF(AND(Y99="Yes",TRIM(H99)=""),"TDS needs a TAN; ","")&amp;IF(AND(AA99="Yes",AQ99&lt;&gt;"",AQ99&lt;&gt;"company",AQ99&lt;&gt;"llp"),"ROC is only for a company / LLP; ","")&amp;IF(AND(AA99="Yes",OR(AQ99="company",AQ99="llp"),TRIM(I99)=""),"ROC needs the CIN / LLPIN; ","")</f>
        <v/>
      </c>
    </row>
    <row r="100">
      <c r="A100" s="30" t="n"/>
      <c r="B100" s="31" t="n"/>
      <c r="C100" s="31" t="n"/>
      <c r="D100" s="31" t="n"/>
      <c r="E100" s="30" t="n"/>
      <c r="F100" s="30" t="n"/>
      <c r="G100" s="30" t="n"/>
      <c r="H100" s="30" t="n"/>
      <c r="I100" s="30" t="n"/>
      <c r="J100" s="32" t="n"/>
      <c r="K100" s="31" t="n"/>
      <c r="L100" s="30" t="n"/>
      <c r="M100" s="31" t="n"/>
      <c r="N100" s="31" t="n"/>
      <c r="O100" s="31" t="n"/>
      <c r="P100" s="30" t="n"/>
      <c r="Q100" s="31" t="n"/>
      <c r="R100" s="31" t="n"/>
      <c r="S100" s="31" t="n"/>
      <c r="T100" s="31" t="n"/>
      <c r="U100" s="30" t="n"/>
      <c r="V100" s="31" t="n"/>
      <c r="W100" s="31" t="n"/>
      <c r="X100" s="31" t="n"/>
      <c r="Y100" s="31" t="n"/>
      <c r="Z100" s="31" t="n"/>
      <c r="AA100" s="31" t="n"/>
      <c r="AB100" s="31" t="n"/>
      <c r="AC100" s="31" t="n"/>
      <c r="AD100" s="31" t="n"/>
      <c r="AE100" s="31" t="n"/>
      <c r="AF100" s="27">
        <f>IF(NOT(COUNTA(A100:AE100)&gt;0),"",IF(A100="","New client","Update"))</f>
        <v/>
      </c>
      <c r="AG100" s="27">
        <f>IF(AO100&lt;&gt;"",AO100,IF(LEN(AN100)=15,MID(AN100,3,10),""))</f>
        <v/>
      </c>
      <c r="AH100" s="27">
        <f>IF(AP100="","",AP100&amp;IF(D100="","  (guessed from PAN)",""))</f>
        <v/>
      </c>
      <c r="AI100" s="27">
        <f>IF(AN100="","",IFERROR(INDEX(Lists!$L$2:$L$38,MATCH(LEFT(AN100,2),Lists!$K$2:$K$38,0)),"Unknown code"))</f>
        <v/>
      </c>
      <c r="AJ100" s="27">
        <f>IF(AN100="","",IFERROR(IF(NOT(AND(LEN(AN100)=15,ISNUMBER(MATCH(LEFT(AN100,2),Lists!$K$2:$K$38,0)),SUMPRODUCT(--ISERROR(FIND(MID(MID(AN100,3,10),{1,2,3,4,5,10},1),"ABCDEFGHIJKLMNOPQRSTUVWXYZ")))=0,SUMPRODUCT(--ISERROR(FIND(MID(MID(AN100,3,10),{6,7,8,9},1),"0123456789")))=0,ISNUMBER(FIND(MID(AN100,13,1),"123456789ABCDEFGHIJKLMNOPQRSTUVWXYZ")),MID(AN100,14,1)="Z")),"Wrong format",IF(MID("0123456789ABCDEFGHIJKLMNOPQRSTUVWXYZ",MOD(36-MOD(SUMPRODUCT(INT((FIND(MID(AN100,{1,2,3,4,5,6,7,8,9,10,11,12,13,14},1),"0123456789ABCDEFGHIJKLMNOPQRSTUVWXYZ")-1)*{1,2,1,2,1,2,1,2,1,2,1,2,1,2}/36)+MOD((FIND(MID(AN100,{1,2,3,4,5,6,7,8,9,10,11,12,13,14},1),"0123456789ABCDEFGHIJKLMNOPQRSTUVWXYZ")-1)*{1,2,1,2,1,2,1,2,1,2,1,2,1,2},36)),36),36)+1,1)=MID(AN100,15,1),"OK","Typo? check digit wrong")),"Wrong format"))</f>
        <v/>
      </c>
      <c r="AK100" s="27">
        <f>IF(AO100="","",IF(AND(LEN(AO100)=10,SUMPRODUCT(--ISERROR(FIND(MID(AO100,{1,2,3,4,5,10},1),"ABCDEFGHIJKLMNOPQRSTUVWXYZ")))=0,SUMPRODUCT(--ISERROR(FIND(MID(AO100,{6,7,8,9},1),"0123456789")))=0),"OK","Wrong format"))</f>
        <v/>
      </c>
      <c r="AL100" s="27">
        <f>IF(TRIM(H100)="","",IF(AND(LEN(UPPER(TRIM(H100)))=10,SUMPRODUCT(--ISERROR(FIND(MID(UPPER(TRIM(H100)),{1,2,3,4,10},1),"ABCDEFGHIJKLMNOPQRSTUVWXYZ")))=0,SUMPRODUCT(--ISERROR(FIND(MID(UPPER(TRIM(H100)),{5,6,7,8,9},1),"0123456789")))=0),"OK","Wrong format"))</f>
        <v/>
      </c>
      <c r="AM100" s="28">
        <f>IF(NOT(COUNTA(A100:AE100)&gt;0),"",IF(AS100&lt;&gt;"","✖ "&amp;LEFT(AS100,LEN(AS100)-2),IF(AR100&gt;0,"✔ Ready — client + "&amp;AR100&amp;" service(s)","✔ Ready — client only")))</f>
        <v/>
      </c>
      <c r="AN100" s="29">
        <f>UPPER(SUBSTITUTE(TRIM(F100)," ",""))</f>
        <v/>
      </c>
      <c r="AO100" s="29">
        <f>UPPER(SUBSTITUTE(TRIM(E100)," ",""))</f>
        <v/>
      </c>
      <c r="AP100" s="29">
        <f>IF(D100&lt;&gt;"",D100,IFERROR(VLOOKUP(MID(AG100,4,1),Lists!$E$2:$F$8,2,FALSE),""))</f>
        <v/>
      </c>
      <c r="AQ100" s="29">
        <f>IFERROR(VLOOKUP(AP100,Lists!$A$2:$C$12,3,FALSE),"")</f>
        <v/>
      </c>
      <c r="AR100" s="29">
        <f>COUNTIF(W100:AC100,"Yes")</f>
        <v/>
      </c>
      <c r="AS100" s="29">
        <f>IF(TRIM(B100)="","Legal name missing; ","")&amp;IF(AND(AJ100&lt;&gt;"",AJ100&lt;&gt;"OK"),"GSTIN: "&amp;AJ100&amp;"; ","")&amp;IF(AND(AK100&lt;&gt;"",AK100&lt;&gt;"OK"),"PAN wrong format; ","")&amp;IF(AND(AO100&lt;&gt;"",LEN(AN100)=15,MID(AN100,3,10)&lt;&gt;AO100),"PAN does not match GSTIN; ","")&amp;IF(AND(AL100&lt;&gt;"",AL100&lt;&gt;"OK"),"TAN wrong format; ","")&amp;IF(AG100="","PAN missing; ","")&amp;IF(AP100="","Entity type missing; ","")&amp;IF(AND(AN100&lt;&gt;"",COUNTIF($AN$6:$AN$1005,AN100)&gt;1),"GSTIN repeated in this sheet; ","")&amp;IF(AND(AG100&lt;&gt;"",COUNTIF($AG$6:$AG$1005,AG100)&gt;1),"PAN repeated in this sheet (same client? put extra GSTINs in Other GSTINs); ","")&amp;IF(AND(AR100&gt;0,V100=""),"Financial year missing; ","")&amp;IF(AND(AR100=0,V100&lt;&gt;""),"Financial year given but no service is Yes; ","")&amp;IF(AND(W100="Yes",AN100=""),"GST needs a GSTIN; ","")&amp;IF(AND(W100="Yes",X100=""),"GST return frequency missing; ","")&amp;IF(AND(Y100="Yes",TRIM(H100)=""),"TDS needs a TAN; ","")&amp;IF(AND(AA100="Yes",AQ100&lt;&gt;"",AQ100&lt;&gt;"company",AQ100&lt;&gt;"llp"),"ROC is only for a company / LLP; ","")&amp;IF(AND(AA100="Yes",OR(AQ100="company",AQ100="llp"),TRIM(I100)=""),"ROC needs the CIN / LLPIN; ","")</f>
        <v/>
      </c>
    </row>
    <row r="101">
      <c r="A101" s="30" t="n"/>
      <c r="B101" s="31" t="n"/>
      <c r="C101" s="31" t="n"/>
      <c r="D101" s="31" t="n"/>
      <c r="E101" s="30" t="n"/>
      <c r="F101" s="30" t="n"/>
      <c r="G101" s="30" t="n"/>
      <c r="H101" s="30" t="n"/>
      <c r="I101" s="30" t="n"/>
      <c r="J101" s="32" t="n"/>
      <c r="K101" s="31" t="n"/>
      <c r="L101" s="30" t="n"/>
      <c r="M101" s="31" t="n"/>
      <c r="N101" s="31" t="n"/>
      <c r="O101" s="31" t="n"/>
      <c r="P101" s="30" t="n"/>
      <c r="Q101" s="31" t="n"/>
      <c r="R101" s="31" t="n"/>
      <c r="S101" s="31" t="n"/>
      <c r="T101" s="31" t="n"/>
      <c r="U101" s="30" t="n"/>
      <c r="V101" s="31" t="n"/>
      <c r="W101" s="31" t="n"/>
      <c r="X101" s="31" t="n"/>
      <c r="Y101" s="31" t="n"/>
      <c r="Z101" s="31" t="n"/>
      <c r="AA101" s="31" t="n"/>
      <c r="AB101" s="31" t="n"/>
      <c r="AC101" s="31" t="n"/>
      <c r="AD101" s="31" t="n"/>
      <c r="AE101" s="31" t="n"/>
      <c r="AF101" s="27">
        <f>IF(NOT(COUNTA(A101:AE101)&gt;0),"",IF(A101="","New client","Update"))</f>
        <v/>
      </c>
      <c r="AG101" s="27">
        <f>IF(AO101&lt;&gt;"",AO101,IF(LEN(AN101)=15,MID(AN101,3,10),""))</f>
        <v/>
      </c>
      <c r="AH101" s="27">
        <f>IF(AP101="","",AP101&amp;IF(D101="","  (guessed from PAN)",""))</f>
        <v/>
      </c>
      <c r="AI101" s="27">
        <f>IF(AN101="","",IFERROR(INDEX(Lists!$L$2:$L$38,MATCH(LEFT(AN101,2),Lists!$K$2:$K$38,0)),"Unknown code"))</f>
        <v/>
      </c>
      <c r="AJ101" s="27">
        <f>IF(AN101="","",IFERROR(IF(NOT(AND(LEN(AN101)=15,ISNUMBER(MATCH(LEFT(AN101,2),Lists!$K$2:$K$38,0)),SUMPRODUCT(--ISERROR(FIND(MID(MID(AN101,3,10),{1,2,3,4,5,10},1),"ABCDEFGHIJKLMNOPQRSTUVWXYZ")))=0,SUMPRODUCT(--ISERROR(FIND(MID(MID(AN101,3,10),{6,7,8,9},1),"0123456789")))=0,ISNUMBER(FIND(MID(AN101,13,1),"123456789ABCDEFGHIJKLMNOPQRSTUVWXYZ")),MID(AN101,14,1)="Z")),"Wrong format",IF(MID("0123456789ABCDEFGHIJKLMNOPQRSTUVWXYZ",MOD(36-MOD(SUMPRODUCT(INT((FIND(MID(AN101,{1,2,3,4,5,6,7,8,9,10,11,12,13,14},1),"0123456789ABCDEFGHIJKLMNOPQRSTUVWXYZ")-1)*{1,2,1,2,1,2,1,2,1,2,1,2,1,2}/36)+MOD((FIND(MID(AN101,{1,2,3,4,5,6,7,8,9,10,11,12,13,14},1),"0123456789ABCDEFGHIJKLMNOPQRSTUVWXYZ")-1)*{1,2,1,2,1,2,1,2,1,2,1,2,1,2},36)),36),36)+1,1)=MID(AN101,15,1),"OK","Typo? check digit wrong")),"Wrong format"))</f>
        <v/>
      </c>
      <c r="AK101" s="27">
        <f>IF(AO101="","",IF(AND(LEN(AO101)=10,SUMPRODUCT(--ISERROR(FIND(MID(AO101,{1,2,3,4,5,10},1),"ABCDEFGHIJKLMNOPQRSTUVWXYZ")))=0,SUMPRODUCT(--ISERROR(FIND(MID(AO101,{6,7,8,9},1),"0123456789")))=0),"OK","Wrong format"))</f>
        <v/>
      </c>
      <c r="AL101" s="27">
        <f>IF(TRIM(H101)="","",IF(AND(LEN(UPPER(TRIM(H101)))=10,SUMPRODUCT(--ISERROR(FIND(MID(UPPER(TRIM(H101)),{1,2,3,4,10},1),"ABCDEFGHIJKLMNOPQRSTUVWXYZ")))=0,SUMPRODUCT(--ISERROR(FIND(MID(UPPER(TRIM(H101)),{5,6,7,8,9},1),"0123456789")))=0),"OK","Wrong format"))</f>
        <v/>
      </c>
      <c r="AM101" s="28">
        <f>IF(NOT(COUNTA(A101:AE101)&gt;0),"",IF(AS101&lt;&gt;"","✖ "&amp;LEFT(AS101,LEN(AS101)-2),IF(AR101&gt;0,"✔ Ready — client + "&amp;AR101&amp;" service(s)","✔ Ready — client only")))</f>
        <v/>
      </c>
      <c r="AN101" s="29">
        <f>UPPER(SUBSTITUTE(TRIM(F101)," ",""))</f>
        <v/>
      </c>
      <c r="AO101" s="29">
        <f>UPPER(SUBSTITUTE(TRIM(E101)," ",""))</f>
        <v/>
      </c>
      <c r="AP101" s="29">
        <f>IF(D101&lt;&gt;"",D101,IFERROR(VLOOKUP(MID(AG101,4,1),Lists!$E$2:$F$8,2,FALSE),""))</f>
        <v/>
      </c>
      <c r="AQ101" s="29">
        <f>IFERROR(VLOOKUP(AP101,Lists!$A$2:$C$12,3,FALSE),"")</f>
        <v/>
      </c>
      <c r="AR101" s="29">
        <f>COUNTIF(W101:AC101,"Yes")</f>
        <v/>
      </c>
      <c r="AS101" s="29">
        <f>IF(TRIM(B101)="","Legal name missing; ","")&amp;IF(AND(AJ101&lt;&gt;"",AJ101&lt;&gt;"OK"),"GSTIN: "&amp;AJ101&amp;"; ","")&amp;IF(AND(AK101&lt;&gt;"",AK101&lt;&gt;"OK"),"PAN wrong format; ","")&amp;IF(AND(AO101&lt;&gt;"",LEN(AN101)=15,MID(AN101,3,10)&lt;&gt;AO101),"PAN does not match GSTIN; ","")&amp;IF(AND(AL101&lt;&gt;"",AL101&lt;&gt;"OK"),"TAN wrong format; ","")&amp;IF(AG101="","PAN missing; ","")&amp;IF(AP101="","Entity type missing; ","")&amp;IF(AND(AN101&lt;&gt;"",COUNTIF($AN$6:$AN$1005,AN101)&gt;1),"GSTIN repeated in this sheet; ","")&amp;IF(AND(AG101&lt;&gt;"",COUNTIF($AG$6:$AG$1005,AG101)&gt;1),"PAN repeated in this sheet (same client? put extra GSTINs in Other GSTINs); ","")&amp;IF(AND(AR101&gt;0,V101=""),"Financial year missing; ","")&amp;IF(AND(AR101=0,V101&lt;&gt;""),"Financial year given but no service is Yes; ","")&amp;IF(AND(W101="Yes",AN101=""),"GST needs a GSTIN; ","")&amp;IF(AND(W101="Yes",X101=""),"GST return frequency missing; ","")&amp;IF(AND(Y101="Yes",TRIM(H101)=""),"TDS needs a TAN; ","")&amp;IF(AND(AA101="Yes",AQ101&lt;&gt;"",AQ101&lt;&gt;"company",AQ101&lt;&gt;"llp"),"ROC is only for a company / LLP; ","")&amp;IF(AND(AA101="Yes",OR(AQ101="company",AQ101="llp"),TRIM(I101)=""),"ROC needs the CIN / LLPIN; ","")</f>
        <v/>
      </c>
    </row>
    <row r="102">
      <c r="A102" s="30" t="n"/>
      <c r="B102" s="31" t="n"/>
      <c r="C102" s="31" t="n"/>
      <c r="D102" s="31" t="n"/>
      <c r="E102" s="30" t="n"/>
      <c r="F102" s="30" t="n"/>
      <c r="G102" s="30" t="n"/>
      <c r="H102" s="30" t="n"/>
      <c r="I102" s="30" t="n"/>
      <c r="J102" s="32" t="n"/>
      <c r="K102" s="31" t="n"/>
      <c r="L102" s="30" t="n"/>
      <c r="M102" s="31" t="n"/>
      <c r="N102" s="31" t="n"/>
      <c r="O102" s="31" t="n"/>
      <c r="P102" s="30" t="n"/>
      <c r="Q102" s="31" t="n"/>
      <c r="R102" s="31" t="n"/>
      <c r="S102" s="31" t="n"/>
      <c r="T102" s="31" t="n"/>
      <c r="U102" s="30" t="n"/>
      <c r="V102" s="31" t="n"/>
      <c r="W102" s="31" t="n"/>
      <c r="X102" s="31" t="n"/>
      <c r="Y102" s="31" t="n"/>
      <c r="Z102" s="31" t="n"/>
      <c r="AA102" s="31" t="n"/>
      <c r="AB102" s="31" t="n"/>
      <c r="AC102" s="31" t="n"/>
      <c r="AD102" s="31" t="n"/>
      <c r="AE102" s="31" t="n"/>
      <c r="AF102" s="27">
        <f>IF(NOT(COUNTA(A102:AE102)&gt;0),"",IF(A102="","New client","Update"))</f>
        <v/>
      </c>
      <c r="AG102" s="27">
        <f>IF(AO102&lt;&gt;"",AO102,IF(LEN(AN102)=15,MID(AN102,3,10),""))</f>
        <v/>
      </c>
      <c r="AH102" s="27">
        <f>IF(AP102="","",AP102&amp;IF(D102="","  (guessed from PAN)",""))</f>
        <v/>
      </c>
      <c r="AI102" s="27">
        <f>IF(AN102="","",IFERROR(INDEX(Lists!$L$2:$L$38,MATCH(LEFT(AN102,2),Lists!$K$2:$K$38,0)),"Unknown code"))</f>
        <v/>
      </c>
      <c r="AJ102" s="27">
        <f>IF(AN102="","",IFERROR(IF(NOT(AND(LEN(AN102)=15,ISNUMBER(MATCH(LEFT(AN102,2),Lists!$K$2:$K$38,0)),SUMPRODUCT(--ISERROR(FIND(MID(MID(AN102,3,10),{1,2,3,4,5,10},1),"ABCDEFGHIJKLMNOPQRSTUVWXYZ")))=0,SUMPRODUCT(--ISERROR(FIND(MID(MID(AN102,3,10),{6,7,8,9},1),"0123456789")))=0,ISNUMBER(FIND(MID(AN102,13,1),"123456789ABCDEFGHIJKLMNOPQRSTUVWXYZ")),MID(AN102,14,1)="Z")),"Wrong format",IF(MID("0123456789ABCDEFGHIJKLMNOPQRSTUVWXYZ",MOD(36-MOD(SUMPRODUCT(INT((FIND(MID(AN102,{1,2,3,4,5,6,7,8,9,10,11,12,13,14},1),"0123456789ABCDEFGHIJKLMNOPQRSTUVWXYZ")-1)*{1,2,1,2,1,2,1,2,1,2,1,2,1,2}/36)+MOD((FIND(MID(AN102,{1,2,3,4,5,6,7,8,9,10,11,12,13,14},1),"0123456789ABCDEFGHIJKLMNOPQRSTUVWXYZ")-1)*{1,2,1,2,1,2,1,2,1,2,1,2,1,2},36)),36),36)+1,1)=MID(AN102,15,1),"OK","Typo? check digit wrong")),"Wrong format"))</f>
        <v/>
      </c>
      <c r="AK102" s="27">
        <f>IF(AO102="","",IF(AND(LEN(AO102)=10,SUMPRODUCT(--ISERROR(FIND(MID(AO102,{1,2,3,4,5,10},1),"ABCDEFGHIJKLMNOPQRSTUVWXYZ")))=0,SUMPRODUCT(--ISERROR(FIND(MID(AO102,{6,7,8,9},1),"0123456789")))=0),"OK","Wrong format"))</f>
        <v/>
      </c>
      <c r="AL102" s="27">
        <f>IF(TRIM(H102)="","",IF(AND(LEN(UPPER(TRIM(H102)))=10,SUMPRODUCT(--ISERROR(FIND(MID(UPPER(TRIM(H102)),{1,2,3,4,10},1),"ABCDEFGHIJKLMNOPQRSTUVWXYZ")))=0,SUMPRODUCT(--ISERROR(FIND(MID(UPPER(TRIM(H102)),{5,6,7,8,9},1),"0123456789")))=0),"OK","Wrong format"))</f>
        <v/>
      </c>
      <c r="AM102" s="28">
        <f>IF(NOT(COUNTA(A102:AE102)&gt;0),"",IF(AS102&lt;&gt;"","✖ "&amp;LEFT(AS102,LEN(AS102)-2),IF(AR102&gt;0,"✔ Ready — client + "&amp;AR102&amp;" service(s)","✔ Ready — client only")))</f>
        <v/>
      </c>
      <c r="AN102" s="29">
        <f>UPPER(SUBSTITUTE(TRIM(F102)," ",""))</f>
        <v/>
      </c>
      <c r="AO102" s="29">
        <f>UPPER(SUBSTITUTE(TRIM(E102)," ",""))</f>
        <v/>
      </c>
      <c r="AP102" s="29">
        <f>IF(D102&lt;&gt;"",D102,IFERROR(VLOOKUP(MID(AG102,4,1),Lists!$E$2:$F$8,2,FALSE),""))</f>
        <v/>
      </c>
      <c r="AQ102" s="29">
        <f>IFERROR(VLOOKUP(AP102,Lists!$A$2:$C$12,3,FALSE),"")</f>
        <v/>
      </c>
      <c r="AR102" s="29">
        <f>COUNTIF(W102:AC102,"Yes")</f>
        <v/>
      </c>
      <c r="AS102" s="29">
        <f>IF(TRIM(B102)="","Legal name missing; ","")&amp;IF(AND(AJ102&lt;&gt;"",AJ102&lt;&gt;"OK"),"GSTIN: "&amp;AJ102&amp;"; ","")&amp;IF(AND(AK102&lt;&gt;"",AK102&lt;&gt;"OK"),"PAN wrong format; ","")&amp;IF(AND(AO102&lt;&gt;"",LEN(AN102)=15,MID(AN102,3,10)&lt;&gt;AO102),"PAN does not match GSTIN; ","")&amp;IF(AND(AL102&lt;&gt;"",AL102&lt;&gt;"OK"),"TAN wrong format; ","")&amp;IF(AG102="","PAN missing; ","")&amp;IF(AP102="","Entity type missing; ","")&amp;IF(AND(AN102&lt;&gt;"",COUNTIF($AN$6:$AN$1005,AN102)&gt;1),"GSTIN repeated in this sheet; ","")&amp;IF(AND(AG102&lt;&gt;"",COUNTIF($AG$6:$AG$1005,AG102)&gt;1),"PAN repeated in this sheet (same client? put extra GSTINs in Other GSTINs); ","")&amp;IF(AND(AR102&gt;0,V102=""),"Financial year missing; ","")&amp;IF(AND(AR102=0,V102&lt;&gt;""),"Financial year given but no service is Yes; ","")&amp;IF(AND(W102="Yes",AN102=""),"GST needs a GSTIN; ","")&amp;IF(AND(W102="Yes",X102=""),"GST return frequency missing; ","")&amp;IF(AND(Y102="Yes",TRIM(H102)=""),"TDS needs a TAN; ","")&amp;IF(AND(AA102="Yes",AQ102&lt;&gt;"",AQ102&lt;&gt;"company",AQ102&lt;&gt;"llp"),"ROC is only for a company / LLP; ","")&amp;IF(AND(AA102="Yes",OR(AQ102="company",AQ102="llp"),TRIM(I102)=""),"ROC needs the CIN / LLPIN; ","")</f>
        <v/>
      </c>
    </row>
    <row r="103">
      <c r="A103" s="30" t="n"/>
      <c r="B103" s="31" t="n"/>
      <c r="C103" s="31" t="n"/>
      <c r="D103" s="31" t="n"/>
      <c r="E103" s="30" t="n"/>
      <c r="F103" s="30" t="n"/>
      <c r="G103" s="30" t="n"/>
      <c r="H103" s="30" t="n"/>
      <c r="I103" s="30" t="n"/>
      <c r="J103" s="32" t="n"/>
      <c r="K103" s="31" t="n"/>
      <c r="L103" s="30" t="n"/>
      <c r="M103" s="31" t="n"/>
      <c r="N103" s="31" t="n"/>
      <c r="O103" s="31" t="n"/>
      <c r="P103" s="30" t="n"/>
      <c r="Q103" s="31" t="n"/>
      <c r="R103" s="31" t="n"/>
      <c r="S103" s="31" t="n"/>
      <c r="T103" s="31" t="n"/>
      <c r="U103" s="30" t="n"/>
      <c r="V103" s="31" t="n"/>
      <c r="W103" s="31" t="n"/>
      <c r="X103" s="31" t="n"/>
      <c r="Y103" s="31" t="n"/>
      <c r="Z103" s="31" t="n"/>
      <c r="AA103" s="31" t="n"/>
      <c r="AB103" s="31" t="n"/>
      <c r="AC103" s="31" t="n"/>
      <c r="AD103" s="31" t="n"/>
      <c r="AE103" s="31" t="n"/>
      <c r="AF103" s="27">
        <f>IF(NOT(COUNTA(A103:AE103)&gt;0),"",IF(A103="","New client","Update"))</f>
        <v/>
      </c>
      <c r="AG103" s="27">
        <f>IF(AO103&lt;&gt;"",AO103,IF(LEN(AN103)=15,MID(AN103,3,10),""))</f>
        <v/>
      </c>
      <c r="AH103" s="27">
        <f>IF(AP103="","",AP103&amp;IF(D103="","  (guessed from PAN)",""))</f>
        <v/>
      </c>
      <c r="AI103" s="27">
        <f>IF(AN103="","",IFERROR(INDEX(Lists!$L$2:$L$38,MATCH(LEFT(AN103,2),Lists!$K$2:$K$38,0)),"Unknown code"))</f>
        <v/>
      </c>
      <c r="AJ103" s="27">
        <f>IF(AN103="","",IFERROR(IF(NOT(AND(LEN(AN103)=15,ISNUMBER(MATCH(LEFT(AN103,2),Lists!$K$2:$K$38,0)),SUMPRODUCT(--ISERROR(FIND(MID(MID(AN103,3,10),{1,2,3,4,5,10},1),"ABCDEFGHIJKLMNOPQRSTUVWXYZ")))=0,SUMPRODUCT(--ISERROR(FIND(MID(MID(AN103,3,10),{6,7,8,9},1),"0123456789")))=0,ISNUMBER(FIND(MID(AN103,13,1),"123456789ABCDEFGHIJKLMNOPQRSTUVWXYZ")),MID(AN103,14,1)="Z")),"Wrong format",IF(MID("0123456789ABCDEFGHIJKLMNOPQRSTUVWXYZ",MOD(36-MOD(SUMPRODUCT(INT((FIND(MID(AN103,{1,2,3,4,5,6,7,8,9,10,11,12,13,14},1),"0123456789ABCDEFGHIJKLMNOPQRSTUVWXYZ")-1)*{1,2,1,2,1,2,1,2,1,2,1,2,1,2}/36)+MOD((FIND(MID(AN103,{1,2,3,4,5,6,7,8,9,10,11,12,13,14},1),"0123456789ABCDEFGHIJKLMNOPQRSTUVWXYZ")-1)*{1,2,1,2,1,2,1,2,1,2,1,2,1,2},36)),36),36)+1,1)=MID(AN103,15,1),"OK","Typo? check digit wrong")),"Wrong format"))</f>
        <v/>
      </c>
      <c r="AK103" s="27">
        <f>IF(AO103="","",IF(AND(LEN(AO103)=10,SUMPRODUCT(--ISERROR(FIND(MID(AO103,{1,2,3,4,5,10},1),"ABCDEFGHIJKLMNOPQRSTUVWXYZ")))=0,SUMPRODUCT(--ISERROR(FIND(MID(AO103,{6,7,8,9},1),"0123456789")))=0),"OK","Wrong format"))</f>
        <v/>
      </c>
      <c r="AL103" s="27">
        <f>IF(TRIM(H103)="","",IF(AND(LEN(UPPER(TRIM(H103)))=10,SUMPRODUCT(--ISERROR(FIND(MID(UPPER(TRIM(H103)),{1,2,3,4,10},1),"ABCDEFGHIJKLMNOPQRSTUVWXYZ")))=0,SUMPRODUCT(--ISERROR(FIND(MID(UPPER(TRIM(H103)),{5,6,7,8,9},1),"0123456789")))=0),"OK","Wrong format"))</f>
        <v/>
      </c>
      <c r="AM103" s="28">
        <f>IF(NOT(COUNTA(A103:AE103)&gt;0),"",IF(AS103&lt;&gt;"","✖ "&amp;LEFT(AS103,LEN(AS103)-2),IF(AR103&gt;0,"✔ Ready — client + "&amp;AR103&amp;" service(s)","✔ Ready — client only")))</f>
        <v/>
      </c>
      <c r="AN103" s="29">
        <f>UPPER(SUBSTITUTE(TRIM(F103)," ",""))</f>
        <v/>
      </c>
      <c r="AO103" s="29">
        <f>UPPER(SUBSTITUTE(TRIM(E103)," ",""))</f>
        <v/>
      </c>
      <c r="AP103" s="29">
        <f>IF(D103&lt;&gt;"",D103,IFERROR(VLOOKUP(MID(AG103,4,1),Lists!$E$2:$F$8,2,FALSE),""))</f>
        <v/>
      </c>
      <c r="AQ103" s="29">
        <f>IFERROR(VLOOKUP(AP103,Lists!$A$2:$C$12,3,FALSE),"")</f>
        <v/>
      </c>
      <c r="AR103" s="29">
        <f>COUNTIF(W103:AC103,"Yes")</f>
        <v/>
      </c>
      <c r="AS103" s="29">
        <f>IF(TRIM(B103)="","Legal name missing; ","")&amp;IF(AND(AJ103&lt;&gt;"",AJ103&lt;&gt;"OK"),"GSTIN: "&amp;AJ103&amp;"; ","")&amp;IF(AND(AK103&lt;&gt;"",AK103&lt;&gt;"OK"),"PAN wrong format; ","")&amp;IF(AND(AO103&lt;&gt;"",LEN(AN103)=15,MID(AN103,3,10)&lt;&gt;AO103),"PAN does not match GSTIN; ","")&amp;IF(AND(AL103&lt;&gt;"",AL103&lt;&gt;"OK"),"TAN wrong format; ","")&amp;IF(AG103="","PAN missing; ","")&amp;IF(AP103="","Entity type missing; ","")&amp;IF(AND(AN103&lt;&gt;"",COUNTIF($AN$6:$AN$1005,AN103)&gt;1),"GSTIN repeated in this sheet; ","")&amp;IF(AND(AG103&lt;&gt;"",COUNTIF($AG$6:$AG$1005,AG103)&gt;1),"PAN repeated in this sheet (same client? put extra GSTINs in Other GSTINs); ","")&amp;IF(AND(AR103&gt;0,V103=""),"Financial year missing; ","")&amp;IF(AND(AR103=0,V103&lt;&gt;""),"Financial year given but no service is Yes; ","")&amp;IF(AND(W103="Yes",AN103=""),"GST needs a GSTIN; ","")&amp;IF(AND(W103="Yes",X103=""),"GST return frequency missing; ","")&amp;IF(AND(Y103="Yes",TRIM(H103)=""),"TDS needs a TAN; ","")&amp;IF(AND(AA103="Yes",AQ103&lt;&gt;"",AQ103&lt;&gt;"company",AQ103&lt;&gt;"llp"),"ROC is only for a company / LLP; ","")&amp;IF(AND(AA103="Yes",OR(AQ103="company",AQ103="llp"),TRIM(I103)=""),"ROC needs the CIN / LLPIN; ","")</f>
        <v/>
      </c>
    </row>
    <row r="104">
      <c r="A104" s="30" t="n"/>
      <c r="B104" s="31" t="n"/>
      <c r="C104" s="31" t="n"/>
      <c r="D104" s="31" t="n"/>
      <c r="E104" s="30" t="n"/>
      <c r="F104" s="30" t="n"/>
      <c r="G104" s="30" t="n"/>
      <c r="H104" s="30" t="n"/>
      <c r="I104" s="30" t="n"/>
      <c r="J104" s="32" t="n"/>
      <c r="K104" s="31" t="n"/>
      <c r="L104" s="30" t="n"/>
      <c r="M104" s="31" t="n"/>
      <c r="N104" s="31" t="n"/>
      <c r="O104" s="31" t="n"/>
      <c r="P104" s="30" t="n"/>
      <c r="Q104" s="31" t="n"/>
      <c r="R104" s="31" t="n"/>
      <c r="S104" s="31" t="n"/>
      <c r="T104" s="31" t="n"/>
      <c r="U104" s="30" t="n"/>
      <c r="V104" s="31" t="n"/>
      <c r="W104" s="31" t="n"/>
      <c r="X104" s="31" t="n"/>
      <c r="Y104" s="31" t="n"/>
      <c r="Z104" s="31" t="n"/>
      <c r="AA104" s="31" t="n"/>
      <c r="AB104" s="31" t="n"/>
      <c r="AC104" s="31" t="n"/>
      <c r="AD104" s="31" t="n"/>
      <c r="AE104" s="31" t="n"/>
      <c r="AF104" s="27">
        <f>IF(NOT(COUNTA(A104:AE104)&gt;0),"",IF(A104="","New client","Update"))</f>
        <v/>
      </c>
      <c r="AG104" s="27">
        <f>IF(AO104&lt;&gt;"",AO104,IF(LEN(AN104)=15,MID(AN104,3,10),""))</f>
        <v/>
      </c>
      <c r="AH104" s="27">
        <f>IF(AP104="","",AP104&amp;IF(D104="","  (guessed from PAN)",""))</f>
        <v/>
      </c>
      <c r="AI104" s="27">
        <f>IF(AN104="","",IFERROR(INDEX(Lists!$L$2:$L$38,MATCH(LEFT(AN104,2),Lists!$K$2:$K$38,0)),"Unknown code"))</f>
        <v/>
      </c>
      <c r="AJ104" s="27">
        <f>IF(AN104="","",IFERROR(IF(NOT(AND(LEN(AN104)=15,ISNUMBER(MATCH(LEFT(AN104,2),Lists!$K$2:$K$38,0)),SUMPRODUCT(--ISERROR(FIND(MID(MID(AN104,3,10),{1,2,3,4,5,10},1),"ABCDEFGHIJKLMNOPQRSTUVWXYZ")))=0,SUMPRODUCT(--ISERROR(FIND(MID(MID(AN104,3,10),{6,7,8,9},1),"0123456789")))=0,ISNUMBER(FIND(MID(AN104,13,1),"123456789ABCDEFGHIJKLMNOPQRSTUVWXYZ")),MID(AN104,14,1)="Z")),"Wrong format",IF(MID("0123456789ABCDEFGHIJKLMNOPQRSTUVWXYZ",MOD(36-MOD(SUMPRODUCT(INT((FIND(MID(AN104,{1,2,3,4,5,6,7,8,9,10,11,12,13,14},1),"0123456789ABCDEFGHIJKLMNOPQRSTUVWXYZ")-1)*{1,2,1,2,1,2,1,2,1,2,1,2,1,2}/36)+MOD((FIND(MID(AN104,{1,2,3,4,5,6,7,8,9,10,11,12,13,14},1),"0123456789ABCDEFGHIJKLMNOPQRSTUVWXYZ")-1)*{1,2,1,2,1,2,1,2,1,2,1,2,1,2},36)),36),36)+1,1)=MID(AN104,15,1),"OK","Typo? check digit wrong")),"Wrong format"))</f>
        <v/>
      </c>
      <c r="AK104" s="27">
        <f>IF(AO104="","",IF(AND(LEN(AO104)=10,SUMPRODUCT(--ISERROR(FIND(MID(AO104,{1,2,3,4,5,10},1),"ABCDEFGHIJKLMNOPQRSTUVWXYZ")))=0,SUMPRODUCT(--ISERROR(FIND(MID(AO104,{6,7,8,9},1),"0123456789")))=0),"OK","Wrong format"))</f>
        <v/>
      </c>
      <c r="AL104" s="27">
        <f>IF(TRIM(H104)="","",IF(AND(LEN(UPPER(TRIM(H104)))=10,SUMPRODUCT(--ISERROR(FIND(MID(UPPER(TRIM(H104)),{1,2,3,4,10},1),"ABCDEFGHIJKLMNOPQRSTUVWXYZ")))=0,SUMPRODUCT(--ISERROR(FIND(MID(UPPER(TRIM(H104)),{5,6,7,8,9},1),"0123456789")))=0),"OK","Wrong format"))</f>
        <v/>
      </c>
      <c r="AM104" s="28">
        <f>IF(NOT(COUNTA(A104:AE104)&gt;0),"",IF(AS104&lt;&gt;"","✖ "&amp;LEFT(AS104,LEN(AS104)-2),IF(AR104&gt;0,"✔ Ready — client + "&amp;AR104&amp;" service(s)","✔ Ready — client only")))</f>
        <v/>
      </c>
      <c r="AN104" s="29">
        <f>UPPER(SUBSTITUTE(TRIM(F104)," ",""))</f>
        <v/>
      </c>
      <c r="AO104" s="29">
        <f>UPPER(SUBSTITUTE(TRIM(E104)," ",""))</f>
        <v/>
      </c>
      <c r="AP104" s="29">
        <f>IF(D104&lt;&gt;"",D104,IFERROR(VLOOKUP(MID(AG104,4,1),Lists!$E$2:$F$8,2,FALSE),""))</f>
        <v/>
      </c>
      <c r="AQ104" s="29">
        <f>IFERROR(VLOOKUP(AP104,Lists!$A$2:$C$12,3,FALSE),"")</f>
        <v/>
      </c>
      <c r="AR104" s="29">
        <f>COUNTIF(W104:AC104,"Yes")</f>
        <v/>
      </c>
      <c r="AS104" s="29">
        <f>IF(TRIM(B104)="","Legal name missing; ","")&amp;IF(AND(AJ104&lt;&gt;"",AJ104&lt;&gt;"OK"),"GSTIN: "&amp;AJ104&amp;"; ","")&amp;IF(AND(AK104&lt;&gt;"",AK104&lt;&gt;"OK"),"PAN wrong format; ","")&amp;IF(AND(AO104&lt;&gt;"",LEN(AN104)=15,MID(AN104,3,10)&lt;&gt;AO104),"PAN does not match GSTIN; ","")&amp;IF(AND(AL104&lt;&gt;"",AL104&lt;&gt;"OK"),"TAN wrong format; ","")&amp;IF(AG104="","PAN missing; ","")&amp;IF(AP104="","Entity type missing; ","")&amp;IF(AND(AN104&lt;&gt;"",COUNTIF($AN$6:$AN$1005,AN104)&gt;1),"GSTIN repeated in this sheet; ","")&amp;IF(AND(AG104&lt;&gt;"",COUNTIF($AG$6:$AG$1005,AG104)&gt;1),"PAN repeated in this sheet (same client? put extra GSTINs in Other GSTINs); ","")&amp;IF(AND(AR104&gt;0,V104=""),"Financial year missing; ","")&amp;IF(AND(AR104=0,V104&lt;&gt;""),"Financial year given but no service is Yes; ","")&amp;IF(AND(W104="Yes",AN104=""),"GST needs a GSTIN; ","")&amp;IF(AND(W104="Yes",X104=""),"GST return frequency missing; ","")&amp;IF(AND(Y104="Yes",TRIM(H104)=""),"TDS needs a TAN; ","")&amp;IF(AND(AA104="Yes",AQ104&lt;&gt;"",AQ104&lt;&gt;"company",AQ104&lt;&gt;"llp"),"ROC is only for a company / LLP; ","")&amp;IF(AND(AA104="Yes",OR(AQ104="company",AQ104="llp"),TRIM(I104)=""),"ROC needs the CIN / LLPIN; ","")</f>
        <v/>
      </c>
    </row>
    <row r="105">
      <c r="A105" s="30" t="n"/>
      <c r="B105" s="31" t="n"/>
      <c r="C105" s="31" t="n"/>
      <c r="D105" s="31" t="n"/>
      <c r="E105" s="30" t="n"/>
      <c r="F105" s="30" t="n"/>
      <c r="G105" s="30" t="n"/>
      <c r="H105" s="30" t="n"/>
      <c r="I105" s="30" t="n"/>
      <c r="J105" s="32" t="n"/>
      <c r="K105" s="31" t="n"/>
      <c r="L105" s="30" t="n"/>
      <c r="M105" s="31" t="n"/>
      <c r="N105" s="31" t="n"/>
      <c r="O105" s="31" t="n"/>
      <c r="P105" s="30" t="n"/>
      <c r="Q105" s="31" t="n"/>
      <c r="R105" s="31" t="n"/>
      <c r="S105" s="31" t="n"/>
      <c r="T105" s="31" t="n"/>
      <c r="U105" s="30" t="n"/>
      <c r="V105" s="31" t="n"/>
      <c r="W105" s="31" t="n"/>
      <c r="X105" s="31" t="n"/>
      <c r="Y105" s="31" t="n"/>
      <c r="Z105" s="31" t="n"/>
      <c r="AA105" s="31" t="n"/>
      <c r="AB105" s="31" t="n"/>
      <c r="AC105" s="31" t="n"/>
      <c r="AD105" s="31" t="n"/>
      <c r="AE105" s="31" t="n"/>
      <c r="AF105" s="27">
        <f>IF(NOT(COUNTA(A105:AE105)&gt;0),"",IF(A105="","New client","Update"))</f>
        <v/>
      </c>
      <c r="AG105" s="27">
        <f>IF(AO105&lt;&gt;"",AO105,IF(LEN(AN105)=15,MID(AN105,3,10),""))</f>
        <v/>
      </c>
      <c r="AH105" s="27">
        <f>IF(AP105="","",AP105&amp;IF(D105="","  (guessed from PAN)",""))</f>
        <v/>
      </c>
      <c r="AI105" s="27">
        <f>IF(AN105="","",IFERROR(INDEX(Lists!$L$2:$L$38,MATCH(LEFT(AN105,2),Lists!$K$2:$K$38,0)),"Unknown code"))</f>
        <v/>
      </c>
      <c r="AJ105" s="27">
        <f>IF(AN105="","",IFERROR(IF(NOT(AND(LEN(AN105)=15,ISNUMBER(MATCH(LEFT(AN105,2),Lists!$K$2:$K$38,0)),SUMPRODUCT(--ISERROR(FIND(MID(MID(AN105,3,10),{1,2,3,4,5,10},1),"ABCDEFGHIJKLMNOPQRSTUVWXYZ")))=0,SUMPRODUCT(--ISERROR(FIND(MID(MID(AN105,3,10),{6,7,8,9},1),"0123456789")))=0,ISNUMBER(FIND(MID(AN105,13,1),"123456789ABCDEFGHIJKLMNOPQRSTUVWXYZ")),MID(AN105,14,1)="Z")),"Wrong format",IF(MID("0123456789ABCDEFGHIJKLMNOPQRSTUVWXYZ",MOD(36-MOD(SUMPRODUCT(INT((FIND(MID(AN105,{1,2,3,4,5,6,7,8,9,10,11,12,13,14},1),"0123456789ABCDEFGHIJKLMNOPQRSTUVWXYZ")-1)*{1,2,1,2,1,2,1,2,1,2,1,2,1,2}/36)+MOD((FIND(MID(AN105,{1,2,3,4,5,6,7,8,9,10,11,12,13,14},1),"0123456789ABCDEFGHIJKLMNOPQRSTUVWXYZ")-1)*{1,2,1,2,1,2,1,2,1,2,1,2,1,2},36)),36),36)+1,1)=MID(AN105,15,1),"OK","Typo? check digit wrong")),"Wrong format"))</f>
        <v/>
      </c>
      <c r="AK105" s="27">
        <f>IF(AO105="","",IF(AND(LEN(AO105)=10,SUMPRODUCT(--ISERROR(FIND(MID(AO105,{1,2,3,4,5,10},1),"ABCDEFGHIJKLMNOPQRSTUVWXYZ")))=0,SUMPRODUCT(--ISERROR(FIND(MID(AO105,{6,7,8,9},1),"0123456789")))=0),"OK","Wrong format"))</f>
        <v/>
      </c>
      <c r="AL105" s="27">
        <f>IF(TRIM(H105)="","",IF(AND(LEN(UPPER(TRIM(H105)))=10,SUMPRODUCT(--ISERROR(FIND(MID(UPPER(TRIM(H105)),{1,2,3,4,10},1),"ABCDEFGHIJKLMNOPQRSTUVWXYZ")))=0,SUMPRODUCT(--ISERROR(FIND(MID(UPPER(TRIM(H105)),{5,6,7,8,9},1),"0123456789")))=0),"OK","Wrong format"))</f>
        <v/>
      </c>
      <c r="AM105" s="28">
        <f>IF(NOT(COUNTA(A105:AE105)&gt;0),"",IF(AS105&lt;&gt;"","✖ "&amp;LEFT(AS105,LEN(AS105)-2),IF(AR105&gt;0,"✔ Ready — client + "&amp;AR105&amp;" service(s)","✔ Ready — client only")))</f>
        <v/>
      </c>
      <c r="AN105" s="29">
        <f>UPPER(SUBSTITUTE(TRIM(F105)," ",""))</f>
        <v/>
      </c>
      <c r="AO105" s="29">
        <f>UPPER(SUBSTITUTE(TRIM(E105)," ",""))</f>
        <v/>
      </c>
      <c r="AP105" s="29">
        <f>IF(D105&lt;&gt;"",D105,IFERROR(VLOOKUP(MID(AG105,4,1),Lists!$E$2:$F$8,2,FALSE),""))</f>
        <v/>
      </c>
      <c r="AQ105" s="29">
        <f>IFERROR(VLOOKUP(AP105,Lists!$A$2:$C$12,3,FALSE),"")</f>
        <v/>
      </c>
      <c r="AR105" s="29">
        <f>COUNTIF(W105:AC105,"Yes")</f>
        <v/>
      </c>
      <c r="AS105" s="29">
        <f>IF(TRIM(B105)="","Legal name missing; ","")&amp;IF(AND(AJ105&lt;&gt;"",AJ105&lt;&gt;"OK"),"GSTIN: "&amp;AJ105&amp;"; ","")&amp;IF(AND(AK105&lt;&gt;"",AK105&lt;&gt;"OK"),"PAN wrong format; ","")&amp;IF(AND(AO105&lt;&gt;"",LEN(AN105)=15,MID(AN105,3,10)&lt;&gt;AO105),"PAN does not match GSTIN; ","")&amp;IF(AND(AL105&lt;&gt;"",AL105&lt;&gt;"OK"),"TAN wrong format; ","")&amp;IF(AG105="","PAN missing; ","")&amp;IF(AP105="","Entity type missing; ","")&amp;IF(AND(AN105&lt;&gt;"",COUNTIF($AN$6:$AN$1005,AN105)&gt;1),"GSTIN repeated in this sheet; ","")&amp;IF(AND(AG105&lt;&gt;"",COUNTIF($AG$6:$AG$1005,AG105)&gt;1),"PAN repeated in this sheet (same client? put extra GSTINs in Other GSTINs); ","")&amp;IF(AND(AR105&gt;0,V105=""),"Financial year missing; ","")&amp;IF(AND(AR105=0,V105&lt;&gt;""),"Financial year given but no service is Yes; ","")&amp;IF(AND(W105="Yes",AN105=""),"GST needs a GSTIN; ","")&amp;IF(AND(W105="Yes",X105=""),"GST return frequency missing; ","")&amp;IF(AND(Y105="Yes",TRIM(H105)=""),"TDS needs a TAN; ","")&amp;IF(AND(AA105="Yes",AQ105&lt;&gt;"",AQ105&lt;&gt;"company",AQ105&lt;&gt;"llp"),"ROC is only for a company / LLP; ","")&amp;IF(AND(AA105="Yes",OR(AQ105="company",AQ105="llp"),TRIM(I105)=""),"ROC needs the CIN / LLPIN; ","")</f>
        <v/>
      </c>
    </row>
    <row r="106">
      <c r="A106" s="30" t="n"/>
      <c r="B106" s="31" t="n"/>
      <c r="C106" s="31" t="n"/>
      <c r="D106" s="31" t="n"/>
      <c r="E106" s="30" t="n"/>
      <c r="F106" s="30" t="n"/>
      <c r="G106" s="30" t="n"/>
      <c r="H106" s="30" t="n"/>
      <c r="I106" s="30" t="n"/>
      <c r="J106" s="32" t="n"/>
      <c r="K106" s="31" t="n"/>
      <c r="L106" s="30" t="n"/>
      <c r="M106" s="31" t="n"/>
      <c r="N106" s="31" t="n"/>
      <c r="O106" s="31" t="n"/>
      <c r="P106" s="30" t="n"/>
      <c r="Q106" s="31" t="n"/>
      <c r="R106" s="31" t="n"/>
      <c r="S106" s="31" t="n"/>
      <c r="T106" s="31" t="n"/>
      <c r="U106" s="30" t="n"/>
      <c r="V106" s="31" t="n"/>
      <c r="W106" s="31" t="n"/>
      <c r="X106" s="31" t="n"/>
      <c r="Y106" s="31" t="n"/>
      <c r="Z106" s="31" t="n"/>
      <c r="AA106" s="31" t="n"/>
      <c r="AB106" s="31" t="n"/>
      <c r="AC106" s="31" t="n"/>
      <c r="AD106" s="31" t="n"/>
      <c r="AE106" s="31" t="n"/>
      <c r="AF106" s="27">
        <f>IF(NOT(COUNTA(A106:AE106)&gt;0),"",IF(A106="","New client","Update"))</f>
        <v/>
      </c>
      <c r="AG106" s="27">
        <f>IF(AO106&lt;&gt;"",AO106,IF(LEN(AN106)=15,MID(AN106,3,10),""))</f>
        <v/>
      </c>
      <c r="AH106" s="27">
        <f>IF(AP106="","",AP106&amp;IF(D106="","  (guessed from PAN)",""))</f>
        <v/>
      </c>
      <c r="AI106" s="27">
        <f>IF(AN106="","",IFERROR(INDEX(Lists!$L$2:$L$38,MATCH(LEFT(AN106,2),Lists!$K$2:$K$38,0)),"Unknown code"))</f>
        <v/>
      </c>
      <c r="AJ106" s="27">
        <f>IF(AN106="","",IFERROR(IF(NOT(AND(LEN(AN106)=15,ISNUMBER(MATCH(LEFT(AN106,2),Lists!$K$2:$K$38,0)),SUMPRODUCT(--ISERROR(FIND(MID(MID(AN106,3,10),{1,2,3,4,5,10},1),"ABCDEFGHIJKLMNOPQRSTUVWXYZ")))=0,SUMPRODUCT(--ISERROR(FIND(MID(MID(AN106,3,10),{6,7,8,9},1),"0123456789")))=0,ISNUMBER(FIND(MID(AN106,13,1),"123456789ABCDEFGHIJKLMNOPQRSTUVWXYZ")),MID(AN106,14,1)="Z")),"Wrong format",IF(MID("0123456789ABCDEFGHIJKLMNOPQRSTUVWXYZ",MOD(36-MOD(SUMPRODUCT(INT((FIND(MID(AN106,{1,2,3,4,5,6,7,8,9,10,11,12,13,14},1),"0123456789ABCDEFGHIJKLMNOPQRSTUVWXYZ")-1)*{1,2,1,2,1,2,1,2,1,2,1,2,1,2}/36)+MOD((FIND(MID(AN106,{1,2,3,4,5,6,7,8,9,10,11,12,13,14},1),"0123456789ABCDEFGHIJKLMNOPQRSTUVWXYZ")-1)*{1,2,1,2,1,2,1,2,1,2,1,2,1,2},36)),36),36)+1,1)=MID(AN106,15,1),"OK","Typo? check digit wrong")),"Wrong format"))</f>
        <v/>
      </c>
      <c r="AK106" s="27">
        <f>IF(AO106="","",IF(AND(LEN(AO106)=10,SUMPRODUCT(--ISERROR(FIND(MID(AO106,{1,2,3,4,5,10},1),"ABCDEFGHIJKLMNOPQRSTUVWXYZ")))=0,SUMPRODUCT(--ISERROR(FIND(MID(AO106,{6,7,8,9},1),"0123456789")))=0),"OK","Wrong format"))</f>
        <v/>
      </c>
      <c r="AL106" s="27">
        <f>IF(TRIM(H106)="","",IF(AND(LEN(UPPER(TRIM(H106)))=10,SUMPRODUCT(--ISERROR(FIND(MID(UPPER(TRIM(H106)),{1,2,3,4,10},1),"ABCDEFGHIJKLMNOPQRSTUVWXYZ")))=0,SUMPRODUCT(--ISERROR(FIND(MID(UPPER(TRIM(H106)),{5,6,7,8,9},1),"0123456789")))=0),"OK","Wrong format"))</f>
        <v/>
      </c>
      <c r="AM106" s="28">
        <f>IF(NOT(COUNTA(A106:AE106)&gt;0),"",IF(AS106&lt;&gt;"","✖ "&amp;LEFT(AS106,LEN(AS106)-2),IF(AR106&gt;0,"✔ Ready — client + "&amp;AR106&amp;" service(s)","✔ Ready — client only")))</f>
        <v/>
      </c>
      <c r="AN106" s="29">
        <f>UPPER(SUBSTITUTE(TRIM(F106)," ",""))</f>
        <v/>
      </c>
      <c r="AO106" s="29">
        <f>UPPER(SUBSTITUTE(TRIM(E106)," ",""))</f>
        <v/>
      </c>
      <c r="AP106" s="29">
        <f>IF(D106&lt;&gt;"",D106,IFERROR(VLOOKUP(MID(AG106,4,1),Lists!$E$2:$F$8,2,FALSE),""))</f>
        <v/>
      </c>
      <c r="AQ106" s="29">
        <f>IFERROR(VLOOKUP(AP106,Lists!$A$2:$C$12,3,FALSE),"")</f>
        <v/>
      </c>
      <c r="AR106" s="29">
        <f>COUNTIF(W106:AC106,"Yes")</f>
        <v/>
      </c>
      <c r="AS106" s="29">
        <f>IF(TRIM(B106)="","Legal name missing; ","")&amp;IF(AND(AJ106&lt;&gt;"",AJ106&lt;&gt;"OK"),"GSTIN: "&amp;AJ106&amp;"; ","")&amp;IF(AND(AK106&lt;&gt;"",AK106&lt;&gt;"OK"),"PAN wrong format; ","")&amp;IF(AND(AO106&lt;&gt;"",LEN(AN106)=15,MID(AN106,3,10)&lt;&gt;AO106),"PAN does not match GSTIN; ","")&amp;IF(AND(AL106&lt;&gt;"",AL106&lt;&gt;"OK"),"TAN wrong format; ","")&amp;IF(AG106="","PAN missing; ","")&amp;IF(AP106="","Entity type missing; ","")&amp;IF(AND(AN106&lt;&gt;"",COUNTIF($AN$6:$AN$1005,AN106)&gt;1),"GSTIN repeated in this sheet; ","")&amp;IF(AND(AG106&lt;&gt;"",COUNTIF($AG$6:$AG$1005,AG106)&gt;1),"PAN repeated in this sheet (same client? put extra GSTINs in Other GSTINs); ","")&amp;IF(AND(AR106&gt;0,V106=""),"Financial year missing; ","")&amp;IF(AND(AR106=0,V106&lt;&gt;""),"Financial year given but no service is Yes; ","")&amp;IF(AND(W106="Yes",AN106=""),"GST needs a GSTIN; ","")&amp;IF(AND(W106="Yes",X106=""),"GST return frequency missing; ","")&amp;IF(AND(Y106="Yes",TRIM(H106)=""),"TDS needs a TAN; ","")&amp;IF(AND(AA106="Yes",AQ106&lt;&gt;"",AQ106&lt;&gt;"company",AQ106&lt;&gt;"llp"),"ROC is only for a company / LLP; ","")&amp;IF(AND(AA106="Yes",OR(AQ106="company",AQ106="llp"),TRIM(I106)=""),"ROC needs the CIN / LLPIN; ","")</f>
        <v/>
      </c>
    </row>
    <row r="107">
      <c r="A107" s="30" t="n"/>
      <c r="B107" s="31" t="n"/>
      <c r="C107" s="31" t="n"/>
      <c r="D107" s="31" t="n"/>
      <c r="E107" s="30" t="n"/>
      <c r="F107" s="30" t="n"/>
      <c r="G107" s="30" t="n"/>
      <c r="H107" s="30" t="n"/>
      <c r="I107" s="30" t="n"/>
      <c r="J107" s="32" t="n"/>
      <c r="K107" s="31" t="n"/>
      <c r="L107" s="30" t="n"/>
      <c r="M107" s="31" t="n"/>
      <c r="N107" s="31" t="n"/>
      <c r="O107" s="31" t="n"/>
      <c r="P107" s="30" t="n"/>
      <c r="Q107" s="31" t="n"/>
      <c r="R107" s="31" t="n"/>
      <c r="S107" s="31" t="n"/>
      <c r="T107" s="31" t="n"/>
      <c r="U107" s="30" t="n"/>
      <c r="V107" s="31" t="n"/>
      <c r="W107" s="31" t="n"/>
      <c r="X107" s="31" t="n"/>
      <c r="Y107" s="31" t="n"/>
      <c r="Z107" s="31" t="n"/>
      <c r="AA107" s="31" t="n"/>
      <c r="AB107" s="31" t="n"/>
      <c r="AC107" s="31" t="n"/>
      <c r="AD107" s="31" t="n"/>
      <c r="AE107" s="31" t="n"/>
      <c r="AF107" s="27">
        <f>IF(NOT(COUNTA(A107:AE107)&gt;0),"",IF(A107="","New client","Update"))</f>
        <v/>
      </c>
      <c r="AG107" s="27">
        <f>IF(AO107&lt;&gt;"",AO107,IF(LEN(AN107)=15,MID(AN107,3,10),""))</f>
        <v/>
      </c>
      <c r="AH107" s="27">
        <f>IF(AP107="","",AP107&amp;IF(D107="","  (guessed from PAN)",""))</f>
        <v/>
      </c>
      <c r="AI107" s="27">
        <f>IF(AN107="","",IFERROR(INDEX(Lists!$L$2:$L$38,MATCH(LEFT(AN107,2),Lists!$K$2:$K$38,0)),"Unknown code"))</f>
        <v/>
      </c>
      <c r="AJ107" s="27">
        <f>IF(AN107="","",IFERROR(IF(NOT(AND(LEN(AN107)=15,ISNUMBER(MATCH(LEFT(AN107,2),Lists!$K$2:$K$38,0)),SUMPRODUCT(--ISERROR(FIND(MID(MID(AN107,3,10),{1,2,3,4,5,10},1),"ABCDEFGHIJKLMNOPQRSTUVWXYZ")))=0,SUMPRODUCT(--ISERROR(FIND(MID(MID(AN107,3,10),{6,7,8,9},1),"0123456789")))=0,ISNUMBER(FIND(MID(AN107,13,1),"123456789ABCDEFGHIJKLMNOPQRSTUVWXYZ")),MID(AN107,14,1)="Z")),"Wrong format",IF(MID("0123456789ABCDEFGHIJKLMNOPQRSTUVWXYZ",MOD(36-MOD(SUMPRODUCT(INT((FIND(MID(AN107,{1,2,3,4,5,6,7,8,9,10,11,12,13,14},1),"0123456789ABCDEFGHIJKLMNOPQRSTUVWXYZ")-1)*{1,2,1,2,1,2,1,2,1,2,1,2,1,2}/36)+MOD((FIND(MID(AN107,{1,2,3,4,5,6,7,8,9,10,11,12,13,14},1),"0123456789ABCDEFGHIJKLMNOPQRSTUVWXYZ")-1)*{1,2,1,2,1,2,1,2,1,2,1,2,1,2},36)),36),36)+1,1)=MID(AN107,15,1),"OK","Typo? check digit wrong")),"Wrong format"))</f>
        <v/>
      </c>
      <c r="AK107" s="27">
        <f>IF(AO107="","",IF(AND(LEN(AO107)=10,SUMPRODUCT(--ISERROR(FIND(MID(AO107,{1,2,3,4,5,10},1),"ABCDEFGHIJKLMNOPQRSTUVWXYZ")))=0,SUMPRODUCT(--ISERROR(FIND(MID(AO107,{6,7,8,9},1),"0123456789")))=0),"OK","Wrong format"))</f>
        <v/>
      </c>
      <c r="AL107" s="27">
        <f>IF(TRIM(H107)="","",IF(AND(LEN(UPPER(TRIM(H107)))=10,SUMPRODUCT(--ISERROR(FIND(MID(UPPER(TRIM(H107)),{1,2,3,4,10},1),"ABCDEFGHIJKLMNOPQRSTUVWXYZ")))=0,SUMPRODUCT(--ISERROR(FIND(MID(UPPER(TRIM(H107)),{5,6,7,8,9},1),"0123456789")))=0),"OK","Wrong format"))</f>
        <v/>
      </c>
      <c r="AM107" s="28">
        <f>IF(NOT(COUNTA(A107:AE107)&gt;0),"",IF(AS107&lt;&gt;"","✖ "&amp;LEFT(AS107,LEN(AS107)-2),IF(AR107&gt;0,"✔ Ready — client + "&amp;AR107&amp;" service(s)","✔ Ready — client only")))</f>
        <v/>
      </c>
      <c r="AN107" s="29">
        <f>UPPER(SUBSTITUTE(TRIM(F107)," ",""))</f>
        <v/>
      </c>
      <c r="AO107" s="29">
        <f>UPPER(SUBSTITUTE(TRIM(E107)," ",""))</f>
        <v/>
      </c>
      <c r="AP107" s="29">
        <f>IF(D107&lt;&gt;"",D107,IFERROR(VLOOKUP(MID(AG107,4,1),Lists!$E$2:$F$8,2,FALSE),""))</f>
        <v/>
      </c>
      <c r="AQ107" s="29">
        <f>IFERROR(VLOOKUP(AP107,Lists!$A$2:$C$12,3,FALSE),"")</f>
        <v/>
      </c>
      <c r="AR107" s="29">
        <f>COUNTIF(W107:AC107,"Yes")</f>
        <v/>
      </c>
      <c r="AS107" s="29">
        <f>IF(TRIM(B107)="","Legal name missing; ","")&amp;IF(AND(AJ107&lt;&gt;"",AJ107&lt;&gt;"OK"),"GSTIN: "&amp;AJ107&amp;"; ","")&amp;IF(AND(AK107&lt;&gt;"",AK107&lt;&gt;"OK"),"PAN wrong format; ","")&amp;IF(AND(AO107&lt;&gt;"",LEN(AN107)=15,MID(AN107,3,10)&lt;&gt;AO107),"PAN does not match GSTIN; ","")&amp;IF(AND(AL107&lt;&gt;"",AL107&lt;&gt;"OK"),"TAN wrong format; ","")&amp;IF(AG107="","PAN missing; ","")&amp;IF(AP107="","Entity type missing; ","")&amp;IF(AND(AN107&lt;&gt;"",COUNTIF($AN$6:$AN$1005,AN107)&gt;1),"GSTIN repeated in this sheet; ","")&amp;IF(AND(AG107&lt;&gt;"",COUNTIF($AG$6:$AG$1005,AG107)&gt;1),"PAN repeated in this sheet (same client? put extra GSTINs in Other GSTINs); ","")&amp;IF(AND(AR107&gt;0,V107=""),"Financial year missing; ","")&amp;IF(AND(AR107=0,V107&lt;&gt;""),"Financial year given but no service is Yes; ","")&amp;IF(AND(W107="Yes",AN107=""),"GST needs a GSTIN; ","")&amp;IF(AND(W107="Yes",X107=""),"GST return frequency missing; ","")&amp;IF(AND(Y107="Yes",TRIM(H107)=""),"TDS needs a TAN; ","")&amp;IF(AND(AA107="Yes",AQ107&lt;&gt;"",AQ107&lt;&gt;"company",AQ107&lt;&gt;"llp"),"ROC is only for a company / LLP; ","")&amp;IF(AND(AA107="Yes",OR(AQ107="company",AQ107="llp"),TRIM(I107)=""),"ROC needs the CIN / LLPIN; ","")</f>
        <v/>
      </c>
    </row>
    <row r="108">
      <c r="A108" s="30" t="n"/>
      <c r="B108" s="31" t="n"/>
      <c r="C108" s="31" t="n"/>
      <c r="D108" s="31" t="n"/>
      <c r="E108" s="30" t="n"/>
      <c r="F108" s="30" t="n"/>
      <c r="G108" s="30" t="n"/>
      <c r="H108" s="30" t="n"/>
      <c r="I108" s="30" t="n"/>
      <c r="J108" s="32" t="n"/>
      <c r="K108" s="31" t="n"/>
      <c r="L108" s="30" t="n"/>
      <c r="M108" s="31" t="n"/>
      <c r="N108" s="31" t="n"/>
      <c r="O108" s="31" t="n"/>
      <c r="P108" s="30" t="n"/>
      <c r="Q108" s="31" t="n"/>
      <c r="R108" s="31" t="n"/>
      <c r="S108" s="31" t="n"/>
      <c r="T108" s="31" t="n"/>
      <c r="U108" s="30" t="n"/>
      <c r="V108" s="31" t="n"/>
      <c r="W108" s="31" t="n"/>
      <c r="X108" s="31" t="n"/>
      <c r="Y108" s="31" t="n"/>
      <c r="Z108" s="31" t="n"/>
      <c r="AA108" s="31" t="n"/>
      <c r="AB108" s="31" t="n"/>
      <c r="AC108" s="31" t="n"/>
      <c r="AD108" s="31" t="n"/>
      <c r="AE108" s="31" t="n"/>
      <c r="AF108" s="27">
        <f>IF(NOT(COUNTA(A108:AE108)&gt;0),"",IF(A108="","New client","Update"))</f>
        <v/>
      </c>
      <c r="AG108" s="27">
        <f>IF(AO108&lt;&gt;"",AO108,IF(LEN(AN108)=15,MID(AN108,3,10),""))</f>
        <v/>
      </c>
      <c r="AH108" s="27">
        <f>IF(AP108="","",AP108&amp;IF(D108="","  (guessed from PAN)",""))</f>
        <v/>
      </c>
      <c r="AI108" s="27">
        <f>IF(AN108="","",IFERROR(INDEX(Lists!$L$2:$L$38,MATCH(LEFT(AN108,2),Lists!$K$2:$K$38,0)),"Unknown code"))</f>
        <v/>
      </c>
      <c r="AJ108" s="27">
        <f>IF(AN108="","",IFERROR(IF(NOT(AND(LEN(AN108)=15,ISNUMBER(MATCH(LEFT(AN108,2),Lists!$K$2:$K$38,0)),SUMPRODUCT(--ISERROR(FIND(MID(MID(AN108,3,10),{1,2,3,4,5,10},1),"ABCDEFGHIJKLMNOPQRSTUVWXYZ")))=0,SUMPRODUCT(--ISERROR(FIND(MID(MID(AN108,3,10),{6,7,8,9},1),"0123456789")))=0,ISNUMBER(FIND(MID(AN108,13,1),"123456789ABCDEFGHIJKLMNOPQRSTUVWXYZ")),MID(AN108,14,1)="Z")),"Wrong format",IF(MID("0123456789ABCDEFGHIJKLMNOPQRSTUVWXYZ",MOD(36-MOD(SUMPRODUCT(INT((FIND(MID(AN108,{1,2,3,4,5,6,7,8,9,10,11,12,13,14},1),"0123456789ABCDEFGHIJKLMNOPQRSTUVWXYZ")-1)*{1,2,1,2,1,2,1,2,1,2,1,2,1,2}/36)+MOD((FIND(MID(AN108,{1,2,3,4,5,6,7,8,9,10,11,12,13,14},1),"0123456789ABCDEFGHIJKLMNOPQRSTUVWXYZ")-1)*{1,2,1,2,1,2,1,2,1,2,1,2,1,2},36)),36),36)+1,1)=MID(AN108,15,1),"OK","Typo? check digit wrong")),"Wrong format"))</f>
        <v/>
      </c>
      <c r="AK108" s="27">
        <f>IF(AO108="","",IF(AND(LEN(AO108)=10,SUMPRODUCT(--ISERROR(FIND(MID(AO108,{1,2,3,4,5,10},1),"ABCDEFGHIJKLMNOPQRSTUVWXYZ")))=0,SUMPRODUCT(--ISERROR(FIND(MID(AO108,{6,7,8,9},1),"0123456789")))=0),"OK","Wrong format"))</f>
        <v/>
      </c>
      <c r="AL108" s="27">
        <f>IF(TRIM(H108)="","",IF(AND(LEN(UPPER(TRIM(H108)))=10,SUMPRODUCT(--ISERROR(FIND(MID(UPPER(TRIM(H108)),{1,2,3,4,10},1),"ABCDEFGHIJKLMNOPQRSTUVWXYZ")))=0,SUMPRODUCT(--ISERROR(FIND(MID(UPPER(TRIM(H108)),{5,6,7,8,9},1),"0123456789")))=0),"OK","Wrong format"))</f>
        <v/>
      </c>
      <c r="AM108" s="28">
        <f>IF(NOT(COUNTA(A108:AE108)&gt;0),"",IF(AS108&lt;&gt;"","✖ "&amp;LEFT(AS108,LEN(AS108)-2),IF(AR108&gt;0,"✔ Ready — client + "&amp;AR108&amp;" service(s)","✔ Ready — client only")))</f>
        <v/>
      </c>
      <c r="AN108" s="29">
        <f>UPPER(SUBSTITUTE(TRIM(F108)," ",""))</f>
        <v/>
      </c>
      <c r="AO108" s="29">
        <f>UPPER(SUBSTITUTE(TRIM(E108)," ",""))</f>
        <v/>
      </c>
      <c r="AP108" s="29">
        <f>IF(D108&lt;&gt;"",D108,IFERROR(VLOOKUP(MID(AG108,4,1),Lists!$E$2:$F$8,2,FALSE),""))</f>
        <v/>
      </c>
      <c r="AQ108" s="29">
        <f>IFERROR(VLOOKUP(AP108,Lists!$A$2:$C$12,3,FALSE),"")</f>
        <v/>
      </c>
      <c r="AR108" s="29">
        <f>COUNTIF(W108:AC108,"Yes")</f>
        <v/>
      </c>
      <c r="AS108" s="29">
        <f>IF(TRIM(B108)="","Legal name missing; ","")&amp;IF(AND(AJ108&lt;&gt;"",AJ108&lt;&gt;"OK"),"GSTIN: "&amp;AJ108&amp;"; ","")&amp;IF(AND(AK108&lt;&gt;"",AK108&lt;&gt;"OK"),"PAN wrong format; ","")&amp;IF(AND(AO108&lt;&gt;"",LEN(AN108)=15,MID(AN108,3,10)&lt;&gt;AO108),"PAN does not match GSTIN; ","")&amp;IF(AND(AL108&lt;&gt;"",AL108&lt;&gt;"OK"),"TAN wrong format; ","")&amp;IF(AG108="","PAN missing; ","")&amp;IF(AP108="","Entity type missing; ","")&amp;IF(AND(AN108&lt;&gt;"",COUNTIF($AN$6:$AN$1005,AN108)&gt;1),"GSTIN repeated in this sheet; ","")&amp;IF(AND(AG108&lt;&gt;"",COUNTIF($AG$6:$AG$1005,AG108)&gt;1),"PAN repeated in this sheet (same client? put extra GSTINs in Other GSTINs); ","")&amp;IF(AND(AR108&gt;0,V108=""),"Financial year missing; ","")&amp;IF(AND(AR108=0,V108&lt;&gt;""),"Financial year given but no service is Yes; ","")&amp;IF(AND(W108="Yes",AN108=""),"GST needs a GSTIN; ","")&amp;IF(AND(W108="Yes",X108=""),"GST return frequency missing; ","")&amp;IF(AND(Y108="Yes",TRIM(H108)=""),"TDS needs a TAN; ","")&amp;IF(AND(AA108="Yes",AQ108&lt;&gt;"",AQ108&lt;&gt;"company",AQ108&lt;&gt;"llp"),"ROC is only for a company / LLP; ","")&amp;IF(AND(AA108="Yes",OR(AQ108="company",AQ108="llp"),TRIM(I108)=""),"ROC needs the CIN / LLPIN; ","")</f>
        <v/>
      </c>
    </row>
    <row r="109">
      <c r="A109" s="30" t="n"/>
      <c r="B109" s="31" t="n"/>
      <c r="C109" s="31" t="n"/>
      <c r="D109" s="31" t="n"/>
      <c r="E109" s="30" t="n"/>
      <c r="F109" s="30" t="n"/>
      <c r="G109" s="30" t="n"/>
      <c r="H109" s="30" t="n"/>
      <c r="I109" s="30" t="n"/>
      <c r="J109" s="32" t="n"/>
      <c r="K109" s="31" t="n"/>
      <c r="L109" s="30" t="n"/>
      <c r="M109" s="31" t="n"/>
      <c r="N109" s="31" t="n"/>
      <c r="O109" s="31" t="n"/>
      <c r="P109" s="30" t="n"/>
      <c r="Q109" s="31" t="n"/>
      <c r="R109" s="31" t="n"/>
      <c r="S109" s="31" t="n"/>
      <c r="T109" s="31" t="n"/>
      <c r="U109" s="30" t="n"/>
      <c r="V109" s="31" t="n"/>
      <c r="W109" s="31" t="n"/>
      <c r="X109" s="31" t="n"/>
      <c r="Y109" s="31" t="n"/>
      <c r="Z109" s="31" t="n"/>
      <c r="AA109" s="31" t="n"/>
      <c r="AB109" s="31" t="n"/>
      <c r="AC109" s="31" t="n"/>
      <c r="AD109" s="31" t="n"/>
      <c r="AE109" s="31" t="n"/>
      <c r="AF109" s="27">
        <f>IF(NOT(COUNTA(A109:AE109)&gt;0),"",IF(A109="","New client","Update"))</f>
        <v/>
      </c>
      <c r="AG109" s="27">
        <f>IF(AO109&lt;&gt;"",AO109,IF(LEN(AN109)=15,MID(AN109,3,10),""))</f>
        <v/>
      </c>
      <c r="AH109" s="27">
        <f>IF(AP109="","",AP109&amp;IF(D109="","  (guessed from PAN)",""))</f>
        <v/>
      </c>
      <c r="AI109" s="27">
        <f>IF(AN109="","",IFERROR(INDEX(Lists!$L$2:$L$38,MATCH(LEFT(AN109,2),Lists!$K$2:$K$38,0)),"Unknown code"))</f>
        <v/>
      </c>
      <c r="AJ109" s="27">
        <f>IF(AN109="","",IFERROR(IF(NOT(AND(LEN(AN109)=15,ISNUMBER(MATCH(LEFT(AN109,2),Lists!$K$2:$K$38,0)),SUMPRODUCT(--ISERROR(FIND(MID(MID(AN109,3,10),{1,2,3,4,5,10},1),"ABCDEFGHIJKLMNOPQRSTUVWXYZ")))=0,SUMPRODUCT(--ISERROR(FIND(MID(MID(AN109,3,10),{6,7,8,9},1),"0123456789")))=0,ISNUMBER(FIND(MID(AN109,13,1),"123456789ABCDEFGHIJKLMNOPQRSTUVWXYZ")),MID(AN109,14,1)="Z")),"Wrong format",IF(MID("0123456789ABCDEFGHIJKLMNOPQRSTUVWXYZ",MOD(36-MOD(SUMPRODUCT(INT((FIND(MID(AN109,{1,2,3,4,5,6,7,8,9,10,11,12,13,14},1),"0123456789ABCDEFGHIJKLMNOPQRSTUVWXYZ")-1)*{1,2,1,2,1,2,1,2,1,2,1,2,1,2}/36)+MOD((FIND(MID(AN109,{1,2,3,4,5,6,7,8,9,10,11,12,13,14},1),"0123456789ABCDEFGHIJKLMNOPQRSTUVWXYZ")-1)*{1,2,1,2,1,2,1,2,1,2,1,2,1,2},36)),36),36)+1,1)=MID(AN109,15,1),"OK","Typo? check digit wrong")),"Wrong format"))</f>
        <v/>
      </c>
      <c r="AK109" s="27">
        <f>IF(AO109="","",IF(AND(LEN(AO109)=10,SUMPRODUCT(--ISERROR(FIND(MID(AO109,{1,2,3,4,5,10},1),"ABCDEFGHIJKLMNOPQRSTUVWXYZ")))=0,SUMPRODUCT(--ISERROR(FIND(MID(AO109,{6,7,8,9},1),"0123456789")))=0),"OK","Wrong format"))</f>
        <v/>
      </c>
      <c r="AL109" s="27">
        <f>IF(TRIM(H109)="","",IF(AND(LEN(UPPER(TRIM(H109)))=10,SUMPRODUCT(--ISERROR(FIND(MID(UPPER(TRIM(H109)),{1,2,3,4,10},1),"ABCDEFGHIJKLMNOPQRSTUVWXYZ")))=0,SUMPRODUCT(--ISERROR(FIND(MID(UPPER(TRIM(H109)),{5,6,7,8,9},1),"0123456789")))=0),"OK","Wrong format"))</f>
        <v/>
      </c>
      <c r="AM109" s="28">
        <f>IF(NOT(COUNTA(A109:AE109)&gt;0),"",IF(AS109&lt;&gt;"","✖ "&amp;LEFT(AS109,LEN(AS109)-2),IF(AR109&gt;0,"✔ Ready — client + "&amp;AR109&amp;" service(s)","✔ Ready — client only")))</f>
        <v/>
      </c>
      <c r="AN109" s="29">
        <f>UPPER(SUBSTITUTE(TRIM(F109)," ",""))</f>
        <v/>
      </c>
      <c r="AO109" s="29">
        <f>UPPER(SUBSTITUTE(TRIM(E109)," ",""))</f>
        <v/>
      </c>
      <c r="AP109" s="29">
        <f>IF(D109&lt;&gt;"",D109,IFERROR(VLOOKUP(MID(AG109,4,1),Lists!$E$2:$F$8,2,FALSE),""))</f>
        <v/>
      </c>
      <c r="AQ109" s="29">
        <f>IFERROR(VLOOKUP(AP109,Lists!$A$2:$C$12,3,FALSE),"")</f>
        <v/>
      </c>
      <c r="AR109" s="29">
        <f>COUNTIF(W109:AC109,"Yes")</f>
        <v/>
      </c>
      <c r="AS109" s="29">
        <f>IF(TRIM(B109)="","Legal name missing; ","")&amp;IF(AND(AJ109&lt;&gt;"",AJ109&lt;&gt;"OK"),"GSTIN: "&amp;AJ109&amp;"; ","")&amp;IF(AND(AK109&lt;&gt;"",AK109&lt;&gt;"OK"),"PAN wrong format; ","")&amp;IF(AND(AO109&lt;&gt;"",LEN(AN109)=15,MID(AN109,3,10)&lt;&gt;AO109),"PAN does not match GSTIN; ","")&amp;IF(AND(AL109&lt;&gt;"",AL109&lt;&gt;"OK"),"TAN wrong format; ","")&amp;IF(AG109="","PAN missing; ","")&amp;IF(AP109="","Entity type missing; ","")&amp;IF(AND(AN109&lt;&gt;"",COUNTIF($AN$6:$AN$1005,AN109)&gt;1),"GSTIN repeated in this sheet; ","")&amp;IF(AND(AG109&lt;&gt;"",COUNTIF($AG$6:$AG$1005,AG109)&gt;1),"PAN repeated in this sheet (same client? put extra GSTINs in Other GSTINs); ","")&amp;IF(AND(AR109&gt;0,V109=""),"Financial year missing; ","")&amp;IF(AND(AR109=0,V109&lt;&gt;""),"Financial year given but no service is Yes; ","")&amp;IF(AND(W109="Yes",AN109=""),"GST needs a GSTIN; ","")&amp;IF(AND(W109="Yes",X109=""),"GST return frequency missing; ","")&amp;IF(AND(Y109="Yes",TRIM(H109)=""),"TDS needs a TAN; ","")&amp;IF(AND(AA109="Yes",AQ109&lt;&gt;"",AQ109&lt;&gt;"company",AQ109&lt;&gt;"llp"),"ROC is only for a company / LLP; ","")&amp;IF(AND(AA109="Yes",OR(AQ109="company",AQ109="llp"),TRIM(I109)=""),"ROC needs the CIN / LLPIN; ","")</f>
        <v/>
      </c>
    </row>
    <row r="110">
      <c r="A110" s="30" t="n"/>
      <c r="B110" s="31" t="n"/>
      <c r="C110" s="31" t="n"/>
      <c r="D110" s="31" t="n"/>
      <c r="E110" s="30" t="n"/>
      <c r="F110" s="30" t="n"/>
      <c r="G110" s="30" t="n"/>
      <c r="H110" s="30" t="n"/>
      <c r="I110" s="30" t="n"/>
      <c r="J110" s="32" t="n"/>
      <c r="K110" s="31" t="n"/>
      <c r="L110" s="30" t="n"/>
      <c r="M110" s="31" t="n"/>
      <c r="N110" s="31" t="n"/>
      <c r="O110" s="31" t="n"/>
      <c r="P110" s="30" t="n"/>
      <c r="Q110" s="31" t="n"/>
      <c r="R110" s="31" t="n"/>
      <c r="S110" s="31" t="n"/>
      <c r="T110" s="31" t="n"/>
      <c r="U110" s="30" t="n"/>
      <c r="V110" s="31" t="n"/>
      <c r="W110" s="31" t="n"/>
      <c r="X110" s="31" t="n"/>
      <c r="Y110" s="31" t="n"/>
      <c r="Z110" s="31" t="n"/>
      <c r="AA110" s="31" t="n"/>
      <c r="AB110" s="31" t="n"/>
      <c r="AC110" s="31" t="n"/>
      <c r="AD110" s="31" t="n"/>
      <c r="AE110" s="31" t="n"/>
      <c r="AF110" s="27">
        <f>IF(NOT(COUNTA(A110:AE110)&gt;0),"",IF(A110="","New client","Update"))</f>
        <v/>
      </c>
      <c r="AG110" s="27">
        <f>IF(AO110&lt;&gt;"",AO110,IF(LEN(AN110)=15,MID(AN110,3,10),""))</f>
        <v/>
      </c>
      <c r="AH110" s="27">
        <f>IF(AP110="","",AP110&amp;IF(D110="","  (guessed from PAN)",""))</f>
        <v/>
      </c>
      <c r="AI110" s="27">
        <f>IF(AN110="","",IFERROR(INDEX(Lists!$L$2:$L$38,MATCH(LEFT(AN110,2),Lists!$K$2:$K$38,0)),"Unknown code"))</f>
        <v/>
      </c>
      <c r="AJ110" s="27">
        <f>IF(AN110="","",IFERROR(IF(NOT(AND(LEN(AN110)=15,ISNUMBER(MATCH(LEFT(AN110,2),Lists!$K$2:$K$38,0)),SUMPRODUCT(--ISERROR(FIND(MID(MID(AN110,3,10),{1,2,3,4,5,10},1),"ABCDEFGHIJKLMNOPQRSTUVWXYZ")))=0,SUMPRODUCT(--ISERROR(FIND(MID(MID(AN110,3,10),{6,7,8,9},1),"0123456789")))=0,ISNUMBER(FIND(MID(AN110,13,1),"123456789ABCDEFGHIJKLMNOPQRSTUVWXYZ")),MID(AN110,14,1)="Z")),"Wrong format",IF(MID("0123456789ABCDEFGHIJKLMNOPQRSTUVWXYZ",MOD(36-MOD(SUMPRODUCT(INT((FIND(MID(AN110,{1,2,3,4,5,6,7,8,9,10,11,12,13,14},1),"0123456789ABCDEFGHIJKLMNOPQRSTUVWXYZ")-1)*{1,2,1,2,1,2,1,2,1,2,1,2,1,2}/36)+MOD((FIND(MID(AN110,{1,2,3,4,5,6,7,8,9,10,11,12,13,14},1),"0123456789ABCDEFGHIJKLMNOPQRSTUVWXYZ")-1)*{1,2,1,2,1,2,1,2,1,2,1,2,1,2},36)),36),36)+1,1)=MID(AN110,15,1),"OK","Typo? check digit wrong")),"Wrong format"))</f>
        <v/>
      </c>
      <c r="AK110" s="27">
        <f>IF(AO110="","",IF(AND(LEN(AO110)=10,SUMPRODUCT(--ISERROR(FIND(MID(AO110,{1,2,3,4,5,10},1),"ABCDEFGHIJKLMNOPQRSTUVWXYZ")))=0,SUMPRODUCT(--ISERROR(FIND(MID(AO110,{6,7,8,9},1),"0123456789")))=0),"OK","Wrong format"))</f>
        <v/>
      </c>
      <c r="AL110" s="27">
        <f>IF(TRIM(H110)="","",IF(AND(LEN(UPPER(TRIM(H110)))=10,SUMPRODUCT(--ISERROR(FIND(MID(UPPER(TRIM(H110)),{1,2,3,4,10},1),"ABCDEFGHIJKLMNOPQRSTUVWXYZ")))=0,SUMPRODUCT(--ISERROR(FIND(MID(UPPER(TRIM(H110)),{5,6,7,8,9},1),"0123456789")))=0),"OK","Wrong format"))</f>
        <v/>
      </c>
      <c r="AM110" s="28">
        <f>IF(NOT(COUNTA(A110:AE110)&gt;0),"",IF(AS110&lt;&gt;"","✖ "&amp;LEFT(AS110,LEN(AS110)-2),IF(AR110&gt;0,"✔ Ready — client + "&amp;AR110&amp;" service(s)","✔ Ready — client only")))</f>
        <v/>
      </c>
      <c r="AN110" s="29">
        <f>UPPER(SUBSTITUTE(TRIM(F110)," ",""))</f>
        <v/>
      </c>
      <c r="AO110" s="29">
        <f>UPPER(SUBSTITUTE(TRIM(E110)," ",""))</f>
        <v/>
      </c>
      <c r="AP110" s="29">
        <f>IF(D110&lt;&gt;"",D110,IFERROR(VLOOKUP(MID(AG110,4,1),Lists!$E$2:$F$8,2,FALSE),""))</f>
        <v/>
      </c>
      <c r="AQ110" s="29">
        <f>IFERROR(VLOOKUP(AP110,Lists!$A$2:$C$12,3,FALSE),"")</f>
        <v/>
      </c>
      <c r="AR110" s="29">
        <f>COUNTIF(W110:AC110,"Yes")</f>
        <v/>
      </c>
      <c r="AS110" s="29">
        <f>IF(TRIM(B110)="","Legal name missing; ","")&amp;IF(AND(AJ110&lt;&gt;"",AJ110&lt;&gt;"OK"),"GSTIN: "&amp;AJ110&amp;"; ","")&amp;IF(AND(AK110&lt;&gt;"",AK110&lt;&gt;"OK"),"PAN wrong format; ","")&amp;IF(AND(AO110&lt;&gt;"",LEN(AN110)=15,MID(AN110,3,10)&lt;&gt;AO110),"PAN does not match GSTIN; ","")&amp;IF(AND(AL110&lt;&gt;"",AL110&lt;&gt;"OK"),"TAN wrong format; ","")&amp;IF(AG110="","PAN missing; ","")&amp;IF(AP110="","Entity type missing; ","")&amp;IF(AND(AN110&lt;&gt;"",COUNTIF($AN$6:$AN$1005,AN110)&gt;1),"GSTIN repeated in this sheet; ","")&amp;IF(AND(AG110&lt;&gt;"",COUNTIF($AG$6:$AG$1005,AG110)&gt;1),"PAN repeated in this sheet (same client? put extra GSTINs in Other GSTINs); ","")&amp;IF(AND(AR110&gt;0,V110=""),"Financial year missing; ","")&amp;IF(AND(AR110=0,V110&lt;&gt;""),"Financial year given but no service is Yes; ","")&amp;IF(AND(W110="Yes",AN110=""),"GST needs a GSTIN; ","")&amp;IF(AND(W110="Yes",X110=""),"GST return frequency missing; ","")&amp;IF(AND(Y110="Yes",TRIM(H110)=""),"TDS needs a TAN; ","")&amp;IF(AND(AA110="Yes",AQ110&lt;&gt;"",AQ110&lt;&gt;"company",AQ110&lt;&gt;"llp"),"ROC is only for a company / LLP; ","")&amp;IF(AND(AA110="Yes",OR(AQ110="company",AQ110="llp"),TRIM(I110)=""),"ROC needs the CIN / LLPIN; ","")</f>
        <v/>
      </c>
    </row>
    <row r="111">
      <c r="A111" s="30" t="n"/>
      <c r="B111" s="31" t="n"/>
      <c r="C111" s="31" t="n"/>
      <c r="D111" s="31" t="n"/>
      <c r="E111" s="30" t="n"/>
      <c r="F111" s="30" t="n"/>
      <c r="G111" s="30" t="n"/>
      <c r="H111" s="30" t="n"/>
      <c r="I111" s="30" t="n"/>
      <c r="J111" s="32" t="n"/>
      <c r="K111" s="31" t="n"/>
      <c r="L111" s="30" t="n"/>
      <c r="M111" s="31" t="n"/>
      <c r="N111" s="31" t="n"/>
      <c r="O111" s="31" t="n"/>
      <c r="P111" s="30" t="n"/>
      <c r="Q111" s="31" t="n"/>
      <c r="R111" s="31" t="n"/>
      <c r="S111" s="31" t="n"/>
      <c r="T111" s="31" t="n"/>
      <c r="U111" s="30" t="n"/>
      <c r="V111" s="31" t="n"/>
      <c r="W111" s="31" t="n"/>
      <c r="X111" s="31" t="n"/>
      <c r="Y111" s="31" t="n"/>
      <c r="Z111" s="31" t="n"/>
      <c r="AA111" s="31" t="n"/>
      <c r="AB111" s="31" t="n"/>
      <c r="AC111" s="31" t="n"/>
      <c r="AD111" s="31" t="n"/>
      <c r="AE111" s="31" t="n"/>
      <c r="AF111" s="27">
        <f>IF(NOT(COUNTA(A111:AE111)&gt;0),"",IF(A111="","New client","Update"))</f>
        <v/>
      </c>
      <c r="AG111" s="27">
        <f>IF(AO111&lt;&gt;"",AO111,IF(LEN(AN111)=15,MID(AN111,3,10),""))</f>
        <v/>
      </c>
      <c r="AH111" s="27">
        <f>IF(AP111="","",AP111&amp;IF(D111="","  (guessed from PAN)",""))</f>
        <v/>
      </c>
      <c r="AI111" s="27">
        <f>IF(AN111="","",IFERROR(INDEX(Lists!$L$2:$L$38,MATCH(LEFT(AN111,2),Lists!$K$2:$K$38,0)),"Unknown code"))</f>
        <v/>
      </c>
      <c r="AJ111" s="27">
        <f>IF(AN111="","",IFERROR(IF(NOT(AND(LEN(AN111)=15,ISNUMBER(MATCH(LEFT(AN111,2),Lists!$K$2:$K$38,0)),SUMPRODUCT(--ISERROR(FIND(MID(MID(AN111,3,10),{1,2,3,4,5,10},1),"ABCDEFGHIJKLMNOPQRSTUVWXYZ")))=0,SUMPRODUCT(--ISERROR(FIND(MID(MID(AN111,3,10),{6,7,8,9},1),"0123456789")))=0,ISNUMBER(FIND(MID(AN111,13,1),"123456789ABCDEFGHIJKLMNOPQRSTUVWXYZ")),MID(AN111,14,1)="Z")),"Wrong format",IF(MID("0123456789ABCDEFGHIJKLMNOPQRSTUVWXYZ",MOD(36-MOD(SUMPRODUCT(INT((FIND(MID(AN111,{1,2,3,4,5,6,7,8,9,10,11,12,13,14},1),"0123456789ABCDEFGHIJKLMNOPQRSTUVWXYZ")-1)*{1,2,1,2,1,2,1,2,1,2,1,2,1,2}/36)+MOD((FIND(MID(AN111,{1,2,3,4,5,6,7,8,9,10,11,12,13,14},1),"0123456789ABCDEFGHIJKLMNOPQRSTUVWXYZ")-1)*{1,2,1,2,1,2,1,2,1,2,1,2,1,2},36)),36),36)+1,1)=MID(AN111,15,1),"OK","Typo? check digit wrong")),"Wrong format"))</f>
        <v/>
      </c>
      <c r="AK111" s="27">
        <f>IF(AO111="","",IF(AND(LEN(AO111)=10,SUMPRODUCT(--ISERROR(FIND(MID(AO111,{1,2,3,4,5,10},1),"ABCDEFGHIJKLMNOPQRSTUVWXYZ")))=0,SUMPRODUCT(--ISERROR(FIND(MID(AO111,{6,7,8,9},1),"0123456789")))=0),"OK","Wrong format"))</f>
        <v/>
      </c>
      <c r="AL111" s="27">
        <f>IF(TRIM(H111)="","",IF(AND(LEN(UPPER(TRIM(H111)))=10,SUMPRODUCT(--ISERROR(FIND(MID(UPPER(TRIM(H111)),{1,2,3,4,10},1),"ABCDEFGHIJKLMNOPQRSTUVWXYZ")))=0,SUMPRODUCT(--ISERROR(FIND(MID(UPPER(TRIM(H111)),{5,6,7,8,9},1),"0123456789")))=0),"OK","Wrong format"))</f>
        <v/>
      </c>
      <c r="AM111" s="28">
        <f>IF(NOT(COUNTA(A111:AE111)&gt;0),"",IF(AS111&lt;&gt;"","✖ "&amp;LEFT(AS111,LEN(AS111)-2),IF(AR111&gt;0,"✔ Ready — client + "&amp;AR111&amp;" service(s)","✔ Ready — client only")))</f>
        <v/>
      </c>
      <c r="AN111" s="29">
        <f>UPPER(SUBSTITUTE(TRIM(F111)," ",""))</f>
        <v/>
      </c>
      <c r="AO111" s="29">
        <f>UPPER(SUBSTITUTE(TRIM(E111)," ",""))</f>
        <v/>
      </c>
      <c r="AP111" s="29">
        <f>IF(D111&lt;&gt;"",D111,IFERROR(VLOOKUP(MID(AG111,4,1),Lists!$E$2:$F$8,2,FALSE),""))</f>
        <v/>
      </c>
      <c r="AQ111" s="29">
        <f>IFERROR(VLOOKUP(AP111,Lists!$A$2:$C$12,3,FALSE),"")</f>
        <v/>
      </c>
      <c r="AR111" s="29">
        <f>COUNTIF(W111:AC111,"Yes")</f>
        <v/>
      </c>
      <c r="AS111" s="29">
        <f>IF(TRIM(B111)="","Legal name missing; ","")&amp;IF(AND(AJ111&lt;&gt;"",AJ111&lt;&gt;"OK"),"GSTIN: "&amp;AJ111&amp;"; ","")&amp;IF(AND(AK111&lt;&gt;"",AK111&lt;&gt;"OK"),"PAN wrong format; ","")&amp;IF(AND(AO111&lt;&gt;"",LEN(AN111)=15,MID(AN111,3,10)&lt;&gt;AO111),"PAN does not match GSTIN; ","")&amp;IF(AND(AL111&lt;&gt;"",AL111&lt;&gt;"OK"),"TAN wrong format; ","")&amp;IF(AG111="","PAN missing; ","")&amp;IF(AP111="","Entity type missing; ","")&amp;IF(AND(AN111&lt;&gt;"",COUNTIF($AN$6:$AN$1005,AN111)&gt;1),"GSTIN repeated in this sheet; ","")&amp;IF(AND(AG111&lt;&gt;"",COUNTIF($AG$6:$AG$1005,AG111)&gt;1),"PAN repeated in this sheet (same client? put extra GSTINs in Other GSTINs); ","")&amp;IF(AND(AR111&gt;0,V111=""),"Financial year missing; ","")&amp;IF(AND(AR111=0,V111&lt;&gt;""),"Financial year given but no service is Yes; ","")&amp;IF(AND(W111="Yes",AN111=""),"GST needs a GSTIN; ","")&amp;IF(AND(W111="Yes",X111=""),"GST return frequency missing; ","")&amp;IF(AND(Y111="Yes",TRIM(H111)=""),"TDS needs a TAN; ","")&amp;IF(AND(AA111="Yes",AQ111&lt;&gt;"",AQ111&lt;&gt;"company",AQ111&lt;&gt;"llp"),"ROC is only for a company / LLP; ","")&amp;IF(AND(AA111="Yes",OR(AQ111="company",AQ111="llp"),TRIM(I111)=""),"ROC needs the CIN / LLPIN; ","")</f>
        <v/>
      </c>
    </row>
    <row r="112">
      <c r="A112" s="30" t="n"/>
      <c r="B112" s="31" t="n"/>
      <c r="C112" s="31" t="n"/>
      <c r="D112" s="31" t="n"/>
      <c r="E112" s="30" t="n"/>
      <c r="F112" s="30" t="n"/>
      <c r="G112" s="30" t="n"/>
      <c r="H112" s="30" t="n"/>
      <c r="I112" s="30" t="n"/>
      <c r="J112" s="32" t="n"/>
      <c r="K112" s="31" t="n"/>
      <c r="L112" s="30" t="n"/>
      <c r="M112" s="31" t="n"/>
      <c r="N112" s="31" t="n"/>
      <c r="O112" s="31" t="n"/>
      <c r="P112" s="30" t="n"/>
      <c r="Q112" s="31" t="n"/>
      <c r="R112" s="31" t="n"/>
      <c r="S112" s="31" t="n"/>
      <c r="T112" s="31" t="n"/>
      <c r="U112" s="30" t="n"/>
      <c r="V112" s="31" t="n"/>
      <c r="W112" s="31" t="n"/>
      <c r="X112" s="31" t="n"/>
      <c r="Y112" s="31" t="n"/>
      <c r="Z112" s="31" t="n"/>
      <c r="AA112" s="31" t="n"/>
      <c r="AB112" s="31" t="n"/>
      <c r="AC112" s="31" t="n"/>
      <c r="AD112" s="31" t="n"/>
      <c r="AE112" s="31" t="n"/>
      <c r="AF112" s="27">
        <f>IF(NOT(COUNTA(A112:AE112)&gt;0),"",IF(A112="","New client","Update"))</f>
        <v/>
      </c>
      <c r="AG112" s="27">
        <f>IF(AO112&lt;&gt;"",AO112,IF(LEN(AN112)=15,MID(AN112,3,10),""))</f>
        <v/>
      </c>
      <c r="AH112" s="27">
        <f>IF(AP112="","",AP112&amp;IF(D112="","  (guessed from PAN)",""))</f>
        <v/>
      </c>
      <c r="AI112" s="27">
        <f>IF(AN112="","",IFERROR(INDEX(Lists!$L$2:$L$38,MATCH(LEFT(AN112,2),Lists!$K$2:$K$38,0)),"Unknown code"))</f>
        <v/>
      </c>
      <c r="AJ112" s="27">
        <f>IF(AN112="","",IFERROR(IF(NOT(AND(LEN(AN112)=15,ISNUMBER(MATCH(LEFT(AN112,2),Lists!$K$2:$K$38,0)),SUMPRODUCT(--ISERROR(FIND(MID(MID(AN112,3,10),{1,2,3,4,5,10},1),"ABCDEFGHIJKLMNOPQRSTUVWXYZ")))=0,SUMPRODUCT(--ISERROR(FIND(MID(MID(AN112,3,10),{6,7,8,9},1),"0123456789")))=0,ISNUMBER(FIND(MID(AN112,13,1),"123456789ABCDEFGHIJKLMNOPQRSTUVWXYZ")),MID(AN112,14,1)="Z")),"Wrong format",IF(MID("0123456789ABCDEFGHIJKLMNOPQRSTUVWXYZ",MOD(36-MOD(SUMPRODUCT(INT((FIND(MID(AN112,{1,2,3,4,5,6,7,8,9,10,11,12,13,14},1),"0123456789ABCDEFGHIJKLMNOPQRSTUVWXYZ")-1)*{1,2,1,2,1,2,1,2,1,2,1,2,1,2}/36)+MOD((FIND(MID(AN112,{1,2,3,4,5,6,7,8,9,10,11,12,13,14},1),"0123456789ABCDEFGHIJKLMNOPQRSTUVWXYZ")-1)*{1,2,1,2,1,2,1,2,1,2,1,2,1,2},36)),36),36)+1,1)=MID(AN112,15,1),"OK","Typo? check digit wrong")),"Wrong format"))</f>
        <v/>
      </c>
      <c r="AK112" s="27">
        <f>IF(AO112="","",IF(AND(LEN(AO112)=10,SUMPRODUCT(--ISERROR(FIND(MID(AO112,{1,2,3,4,5,10},1),"ABCDEFGHIJKLMNOPQRSTUVWXYZ")))=0,SUMPRODUCT(--ISERROR(FIND(MID(AO112,{6,7,8,9},1),"0123456789")))=0),"OK","Wrong format"))</f>
        <v/>
      </c>
      <c r="AL112" s="27">
        <f>IF(TRIM(H112)="","",IF(AND(LEN(UPPER(TRIM(H112)))=10,SUMPRODUCT(--ISERROR(FIND(MID(UPPER(TRIM(H112)),{1,2,3,4,10},1),"ABCDEFGHIJKLMNOPQRSTUVWXYZ")))=0,SUMPRODUCT(--ISERROR(FIND(MID(UPPER(TRIM(H112)),{5,6,7,8,9},1),"0123456789")))=0),"OK","Wrong format"))</f>
        <v/>
      </c>
      <c r="AM112" s="28">
        <f>IF(NOT(COUNTA(A112:AE112)&gt;0),"",IF(AS112&lt;&gt;"","✖ "&amp;LEFT(AS112,LEN(AS112)-2),IF(AR112&gt;0,"✔ Ready — client + "&amp;AR112&amp;" service(s)","✔ Ready — client only")))</f>
        <v/>
      </c>
      <c r="AN112" s="29">
        <f>UPPER(SUBSTITUTE(TRIM(F112)," ",""))</f>
        <v/>
      </c>
      <c r="AO112" s="29">
        <f>UPPER(SUBSTITUTE(TRIM(E112)," ",""))</f>
        <v/>
      </c>
      <c r="AP112" s="29">
        <f>IF(D112&lt;&gt;"",D112,IFERROR(VLOOKUP(MID(AG112,4,1),Lists!$E$2:$F$8,2,FALSE),""))</f>
        <v/>
      </c>
      <c r="AQ112" s="29">
        <f>IFERROR(VLOOKUP(AP112,Lists!$A$2:$C$12,3,FALSE),"")</f>
        <v/>
      </c>
      <c r="AR112" s="29">
        <f>COUNTIF(W112:AC112,"Yes")</f>
        <v/>
      </c>
      <c r="AS112" s="29">
        <f>IF(TRIM(B112)="","Legal name missing; ","")&amp;IF(AND(AJ112&lt;&gt;"",AJ112&lt;&gt;"OK"),"GSTIN: "&amp;AJ112&amp;"; ","")&amp;IF(AND(AK112&lt;&gt;"",AK112&lt;&gt;"OK"),"PAN wrong format; ","")&amp;IF(AND(AO112&lt;&gt;"",LEN(AN112)=15,MID(AN112,3,10)&lt;&gt;AO112),"PAN does not match GSTIN; ","")&amp;IF(AND(AL112&lt;&gt;"",AL112&lt;&gt;"OK"),"TAN wrong format; ","")&amp;IF(AG112="","PAN missing; ","")&amp;IF(AP112="","Entity type missing; ","")&amp;IF(AND(AN112&lt;&gt;"",COUNTIF($AN$6:$AN$1005,AN112)&gt;1),"GSTIN repeated in this sheet; ","")&amp;IF(AND(AG112&lt;&gt;"",COUNTIF($AG$6:$AG$1005,AG112)&gt;1),"PAN repeated in this sheet (same client? put extra GSTINs in Other GSTINs); ","")&amp;IF(AND(AR112&gt;0,V112=""),"Financial year missing; ","")&amp;IF(AND(AR112=0,V112&lt;&gt;""),"Financial year given but no service is Yes; ","")&amp;IF(AND(W112="Yes",AN112=""),"GST needs a GSTIN; ","")&amp;IF(AND(W112="Yes",X112=""),"GST return frequency missing; ","")&amp;IF(AND(Y112="Yes",TRIM(H112)=""),"TDS needs a TAN; ","")&amp;IF(AND(AA112="Yes",AQ112&lt;&gt;"",AQ112&lt;&gt;"company",AQ112&lt;&gt;"llp"),"ROC is only for a company / LLP; ","")&amp;IF(AND(AA112="Yes",OR(AQ112="company",AQ112="llp"),TRIM(I112)=""),"ROC needs the CIN / LLPIN; ","")</f>
        <v/>
      </c>
    </row>
    <row r="113">
      <c r="A113" s="30" t="n"/>
      <c r="B113" s="31" t="n"/>
      <c r="C113" s="31" t="n"/>
      <c r="D113" s="31" t="n"/>
      <c r="E113" s="30" t="n"/>
      <c r="F113" s="30" t="n"/>
      <c r="G113" s="30" t="n"/>
      <c r="H113" s="30" t="n"/>
      <c r="I113" s="30" t="n"/>
      <c r="J113" s="32" t="n"/>
      <c r="K113" s="31" t="n"/>
      <c r="L113" s="30" t="n"/>
      <c r="M113" s="31" t="n"/>
      <c r="N113" s="31" t="n"/>
      <c r="O113" s="31" t="n"/>
      <c r="P113" s="30" t="n"/>
      <c r="Q113" s="31" t="n"/>
      <c r="R113" s="31" t="n"/>
      <c r="S113" s="31" t="n"/>
      <c r="T113" s="31" t="n"/>
      <c r="U113" s="30" t="n"/>
      <c r="V113" s="31" t="n"/>
      <c r="W113" s="31" t="n"/>
      <c r="X113" s="31" t="n"/>
      <c r="Y113" s="31" t="n"/>
      <c r="Z113" s="31" t="n"/>
      <c r="AA113" s="31" t="n"/>
      <c r="AB113" s="31" t="n"/>
      <c r="AC113" s="31" t="n"/>
      <c r="AD113" s="31" t="n"/>
      <c r="AE113" s="31" t="n"/>
      <c r="AF113" s="27">
        <f>IF(NOT(COUNTA(A113:AE113)&gt;0),"",IF(A113="","New client","Update"))</f>
        <v/>
      </c>
      <c r="AG113" s="27">
        <f>IF(AO113&lt;&gt;"",AO113,IF(LEN(AN113)=15,MID(AN113,3,10),""))</f>
        <v/>
      </c>
      <c r="AH113" s="27">
        <f>IF(AP113="","",AP113&amp;IF(D113="","  (guessed from PAN)",""))</f>
        <v/>
      </c>
      <c r="AI113" s="27">
        <f>IF(AN113="","",IFERROR(INDEX(Lists!$L$2:$L$38,MATCH(LEFT(AN113,2),Lists!$K$2:$K$38,0)),"Unknown code"))</f>
        <v/>
      </c>
      <c r="AJ113" s="27">
        <f>IF(AN113="","",IFERROR(IF(NOT(AND(LEN(AN113)=15,ISNUMBER(MATCH(LEFT(AN113,2),Lists!$K$2:$K$38,0)),SUMPRODUCT(--ISERROR(FIND(MID(MID(AN113,3,10),{1,2,3,4,5,10},1),"ABCDEFGHIJKLMNOPQRSTUVWXYZ")))=0,SUMPRODUCT(--ISERROR(FIND(MID(MID(AN113,3,10),{6,7,8,9},1),"0123456789")))=0,ISNUMBER(FIND(MID(AN113,13,1),"123456789ABCDEFGHIJKLMNOPQRSTUVWXYZ")),MID(AN113,14,1)="Z")),"Wrong format",IF(MID("0123456789ABCDEFGHIJKLMNOPQRSTUVWXYZ",MOD(36-MOD(SUMPRODUCT(INT((FIND(MID(AN113,{1,2,3,4,5,6,7,8,9,10,11,12,13,14},1),"0123456789ABCDEFGHIJKLMNOPQRSTUVWXYZ")-1)*{1,2,1,2,1,2,1,2,1,2,1,2,1,2}/36)+MOD((FIND(MID(AN113,{1,2,3,4,5,6,7,8,9,10,11,12,13,14},1),"0123456789ABCDEFGHIJKLMNOPQRSTUVWXYZ")-1)*{1,2,1,2,1,2,1,2,1,2,1,2,1,2},36)),36),36)+1,1)=MID(AN113,15,1),"OK","Typo? check digit wrong")),"Wrong format"))</f>
        <v/>
      </c>
      <c r="AK113" s="27">
        <f>IF(AO113="","",IF(AND(LEN(AO113)=10,SUMPRODUCT(--ISERROR(FIND(MID(AO113,{1,2,3,4,5,10},1),"ABCDEFGHIJKLMNOPQRSTUVWXYZ")))=0,SUMPRODUCT(--ISERROR(FIND(MID(AO113,{6,7,8,9},1),"0123456789")))=0),"OK","Wrong format"))</f>
        <v/>
      </c>
      <c r="AL113" s="27">
        <f>IF(TRIM(H113)="","",IF(AND(LEN(UPPER(TRIM(H113)))=10,SUMPRODUCT(--ISERROR(FIND(MID(UPPER(TRIM(H113)),{1,2,3,4,10},1),"ABCDEFGHIJKLMNOPQRSTUVWXYZ")))=0,SUMPRODUCT(--ISERROR(FIND(MID(UPPER(TRIM(H113)),{5,6,7,8,9},1),"0123456789")))=0),"OK","Wrong format"))</f>
        <v/>
      </c>
      <c r="AM113" s="28">
        <f>IF(NOT(COUNTA(A113:AE113)&gt;0),"",IF(AS113&lt;&gt;"","✖ "&amp;LEFT(AS113,LEN(AS113)-2),IF(AR113&gt;0,"✔ Ready — client + "&amp;AR113&amp;" service(s)","✔ Ready — client only")))</f>
        <v/>
      </c>
      <c r="AN113" s="29">
        <f>UPPER(SUBSTITUTE(TRIM(F113)," ",""))</f>
        <v/>
      </c>
      <c r="AO113" s="29">
        <f>UPPER(SUBSTITUTE(TRIM(E113)," ",""))</f>
        <v/>
      </c>
      <c r="AP113" s="29">
        <f>IF(D113&lt;&gt;"",D113,IFERROR(VLOOKUP(MID(AG113,4,1),Lists!$E$2:$F$8,2,FALSE),""))</f>
        <v/>
      </c>
      <c r="AQ113" s="29">
        <f>IFERROR(VLOOKUP(AP113,Lists!$A$2:$C$12,3,FALSE),"")</f>
        <v/>
      </c>
      <c r="AR113" s="29">
        <f>COUNTIF(W113:AC113,"Yes")</f>
        <v/>
      </c>
      <c r="AS113" s="29">
        <f>IF(TRIM(B113)="","Legal name missing; ","")&amp;IF(AND(AJ113&lt;&gt;"",AJ113&lt;&gt;"OK"),"GSTIN: "&amp;AJ113&amp;"; ","")&amp;IF(AND(AK113&lt;&gt;"",AK113&lt;&gt;"OK"),"PAN wrong format; ","")&amp;IF(AND(AO113&lt;&gt;"",LEN(AN113)=15,MID(AN113,3,10)&lt;&gt;AO113),"PAN does not match GSTIN; ","")&amp;IF(AND(AL113&lt;&gt;"",AL113&lt;&gt;"OK"),"TAN wrong format; ","")&amp;IF(AG113="","PAN missing; ","")&amp;IF(AP113="","Entity type missing; ","")&amp;IF(AND(AN113&lt;&gt;"",COUNTIF($AN$6:$AN$1005,AN113)&gt;1),"GSTIN repeated in this sheet; ","")&amp;IF(AND(AG113&lt;&gt;"",COUNTIF($AG$6:$AG$1005,AG113)&gt;1),"PAN repeated in this sheet (same client? put extra GSTINs in Other GSTINs); ","")&amp;IF(AND(AR113&gt;0,V113=""),"Financial year missing; ","")&amp;IF(AND(AR113=0,V113&lt;&gt;""),"Financial year given but no service is Yes; ","")&amp;IF(AND(W113="Yes",AN113=""),"GST needs a GSTIN; ","")&amp;IF(AND(W113="Yes",X113=""),"GST return frequency missing; ","")&amp;IF(AND(Y113="Yes",TRIM(H113)=""),"TDS needs a TAN; ","")&amp;IF(AND(AA113="Yes",AQ113&lt;&gt;"",AQ113&lt;&gt;"company",AQ113&lt;&gt;"llp"),"ROC is only for a company / LLP; ","")&amp;IF(AND(AA113="Yes",OR(AQ113="company",AQ113="llp"),TRIM(I113)=""),"ROC needs the CIN / LLPIN; ","")</f>
        <v/>
      </c>
    </row>
    <row r="114">
      <c r="A114" s="30" t="n"/>
      <c r="B114" s="31" t="n"/>
      <c r="C114" s="31" t="n"/>
      <c r="D114" s="31" t="n"/>
      <c r="E114" s="30" t="n"/>
      <c r="F114" s="30" t="n"/>
      <c r="G114" s="30" t="n"/>
      <c r="H114" s="30" t="n"/>
      <c r="I114" s="30" t="n"/>
      <c r="J114" s="32" t="n"/>
      <c r="K114" s="31" t="n"/>
      <c r="L114" s="30" t="n"/>
      <c r="M114" s="31" t="n"/>
      <c r="N114" s="31" t="n"/>
      <c r="O114" s="31" t="n"/>
      <c r="P114" s="30" t="n"/>
      <c r="Q114" s="31" t="n"/>
      <c r="R114" s="31" t="n"/>
      <c r="S114" s="31" t="n"/>
      <c r="T114" s="31" t="n"/>
      <c r="U114" s="30" t="n"/>
      <c r="V114" s="31" t="n"/>
      <c r="W114" s="31" t="n"/>
      <c r="X114" s="31" t="n"/>
      <c r="Y114" s="31" t="n"/>
      <c r="Z114" s="31" t="n"/>
      <c r="AA114" s="31" t="n"/>
      <c r="AB114" s="31" t="n"/>
      <c r="AC114" s="31" t="n"/>
      <c r="AD114" s="31" t="n"/>
      <c r="AE114" s="31" t="n"/>
      <c r="AF114" s="27">
        <f>IF(NOT(COUNTA(A114:AE114)&gt;0),"",IF(A114="","New client","Update"))</f>
        <v/>
      </c>
      <c r="AG114" s="27">
        <f>IF(AO114&lt;&gt;"",AO114,IF(LEN(AN114)=15,MID(AN114,3,10),""))</f>
        <v/>
      </c>
      <c r="AH114" s="27">
        <f>IF(AP114="","",AP114&amp;IF(D114="","  (guessed from PAN)",""))</f>
        <v/>
      </c>
      <c r="AI114" s="27">
        <f>IF(AN114="","",IFERROR(INDEX(Lists!$L$2:$L$38,MATCH(LEFT(AN114,2),Lists!$K$2:$K$38,0)),"Unknown code"))</f>
        <v/>
      </c>
      <c r="AJ114" s="27">
        <f>IF(AN114="","",IFERROR(IF(NOT(AND(LEN(AN114)=15,ISNUMBER(MATCH(LEFT(AN114,2),Lists!$K$2:$K$38,0)),SUMPRODUCT(--ISERROR(FIND(MID(MID(AN114,3,10),{1,2,3,4,5,10},1),"ABCDEFGHIJKLMNOPQRSTUVWXYZ")))=0,SUMPRODUCT(--ISERROR(FIND(MID(MID(AN114,3,10),{6,7,8,9},1),"0123456789")))=0,ISNUMBER(FIND(MID(AN114,13,1),"123456789ABCDEFGHIJKLMNOPQRSTUVWXYZ")),MID(AN114,14,1)="Z")),"Wrong format",IF(MID("0123456789ABCDEFGHIJKLMNOPQRSTUVWXYZ",MOD(36-MOD(SUMPRODUCT(INT((FIND(MID(AN114,{1,2,3,4,5,6,7,8,9,10,11,12,13,14},1),"0123456789ABCDEFGHIJKLMNOPQRSTUVWXYZ")-1)*{1,2,1,2,1,2,1,2,1,2,1,2,1,2}/36)+MOD((FIND(MID(AN114,{1,2,3,4,5,6,7,8,9,10,11,12,13,14},1),"0123456789ABCDEFGHIJKLMNOPQRSTUVWXYZ")-1)*{1,2,1,2,1,2,1,2,1,2,1,2,1,2},36)),36),36)+1,1)=MID(AN114,15,1),"OK","Typo? check digit wrong")),"Wrong format"))</f>
        <v/>
      </c>
      <c r="AK114" s="27">
        <f>IF(AO114="","",IF(AND(LEN(AO114)=10,SUMPRODUCT(--ISERROR(FIND(MID(AO114,{1,2,3,4,5,10},1),"ABCDEFGHIJKLMNOPQRSTUVWXYZ")))=0,SUMPRODUCT(--ISERROR(FIND(MID(AO114,{6,7,8,9},1),"0123456789")))=0),"OK","Wrong format"))</f>
        <v/>
      </c>
      <c r="AL114" s="27">
        <f>IF(TRIM(H114)="","",IF(AND(LEN(UPPER(TRIM(H114)))=10,SUMPRODUCT(--ISERROR(FIND(MID(UPPER(TRIM(H114)),{1,2,3,4,10},1),"ABCDEFGHIJKLMNOPQRSTUVWXYZ")))=0,SUMPRODUCT(--ISERROR(FIND(MID(UPPER(TRIM(H114)),{5,6,7,8,9},1),"0123456789")))=0),"OK","Wrong format"))</f>
        <v/>
      </c>
      <c r="AM114" s="28">
        <f>IF(NOT(COUNTA(A114:AE114)&gt;0),"",IF(AS114&lt;&gt;"","✖ "&amp;LEFT(AS114,LEN(AS114)-2),IF(AR114&gt;0,"✔ Ready — client + "&amp;AR114&amp;" service(s)","✔ Ready — client only")))</f>
        <v/>
      </c>
      <c r="AN114" s="29">
        <f>UPPER(SUBSTITUTE(TRIM(F114)," ",""))</f>
        <v/>
      </c>
      <c r="AO114" s="29">
        <f>UPPER(SUBSTITUTE(TRIM(E114)," ",""))</f>
        <v/>
      </c>
      <c r="AP114" s="29">
        <f>IF(D114&lt;&gt;"",D114,IFERROR(VLOOKUP(MID(AG114,4,1),Lists!$E$2:$F$8,2,FALSE),""))</f>
        <v/>
      </c>
      <c r="AQ114" s="29">
        <f>IFERROR(VLOOKUP(AP114,Lists!$A$2:$C$12,3,FALSE),"")</f>
        <v/>
      </c>
      <c r="AR114" s="29">
        <f>COUNTIF(W114:AC114,"Yes")</f>
        <v/>
      </c>
      <c r="AS114" s="29">
        <f>IF(TRIM(B114)="","Legal name missing; ","")&amp;IF(AND(AJ114&lt;&gt;"",AJ114&lt;&gt;"OK"),"GSTIN: "&amp;AJ114&amp;"; ","")&amp;IF(AND(AK114&lt;&gt;"",AK114&lt;&gt;"OK"),"PAN wrong format; ","")&amp;IF(AND(AO114&lt;&gt;"",LEN(AN114)=15,MID(AN114,3,10)&lt;&gt;AO114),"PAN does not match GSTIN; ","")&amp;IF(AND(AL114&lt;&gt;"",AL114&lt;&gt;"OK"),"TAN wrong format; ","")&amp;IF(AG114="","PAN missing; ","")&amp;IF(AP114="","Entity type missing; ","")&amp;IF(AND(AN114&lt;&gt;"",COUNTIF($AN$6:$AN$1005,AN114)&gt;1),"GSTIN repeated in this sheet; ","")&amp;IF(AND(AG114&lt;&gt;"",COUNTIF($AG$6:$AG$1005,AG114)&gt;1),"PAN repeated in this sheet (same client? put extra GSTINs in Other GSTINs); ","")&amp;IF(AND(AR114&gt;0,V114=""),"Financial year missing; ","")&amp;IF(AND(AR114=0,V114&lt;&gt;""),"Financial year given but no service is Yes; ","")&amp;IF(AND(W114="Yes",AN114=""),"GST needs a GSTIN; ","")&amp;IF(AND(W114="Yes",X114=""),"GST return frequency missing; ","")&amp;IF(AND(Y114="Yes",TRIM(H114)=""),"TDS needs a TAN; ","")&amp;IF(AND(AA114="Yes",AQ114&lt;&gt;"",AQ114&lt;&gt;"company",AQ114&lt;&gt;"llp"),"ROC is only for a company / LLP; ","")&amp;IF(AND(AA114="Yes",OR(AQ114="company",AQ114="llp"),TRIM(I114)=""),"ROC needs the CIN / LLPIN; ","")</f>
        <v/>
      </c>
    </row>
    <row r="115">
      <c r="A115" s="30" t="n"/>
      <c r="B115" s="31" t="n"/>
      <c r="C115" s="31" t="n"/>
      <c r="D115" s="31" t="n"/>
      <c r="E115" s="30" t="n"/>
      <c r="F115" s="30" t="n"/>
      <c r="G115" s="30" t="n"/>
      <c r="H115" s="30" t="n"/>
      <c r="I115" s="30" t="n"/>
      <c r="J115" s="32" t="n"/>
      <c r="K115" s="31" t="n"/>
      <c r="L115" s="30" t="n"/>
      <c r="M115" s="31" t="n"/>
      <c r="N115" s="31" t="n"/>
      <c r="O115" s="31" t="n"/>
      <c r="P115" s="30" t="n"/>
      <c r="Q115" s="31" t="n"/>
      <c r="R115" s="31" t="n"/>
      <c r="S115" s="31" t="n"/>
      <c r="T115" s="31" t="n"/>
      <c r="U115" s="30" t="n"/>
      <c r="V115" s="31" t="n"/>
      <c r="W115" s="31" t="n"/>
      <c r="X115" s="31" t="n"/>
      <c r="Y115" s="31" t="n"/>
      <c r="Z115" s="31" t="n"/>
      <c r="AA115" s="31" t="n"/>
      <c r="AB115" s="31" t="n"/>
      <c r="AC115" s="31" t="n"/>
      <c r="AD115" s="31" t="n"/>
      <c r="AE115" s="31" t="n"/>
      <c r="AF115" s="27">
        <f>IF(NOT(COUNTA(A115:AE115)&gt;0),"",IF(A115="","New client","Update"))</f>
        <v/>
      </c>
      <c r="AG115" s="27">
        <f>IF(AO115&lt;&gt;"",AO115,IF(LEN(AN115)=15,MID(AN115,3,10),""))</f>
        <v/>
      </c>
      <c r="AH115" s="27">
        <f>IF(AP115="","",AP115&amp;IF(D115="","  (guessed from PAN)",""))</f>
        <v/>
      </c>
      <c r="AI115" s="27">
        <f>IF(AN115="","",IFERROR(INDEX(Lists!$L$2:$L$38,MATCH(LEFT(AN115,2),Lists!$K$2:$K$38,0)),"Unknown code"))</f>
        <v/>
      </c>
      <c r="AJ115" s="27">
        <f>IF(AN115="","",IFERROR(IF(NOT(AND(LEN(AN115)=15,ISNUMBER(MATCH(LEFT(AN115,2),Lists!$K$2:$K$38,0)),SUMPRODUCT(--ISERROR(FIND(MID(MID(AN115,3,10),{1,2,3,4,5,10},1),"ABCDEFGHIJKLMNOPQRSTUVWXYZ")))=0,SUMPRODUCT(--ISERROR(FIND(MID(MID(AN115,3,10),{6,7,8,9},1),"0123456789")))=0,ISNUMBER(FIND(MID(AN115,13,1),"123456789ABCDEFGHIJKLMNOPQRSTUVWXYZ")),MID(AN115,14,1)="Z")),"Wrong format",IF(MID("0123456789ABCDEFGHIJKLMNOPQRSTUVWXYZ",MOD(36-MOD(SUMPRODUCT(INT((FIND(MID(AN115,{1,2,3,4,5,6,7,8,9,10,11,12,13,14},1),"0123456789ABCDEFGHIJKLMNOPQRSTUVWXYZ")-1)*{1,2,1,2,1,2,1,2,1,2,1,2,1,2}/36)+MOD((FIND(MID(AN115,{1,2,3,4,5,6,7,8,9,10,11,12,13,14},1),"0123456789ABCDEFGHIJKLMNOPQRSTUVWXYZ")-1)*{1,2,1,2,1,2,1,2,1,2,1,2,1,2},36)),36),36)+1,1)=MID(AN115,15,1),"OK","Typo? check digit wrong")),"Wrong format"))</f>
        <v/>
      </c>
      <c r="AK115" s="27">
        <f>IF(AO115="","",IF(AND(LEN(AO115)=10,SUMPRODUCT(--ISERROR(FIND(MID(AO115,{1,2,3,4,5,10},1),"ABCDEFGHIJKLMNOPQRSTUVWXYZ")))=0,SUMPRODUCT(--ISERROR(FIND(MID(AO115,{6,7,8,9},1),"0123456789")))=0),"OK","Wrong format"))</f>
        <v/>
      </c>
      <c r="AL115" s="27">
        <f>IF(TRIM(H115)="","",IF(AND(LEN(UPPER(TRIM(H115)))=10,SUMPRODUCT(--ISERROR(FIND(MID(UPPER(TRIM(H115)),{1,2,3,4,10},1),"ABCDEFGHIJKLMNOPQRSTUVWXYZ")))=0,SUMPRODUCT(--ISERROR(FIND(MID(UPPER(TRIM(H115)),{5,6,7,8,9},1),"0123456789")))=0),"OK","Wrong format"))</f>
        <v/>
      </c>
      <c r="AM115" s="28">
        <f>IF(NOT(COUNTA(A115:AE115)&gt;0),"",IF(AS115&lt;&gt;"","✖ "&amp;LEFT(AS115,LEN(AS115)-2),IF(AR115&gt;0,"✔ Ready — client + "&amp;AR115&amp;" service(s)","✔ Ready — client only")))</f>
        <v/>
      </c>
      <c r="AN115" s="29">
        <f>UPPER(SUBSTITUTE(TRIM(F115)," ",""))</f>
        <v/>
      </c>
      <c r="AO115" s="29">
        <f>UPPER(SUBSTITUTE(TRIM(E115)," ",""))</f>
        <v/>
      </c>
      <c r="AP115" s="29">
        <f>IF(D115&lt;&gt;"",D115,IFERROR(VLOOKUP(MID(AG115,4,1),Lists!$E$2:$F$8,2,FALSE),""))</f>
        <v/>
      </c>
      <c r="AQ115" s="29">
        <f>IFERROR(VLOOKUP(AP115,Lists!$A$2:$C$12,3,FALSE),"")</f>
        <v/>
      </c>
      <c r="AR115" s="29">
        <f>COUNTIF(W115:AC115,"Yes")</f>
        <v/>
      </c>
      <c r="AS115" s="29">
        <f>IF(TRIM(B115)="","Legal name missing; ","")&amp;IF(AND(AJ115&lt;&gt;"",AJ115&lt;&gt;"OK"),"GSTIN: "&amp;AJ115&amp;"; ","")&amp;IF(AND(AK115&lt;&gt;"",AK115&lt;&gt;"OK"),"PAN wrong format; ","")&amp;IF(AND(AO115&lt;&gt;"",LEN(AN115)=15,MID(AN115,3,10)&lt;&gt;AO115),"PAN does not match GSTIN; ","")&amp;IF(AND(AL115&lt;&gt;"",AL115&lt;&gt;"OK"),"TAN wrong format; ","")&amp;IF(AG115="","PAN missing; ","")&amp;IF(AP115="","Entity type missing; ","")&amp;IF(AND(AN115&lt;&gt;"",COUNTIF($AN$6:$AN$1005,AN115)&gt;1),"GSTIN repeated in this sheet; ","")&amp;IF(AND(AG115&lt;&gt;"",COUNTIF($AG$6:$AG$1005,AG115)&gt;1),"PAN repeated in this sheet (same client? put extra GSTINs in Other GSTINs); ","")&amp;IF(AND(AR115&gt;0,V115=""),"Financial year missing; ","")&amp;IF(AND(AR115=0,V115&lt;&gt;""),"Financial year given but no service is Yes; ","")&amp;IF(AND(W115="Yes",AN115=""),"GST needs a GSTIN; ","")&amp;IF(AND(W115="Yes",X115=""),"GST return frequency missing; ","")&amp;IF(AND(Y115="Yes",TRIM(H115)=""),"TDS needs a TAN; ","")&amp;IF(AND(AA115="Yes",AQ115&lt;&gt;"",AQ115&lt;&gt;"company",AQ115&lt;&gt;"llp"),"ROC is only for a company / LLP; ","")&amp;IF(AND(AA115="Yes",OR(AQ115="company",AQ115="llp"),TRIM(I115)=""),"ROC needs the CIN / LLPIN; ","")</f>
        <v/>
      </c>
    </row>
    <row r="116">
      <c r="A116" s="30" t="n"/>
      <c r="B116" s="31" t="n"/>
      <c r="C116" s="31" t="n"/>
      <c r="D116" s="31" t="n"/>
      <c r="E116" s="30" t="n"/>
      <c r="F116" s="30" t="n"/>
      <c r="G116" s="30" t="n"/>
      <c r="H116" s="30" t="n"/>
      <c r="I116" s="30" t="n"/>
      <c r="J116" s="32" t="n"/>
      <c r="K116" s="31" t="n"/>
      <c r="L116" s="30" t="n"/>
      <c r="M116" s="31" t="n"/>
      <c r="N116" s="31" t="n"/>
      <c r="O116" s="31" t="n"/>
      <c r="P116" s="30" t="n"/>
      <c r="Q116" s="31" t="n"/>
      <c r="R116" s="31" t="n"/>
      <c r="S116" s="31" t="n"/>
      <c r="T116" s="31" t="n"/>
      <c r="U116" s="30" t="n"/>
      <c r="V116" s="31" t="n"/>
      <c r="W116" s="31" t="n"/>
      <c r="X116" s="31" t="n"/>
      <c r="Y116" s="31" t="n"/>
      <c r="Z116" s="31" t="n"/>
      <c r="AA116" s="31" t="n"/>
      <c r="AB116" s="31" t="n"/>
      <c r="AC116" s="31" t="n"/>
      <c r="AD116" s="31" t="n"/>
      <c r="AE116" s="31" t="n"/>
      <c r="AF116" s="27">
        <f>IF(NOT(COUNTA(A116:AE116)&gt;0),"",IF(A116="","New client","Update"))</f>
        <v/>
      </c>
      <c r="AG116" s="27">
        <f>IF(AO116&lt;&gt;"",AO116,IF(LEN(AN116)=15,MID(AN116,3,10),""))</f>
        <v/>
      </c>
      <c r="AH116" s="27">
        <f>IF(AP116="","",AP116&amp;IF(D116="","  (guessed from PAN)",""))</f>
        <v/>
      </c>
      <c r="AI116" s="27">
        <f>IF(AN116="","",IFERROR(INDEX(Lists!$L$2:$L$38,MATCH(LEFT(AN116,2),Lists!$K$2:$K$38,0)),"Unknown code"))</f>
        <v/>
      </c>
      <c r="AJ116" s="27">
        <f>IF(AN116="","",IFERROR(IF(NOT(AND(LEN(AN116)=15,ISNUMBER(MATCH(LEFT(AN116,2),Lists!$K$2:$K$38,0)),SUMPRODUCT(--ISERROR(FIND(MID(MID(AN116,3,10),{1,2,3,4,5,10},1),"ABCDEFGHIJKLMNOPQRSTUVWXYZ")))=0,SUMPRODUCT(--ISERROR(FIND(MID(MID(AN116,3,10),{6,7,8,9},1),"0123456789")))=0,ISNUMBER(FIND(MID(AN116,13,1),"123456789ABCDEFGHIJKLMNOPQRSTUVWXYZ")),MID(AN116,14,1)="Z")),"Wrong format",IF(MID("0123456789ABCDEFGHIJKLMNOPQRSTUVWXYZ",MOD(36-MOD(SUMPRODUCT(INT((FIND(MID(AN116,{1,2,3,4,5,6,7,8,9,10,11,12,13,14},1),"0123456789ABCDEFGHIJKLMNOPQRSTUVWXYZ")-1)*{1,2,1,2,1,2,1,2,1,2,1,2,1,2}/36)+MOD((FIND(MID(AN116,{1,2,3,4,5,6,7,8,9,10,11,12,13,14},1),"0123456789ABCDEFGHIJKLMNOPQRSTUVWXYZ")-1)*{1,2,1,2,1,2,1,2,1,2,1,2,1,2},36)),36),36)+1,1)=MID(AN116,15,1),"OK","Typo? check digit wrong")),"Wrong format"))</f>
        <v/>
      </c>
      <c r="AK116" s="27">
        <f>IF(AO116="","",IF(AND(LEN(AO116)=10,SUMPRODUCT(--ISERROR(FIND(MID(AO116,{1,2,3,4,5,10},1),"ABCDEFGHIJKLMNOPQRSTUVWXYZ")))=0,SUMPRODUCT(--ISERROR(FIND(MID(AO116,{6,7,8,9},1),"0123456789")))=0),"OK","Wrong format"))</f>
        <v/>
      </c>
      <c r="AL116" s="27">
        <f>IF(TRIM(H116)="","",IF(AND(LEN(UPPER(TRIM(H116)))=10,SUMPRODUCT(--ISERROR(FIND(MID(UPPER(TRIM(H116)),{1,2,3,4,10},1),"ABCDEFGHIJKLMNOPQRSTUVWXYZ")))=0,SUMPRODUCT(--ISERROR(FIND(MID(UPPER(TRIM(H116)),{5,6,7,8,9},1),"0123456789")))=0),"OK","Wrong format"))</f>
        <v/>
      </c>
      <c r="AM116" s="28">
        <f>IF(NOT(COUNTA(A116:AE116)&gt;0),"",IF(AS116&lt;&gt;"","✖ "&amp;LEFT(AS116,LEN(AS116)-2),IF(AR116&gt;0,"✔ Ready — client + "&amp;AR116&amp;" service(s)","✔ Ready — client only")))</f>
        <v/>
      </c>
      <c r="AN116" s="29">
        <f>UPPER(SUBSTITUTE(TRIM(F116)," ",""))</f>
        <v/>
      </c>
      <c r="AO116" s="29">
        <f>UPPER(SUBSTITUTE(TRIM(E116)," ",""))</f>
        <v/>
      </c>
      <c r="AP116" s="29">
        <f>IF(D116&lt;&gt;"",D116,IFERROR(VLOOKUP(MID(AG116,4,1),Lists!$E$2:$F$8,2,FALSE),""))</f>
        <v/>
      </c>
      <c r="AQ116" s="29">
        <f>IFERROR(VLOOKUP(AP116,Lists!$A$2:$C$12,3,FALSE),"")</f>
        <v/>
      </c>
      <c r="AR116" s="29">
        <f>COUNTIF(W116:AC116,"Yes")</f>
        <v/>
      </c>
      <c r="AS116" s="29">
        <f>IF(TRIM(B116)="","Legal name missing; ","")&amp;IF(AND(AJ116&lt;&gt;"",AJ116&lt;&gt;"OK"),"GSTIN: "&amp;AJ116&amp;"; ","")&amp;IF(AND(AK116&lt;&gt;"",AK116&lt;&gt;"OK"),"PAN wrong format; ","")&amp;IF(AND(AO116&lt;&gt;"",LEN(AN116)=15,MID(AN116,3,10)&lt;&gt;AO116),"PAN does not match GSTIN; ","")&amp;IF(AND(AL116&lt;&gt;"",AL116&lt;&gt;"OK"),"TAN wrong format; ","")&amp;IF(AG116="","PAN missing; ","")&amp;IF(AP116="","Entity type missing; ","")&amp;IF(AND(AN116&lt;&gt;"",COUNTIF($AN$6:$AN$1005,AN116)&gt;1),"GSTIN repeated in this sheet; ","")&amp;IF(AND(AG116&lt;&gt;"",COUNTIF($AG$6:$AG$1005,AG116)&gt;1),"PAN repeated in this sheet (same client? put extra GSTINs in Other GSTINs); ","")&amp;IF(AND(AR116&gt;0,V116=""),"Financial year missing; ","")&amp;IF(AND(AR116=0,V116&lt;&gt;""),"Financial year given but no service is Yes; ","")&amp;IF(AND(W116="Yes",AN116=""),"GST needs a GSTIN; ","")&amp;IF(AND(W116="Yes",X116=""),"GST return frequency missing; ","")&amp;IF(AND(Y116="Yes",TRIM(H116)=""),"TDS needs a TAN; ","")&amp;IF(AND(AA116="Yes",AQ116&lt;&gt;"",AQ116&lt;&gt;"company",AQ116&lt;&gt;"llp"),"ROC is only for a company / LLP; ","")&amp;IF(AND(AA116="Yes",OR(AQ116="company",AQ116="llp"),TRIM(I116)=""),"ROC needs the CIN / LLPIN; ","")</f>
        <v/>
      </c>
    </row>
    <row r="117">
      <c r="A117" s="30" t="n"/>
      <c r="B117" s="31" t="n"/>
      <c r="C117" s="31" t="n"/>
      <c r="D117" s="31" t="n"/>
      <c r="E117" s="30" t="n"/>
      <c r="F117" s="30" t="n"/>
      <c r="G117" s="30" t="n"/>
      <c r="H117" s="30" t="n"/>
      <c r="I117" s="30" t="n"/>
      <c r="J117" s="32" t="n"/>
      <c r="K117" s="31" t="n"/>
      <c r="L117" s="30" t="n"/>
      <c r="M117" s="31" t="n"/>
      <c r="N117" s="31" t="n"/>
      <c r="O117" s="31" t="n"/>
      <c r="P117" s="30" t="n"/>
      <c r="Q117" s="31" t="n"/>
      <c r="R117" s="31" t="n"/>
      <c r="S117" s="31" t="n"/>
      <c r="T117" s="31" t="n"/>
      <c r="U117" s="30" t="n"/>
      <c r="V117" s="31" t="n"/>
      <c r="W117" s="31" t="n"/>
      <c r="X117" s="31" t="n"/>
      <c r="Y117" s="31" t="n"/>
      <c r="Z117" s="31" t="n"/>
      <c r="AA117" s="31" t="n"/>
      <c r="AB117" s="31" t="n"/>
      <c r="AC117" s="31" t="n"/>
      <c r="AD117" s="31" t="n"/>
      <c r="AE117" s="31" t="n"/>
      <c r="AF117" s="27">
        <f>IF(NOT(COUNTA(A117:AE117)&gt;0),"",IF(A117="","New client","Update"))</f>
        <v/>
      </c>
      <c r="AG117" s="27">
        <f>IF(AO117&lt;&gt;"",AO117,IF(LEN(AN117)=15,MID(AN117,3,10),""))</f>
        <v/>
      </c>
      <c r="AH117" s="27">
        <f>IF(AP117="","",AP117&amp;IF(D117="","  (guessed from PAN)",""))</f>
        <v/>
      </c>
      <c r="AI117" s="27">
        <f>IF(AN117="","",IFERROR(INDEX(Lists!$L$2:$L$38,MATCH(LEFT(AN117,2),Lists!$K$2:$K$38,0)),"Unknown code"))</f>
        <v/>
      </c>
      <c r="AJ117" s="27">
        <f>IF(AN117="","",IFERROR(IF(NOT(AND(LEN(AN117)=15,ISNUMBER(MATCH(LEFT(AN117,2),Lists!$K$2:$K$38,0)),SUMPRODUCT(--ISERROR(FIND(MID(MID(AN117,3,10),{1,2,3,4,5,10},1),"ABCDEFGHIJKLMNOPQRSTUVWXYZ")))=0,SUMPRODUCT(--ISERROR(FIND(MID(MID(AN117,3,10),{6,7,8,9},1),"0123456789")))=0,ISNUMBER(FIND(MID(AN117,13,1),"123456789ABCDEFGHIJKLMNOPQRSTUVWXYZ")),MID(AN117,14,1)="Z")),"Wrong format",IF(MID("0123456789ABCDEFGHIJKLMNOPQRSTUVWXYZ",MOD(36-MOD(SUMPRODUCT(INT((FIND(MID(AN117,{1,2,3,4,5,6,7,8,9,10,11,12,13,14},1),"0123456789ABCDEFGHIJKLMNOPQRSTUVWXYZ")-1)*{1,2,1,2,1,2,1,2,1,2,1,2,1,2}/36)+MOD((FIND(MID(AN117,{1,2,3,4,5,6,7,8,9,10,11,12,13,14},1),"0123456789ABCDEFGHIJKLMNOPQRSTUVWXYZ")-1)*{1,2,1,2,1,2,1,2,1,2,1,2,1,2},36)),36),36)+1,1)=MID(AN117,15,1),"OK","Typo? check digit wrong")),"Wrong format"))</f>
        <v/>
      </c>
      <c r="AK117" s="27">
        <f>IF(AO117="","",IF(AND(LEN(AO117)=10,SUMPRODUCT(--ISERROR(FIND(MID(AO117,{1,2,3,4,5,10},1),"ABCDEFGHIJKLMNOPQRSTUVWXYZ")))=0,SUMPRODUCT(--ISERROR(FIND(MID(AO117,{6,7,8,9},1),"0123456789")))=0),"OK","Wrong format"))</f>
        <v/>
      </c>
      <c r="AL117" s="27">
        <f>IF(TRIM(H117)="","",IF(AND(LEN(UPPER(TRIM(H117)))=10,SUMPRODUCT(--ISERROR(FIND(MID(UPPER(TRIM(H117)),{1,2,3,4,10},1),"ABCDEFGHIJKLMNOPQRSTUVWXYZ")))=0,SUMPRODUCT(--ISERROR(FIND(MID(UPPER(TRIM(H117)),{5,6,7,8,9},1),"0123456789")))=0),"OK","Wrong format"))</f>
        <v/>
      </c>
      <c r="AM117" s="28">
        <f>IF(NOT(COUNTA(A117:AE117)&gt;0),"",IF(AS117&lt;&gt;"","✖ "&amp;LEFT(AS117,LEN(AS117)-2),IF(AR117&gt;0,"✔ Ready — client + "&amp;AR117&amp;" service(s)","✔ Ready — client only")))</f>
        <v/>
      </c>
      <c r="AN117" s="29">
        <f>UPPER(SUBSTITUTE(TRIM(F117)," ",""))</f>
        <v/>
      </c>
      <c r="AO117" s="29">
        <f>UPPER(SUBSTITUTE(TRIM(E117)," ",""))</f>
        <v/>
      </c>
      <c r="AP117" s="29">
        <f>IF(D117&lt;&gt;"",D117,IFERROR(VLOOKUP(MID(AG117,4,1),Lists!$E$2:$F$8,2,FALSE),""))</f>
        <v/>
      </c>
      <c r="AQ117" s="29">
        <f>IFERROR(VLOOKUP(AP117,Lists!$A$2:$C$12,3,FALSE),"")</f>
        <v/>
      </c>
      <c r="AR117" s="29">
        <f>COUNTIF(W117:AC117,"Yes")</f>
        <v/>
      </c>
      <c r="AS117" s="29">
        <f>IF(TRIM(B117)="","Legal name missing; ","")&amp;IF(AND(AJ117&lt;&gt;"",AJ117&lt;&gt;"OK"),"GSTIN: "&amp;AJ117&amp;"; ","")&amp;IF(AND(AK117&lt;&gt;"",AK117&lt;&gt;"OK"),"PAN wrong format; ","")&amp;IF(AND(AO117&lt;&gt;"",LEN(AN117)=15,MID(AN117,3,10)&lt;&gt;AO117),"PAN does not match GSTIN; ","")&amp;IF(AND(AL117&lt;&gt;"",AL117&lt;&gt;"OK"),"TAN wrong format; ","")&amp;IF(AG117="","PAN missing; ","")&amp;IF(AP117="","Entity type missing; ","")&amp;IF(AND(AN117&lt;&gt;"",COUNTIF($AN$6:$AN$1005,AN117)&gt;1),"GSTIN repeated in this sheet; ","")&amp;IF(AND(AG117&lt;&gt;"",COUNTIF($AG$6:$AG$1005,AG117)&gt;1),"PAN repeated in this sheet (same client? put extra GSTINs in Other GSTINs); ","")&amp;IF(AND(AR117&gt;0,V117=""),"Financial year missing; ","")&amp;IF(AND(AR117=0,V117&lt;&gt;""),"Financial year given but no service is Yes; ","")&amp;IF(AND(W117="Yes",AN117=""),"GST needs a GSTIN; ","")&amp;IF(AND(W117="Yes",X117=""),"GST return frequency missing; ","")&amp;IF(AND(Y117="Yes",TRIM(H117)=""),"TDS needs a TAN; ","")&amp;IF(AND(AA117="Yes",AQ117&lt;&gt;"",AQ117&lt;&gt;"company",AQ117&lt;&gt;"llp"),"ROC is only for a company / LLP; ","")&amp;IF(AND(AA117="Yes",OR(AQ117="company",AQ117="llp"),TRIM(I117)=""),"ROC needs the CIN / LLPIN; ","")</f>
        <v/>
      </c>
    </row>
    <row r="118">
      <c r="A118" s="30" t="n"/>
      <c r="B118" s="31" t="n"/>
      <c r="C118" s="31" t="n"/>
      <c r="D118" s="31" t="n"/>
      <c r="E118" s="30" t="n"/>
      <c r="F118" s="30" t="n"/>
      <c r="G118" s="30" t="n"/>
      <c r="H118" s="30" t="n"/>
      <c r="I118" s="30" t="n"/>
      <c r="J118" s="32" t="n"/>
      <c r="K118" s="31" t="n"/>
      <c r="L118" s="30" t="n"/>
      <c r="M118" s="31" t="n"/>
      <c r="N118" s="31" t="n"/>
      <c r="O118" s="31" t="n"/>
      <c r="P118" s="30" t="n"/>
      <c r="Q118" s="31" t="n"/>
      <c r="R118" s="31" t="n"/>
      <c r="S118" s="31" t="n"/>
      <c r="T118" s="31" t="n"/>
      <c r="U118" s="30" t="n"/>
      <c r="V118" s="31" t="n"/>
      <c r="W118" s="31" t="n"/>
      <c r="X118" s="31" t="n"/>
      <c r="Y118" s="31" t="n"/>
      <c r="Z118" s="31" t="n"/>
      <c r="AA118" s="31" t="n"/>
      <c r="AB118" s="31" t="n"/>
      <c r="AC118" s="31" t="n"/>
      <c r="AD118" s="31" t="n"/>
      <c r="AE118" s="31" t="n"/>
      <c r="AF118" s="27">
        <f>IF(NOT(COUNTA(A118:AE118)&gt;0),"",IF(A118="","New client","Update"))</f>
        <v/>
      </c>
      <c r="AG118" s="27">
        <f>IF(AO118&lt;&gt;"",AO118,IF(LEN(AN118)=15,MID(AN118,3,10),""))</f>
        <v/>
      </c>
      <c r="AH118" s="27">
        <f>IF(AP118="","",AP118&amp;IF(D118="","  (guessed from PAN)",""))</f>
        <v/>
      </c>
      <c r="AI118" s="27">
        <f>IF(AN118="","",IFERROR(INDEX(Lists!$L$2:$L$38,MATCH(LEFT(AN118,2),Lists!$K$2:$K$38,0)),"Unknown code"))</f>
        <v/>
      </c>
      <c r="AJ118" s="27">
        <f>IF(AN118="","",IFERROR(IF(NOT(AND(LEN(AN118)=15,ISNUMBER(MATCH(LEFT(AN118,2),Lists!$K$2:$K$38,0)),SUMPRODUCT(--ISERROR(FIND(MID(MID(AN118,3,10),{1,2,3,4,5,10},1),"ABCDEFGHIJKLMNOPQRSTUVWXYZ")))=0,SUMPRODUCT(--ISERROR(FIND(MID(MID(AN118,3,10),{6,7,8,9},1),"0123456789")))=0,ISNUMBER(FIND(MID(AN118,13,1),"123456789ABCDEFGHIJKLMNOPQRSTUVWXYZ")),MID(AN118,14,1)="Z")),"Wrong format",IF(MID("0123456789ABCDEFGHIJKLMNOPQRSTUVWXYZ",MOD(36-MOD(SUMPRODUCT(INT((FIND(MID(AN118,{1,2,3,4,5,6,7,8,9,10,11,12,13,14},1),"0123456789ABCDEFGHIJKLMNOPQRSTUVWXYZ")-1)*{1,2,1,2,1,2,1,2,1,2,1,2,1,2}/36)+MOD((FIND(MID(AN118,{1,2,3,4,5,6,7,8,9,10,11,12,13,14},1),"0123456789ABCDEFGHIJKLMNOPQRSTUVWXYZ")-1)*{1,2,1,2,1,2,1,2,1,2,1,2,1,2},36)),36),36)+1,1)=MID(AN118,15,1),"OK","Typo? check digit wrong")),"Wrong format"))</f>
        <v/>
      </c>
      <c r="AK118" s="27">
        <f>IF(AO118="","",IF(AND(LEN(AO118)=10,SUMPRODUCT(--ISERROR(FIND(MID(AO118,{1,2,3,4,5,10},1),"ABCDEFGHIJKLMNOPQRSTUVWXYZ")))=0,SUMPRODUCT(--ISERROR(FIND(MID(AO118,{6,7,8,9},1),"0123456789")))=0),"OK","Wrong format"))</f>
        <v/>
      </c>
      <c r="AL118" s="27">
        <f>IF(TRIM(H118)="","",IF(AND(LEN(UPPER(TRIM(H118)))=10,SUMPRODUCT(--ISERROR(FIND(MID(UPPER(TRIM(H118)),{1,2,3,4,10},1),"ABCDEFGHIJKLMNOPQRSTUVWXYZ")))=0,SUMPRODUCT(--ISERROR(FIND(MID(UPPER(TRIM(H118)),{5,6,7,8,9},1),"0123456789")))=0),"OK","Wrong format"))</f>
        <v/>
      </c>
      <c r="AM118" s="28">
        <f>IF(NOT(COUNTA(A118:AE118)&gt;0),"",IF(AS118&lt;&gt;"","✖ "&amp;LEFT(AS118,LEN(AS118)-2),IF(AR118&gt;0,"✔ Ready — client + "&amp;AR118&amp;" service(s)","✔ Ready — client only")))</f>
        <v/>
      </c>
      <c r="AN118" s="29">
        <f>UPPER(SUBSTITUTE(TRIM(F118)," ",""))</f>
        <v/>
      </c>
      <c r="AO118" s="29">
        <f>UPPER(SUBSTITUTE(TRIM(E118)," ",""))</f>
        <v/>
      </c>
      <c r="AP118" s="29">
        <f>IF(D118&lt;&gt;"",D118,IFERROR(VLOOKUP(MID(AG118,4,1),Lists!$E$2:$F$8,2,FALSE),""))</f>
        <v/>
      </c>
      <c r="AQ118" s="29">
        <f>IFERROR(VLOOKUP(AP118,Lists!$A$2:$C$12,3,FALSE),"")</f>
        <v/>
      </c>
      <c r="AR118" s="29">
        <f>COUNTIF(W118:AC118,"Yes")</f>
        <v/>
      </c>
      <c r="AS118" s="29">
        <f>IF(TRIM(B118)="","Legal name missing; ","")&amp;IF(AND(AJ118&lt;&gt;"",AJ118&lt;&gt;"OK"),"GSTIN: "&amp;AJ118&amp;"; ","")&amp;IF(AND(AK118&lt;&gt;"",AK118&lt;&gt;"OK"),"PAN wrong format; ","")&amp;IF(AND(AO118&lt;&gt;"",LEN(AN118)=15,MID(AN118,3,10)&lt;&gt;AO118),"PAN does not match GSTIN; ","")&amp;IF(AND(AL118&lt;&gt;"",AL118&lt;&gt;"OK"),"TAN wrong format; ","")&amp;IF(AG118="","PAN missing; ","")&amp;IF(AP118="","Entity type missing; ","")&amp;IF(AND(AN118&lt;&gt;"",COUNTIF($AN$6:$AN$1005,AN118)&gt;1),"GSTIN repeated in this sheet; ","")&amp;IF(AND(AG118&lt;&gt;"",COUNTIF($AG$6:$AG$1005,AG118)&gt;1),"PAN repeated in this sheet (same client? put extra GSTINs in Other GSTINs); ","")&amp;IF(AND(AR118&gt;0,V118=""),"Financial year missing; ","")&amp;IF(AND(AR118=0,V118&lt;&gt;""),"Financial year given but no service is Yes; ","")&amp;IF(AND(W118="Yes",AN118=""),"GST needs a GSTIN; ","")&amp;IF(AND(W118="Yes",X118=""),"GST return frequency missing; ","")&amp;IF(AND(Y118="Yes",TRIM(H118)=""),"TDS needs a TAN; ","")&amp;IF(AND(AA118="Yes",AQ118&lt;&gt;"",AQ118&lt;&gt;"company",AQ118&lt;&gt;"llp"),"ROC is only for a company / LLP; ","")&amp;IF(AND(AA118="Yes",OR(AQ118="company",AQ118="llp"),TRIM(I118)=""),"ROC needs the CIN / LLPIN; ","")</f>
        <v/>
      </c>
    </row>
    <row r="119">
      <c r="A119" s="30" t="n"/>
      <c r="B119" s="31" t="n"/>
      <c r="C119" s="31" t="n"/>
      <c r="D119" s="31" t="n"/>
      <c r="E119" s="30" t="n"/>
      <c r="F119" s="30" t="n"/>
      <c r="G119" s="30" t="n"/>
      <c r="H119" s="30" t="n"/>
      <c r="I119" s="30" t="n"/>
      <c r="J119" s="32" t="n"/>
      <c r="K119" s="31" t="n"/>
      <c r="L119" s="30" t="n"/>
      <c r="M119" s="31" t="n"/>
      <c r="N119" s="31" t="n"/>
      <c r="O119" s="31" t="n"/>
      <c r="P119" s="30" t="n"/>
      <c r="Q119" s="31" t="n"/>
      <c r="R119" s="31" t="n"/>
      <c r="S119" s="31" t="n"/>
      <c r="T119" s="31" t="n"/>
      <c r="U119" s="30" t="n"/>
      <c r="V119" s="31" t="n"/>
      <c r="W119" s="31" t="n"/>
      <c r="X119" s="31" t="n"/>
      <c r="Y119" s="31" t="n"/>
      <c r="Z119" s="31" t="n"/>
      <c r="AA119" s="31" t="n"/>
      <c r="AB119" s="31" t="n"/>
      <c r="AC119" s="31" t="n"/>
      <c r="AD119" s="31" t="n"/>
      <c r="AE119" s="31" t="n"/>
      <c r="AF119" s="27">
        <f>IF(NOT(COUNTA(A119:AE119)&gt;0),"",IF(A119="","New client","Update"))</f>
        <v/>
      </c>
      <c r="AG119" s="27">
        <f>IF(AO119&lt;&gt;"",AO119,IF(LEN(AN119)=15,MID(AN119,3,10),""))</f>
        <v/>
      </c>
      <c r="AH119" s="27">
        <f>IF(AP119="","",AP119&amp;IF(D119="","  (guessed from PAN)",""))</f>
        <v/>
      </c>
      <c r="AI119" s="27">
        <f>IF(AN119="","",IFERROR(INDEX(Lists!$L$2:$L$38,MATCH(LEFT(AN119,2),Lists!$K$2:$K$38,0)),"Unknown code"))</f>
        <v/>
      </c>
      <c r="AJ119" s="27">
        <f>IF(AN119="","",IFERROR(IF(NOT(AND(LEN(AN119)=15,ISNUMBER(MATCH(LEFT(AN119,2),Lists!$K$2:$K$38,0)),SUMPRODUCT(--ISERROR(FIND(MID(MID(AN119,3,10),{1,2,3,4,5,10},1),"ABCDEFGHIJKLMNOPQRSTUVWXYZ")))=0,SUMPRODUCT(--ISERROR(FIND(MID(MID(AN119,3,10),{6,7,8,9},1),"0123456789")))=0,ISNUMBER(FIND(MID(AN119,13,1),"123456789ABCDEFGHIJKLMNOPQRSTUVWXYZ")),MID(AN119,14,1)="Z")),"Wrong format",IF(MID("0123456789ABCDEFGHIJKLMNOPQRSTUVWXYZ",MOD(36-MOD(SUMPRODUCT(INT((FIND(MID(AN119,{1,2,3,4,5,6,7,8,9,10,11,12,13,14},1),"0123456789ABCDEFGHIJKLMNOPQRSTUVWXYZ")-1)*{1,2,1,2,1,2,1,2,1,2,1,2,1,2}/36)+MOD((FIND(MID(AN119,{1,2,3,4,5,6,7,8,9,10,11,12,13,14},1),"0123456789ABCDEFGHIJKLMNOPQRSTUVWXYZ")-1)*{1,2,1,2,1,2,1,2,1,2,1,2,1,2},36)),36),36)+1,1)=MID(AN119,15,1),"OK","Typo? check digit wrong")),"Wrong format"))</f>
        <v/>
      </c>
      <c r="AK119" s="27">
        <f>IF(AO119="","",IF(AND(LEN(AO119)=10,SUMPRODUCT(--ISERROR(FIND(MID(AO119,{1,2,3,4,5,10},1),"ABCDEFGHIJKLMNOPQRSTUVWXYZ")))=0,SUMPRODUCT(--ISERROR(FIND(MID(AO119,{6,7,8,9},1),"0123456789")))=0),"OK","Wrong format"))</f>
        <v/>
      </c>
      <c r="AL119" s="27">
        <f>IF(TRIM(H119)="","",IF(AND(LEN(UPPER(TRIM(H119)))=10,SUMPRODUCT(--ISERROR(FIND(MID(UPPER(TRIM(H119)),{1,2,3,4,10},1),"ABCDEFGHIJKLMNOPQRSTUVWXYZ")))=0,SUMPRODUCT(--ISERROR(FIND(MID(UPPER(TRIM(H119)),{5,6,7,8,9},1),"0123456789")))=0),"OK","Wrong format"))</f>
        <v/>
      </c>
      <c r="AM119" s="28">
        <f>IF(NOT(COUNTA(A119:AE119)&gt;0),"",IF(AS119&lt;&gt;"","✖ "&amp;LEFT(AS119,LEN(AS119)-2),IF(AR119&gt;0,"✔ Ready — client + "&amp;AR119&amp;" service(s)","✔ Ready — client only")))</f>
        <v/>
      </c>
      <c r="AN119" s="29">
        <f>UPPER(SUBSTITUTE(TRIM(F119)," ",""))</f>
        <v/>
      </c>
      <c r="AO119" s="29">
        <f>UPPER(SUBSTITUTE(TRIM(E119)," ",""))</f>
        <v/>
      </c>
      <c r="AP119" s="29">
        <f>IF(D119&lt;&gt;"",D119,IFERROR(VLOOKUP(MID(AG119,4,1),Lists!$E$2:$F$8,2,FALSE),""))</f>
        <v/>
      </c>
      <c r="AQ119" s="29">
        <f>IFERROR(VLOOKUP(AP119,Lists!$A$2:$C$12,3,FALSE),"")</f>
        <v/>
      </c>
      <c r="AR119" s="29">
        <f>COUNTIF(W119:AC119,"Yes")</f>
        <v/>
      </c>
      <c r="AS119" s="29">
        <f>IF(TRIM(B119)="","Legal name missing; ","")&amp;IF(AND(AJ119&lt;&gt;"",AJ119&lt;&gt;"OK"),"GSTIN: "&amp;AJ119&amp;"; ","")&amp;IF(AND(AK119&lt;&gt;"",AK119&lt;&gt;"OK"),"PAN wrong format; ","")&amp;IF(AND(AO119&lt;&gt;"",LEN(AN119)=15,MID(AN119,3,10)&lt;&gt;AO119),"PAN does not match GSTIN; ","")&amp;IF(AND(AL119&lt;&gt;"",AL119&lt;&gt;"OK"),"TAN wrong format; ","")&amp;IF(AG119="","PAN missing; ","")&amp;IF(AP119="","Entity type missing; ","")&amp;IF(AND(AN119&lt;&gt;"",COUNTIF($AN$6:$AN$1005,AN119)&gt;1),"GSTIN repeated in this sheet; ","")&amp;IF(AND(AG119&lt;&gt;"",COUNTIF($AG$6:$AG$1005,AG119)&gt;1),"PAN repeated in this sheet (same client? put extra GSTINs in Other GSTINs); ","")&amp;IF(AND(AR119&gt;0,V119=""),"Financial year missing; ","")&amp;IF(AND(AR119=0,V119&lt;&gt;""),"Financial year given but no service is Yes; ","")&amp;IF(AND(W119="Yes",AN119=""),"GST needs a GSTIN; ","")&amp;IF(AND(W119="Yes",X119=""),"GST return frequency missing; ","")&amp;IF(AND(Y119="Yes",TRIM(H119)=""),"TDS needs a TAN; ","")&amp;IF(AND(AA119="Yes",AQ119&lt;&gt;"",AQ119&lt;&gt;"company",AQ119&lt;&gt;"llp"),"ROC is only for a company / LLP; ","")&amp;IF(AND(AA119="Yes",OR(AQ119="company",AQ119="llp"),TRIM(I119)=""),"ROC needs the CIN / LLPIN; ","")</f>
        <v/>
      </c>
    </row>
    <row r="120">
      <c r="A120" s="30" t="n"/>
      <c r="B120" s="31" t="n"/>
      <c r="C120" s="31" t="n"/>
      <c r="D120" s="31" t="n"/>
      <c r="E120" s="30" t="n"/>
      <c r="F120" s="30" t="n"/>
      <c r="G120" s="30" t="n"/>
      <c r="H120" s="30" t="n"/>
      <c r="I120" s="30" t="n"/>
      <c r="J120" s="32" t="n"/>
      <c r="K120" s="31" t="n"/>
      <c r="L120" s="30" t="n"/>
      <c r="M120" s="31" t="n"/>
      <c r="N120" s="31" t="n"/>
      <c r="O120" s="31" t="n"/>
      <c r="P120" s="30" t="n"/>
      <c r="Q120" s="31" t="n"/>
      <c r="R120" s="31" t="n"/>
      <c r="S120" s="31" t="n"/>
      <c r="T120" s="31" t="n"/>
      <c r="U120" s="30" t="n"/>
      <c r="V120" s="31" t="n"/>
      <c r="W120" s="31" t="n"/>
      <c r="X120" s="31" t="n"/>
      <c r="Y120" s="31" t="n"/>
      <c r="Z120" s="31" t="n"/>
      <c r="AA120" s="31" t="n"/>
      <c r="AB120" s="31" t="n"/>
      <c r="AC120" s="31" t="n"/>
      <c r="AD120" s="31" t="n"/>
      <c r="AE120" s="31" t="n"/>
      <c r="AF120" s="27">
        <f>IF(NOT(COUNTA(A120:AE120)&gt;0),"",IF(A120="","New client","Update"))</f>
        <v/>
      </c>
      <c r="AG120" s="27">
        <f>IF(AO120&lt;&gt;"",AO120,IF(LEN(AN120)=15,MID(AN120,3,10),""))</f>
        <v/>
      </c>
      <c r="AH120" s="27">
        <f>IF(AP120="","",AP120&amp;IF(D120="","  (guessed from PAN)",""))</f>
        <v/>
      </c>
      <c r="AI120" s="27">
        <f>IF(AN120="","",IFERROR(INDEX(Lists!$L$2:$L$38,MATCH(LEFT(AN120,2),Lists!$K$2:$K$38,0)),"Unknown code"))</f>
        <v/>
      </c>
      <c r="AJ120" s="27">
        <f>IF(AN120="","",IFERROR(IF(NOT(AND(LEN(AN120)=15,ISNUMBER(MATCH(LEFT(AN120,2),Lists!$K$2:$K$38,0)),SUMPRODUCT(--ISERROR(FIND(MID(MID(AN120,3,10),{1,2,3,4,5,10},1),"ABCDEFGHIJKLMNOPQRSTUVWXYZ")))=0,SUMPRODUCT(--ISERROR(FIND(MID(MID(AN120,3,10),{6,7,8,9},1),"0123456789")))=0,ISNUMBER(FIND(MID(AN120,13,1),"123456789ABCDEFGHIJKLMNOPQRSTUVWXYZ")),MID(AN120,14,1)="Z")),"Wrong format",IF(MID("0123456789ABCDEFGHIJKLMNOPQRSTUVWXYZ",MOD(36-MOD(SUMPRODUCT(INT((FIND(MID(AN120,{1,2,3,4,5,6,7,8,9,10,11,12,13,14},1),"0123456789ABCDEFGHIJKLMNOPQRSTUVWXYZ")-1)*{1,2,1,2,1,2,1,2,1,2,1,2,1,2}/36)+MOD((FIND(MID(AN120,{1,2,3,4,5,6,7,8,9,10,11,12,13,14},1),"0123456789ABCDEFGHIJKLMNOPQRSTUVWXYZ")-1)*{1,2,1,2,1,2,1,2,1,2,1,2,1,2},36)),36),36)+1,1)=MID(AN120,15,1),"OK","Typo? check digit wrong")),"Wrong format"))</f>
        <v/>
      </c>
      <c r="AK120" s="27">
        <f>IF(AO120="","",IF(AND(LEN(AO120)=10,SUMPRODUCT(--ISERROR(FIND(MID(AO120,{1,2,3,4,5,10},1),"ABCDEFGHIJKLMNOPQRSTUVWXYZ")))=0,SUMPRODUCT(--ISERROR(FIND(MID(AO120,{6,7,8,9},1),"0123456789")))=0),"OK","Wrong format"))</f>
        <v/>
      </c>
      <c r="AL120" s="27">
        <f>IF(TRIM(H120)="","",IF(AND(LEN(UPPER(TRIM(H120)))=10,SUMPRODUCT(--ISERROR(FIND(MID(UPPER(TRIM(H120)),{1,2,3,4,10},1),"ABCDEFGHIJKLMNOPQRSTUVWXYZ")))=0,SUMPRODUCT(--ISERROR(FIND(MID(UPPER(TRIM(H120)),{5,6,7,8,9},1),"0123456789")))=0),"OK","Wrong format"))</f>
        <v/>
      </c>
      <c r="AM120" s="28">
        <f>IF(NOT(COUNTA(A120:AE120)&gt;0),"",IF(AS120&lt;&gt;"","✖ "&amp;LEFT(AS120,LEN(AS120)-2),IF(AR120&gt;0,"✔ Ready — client + "&amp;AR120&amp;" service(s)","✔ Ready — client only")))</f>
        <v/>
      </c>
      <c r="AN120" s="29">
        <f>UPPER(SUBSTITUTE(TRIM(F120)," ",""))</f>
        <v/>
      </c>
      <c r="AO120" s="29">
        <f>UPPER(SUBSTITUTE(TRIM(E120)," ",""))</f>
        <v/>
      </c>
      <c r="AP120" s="29">
        <f>IF(D120&lt;&gt;"",D120,IFERROR(VLOOKUP(MID(AG120,4,1),Lists!$E$2:$F$8,2,FALSE),""))</f>
        <v/>
      </c>
      <c r="AQ120" s="29">
        <f>IFERROR(VLOOKUP(AP120,Lists!$A$2:$C$12,3,FALSE),"")</f>
        <v/>
      </c>
      <c r="AR120" s="29">
        <f>COUNTIF(W120:AC120,"Yes")</f>
        <v/>
      </c>
      <c r="AS120" s="29">
        <f>IF(TRIM(B120)="","Legal name missing; ","")&amp;IF(AND(AJ120&lt;&gt;"",AJ120&lt;&gt;"OK"),"GSTIN: "&amp;AJ120&amp;"; ","")&amp;IF(AND(AK120&lt;&gt;"",AK120&lt;&gt;"OK"),"PAN wrong format; ","")&amp;IF(AND(AO120&lt;&gt;"",LEN(AN120)=15,MID(AN120,3,10)&lt;&gt;AO120),"PAN does not match GSTIN; ","")&amp;IF(AND(AL120&lt;&gt;"",AL120&lt;&gt;"OK"),"TAN wrong format; ","")&amp;IF(AG120="","PAN missing; ","")&amp;IF(AP120="","Entity type missing; ","")&amp;IF(AND(AN120&lt;&gt;"",COUNTIF($AN$6:$AN$1005,AN120)&gt;1),"GSTIN repeated in this sheet; ","")&amp;IF(AND(AG120&lt;&gt;"",COUNTIF($AG$6:$AG$1005,AG120)&gt;1),"PAN repeated in this sheet (same client? put extra GSTINs in Other GSTINs); ","")&amp;IF(AND(AR120&gt;0,V120=""),"Financial year missing; ","")&amp;IF(AND(AR120=0,V120&lt;&gt;""),"Financial year given but no service is Yes; ","")&amp;IF(AND(W120="Yes",AN120=""),"GST needs a GSTIN; ","")&amp;IF(AND(W120="Yes",X120=""),"GST return frequency missing; ","")&amp;IF(AND(Y120="Yes",TRIM(H120)=""),"TDS needs a TAN; ","")&amp;IF(AND(AA120="Yes",AQ120&lt;&gt;"",AQ120&lt;&gt;"company",AQ120&lt;&gt;"llp"),"ROC is only for a company / LLP; ","")&amp;IF(AND(AA120="Yes",OR(AQ120="company",AQ120="llp"),TRIM(I120)=""),"ROC needs the CIN / LLPIN; ","")</f>
        <v/>
      </c>
    </row>
    <row r="121">
      <c r="A121" s="30" t="n"/>
      <c r="B121" s="31" t="n"/>
      <c r="C121" s="31" t="n"/>
      <c r="D121" s="31" t="n"/>
      <c r="E121" s="30" t="n"/>
      <c r="F121" s="30" t="n"/>
      <c r="G121" s="30" t="n"/>
      <c r="H121" s="30" t="n"/>
      <c r="I121" s="30" t="n"/>
      <c r="J121" s="32" t="n"/>
      <c r="K121" s="31" t="n"/>
      <c r="L121" s="30" t="n"/>
      <c r="M121" s="31" t="n"/>
      <c r="N121" s="31" t="n"/>
      <c r="O121" s="31" t="n"/>
      <c r="P121" s="30" t="n"/>
      <c r="Q121" s="31" t="n"/>
      <c r="R121" s="31" t="n"/>
      <c r="S121" s="31" t="n"/>
      <c r="T121" s="31" t="n"/>
      <c r="U121" s="30" t="n"/>
      <c r="V121" s="31" t="n"/>
      <c r="W121" s="31" t="n"/>
      <c r="X121" s="31" t="n"/>
      <c r="Y121" s="31" t="n"/>
      <c r="Z121" s="31" t="n"/>
      <c r="AA121" s="31" t="n"/>
      <c r="AB121" s="31" t="n"/>
      <c r="AC121" s="31" t="n"/>
      <c r="AD121" s="31" t="n"/>
      <c r="AE121" s="31" t="n"/>
      <c r="AF121" s="27">
        <f>IF(NOT(COUNTA(A121:AE121)&gt;0),"",IF(A121="","New client","Update"))</f>
        <v/>
      </c>
      <c r="AG121" s="27">
        <f>IF(AO121&lt;&gt;"",AO121,IF(LEN(AN121)=15,MID(AN121,3,10),""))</f>
        <v/>
      </c>
      <c r="AH121" s="27">
        <f>IF(AP121="","",AP121&amp;IF(D121="","  (guessed from PAN)",""))</f>
        <v/>
      </c>
      <c r="AI121" s="27">
        <f>IF(AN121="","",IFERROR(INDEX(Lists!$L$2:$L$38,MATCH(LEFT(AN121,2),Lists!$K$2:$K$38,0)),"Unknown code"))</f>
        <v/>
      </c>
      <c r="AJ121" s="27">
        <f>IF(AN121="","",IFERROR(IF(NOT(AND(LEN(AN121)=15,ISNUMBER(MATCH(LEFT(AN121,2),Lists!$K$2:$K$38,0)),SUMPRODUCT(--ISERROR(FIND(MID(MID(AN121,3,10),{1,2,3,4,5,10},1),"ABCDEFGHIJKLMNOPQRSTUVWXYZ")))=0,SUMPRODUCT(--ISERROR(FIND(MID(MID(AN121,3,10),{6,7,8,9},1),"0123456789")))=0,ISNUMBER(FIND(MID(AN121,13,1),"123456789ABCDEFGHIJKLMNOPQRSTUVWXYZ")),MID(AN121,14,1)="Z")),"Wrong format",IF(MID("0123456789ABCDEFGHIJKLMNOPQRSTUVWXYZ",MOD(36-MOD(SUMPRODUCT(INT((FIND(MID(AN121,{1,2,3,4,5,6,7,8,9,10,11,12,13,14},1),"0123456789ABCDEFGHIJKLMNOPQRSTUVWXYZ")-1)*{1,2,1,2,1,2,1,2,1,2,1,2,1,2}/36)+MOD((FIND(MID(AN121,{1,2,3,4,5,6,7,8,9,10,11,12,13,14},1),"0123456789ABCDEFGHIJKLMNOPQRSTUVWXYZ")-1)*{1,2,1,2,1,2,1,2,1,2,1,2,1,2},36)),36),36)+1,1)=MID(AN121,15,1),"OK","Typo? check digit wrong")),"Wrong format"))</f>
        <v/>
      </c>
      <c r="AK121" s="27">
        <f>IF(AO121="","",IF(AND(LEN(AO121)=10,SUMPRODUCT(--ISERROR(FIND(MID(AO121,{1,2,3,4,5,10},1),"ABCDEFGHIJKLMNOPQRSTUVWXYZ")))=0,SUMPRODUCT(--ISERROR(FIND(MID(AO121,{6,7,8,9},1),"0123456789")))=0),"OK","Wrong format"))</f>
        <v/>
      </c>
      <c r="AL121" s="27">
        <f>IF(TRIM(H121)="","",IF(AND(LEN(UPPER(TRIM(H121)))=10,SUMPRODUCT(--ISERROR(FIND(MID(UPPER(TRIM(H121)),{1,2,3,4,10},1),"ABCDEFGHIJKLMNOPQRSTUVWXYZ")))=0,SUMPRODUCT(--ISERROR(FIND(MID(UPPER(TRIM(H121)),{5,6,7,8,9},1),"0123456789")))=0),"OK","Wrong format"))</f>
        <v/>
      </c>
      <c r="AM121" s="28">
        <f>IF(NOT(COUNTA(A121:AE121)&gt;0),"",IF(AS121&lt;&gt;"","✖ "&amp;LEFT(AS121,LEN(AS121)-2),IF(AR121&gt;0,"✔ Ready — client + "&amp;AR121&amp;" service(s)","✔ Ready — client only")))</f>
        <v/>
      </c>
      <c r="AN121" s="29">
        <f>UPPER(SUBSTITUTE(TRIM(F121)," ",""))</f>
        <v/>
      </c>
      <c r="AO121" s="29">
        <f>UPPER(SUBSTITUTE(TRIM(E121)," ",""))</f>
        <v/>
      </c>
      <c r="AP121" s="29">
        <f>IF(D121&lt;&gt;"",D121,IFERROR(VLOOKUP(MID(AG121,4,1),Lists!$E$2:$F$8,2,FALSE),""))</f>
        <v/>
      </c>
      <c r="AQ121" s="29">
        <f>IFERROR(VLOOKUP(AP121,Lists!$A$2:$C$12,3,FALSE),"")</f>
        <v/>
      </c>
      <c r="AR121" s="29">
        <f>COUNTIF(W121:AC121,"Yes")</f>
        <v/>
      </c>
      <c r="AS121" s="29">
        <f>IF(TRIM(B121)="","Legal name missing; ","")&amp;IF(AND(AJ121&lt;&gt;"",AJ121&lt;&gt;"OK"),"GSTIN: "&amp;AJ121&amp;"; ","")&amp;IF(AND(AK121&lt;&gt;"",AK121&lt;&gt;"OK"),"PAN wrong format; ","")&amp;IF(AND(AO121&lt;&gt;"",LEN(AN121)=15,MID(AN121,3,10)&lt;&gt;AO121),"PAN does not match GSTIN; ","")&amp;IF(AND(AL121&lt;&gt;"",AL121&lt;&gt;"OK"),"TAN wrong format; ","")&amp;IF(AG121="","PAN missing; ","")&amp;IF(AP121="","Entity type missing; ","")&amp;IF(AND(AN121&lt;&gt;"",COUNTIF($AN$6:$AN$1005,AN121)&gt;1),"GSTIN repeated in this sheet; ","")&amp;IF(AND(AG121&lt;&gt;"",COUNTIF($AG$6:$AG$1005,AG121)&gt;1),"PAN repeated in this sheet (same client? put extra GSTINs in Other GSTINs); ","")&amp;IF(AND(AR121&gt;0,V121=""),"Financial year missing; ","")&amp;IF(AND(AR121=0,V121&lt;&gt;""),"Financial year given but no service is Yes; ","")&amp;IF(AND(W121="Yes",AN121=""),"GST needs a GSTIN; ","")&amp;IF(AND(W121="Yes",X121=""),"GST return frequency missing; ","")&amp;IF(AND(Y121="Yes",TRIM(H121)=""),"TDS needs a TAN; ","")&amp;IF(AND(AA121="Yes",AQ121&lt;&gt;"",AQ121&lt;&gt;"company",AQ121&lt;&gt;"llp"),"ROC is only for a company / LLP; ","")&amp;IF(AND(AA121="Yes",OR(AQ121="company",AQ121="llp"),TRIM(I121)=""),"ROC needs the CIN / LLPIN; ","")</f>
        <v/>
      </c>
    </row>
    <row r="122">
      <c r="A122" s="30" t="n"/>
      <c r="B122" s="31" t="n"/>
      <c r="C122" s="31" t="n"/>
      <c r="D122" s="31" t="n"/>
      <c r="E122" s="30" t="n"/>
      <c r="F122" s="30" t="n"/>
      <c r="G122" s="30" t="n"/>
      <c r="H122" s="30" t="n"/>
      <c r="I122" s="30" t="n"/>
      <c r="J122" s="32" t="n"/>
      <c r="K122" s="31" t="n"/>
      <c r="L122" s="30" t="n"/>
      <c r="M122" s="31" t="n"/>
      <c r="N122" s="31" t="n"/>
      <c r="O122" s="31" t="n"/>
      <c r="P122" s="30" t="n"/>
      <c r="Q122" s="31" t="n"/>
      <c r="R122" s="31" t="n"/>
      <c r="S122" s="31" t="n"/>
      <c r="T122" s="31" t="n"/>
      <c r="U122" s="30" t="n"/>
      <c r="V122" s="31" t="n"/>
      <c r="W122" s="31" t="n"/>
      <c r="X122" s="31" t="n"/>
      <c r="Y122" s="31" t="n"/>
      <c r="Z122" s="31" t="n"/>
      <c r="AA122" s="31" t="n"/>
      <c r="AB122" s="31" t="n"/>
      <c r="AC122" s="31" t="n"/>
      <c r="AD122" s="31" t="n"/>
      <c r="AE122" s="31" t="n"/>
      <c r="AF122" s="27">
        <f>IF(NOT(COUNTA(A122:AE122)&gt;0),"",IF(A122="","New client","Update"))</f>
        <v/>
      </c>
      <c r="AG122" s="27">
        <f>IF(AO122&lt;&gt;"",AO122,IF(LEN(AN122)=15,MID(AN122,3,10),""))</f>
        <v/>
      </c>
      <c r="AH122" s="27">
        <f>IF(AP122="","",AP122&amp;IF(D122="","  (guessed from PAN)",""))</f>
        <v/>
      </c>
      <c r="AI122" s="27">
        <f>IF(AN122="","",IFERROR(INDEX(Lists!$L$2:$L$38,MATCH(LEFT(AN122,2),Lists!$K$2:$K$38,0)),"Unknown code"))</f>
        <v/>
      </c>
      <c r="AJ122" s="27">
        <f>IF(AN122="","",IFERROR(IF(NOT(AND(LEN(AN122)=15,ISNUMBER(MATCH(LEFT(AN122,2),Lists!$K$2:$K$38,0)),SUMPRODUCT(--ISERROR(FIND(MID(MID(AN122,3,10),{1,2,3,4,5,10},1),"ABCDEFGHIJKLMNOPQRSTUVWXYZ")))=0,SUMPRODUCT(--ISERROR(FIND(MID(MID(AN122,3,10),{6,7,8,9},1),"0123456789")))=0,ISNUMBER(FIND(MID(AN122,13,1),"123456789ABCDEFGHIJKLMNOPQRSTUVWXYZ")),MID(AN122,14,1)="Z")),"Wrong format",IF(MID("0123456789ABCDEFGHIJKLMNOPQRSTUVWXYZ",MOD(36-MOD(SUMPRODUCT(INT((FIND(MID(AN122,{1,2,3,4,5,6,7,8,9,10,11,12,13,14},1),"0123456789ABCDEFGHIJKLMNOPQRSTUVWXYZ")-1)*{1,2,1,2,1,2,1,2,1,2,1,2,1,2}/36)+MOD((FIND(MID(AN122,{1,2,3,4,5,6,7,8,9,10,11,12,13,14},1),"0123456789ABCDEFGHIJKLMNOPQRSTUVWXYZ")-1)*{1,2,1,2,1,2,1,2,1,2,1,2,1,2},36)),36),36)+1,1)=MID(AN122,15,1),"OK","Typo? check digit wrong")),"Wrong format"))</f>
        <v/>
      </c>
      <c r="AK122" s="27">
        <f>IF(AO122="","",IF(AND(LEN(AO122)=10,SUMPRODUCT(--ISERROR(FIND(MID(AO122,{1,2,3,4,5,10},1),"ABCDEFGHIJKLMNOPQRSTUVWXYZ")))=0,SUMPRODUCT(--ISERROR(FIND(MID(AO122,{6,7,8,9},1),"0123456789")))=0),"OK","Wrong format"))</f>
        <v/>
      </c>
      <c r="AL122" s="27">
        <f>IF(TRIM(H122)="","",IF(AND(LEN(UPPER(TRIM(H122)))=10,SUMPRODUCT(--ISERROR(FIND(MID(UPPER(TRIM(H122)),{1,2,3,4,10},1),"ABCDEFGHIJKLMNOPQRSTUVWXYZ")))=0,SUMPRODUCT(--ISERROR(FIND(MID(UPPER(TRIM(H122)),{5,6,7,8,9},1),"0123456789")))=0),"OK","Wrong format"))</f>
        <v/>
      </c>
      <c r="AM122" s="28">
        <f>IF(NOT(COUNTA(A122:AE122)&gt;0),"",IF(AS122&lt;&gt;"","✖ "&amp;LEFT(AS122,LEN(AS122)-2),IF(AR122&gt;0,"✔ Ready — client + "&amp;AR122&amp;" service(s)","✔ Ready — client only")))</f>
        <v/>
      </c>
      <c r="AN122" s="29">
        <f>UPPER(SUBSTITUTE(TRIM(F122)," ",""))</f>
        <v/>
      </c>
      <c r="AO122" s="29">
        <f>UPPER(SUBSTITUTE(TRIM(E122)," ",""))</f>
        <v/>
      </c>
      <c r="AP122" s="29">
        <f>IF(D122&lt;&gt;"",D122,IFERROR(VLOOKUP(MID(AG122,4,1),Lists!$E$2:$F$8,2,FALSE),""))</f>
        <v/>
      </c>
      <c r="AQ122" s="29">
        <f>IFERROR(VLOOKUP(AP122,Lists!$A$2:$C$12,3,FALSE),"")</f>
        <v/>
      </c>
      <c r="AR122" s="29">
        <f>COUNTIF(W122:AC122,"Yes")</f>
        <v/>
      </c>
      <c r="AS122" s="29">
        <f>IF(TRIM(B122)="","Legal name missing; ","")&amp;IF(AND(AJ122&lt;&gt;"",AJ122&lt;&gt;"OK"),"GSTIN: "&amp;AJ122&amp;"; ","")&amp;IF(AND(AK122&lt;&gt;"",AK122&lt;&gt;"OK"),"PAN wrong format; ","")&amp;IF(AND(AO122&lt;&gt;"",LEN(AN122)=15,MID(AN122,3,10)&lt;&gt;AO122),"PAN does not match GSTIN; ","")&amp;IF(AND(AL122&lt;&gt;"",AL122&lt;&gt;"OK"),"TAN wrong format; ","")&amp;IF(AG122="","PAN missing; ","")&amp;IF(AP122="","Entity type missing; ","")&amp;IF(AND(AN122&lt;&gt;"",COUNTIF($AN$6:$AN$1005,AN122)&gt;1),"GSTIN repeated in this sheet; ","")&amp;IF(AND(AG122&lt;&gt;"",COUNTIF($AG$6:$AG$1005,AG122)&gt;1),"PAN repeated in this sheet (same client? put extra GSTINs in Other GSTINs); ","")&amp;IF(AND(AR122&gt;0,V122=""),"Financial year missing; ","")&amp;IF(AND(AR122=0,V122&lt;&gt;""),"Financial year given but no service is Yes; ","")&amp;IF(AND(W122="Yes",AN122=""),"GST needs a GSTIN; ","")&amp;IF(AND(W122="Yes",X122=""),"GST return frequency missing; ","")&amp;IF(AND(Y122="Yes",TRIM(H122)=""),"TDS needs a TAN; ","")&amp;IF(AND(AA122="Yes",AQ122&lt;&gt;"",AQ122&lt;&gt;"company",AQ122&lt;&gt;"llp"),"ROC is only for a company / LLP; ","")&amp;IF(AND(AA122="Yes",OR(AQ122="company",AQ122="llp"),TRIM(I122)=""),"ROC needs the CIN / LLPIN; ","")</f>
        <v/>
      </c>
    </row>
    <row r="123">
      <c r="A123" s="30" t="n"/>
      <c r="B123" s="31" t="n"/>
      <c r="C123" s="31" t="n"/>
      <c r="D123" s="31" t="n"/>
      <c r="E123" s="30" t="n"/>
      <c r="F123" s="30" t="n"/>
      <c r="G123" s="30" t="n"/>
      <c r="H123" s="30" t="n"/>
      <c r="I123" s="30" t="n"/>
      <c r="J123" s="32" t="n"/>
      <c r="K123" s="31" t="n"/>
      <c r="L123" s="30" t="n"/>
      <c r="M123" s="31" t="n"/>
      <c r="N123" s="31" t="n"/>
      <c r="O123" s="31" t="n"/>
      <c r="P123" s="30" t="n"/>
      <c r="Q123" s="31" t="n"/>
      <c r="R123" s="31" t="n"/>
      <c r="S123" s="31" t="n"/>
      <c r="T123" s="31" t="n"/>
      <c r="U123" s="30" t="n"/>
      <c r="V123" s="31" t="n"/>
      <c r="W123" s="31" t="n"/>
      <c r="X123" s="31" t="n"/>
      <c r="Y123" s="31" t="n"/>
      <c r="Z123" s="31" t="n"/>
      <c r="AA123" s="31" t="n"/>
      <c r="AB123" s="31" t="n"/>
      <c r="AC123" s="31" t="n"/>
      <c r="AD123" s="31" t="n"/>
      <c r="AE123" s="31" t="n"/>
      <c r="AF123" s="27">
        <f>IF(NOT(COUNTA(A123:AE123)&gt;0),"",IF(A123="","New client","Update"))</f>
        <v/>
      </c>
      <c r="AG123" s="27">
        <f>IF(AO123&lt;&gt;"",AO123,IF(LEN(AN123)=15,MID(AN123,3,10),""))</f>
        <v/>
      </c>
      <c r="AH123" s="27">
        <f>IF(AP123="","",AP123&amp;IF(D123="","  (guessed from PAN)",""))</f>
        <v/>
      </c>
      <c r="AI123" s="27">
        <f>IF(AN123="","",IFERROR(INDEX(Lists!$L$2:$L$38,MATCH(LEFT(AN123,2),Lists!$K$2:$K$38,0)),"Unknown code"))</f>
        <v/>
      </c>
      <c r="AJ123" s="27">
        <f>IF(AN123="","",IFERROR(IF(NOT(AND(LEN(AN123)=15,ISNUMBER(MATCH(LEFT(AN123,2),Lists!$K$2:$K$38,0)),SUMPRODUCT(--ISERROR(FIND(MID(MID(AN123,3,10),{1,2,3,4,5,10},1),"ABCDEFGHIJKLMNOPQRSTUVWXYZ")))=0,SUMPRODUCT(--ISERROR(FIND(MID(MID(AN123,3,10),{6,7,8,9},1),"0123456789")))=0,ISNUMBER(FIND(MID(AN123,13,1),"123456789ABCDEFGHIJKLMNOPQRSTUVWXYZ")),MID(AN123,14,1)="Z")),"Wrong format",IF(MID("0123456789ABCDEFGHIJKLMNOPQRSTUVWXYZ",MOD(36-MOD(SUMPRODUCT(INT((FIND(MID(AN123,{1,2,3,4,5,6,7,8,9,10,11,12,13,14},1),"0123456789ABCDEFGHIJKLMNOPQRSTUVWXYZ")-1)*{1,2,1,2,1,2,1,2,1,2,1,2,1,2}/36)+MOD((FIND(MID(AN123,{1,2,3,4,5,6,7,8,9,10,11,12,13,14},1),"0123456789ABCDEFGHIJKLMNOPQRSTUVWXYZ")-1)*{1,2,1,2,1,2,1,2,1,2,1,2,1,2},36)),36),36)+1,1)=MID(AN123,15,1),"OK","Typo? check digit wrong")),"Wrong format"))</f>
        <v/>
      </c>
      <c r="AK123" s="27">
        <f>IF(AO123="","",IF(AND(LEN(AO123)=10,SUMPRODUCT(--ISERROR(FIND(MID(AO123,{1,2,3,4,5,10},1),"ABCDEFGHIJKLMNOPQRSTUVWXYZ")))=0,SUMPRODUCT(--ISERROR(FIND(MID(AO123,{6,7,8,9},1),"0123456789")))=0),"OK","Wrong format"))</f>
        <v/>
      </c>
      <c r="AL123" s="27">
        <f>IF(TRIM(H123)="","",IF(AND(LEN(UPPER(TRIM(H123)))=10,SUMPRODUCT(--ISERROR(FIND(MID(UPPER(TRIM(H123)),{1,2,3,4,10},1),"ABCDEFGHIJKLMNOPQRSTUVWXYZ")))=0,SUMPRODUCT(--ISERROR(FIND(MID(UPPER(TRIM(H123)),{5,6,7,8,9},1),"0123456789")))=0),"OK","Wrong format"))</f>
        <v/>
      </c>
      <c r="AM123" s="28">
        <f>IF(NOT(COUNTA(A123:AE123)&gt;0),"",IF(AS123&lt;&gt;"","✖ "&amp;LEFT(AS123,LEN(AS123)-2),IF(AR123&gt;0,"✔ Ready — client + "&amp;AR123&amp;" service(s)","✔ Ready — client only")))</f>
        <v/>
      </c>
      <c r="AN123" s="29">
        <f>UPPER(SUBSTITUTE(TRIM(F123)," ",""))</f>
        <v/>
      </c>
      <c r="AO123" s="29">
        <f>UPPER(SUBSTITUTE(TRIM(E123)," ",""))</f>
        <v/>
      </c>
      <c r="AP123" s="29">
        <f>IF(D123&lt;&gt;"",D123,IFERROR(VLOOKUP(MID(AG123,4,1),Lists!$E$2:$F$8,2,FALSE),""))</f>
        <v/>
      </c>
      <c r="AQ123" s="29">
        <f>IFERROR(VLOOKUP(AP123,Lists!$A$2:$C$12,3,FALSE),"")</f>
        <v/>
      </c>
      <c r="AR123" s="29">
        <f>COUNTIF(W123:AC123,"Yes")</f>
        <v/>
      </c>
      <c r="AS123" s="29">
        <f>IF(TRIM(B123)="","Legal name missing; ","")&amp;IF(AND(AJ123&lt;&gt;"",AJ123&lt;&gt;"OK"),"GSTIN: "&amp;AJ123&amp;"; ","")&amp;IF(AND(AK123&lt;&gt;"",AK123&lt;&gt;"OK"),"PAN wrong format; ","")&amp;IF(AND(AO123&lt;&gt;"",LEN(AN123)=15,MID(AN123,3,10)&lt;&gt;AO123),"PAN does not match GSTIN; ","")&amp;IF(AND(AL123&lt;&gt;"",AL123&lt;&gt;"OK"),"TAN wrong format; ","")&amp;IF(AG123="","PAN missing; ","")&amp;IF(AP123="","Entity type missing; ","")&amp;IF(AND(AN123&lt;&gt;"",COUNTIF($AN$6:$AN$1005,AN123)&gt;1),"GSTIN repeated in this sheet; ","")&amp;IF(AND(AG123&lt;&gt;"",COUNTIF($AG$6:$AG$1005,AG123)&gt;1),"PAN repeated in this sheet (same client? put extra GSTINs in Other GSTINs); ","")&amp;IF(AND(AR123&gt;0,V123=""),"Financial year missing; ","")&amp;IF(AND(AR123=0,V123&lt;&gt;""),"Financial year given but no service is Yes; ","")&amp;IF(AND(W123="Yes",AN123=""),"GST needs a GSTIN; ","")&amp;IF(AND(W123="Yes",X123=""),"GST return frequency missing; ","")&amp;IF(AND(Y123="Yes",TRIM(H123)=""),"TDS needs a TAN; ","")&amp;IF(AND(AA123="Yes",AQ123&lt;&gt;"",AQ123&lt;&gt;"company",AQ123&lt;&gt;"llp"),"ROC is only for a company / LLP; ","")&amp;IF(AND(AA123="Yes",OR(AQ123="company",AQ123="llp"),TRIM(I123)=""),"ROC needs the CIN / LLPIN; ","")</f>
        <v/>
      </c>
    </row>
    <row r="124">
      <c r="A124" s="30" t="n"/>
      <c r="B124" s="31" t="n"/>
      <c r="C124" s="31" t="n"/>
      <c r="D124" s="31" t="n"/>
      <c r="E124" s="30" t="n"/>
      <c r="F124" s="30" t="n"/>
      <c r="G124" s="30" t="n"/>
      <c r="H124" s="30" t="n"/>
      <c r="I124" s="30" t="n"/>
      <c r="J124" s="32" t="n"/>
      <c r="K124" s="31" t="n"/>
      <c r="L124" s="30" t="n"/>
      <c r="M124" s="31" t="n"/>
      <c r="N124" s="31" t="n"/>
      <c r="O124" s="31" t="n"/>
      <c r="P124" s="30" t="n"/>
      <c r="Q124" s="31" t="n"/>
      <c r="R124" s="31" t="n"/>
      <c r="S124" s="31" t="n"/>
      <c r="T124" s="31" t="n"/>
      <c r="U124" s="30" t="n"/>
      <c r="V124" s="31" t="n"/>
      <c r="W124" s="31" t="n"/>
      <c r="X124" s="31" t="n"/>
      <c r="Y124" s="31" t="n"/>
      <c r="Z124" s="31" t="n"/>
      <c r="AA124" s="31" t="n"/>
      <c r="AB124" s="31" t="n"/>
      <c r="AC124" s="31" t="n"/>
      <c r="AD124" s="31" t="n"/>
      <c r="AE124" s="31" t="n"/>
      <c r="AF124" s="27">
        <f>IF(NOT(COUNTA(A124:AE124)&gt;0),"",IF(A124="","New client","Update"))</f>
        <v/>
      </c>
      <c r="AG124" s="27">
        <f>IF(AO124&lt;&gt;"",AO124,IF(LEN(AN124)=15,MID(AN124,3,10),""))</f>
        <v/>
      </c>
      <c r="AH124" s="27">
        <f>IF(AP124="","",AP124&amp;IF(D124="","  (guessed from PAN)",""))</f>
        <v/>
      </c>
      <c r="AI124" s="27">
        <f>IF(AN124="","",IFERROR(INDEX(Lists!$L$2:$L$38,MATCH(LEFT(AN124,2),Lists!$K$2:$K$38,0)),"Unknown code"))</f>
        <v/>
      </c>
      <c r="AJ124" s="27">
        <f>IF(AN124="","",IFERROR(IF(NOT(AND(LEN(AN124)=15,ISNUMBER(MATCH(LEFT(AN124,2),Lists!$K$2:$K$38,0)),SUMPRODUCT(--ISERROR(FIND(MID(MID(AN124,3,10),{1,2,3,4,5,10},1),"ABCDEFGHIJKLMNOPQRSTUVWXYZ")))=0,SUMPRODUCT(--ISERROR(FIND(MID(MID(AN124,3,10),{6,7,8,9},1),"0123456789")))=0,ISNUMBER(FIND(MID(AN124,13,1),"123456789ABCDEFGHIJKLMNOPQRSTUVWXYZ")),MID(AN124,14,1)="Z")),"Wrong format",IF(MID("0123456789ABCDEFGHIJKLMNOPQRSTUVWXYZ",MOD(36-MOD(SUMPRODUCT(INT((FIND(MID(AN124,{1,2,3,4,5,6,7,8,9,10,11,12,13,14},1),"0123456789ABCDEFGHIJKLMNOPQRSTUVWXYZ")-1)*{1,2,1,2,1,2,1,2,1,2,1,2,1,2}/36)+MOD((FIND(MID(AN124,{1,2,3,4,5,6,7,8,9,10,11,12,13,14},1),"0123456789ABCDEFGHIJKLMNOPQRSTUVWXYZ")-1)*{1,2,1,2,1,2,1,2,1,2,1,2,1,2},36)),36),36)+1,1)=MID(AN124,15,1),"OK","Typo? check digit wrong")),"Wrong format"))</f>
        <v/>
      </c>
      <c r="AK124" s="27">
        <f>IF(AO124="","",IF(AND(LEN(AO124)=10,SUMPRODUCT(--ISERROR(FIND(MID(AO124,{1,2,3,4,5,10},1),"ABCDEFGHIJKLMNOPQRSTUVWXYZ")))=0,SUMPRODUCT(--ISERROR(FIND(MID(AO124,{6,7,8,9},1),"0123456789")))=0),"OK","Wrong format"))</f>
        <v/>
      </c>
      <c r="AL124" s="27">
        <f>IF(TRIM(H124)="","",IF(AND(LEN(UPPER(TRIM(H124)))=10,SUMPRODUCT(--ISERROR(FIND(MID(UPPER(TRIM(H124)),{1,2,3,4,10},1),"ABCDEFGHIJKLMNOPQRSTUVWXYZ")))=0,SUMPRODUCT(--ISERROR(FIND(MID(UPPER(TRIM(H124)),{5,6,7,8,9},1),"0123456789")))=0),"OK","Wrong format"))</f>
        <v/>
      </c>
      <c r="AM124" s="28">
        <f>IF(NOT(COUNTA(A124:AE124)&gt;0),"",IF(AS124&lt;&gt;"","✖ "&amp;LEFT(AS124,LEN(AS124)-2),IF(AR124&gt;0,"✔ Ready — client + "&amp;AR124&amp;" service(s)","✔ Ready — client only")))</f>
        <v/>
      </c>
      <c r="AN124" s="29">
        <f>UPPER(SUBSTITUTE(TRIM(F124)," ",""))</f>
        <v/>
      </c>
      <c r="AO124" s="29">
        <f>UPPER(SUBSTITUTE(TRIM(E124)," ",""))</f>
        <v/>
      </c>
      <c r="AP124" s="29">
        <f>IF(D124&lt;&gt;"",D124,IFERROR(VLOOKUP(MID(AG124,4,1),Lists!$E$2:$F$8,2,FALSE),""))</f>
        <v/>
      </c>
      <c r="AQ124" s="29">
        <f>IFERROR(VLOOKUP(AP124,Lists!$A$2:$C$12,3,FALSE),"")</f>
        <v/>
      </c>
      <c r="AR124" s="29">
        <f>COUNTIF(W124:AC124,"Yes")</f>
        <v/>
      </c>
      <c r="AS124" s="29">
        <f>IF(TRIM(B124)="","Legal name missing; ","")&amp;IF(AND(AJ124&lt;&gt;"",AJ124&lt;&gt;"OK"),"GSTIN: "&amp;AJ124&amp;"; ","")&amp;IF(AND(AK124&lt;&gt;"",AK124&lt;&gt;"OK"),"PAN wrong format; ","")&amp;IF(AND(AO124&lt;&gt;"",LEN(AN124)=15,MID(AN124,3,10)&lt;&gt;AO124),"PAN does not match GSTIN; ","")&amp;IF(AND(AL124&lt;&gt;"",AL124&lt;&gt;"OK"),"TAN wrong format; ","")&amp;IF(AG124="","PAN missing; ","")&amp;IF(AP124="","Entity type missing; ","")&amp;IF(AND(AN124&lt;&gt;"",COUNTIF($AN$6:$AN$1005,AN124)&gt;1),"GSTIN repeated in this sheet; ","")&amp;IF(AND(AG124&lt;&gt;"",COUNTIF($AG$6:$AG$1005,AG124)&gt;1),"PAN repeated in this sheet (same client? put extra GSTINs in Other GSTINs); ","")&amp;IF(AND(AR124&gt;0,V124=""),"Financial year missing; ","")&amp;IF(AND(AR124=0,V124&lt;&gt;""),"Financial year given but no service is Yes; ","")&amp;IF(AND(W124="Yes",AN124=""),"GST needs a GSTIN; ","")&amp;IF(AND(W124="Yes",X124=""),"GST return frequency missing; ","")&amp;IF(AND(Y124="Yes",TRIM(H124)=""),"TDS needs a TAN; ","")&amp;IF(AND(AA124="Yes",AQ124&lt;&gt;"",AQ124&lt;&gt;"company",AQ124&lt;&gt;"llp"),"ROC is only for a company / LLP; ","")&amp;IF(AND(AA124="Yes",OR(AQ124="company",AQ124="llp"),TRIM(I124)=""),"ROC needs the CIN / LLPIN; ","")</f>
        <v/>
      </c>
    </row>
    <row r="125">
      <c r="A125" s="30" t="n"/>
      <c r="B125" s="31" t="n"/>
      <c r="C125" s="31" t="n"/>
      <c r="D125" s="31" t="n"/>
      <c r="E125" s="30" t="n"/>
      <c r="F125" s="30" t="n"/>
      <c r="G125" s="30" t="n"/>
      <c r="H125" s="30" t="n"/>
      <c r="I125" s="30" t="n"/>
      <c r="J125" s="32" t="n"/>
      <c r="K125" s="31" t="n"/>
      <c r="L125" s="30" t="n"/>
      <c r="M125" s="31" t="n"/>
      <c r="N125" s="31" t="n"/>
      <c r="O125" s="31" t="n"/>
      <c r="P125" s="30" t="n"/>
      <c r="Q125" s="31" t="n"/>
      <c r="R125" s="31" t="n"/>
      <c r="S125" s="31" t="n"/>
      <c r="T125" s="31" t="n"/>
      <c r="U125" s="30" t="n"/>
      <c r="V125" s="31" t="n"/>
      <c r="W125" s="31" t="n"/>
      <c r="X125" s="31" t="n"/>
      <c r="Y125" s="31" t="n"/>
      <c r="Z125" s="31" t="n"/>
      <c r="AA125" s="31" t="n"/>
      <c r="AB125" s="31" t="n"/>
      <c r="AC125" s="31" t="n"/>
      <c r="AD125" s="31" t="n"/>
      <c r="AE125" s="31" t="n"/>
      <c r="AF125" s="27">
        <f>IF(NOT(COUNTA(A125:AE125)&gt;0),"",IF(A125="","New client","Update"))</f>
        <v/>
      </c>
      <c r="AG125" s="27">
        <f>IF(AO125&lt;&gt;"",AO125,IF(LEN(AN125)=15,MID(AN125,3,10),""))</f>
        <v/>
      </c>
      <c r="AH125" s="27">
        <f>IF(AP125="","",AP125&amp;IF(D125="","  (guessed from PAN)",""))</f>
        <v/>
      </c>
      <c r="AI125" s="27">
        <f>IF(AN125="","",IFERROR(INDEX(Lists!$L$2:$L$38,MATCH(LEFT(AN125,2),Lists!$K$2:$K$38,0)),"Unknown code"))</f>
        <v/>
      </c>
      <c r="AJ125" s="27">
        <f>IF(AN125="","",IFERROR(IF(NOT(AND(LEN(AN125)=15,ISNUMBER(MATCH(LEFT(AN125,2),Lists!$K$2:$K$38,0)),SUMPRODUCT(--ISERROR(FIND(MID(MID(AN125,3,10),{1,2,3,4,5,10},1),"ABCDEFGHIJKLMNOPQRSTUVWXYZ")))=0,SUMPRODUCT(--ISERROR(FIND(MID(MID(AN125,3,10),{6,7,8,9},1),"0123456789")))=0,ISNUMBER(FIND(MID(AN125,13,1),"123456789ABCDEFGHIJKLMNOPQRSTUVWXYZ")),MID(AN125,14,1)="Z")),"Wrong format",IF(MID("0123456789ABCDEFGHIJKLMNOPQRSTUVWXYZ",MOD(36-MOD(SUMPRODUCT(INT((FIND(MID(AN125,{1,2,3,4,5,6,7,8,9,10,11,12,13,14},1),"0123456789ABCDEFGHIJKLMNOPQRSTUVWXYZ")-1)*{1,2,1,2,1,2,1,2,1,2,1,2,1,2}/36)+MOD((FIND(MID(AN125,{1,2,3,4,5,6,7,8,9,10,11,12,13,14},1),"0123456789ABCDEFGHIJKLMNOPQRSTUVWXYZ")-1)*{1,2,1,2,1,2,1,2,1,2,1,2,1,2},36)),36),36)+1,1)=MID(AN125,15,1),"OK","Typo? check digit wrong")),"Wrong format"))</f>
        <v/>
      </c>
      <c r="AK125" s="27">
        <f>IF(AO125="","",IF(AND(LEN(AO125)=10,SUMPRODUCT(--ISERROR(FIND(MID(AO125,{1,2,3,4,5,10},1),"ABCDEFGHIJKLMNOPQRSTUVWXYZ")))=0,SUMPRODUCT(--ISERROR(FIND(MID(AO125,{6,7,8,9},1),"0123456789")))=0),"OK","Wrong format"))</f>
        <v/>
      </c>
      <c r="AL125" s="27">
        <f>IF(TRIM(H125)="","",IF(AND(LEN(UPPER(TRIM(H125)))=10,SUMPRODUCT(--ISERROR(FIND(MID(UPPER(TRIM(H125)),{1,2,3,4,10},1),"ABCDEFGHIJKLMNOPQRSTUVWXYZ")))=0,SUMPRODUCT(--ISERROR(FIND(MID(UPPER(TRIM(H125)),{5,6,7,8,9},1),"0123456789")))=0),"OK","Wrong format"))</f>
        <v/>
      </c>
      <c r="AM125" s="28">
        <f>IF(NOT(COUNTA(A125:AE125)&gt;0),"",IF(AS125&lt;&gt;"","✖ "&amp;LEFT(AS125,LEN(AS125)-2),IF(AR125&gt;0,"✔ Ready — client + "&amp;AR125&amp;" service(s)","✔ Ready — client only")))</f>
        <v/>
      </c>
      <c r="AN125" s="29">
        <f>UPPER(SUBSTITUTE(TRIM(F125)," ",""))</f>
        <v/>
      </c>
      <c r="AO125" s="29">
        <f>UPPER(SUBSTITUTE(TRIM(E125)," ",""))</f>
        <v/>
      </c>
      <c r="AP125" s="29">
        <f>IF(D125&lt;&gt;"",D125,IFERROR(VLOOKUP(MID(AG125,4,1),Lists!$E$2:$F$8,2,FALSE),""))</f>
        <v/>
      </c>
      <c r="AQ125" s="29">
        <f>IFERROR(VLOOKUP(AP125,Lists!$A$2:$C$12,3,FALSE),"")</f>
        <v/>
      </c>
      <c r="AR125" s="29">
        <f>COUNTIF(W125:AC125,"Yes")</f>
        <v/>
      </c>
      <c r="AS125" s="29">
        <f>IF(TRIM(B125)="","Legal name missing; ","")&amp;IF(AND(AJ125&lt;&gt;"",AJ125&lt;&gt;"OK"),"GSTIN: "&amp;AJ125&amp;"; ","")&amp;IF(AND(AK125&lt;&gt;"",AK125&lt;&gt;"OK"),"PAN wrong format; ","")&amp;IF(AND(AO125&lt;&gt;"",LEN(AN125)=15,MID(AN125,3,10)&lt;&gt;AO125),"PAN does not match GSTIN; ","")&amp;IF(AND(AL125&lt;&gt;"",AL125&lt;&gt;"OK"),"TAN wrong format; ","")&amp;IF(AG125="","PAN missing; ","")&amp;IF(AP125="","Entity type missing; ","")&amp;IF(AND(AN125&lt;&gt;"",COUNTIF($AN$6:$AN$1005,AN125)&gt;1),"GSTIN repeated in this sheet; ","")&amp;IF(AND(AG125&lt;&gt;"",COUNTIF($AG$6:$AG$1005,AG125)&gt;1),"PAN repeated in this sheet (same client? put extra GSTINs in Other GSTINs); ","")&amp;IF(AND(AR125&gt;0,V125=""),"Financial year missing; ","")&amp;IF(AND(AR125=0,V125&lt;&gt;""),"Financial year given but no service is Yes; ","")&amp;IF(AND(W125="Yes",AN125=""),"GST needs a GSTIN; ","")&amp;IF(AND(W125="Yes",X125=""),"GST return frequency missing; ","")&amp;IF(AND(Y125="Yes",TRIM(H125)=""),"TDS needs a TAN; ","")&amp;IF(AND(AA125="Yes",AQ125&lt;&gt;"",AQ125&lt;&gt;"company",AQ125&lt;&gt;"llp"),"ROC is only for a company / LLP; ","")&amp;IF(AND(AA125="Yes",OR(AQ125="company",AQ125="llp"),TRIM(I125)=""),"ROC needs the CIN / LLPIN; ","")</f>
        <v/>
      </c>
    </row>
    <row r="126">
      <c r="A126" s="30" t="n"/>
      <c r="B126" s="31" t="n"/>
      <c r="C126" s="31" t="n"/>
      <c r="D126" s="31" t="n"/>
      <c r="E126" s="30" t="n"/>
      <c r="F126" s="30" t="n"/>
      <c r="G126" s="30" t="n"/>
      <c r="H126" s="30" t="n"/>
      <c r="I126" s="30" t="n"/>
      <c r="J126" s="32" t="n"/>
      <c r="K126" s="31" t="n"/>
      <c r="L126" s="30" t="n"/>
      <c r="M126" s="31" t="n"/>
      <c r="N126" s="31" t="n"/>
      <c r="O126" s="31" t="n"/>
      <c r="P126" s="30" t="n"/>
      <c r="Q126" s="31" t="n"/>
      <c r="R126" s="31" t="n"/>
      <c r="S126" s="31" t="n"/>
      <c r="T126" s="31" t="n"/>
      <c r="U126" s="30" t="n"/>
      <c r="V126" s="31" t="n"/>
      <c r="W126" s="31" t="n"/>
      <c r="X126" s="31" t="n"/>
      <c r="Y126" s="31" t="n"/>
      <c r="Z126" s="31" t="n"/>
      <c r="AA126" s="31" t="n"/>
      <c r="AB126" s="31" t="n"/>
      <c r="AC126" s="31" t="n"/>
      <c r="AD126" s="31" t="n"/>
      <c r="AE126" s="31" t="n"/>
      <c r="AF126" s="27">
        <f>IF(NOT(COUNTA(A126:AE126)&gt;0),"",IF(A126="","New client","Update"))</f>
        <v/>
      </c>
      <c r="AG126" s="27">
        <f>IF(AO126&lt;&gt;"",AO126,IF(LEN(AN126)=15,MID(AN126,3,10),""))</f>
        <v/>
      </c>
      <c r="AH126" s="27">
        <f>IF(AP126="","",AP126&amp;IF(D126="","  (guessed from PAN)",""))</f>
        <v/>
      </c>
      <c r="AI126" s="27">
        <f>IF(AN126="","",IFERROR(INDEX(Lists!$L$2:$L$38,MATCH(LEFT(AN126,2),Lists!$K$2:$K$38,0)),"Unknown code"))</f>
        <v/>
      </c>
      <c r="AJ126" s="27">
        <f>IF(AN126="","",IFERROR(IF(NOT(AND(LEN(AN126)=15,ISNUMBER(MATCH(LEFT(AN126,2),Lists!$K$2:$K$38,0)),SUMPRODUCT(--ISERROR(FIND(MID(MID(AN126,3,10),{1,2,3,4,5,10},1),"ABCDEFGHIJKLMNOPQRSTUVWXYZ")))=0,SUMPRODUCT(--ISERROR(FIND(MID(MID(AN126,3,10),{6,7,8,9},1),"0123456789")))=0,ISNUMBER(FIND(MID(AN126,13,1),"123456789ABCDEFGHIJKLMNOPQRSTUVWXYZ")),MID(AN126,14,1)="Z")),"Wrong format",IF(MID("0123456789ABCDEFGHIJKLMNOPQRSTUVWXYZ",MOD(36-MOD(SUMPRODUCT(INT((FIND(MID(AN126,{1,2,3,4,5,6,7,8,9,10,11,12,13,14},1),"0123456789ABCDEFGHIJKLMNOPQRSTUVWXYZ")-1)*{1,2,1,2,1,2,1,2,1,2,1,2,1,2}/36)+MOD((FIND(MID(AN126,{1,2,3,4,5,6,7,8,9,10,11,12,13,14},1),"0123456789ABCDEFGHIJKLMNOPQRSTUVWXYZ")-1)*{1,2,1,2,1,2,1,2,1,2,1,2,1,2},36)),36),36)+1,1)=MID(AN126,15,1),"OK","Typo? check digit wrong")),"Wrong format"))</f>
        <v/>
      </c>
      <c r="AK126" s="27">
        <f>IF(AO126="","",IF(AND(LEN(AO126)=10,SUMPRODUCT(--ISERROR(FIND(MID(AO126,{1,2,3,4,5,10},1),"ABCDEFGHIJKLMNOPQRSTUVWXYZ")))=0,SUMPRODUCT(--ISERROR(FIND(MID(AO126,{6,7,8,9},1),"0123456789")))=0),"OK","Wrong format"))</f>
        <v/>
      </c>
      <c r="AL126" s="27">
        <f>IF(TRIM(H126)="","",IF(AND(LEN(UPPER(TRIM(H126)))=10,SUMPRODUCT(--ISERROR(FIND(MID(UPPER(TRIM(H126)),{1,2,3,4,10},1),"ABCDEFGHIJKLMNOPQRSTUVWXYZ")))=0,SUMPRODUCT(--ISERROR(FIND(MID(UPPER(TRIM(H126)),{5,6,7,8,9},1),"0123456789")))=0),"OK","Wrong format"))</f>
        <v/>
      </c>
      <c r="AM126" s="28">
        <f>IF(NOT(COUNTA(A126:AE126)&gt;0),"",IF(AS126&lt;&gt;"","✖ "&amp;LEFT(AS126,LEN(AS126)-2),IF(AR126&gt;0,"✔ Ready — client + "&amp;AR126&amp;" service(s)","✔ Ready — client only")))</f>
        <v/>
      </c>
      <c r="AN126" s="29">
        <f>UPPER(SUBSTITUTE(TRIM(F126)," ",""))</f>
        <v/>
      </c>
      <c r="AO126" s="29">
        <f>UPPER(SUBSTITUTE(TRIM(E126)," ",""))</f>
        <v/>
      </c>
      <c r="AP126" s="29">
        <f>IF(D126&lt;&gt;"",D126,IFERROR(VLOOKUP(MID(AG126,4,1),Lists!$E$2:$F$8,2,FALSE),""))</f>
        <v/>
      </c>
      <c r="AQ126" s="29">
        <f>IFERROR(VLOOKUP(AP126,Lists!$A$2:$C$12,3,FALSE),"")</f>
        <v/>
      </c>
      <c r="AR126" s="29">
        <f>COUNTIF(W126:AC126,"Yes")</f>
        <v/>
      </c>
      <c r="AS126" s="29">
        <f>IF(TRIM(B126)="","Legal name missing; ","")&amp;IF(AND(AJ126&lt;&gt;"",AJ126&lt;&gt;"OK"),"GSTIN: "&amp;AJ126&amp;"; ","")&amp;IF(AND(AK126&lt;&gt;"",AK126&lt;&gt;"OK"),"PAN wrong format; ","")&amp;IF(AND(AO126&lt;&gt;"",LEN(AN126)=15,MID(AN126,3,10)&lt;&gt;AO126),"PAN does not match GSTIN; ","")&amp;IF(AND(AL126&lt;&gt;"",AL126&lt;&gt;"OK"),"TAN wrong format; ","")&amp;IF(AG126="","PAN missing; ","")&amp;IF(AP126="","Entity type missing; ","")&amp;IF(AND(AN126&lt;&gt;"",COUNTIF($AN$6:$AN$1005,AN126)&gt;1),"GSTIN repeated in this sheet; ","")&amp;IF(AND(AG126&lt;&gt;"",COUNTIF($AG$6:$AG$1005,AG126)&gt;1),"PAN repeated in this sheet (same client? put extra GSTINs in Other GSTINs); ","")&amp;IF(AND(AR126&gt;0,V126=""),"Financial year missing; ","")&amp;IF(AND(AR126=0,V126&lt;&gt;""),"Financial year given but no service is Yes; ","")&amp;IF(AND(W126="Yes",AN126=""),"GST needs a GSTIN; ","")&amp;IF(AND(W126="Yes",X126=""),"GST return frequency missing; ","")&amp;IF(AND(Y126="Yes",TRIM(H126)=""),"TDS needs a TAN; ","")&amp;IF(AND(AA126="Yes",AQ126&lt;&gt;"",AQ126&lt;&gt;"company",AQ126&lt;&gt;"llp"),"ROC is only for a company / LLP; ","")&amp;IF(AND(AA126="Yes",OR(AQ126="company",AQ126="llp"),TRIM(I126)=""),"ROC needs the CIN / LLPIN; ","")</f>
        <v/>
      </c>
    </row>
    <row r="127">
      <c r="A127" s="30" t="n"/>
      <c r="B127" s="31" t="n"/>
      <c r="C127" s="31" t="n"/>
      <c r="D127" s="31" t="n"/>
      <c r="E127" s="30" t="n"/>
      <c r="F127" s="30" t="n"/>
      <c r="G127" s="30" t="n"/>
      <c r="H127" s="30" t="n"/>
      <c r="I127" s="30" t="n"/>
      <c r="J127" s="32" t="n"/>
      <c r="K127" s="31" t="n"/>
      <c r="L127" s="30" t="n"/>
      <c r="M127" s="31" t="n"/>
      <c r="N127" s="31" t="n"/>
      <c r="O127" s="31" t="n"/>
      <c r="P127" s="30" t="n"/>
      <c r="Q127" s="31" t="n"/>
      <c r="R127" s="31" t="n"/>
      <c r="S127" s="31" t="n"/>
      <c r="T127" s="31" t="n"/>
      <c r="U127" s="30" t="n"/>
      <c r="V127" s="31" t="n"/>
      <c r="W127" s="31" t="n"/>
      <c r="X127" s="31" t="n"/>
      <c r="Y127" s="31" t="n"/>
      <c r="Z127" s="31" t="n"/>
      <c r="AA127" s="31" t="n"/>
      <c r="AB127" s="31" t="n"/>
      <c r="AC127" s="31" t="n"/>
      <c r="AD127" s="31" t="n"/>
      <c r="AE127" s="31" t="n"/>
      <c r="AF127" s="27">
        <f>IF(NOT(COUNTA(A127:AE127)&gt;0),"",IF(A127="","New client","Update"))</f>
        <v/>
      </c>
      <c r="AG127" s="27">
        <f>IF(AO127&lt;&gt;"",AO127,IF(LEN(AN127)=15,MID(AN127,3,10),""))</f>
        <v/>
      </c>
      <c r="AH127" s="27">
        <f>IF(AP127="","",AP127&amp;IF(D127="","  (guessed from PAN)",""))</f>
        <v/>
      </c>
      <c r="AI127" s="27">
        <f>IF(AN127="","",IFERROR(INDEX(Lists!$L$2:$L$38,MATCH(LEFT(AN127,2),Lists!$K$2:$K$38,0)),"Unknown code"))</f>
        <v/>
      </c>
      <c r="AJ127" s="27">
        <f>IF(AN127="","",IFERROR(IF(NOT(AND(LEN(AN127)=15,ISNUMBER(MATCH(LEFT(AN127,2),Lists!$K$2:$K$38,0)),SUMPRODUCT(--ISERROR(FIND(MID(MID(AN127,3,10),{1,2,3,4,5,10},1),"ABCDEFGHIJKLMNOPQRSTUVWXYZ")))=0,SUMPRODUCT(--ISERROR(FIND(MID(MID(AN127,3,10),{6,7,8,9},1),"0123456789")))=0,ISNUMBER(FIND(MID(AN127,13,1),"123456789ABCDEFGHIJKLMNOPQRSTUVWXYZ")),MID(AN127,14,1)="Z")),"Wrong format",IF(MID("0123456789ABCDEFGHIJKLMNOPQRSTUVWXYZ",MOD(36-MOD(SUMPRODUCT(INT((FIND(MID(AN127,{1,2,3,4,5,6,7,8,9,10,11,12,13,14},1),"0123456789ABCDEFGHIJKLMNOPQRSTUVWXYZ")-1)*{1,2,1,2,1,2,1,2,1,2,1,2,1,2}/36)+MOD((FIND(MID(AN127,{1,2,3,4,5,6,7,8,9,10,11,12,13,14},1),"0123456789ABCDEFGHIJKLMNOPQRSTUVWXYZ")-1)*{1,2,1,2,1,2,1,2,1,2,1,2,1,2},36)),36),36)+1,1)=MID(AN127,15,1),"OK","Typo? check digit wrong")),"Wrong format"))</f>
        <v/>
      </c>
      <c r="AK127" s="27">
        <f>IF(AO127="","",IF(AND(LEN(AO127)=10,SUMPRODUCT(--ISERROR(FIND(MID(AO127,{1,2,3,4,5,10},1),"ABCDEFGHIJKLMNOPQRSTUVWXYZ")))=0,SUMPRODUCT(--ISERROR(FIND(MID(AO127,{6,7,8,9},1),"0123456789")))=0),"OK","Wrong format"))</f>
        <v/>
      </c>
      <c r="AL127" s="27">
        <f>IF(TRIM(H127)="","",IF(AND(LEN(UPPER(TRIM(H127)))=10,SUMPRODUCT(--ISERROR(FIND(MID(UPPER(TRIM(H127)),{1,2,3,4,10},1),"ABCDEFGHIJKLMNOPQRSTUVWXYZ")))=0,SUMPRODUCT(--ISERROR(FIND(MID(UPPER(TRIM(H127)),{5,6,7,8,9},1),"0123456789")))=0),"OK","Wrong format"))</f>
        <v/>
      </c>
      <c r="AM127" s="28">
        <f>IF(NOT(COUNTA(A127:AE127)&gt;0),"",IF(AS127&lt;&gt;"","✖ "&amp;LEFT(AS127,LEN(AS127)-2),IF(AR127&gt;0,"✔ Ready — client + "&amp;AR127&amp;" service(s)","✔ Ready — client only")))</f>
        <v/>
      </c>
      <c r="AN127" s="29">
        <f>UPPER(SUBSTITUTE(TRIM(F127)," ",""))</f>
        <v/>
      </c>
      <c r="AO127" s="29">
        <f>UPPER(SUBSTITUTE(TRIM(E127)," ",""))</f>
        <v/>
      </c>
      <c r="AP127" s="29">
        <f>IF(D127&lt;&gt;"",D127,IFERROR(VLOOKUP(MID(AG127,4,1),Lists!$E$2:$F$8,2,FALSE),""))</f>
        <v/>
      </c>
      <c r="AQ127" s="29">
        <f>IFERROR(VLOOKUP(AP127,Lists!$A$2:$C$12,3,FALSE),"")</f>
        <v/>
      </c>
      <c r="AR127" s="29">
        <f>COUNTIF(W127:AC127,"Yes")</f>
        <v/>
      </c>
      <c r="AS127" s="29">
        <f>IF(TRIM(B127)="","Legal name missing; ","")&amp;IF(AND(AJ127&lt;&gt;"",AJ127&lt;&gt;"OK"),"GSTIN: "&amp;AJ127&amp;"; ","")&amp;IF(AND(AK127&lt;&gt;"",AK127&lt;&gt;"OK"),"PAN wrong format; ","")&amp;IF(AND(AO127&lt;&gt;"",LEN(AN127)=15,MID(AN127,3,10)&lt;&gt;AO127),"PAN does not match GSTIN; ","")&amp;IF(AND(AL127&lt;&gt;"",AL127&lt;&gt;"OK"),"TAN wrong format; ","")&amp;IF(AG127="","PAN missing; ","")&amp;IF(AP127="","Entity type missing; ","")&amp;IF(AND(AN127&lt;&gt;"",COUNTIF($AN$6:$AN$1005,AN127)&gt;1),"GSTIN repeated in this sheet; ","")&amp;IF(AND(AG127&lt;&gt;"",COUNTIF($AG$6:$AG$1005,AG127)&gt;1),"PAN repeated in this sheet (same client? put extra GSTINs in Other GSTINs); ","")&amp;IF(AND(AR127&gt;0,V127=""),"Financial year missing; ","")&amp;IF(AND(AR127=0,V127&lt;&gt;""),"Financial year given but no service is Yes; ","")&amp;IF(AND(W127="Yes",AN127=""),"GST needs a GSTIN; ","")&amp;IF(AND(W127="Yes",X127=""),"GST return frequency missing; ","")&amp;IF(AND(Y127="Yes",TRIM(H127)=""),"TDS needs a TAN; ","")&amp;IF(AND(AA127="Yes",AQ127&lt;&gt;"",AQ127&lt;&gt;"company",AQ127&lt;&gt;"llp"),"ROC is only for a company / LLP; ","")&amp;IF(AND(AA127="Yes",OR(AQ127="company",AQ127="llp"),TRIM(I127)=""),"ROC needs the CIN / LLPIN; ","")</f>
        <v/>
      </c>
    </row>
    <row r="128">
      <c r="A128" s="30" t="n"/>
      <c r="B128" s="31" t="n"/>
      <c r="C128" s="31" t="n"/>
      <c r="D128" s="31" t="n"/>
      <c r="E128" s="30" t="n"/>
      <c r="F128" s="30" t="n"/>
      <c r="G128" s="30" t="n"/>
      <c r="H128" s="30" t="n"/>
      <c r="I128" s="30" t="n"/>
      <c r="J128" s="32" t="n"/>
      <c r="K128" s="31" t="n"/>
      <c r="L128" s="30" t="n"/>
      <c r="M128" s="31" t="n"/>
      <c r="N128" s="31" t="n"/>
      <c r="O128" s="31" t="n"/>
      <c r="P128" s="30" t="n"/>
      <c r="Q128" s="31" t="n"/>
      <c r="R128" s="31" t="n"/>
      <c r="S128" s="31" t="n"/>
      <c r="T128" s="31" t="n"/>
      <c r="U128" s="30" t="n"/>
      <c r="V128" s="31" t="n"/>
      <c r="W128" s="31" t="n"/>
      <c r="X128" s="31" t="n"/>
      <c r="Y128" s="31" t="n"/>
      <c r="Z128" s="31" t="n"/>
      <c r="AA128" s="31" t="n"/>
      <c r="AB128" s="31" t="n"/>
      <c r="AC128" s="31" t="n"/>
      <c r="AD128" s="31" t="n"/>
      <c r="AE128" s="31" t="n"/>
      <c r="AF128" s="27">
        <f>IF(NOT(COUNTA(A128:AE128)&gt;0),"",IF(A128="","New client","Update"))</f>
        <v/>
      </c>
      <c r="AG128" s="27">
        <f>IF(AO128&lt;&gt;"",AO128,IF(LEN(AN128)=15,MID(AN128,3,10),""))</f>
        <v/>
      </c>
      <c r="AH128" s="27">
        <f>IF(AP128="","",AP128&amp;IF(D128="","  (guessed from PAN)",""))</f>
        <v/>
      </c>
      <c r="AI128" s="27">
        <f>IF(AN128="","",IFERROR(INDEX(Lists!$L$2:$L$38,MATCH(LEFT(AN128,2),Lists!$K$2:$K$38,0)),"Unknown code"))</f>
        <v/>
      </c>
      <c r="AJ128" s="27">
        <f>IF(AN128="","",IFERROR(IF(NOT(AND(LEN(AN128)=15,ISNUMBER(MATCH(LEFT(AN128,2),Lists!$K$2:$K$38,0)),SUMPRODUCT(--ISERROR(FIND(MID(MID(AN128,3,10),{1,2,3,4,5,10},1),"ABCDEFGHIJKLMNOPQRSTUVWXYZ")))=0,SUMPRODUCT(--ISERROR(FIND(MID(MID(AN128,3,10),{6,7,8,9},1),"0123456789")))=0,ISNUMBER(FIND(MID(AN128,13,1),"123456789ABCDEFGHIJKLMNOPQRSTUVWXYZ")),MID(AN128,14,1)="Z")),"Wrong format",IF(MID("0123456789ABCDEFGHIJKLMNOPQRSTUVWXYZ",MOD(36-MOD(SUMPRODUCT(INT((FIND(MID(AN128,{1,2,3,4,5,6,7,8,9,10,11,12,13,14},1),"0123456789ABCDEFGHIJKLMNOPQRSTUVWXYZ")-1)*{1,2,1,2,1,2,1,2,1,2,1,2,1,2}/36)+MOD((FIND(MID(AN128,{1,2,3,4,5,6,7,8,9,10,11,12,13,14},1),"0123456789ABCDEFGHIJKLMNOPQRSTUVWXYZ")-1)*{1,2,1,2,1,2,1,2,1,2,1,2,1,2},36)),36),36)+1,1)=MID(AN128,15,1),"OK","Typo? check digit wrong")),"Wrong format"))</f>
        <v/>
      </c>
      <c r="AK128" s="27">
        <f>IF(AO128="","",IF(AND(LEN(AO128)=10,SUMPRODUCT(--ISERROR(FIND(MID(AO128,{1,2,3,4,5,10},1),"ABCDEFGHIJKLMNOPQRSTUVWXYZ")))=0,SUMPRODUCT(--ISERROR(FIND(MID(AO128,{6,7,8,9},1),"0123456789")))=0),"OK","Wrong format"))</f>
        <v/>
      </c>
      <c r="AL128" s="27">
        <f>IF(TRIM(H128)="","",IF(AND(LEN(UPPER(TRIM(H128)))=10,SUMPRODUCT(--ISERROR(FIND(MID(UPPER(TRIM(H128)),{1,2,3,4,10},1),"ABCDEFGHIJKLMNOPQRSTUVWXYZ")))=0,SUMPRODUCT(--ISERROR(FIND(MID(UPPER(TRIM(H128)),{5,6,7,8,9},1),"0123456789")))=0),"OK","Wrong format"))</f>
        <v/>
      </c>
      <c r="AM128" s="28">
        <f>IF(NOT(COUNTA(A128:AE128)&gt;0),"",IF(AS128&lt;&gt;"","✖ "&amp;LEFT(AS128,LEN(AS128)-2),IF(AR128&gt;0,"✔ Ready — client + "&amp;AR128&amp;" service(s)","✔ Ready — client only")))</f>
        <v/>
      </c>
      <c r="AN128" s="29">
        <f>UPPER(SUBSTITUTE(TRIM(F128)," ",""))</f>
        <v/>
      </c>
      <c r="AO128" s="29">
        <f>UPPER(SUBSTITUTE(TRIM(E128)," ",""))</f>
        <v/>
      </c>
      <c r="AP128" s="29">
        <f>IF(D128&lt;&gt;"",D128,IFERROR(VLOOKUP(MID(AG128,4,1),Lists!$E$2:$F$8,2,FALSE),""))</f>
        <v/>
      </c>
      <c r="AQ128" s="29">
        <f>IFERROR(VLOOKUP(AP128,Lists!$A$2:$C$12,3,FALSE),"")</f>
        <v/>
      </c>
      <c r="AR128" s="29">
        <f>COUNTIF(W128:AC128,"Yes")</f>
        <v/>
      </c>
      <c r="AS128" s="29">
        <f>IF(TRIM(B128)="","Legal name missing; ","")&amp;IF(AND(AJ128&lt;&gt;"",AJ128&lt;&gt;"OK"),"GSTIN: "&amp;AJ128&amp;"; ","")&amp;IF(AND(AK128&lt;&gt;"",AK128&lt;&gt;"OK"),"PAN wrong format; ","")&amp;IF(AND(AO128&lt;&gt;"",LEN(AN128)=15,MID(AN128,3,10)&lt;&gt;AO128),"PAN does not match GSTIN; ","")&amp;IF(AND(AL128&lt;&gt;"",AL128&lt;&gt;"OK"),"TAN wrong format; ","")&amp;IF(AG128="","PAN missing; ","")&amp;IF(AP128="","Entity type missing; ","")&amp;IF(AND(AN128&lt;&gt;"",COUNTIF($AN$6:$AN$1005,AN128)&gt;1),"GSTIN repeated in this sheet; ","")&amp;IF(AND(AG128&lt;&gt;"",COUNTIF($AG$6:$AG$1005,AG128)&gt;1),"PAN repeated in this sheet (same client? put extra GSTINs in Other GSTINs); ","")&amp;IF(AND(AR128&gt;0,V128=""),"Financial year missing; ","")&amp;IF(AND(AR128=0,V128&lt;&gt;""),"Financial year given but no service is Yes; ","")&amp;IF(AND(W128="Yes",AN128=""),"GST needs a GSTIN; ","")&amp;IF(AND(W128="Yes",X128=""),"GST return frequency missing; ","")&amp;IF(AND(Y128="Yes",TRIM(H128)=""),"TDS needs a TAN; ","")&amp;IF(AND(AA128="Yes",AQ128&lt;&gt;"",AQ128&lt;&gt;"company",AQ128&lt;&gt;"llp"),"ROC is only for a company / LLP; ","")&amp;IF(AND(AA128="Yes",OR(AQ128="company",AQ128="llp"),TRIM(I128)=""),"ROC needs the CIN / LLPIN; ","")</f>
        <v/>
      </c>
    </row>
    <row r="129">
      <c r="A129" s="30" t="n"/>
      <c r="B129" s="31" t="n"/>
      <c r="C129" s="31" t="n"/>
      <c r="D129" s="31" t="n"/>
      <c r="E129" s="30" t="n"/>
      <c r="F129" s="30" t="n"/>
      <c r="G129" s="30" t="n"/>
      <c r="H129" s="30" t="n"/>
      <c r="I129" s="30" t="n"/>
      <c r="J129" s="32" t="n"/>
      <c r="K129" s="31" t="n"/>
      <c r="L129" s="30" t="n"/>
      <c r="M129" s="31" t="n"/>
      <c r="N129" s="31" t="n"/>
      <c r="O129" s="31" t="n"/>
      <c r="P129" s="30" t="n"/>
      <c r="Q129" s="31" t="n"/>
      <c r="R129" s="31" t="n"/>
      <c r="S129" s="31" t="n"/>
      <c r="T129" s="31" t="n"/>
      <c r="U129" s="30" t="n"/>
      <c r="V129" s="31" t="n"/>
      <c r="W129" s="31" t="n"/>
      <c r="X129" s="31" t="n"/>
      <c r="Y129" s="31" t="n"/>
      <c r="Z129" s="31" t="n"/>
      <c r="AA129" s="31" t="n"/>
      <c r="AB129" s="31" t="n"/>
      <c r="AC129" s="31" t="n"/>
      <c r="AD129" s="31" t="n"/>
      <c r="AE129" s="31" t="n"/>
      <c r="AF129" s="27">
        <f>IF(NOT(COUNTA(A129:AE129)&gt;0),"",IF(A129="","New client","Update"))</f>
        <v/>
      </c>
      <c r="AG129" s="27">
        <f>IF(AO129&lt;&gt;"",AO129,IF(LEN(AN129)=15,MID(AN129,3,10),""))</f>
        <v/>
      </c>
      <c r="AH129" s="27">
        <f>IF(AP129="","",AP129&amp;IF(D129="","  (guessed from PAN)",""))</f>
        <v/>
      </c>
      <c r="AI129" s="27">
        <f>IF(AN129="","",IFERROR(INDEX(Lists!$L$2:$L$38,MATCH(LEFT(AN129,2),Lists!$K$2:$K$38,0)),"Unknown code"))</f>
        <v/>
      </c>
      <c r="AJ129" s="27">
        <f>IF(AN129="","",IFERROR(IF(NOT(AND(LEN(AN129)=15,ISNUMBER(MATCH(LEFT(AN129,2),Lists!$K$2:$K$38,0)),SUMPRODUCT(--ISERROR(FIND(MID(MID(AN129,3,10),{1,2,3,4,5,10},1),"ABCDEFGHIJKLMNOPQRSTUVWXYZ")))=0,SUMPRODUCT(--ISERROR(FIND(MID(MID(AN129,3,10),{6,7,8,9},1),"0123456789")))=0,ISNUMBER(FIND(MID(AN129,13,1),"123456789ABCDEFGHIJKLMNOPQRSTUVWXYZ")),MID(AN129,14,1)="Z")),"Wrong format",IF(MID("0123456789ABCDEFGHIJKLMNOPQRSTUVWXYZ",MOD(36-MOD(SUMPRODUCT(INT((FIND(MID(AN129,{1,2,3,4,5,6,7,8,9,10,11,12,13,14},1),"0123456789ABCDEFGHIJKLMNOPQRSTUVWXYZ")-1)*{1,2,1,2,1,2,1,2,1,2,1,2,1,2}/36)+MOD((FIND(MID(AN129,{1,2,3,4,5,6,7,8,9,10,11,12,13,14},1),"0123456789ABCDEFGHIJKLMNOPQRSTUVWXYZ")-1)*{1,2,1,2,1,2,1,2,1,2,1,2,1,2},36)),36),36)+1,1)=MID(AN129,15,1),"OK","Typo? check digit wrong")),"Wrong format"))</f>
        <v/>
      </c>
      <c r="AK129" s="27">
        <f>IF(AO129="","",IF(AND(LEN(AO129)=10,SUMPRODUCT(--ISERROR(FIND(MID(AO129,{1,2,3,4,5,10},1),"ABCDEFGHIJKLMNOPQRSTUVWXYZ")))=0,SUMPRODUCT(--ISERROR(FIND(MID(AO129,{6,7,8,9},1),"0123456789")))=0),"OK","Wrong format"))</f>
        <v/>
      </c>
      <c r="AL129" s="27">
        <f>IF(TRIM(H129)="","",IF(AND(LEN(UPPER(TRIM(H129)))=10,SUMPRODUCT(--ISERROR(FIND(MID(UPPER(TRIM(H129)),{1,2,3,4,10},1),"ABCDEFGHIJKLMNOPQRSTUVWXYZ")))=0,SUMPRODUCT(--ISERROR(FIND(MID(UPPER(TRIM(H129)),{5,6,7,8,9},1),"0123456789")))=0),"OK","Wrong format"))</f>
        <v/>
      </c>
      <c r="AM129" s="28">
        <f>IF(NOT(COUNTA(A129:AE129)&gt;0),"",IF(AS129&lt;&gt;"","✖ "&amp;LEFT(AS129,LEN(AS129)-2),IF(AR129&gt;0,"✔ Ready — client + "&amp;AR129&amp;" service(s)","✔ Ready — client only")))</f>
        <v/>
      </c>
      <c r="AN129" s="29">
        <f>UPPER(SUBSTITUTE(TRIM(F129)," ",""))</f>
        <v/>
      </c>
      <c r="AO129" s="29">
        <f>UPPER(SUBSTITUTE(TRIM(E129)," ",""))</f>
        <v/>
      </c>
      <c r="AP129" s="29">
        <f>IF(D129&lt;&gt;"",D129,IFERROR(VLOOKUP(MID(AG129,4,1),Lists!$E$2:$F$8,2,FALSE),""))</f>
        <v/>
      </c>
      <c r="AQ129" s="29">
        <f>IFERROR(VLOOKUP(AP129,Lists!$A$2:$C$12,3,FALSE),"")</f>
        <v/>
      </c>
      <c r="AR129" s="29">
        <f>COUNTIF(W129:AC129,"Yes")</f>
        <v/>
      </c>
      <c r="AS129" s="29">
        <f>IF(TRIM(B129)="","Legal name missing; ","")&amp;IF(AND(AJ129&lt;&gt;"",AJ129&lt;&gt;"OK"),"GSTIN: "&amp;AJ129&amp;"; ","")&amp;IF(AND(AK129&lt;&gt;"",AK129&lt;&gt;"OK"),"PAN wrong format; ","")&amp;IF(AND(AO129&lt;&gt;"",LEN(AN129)=15,MID(AN129,3,10)&lt;&gt;AO129),"PAN does not match GSTIN; ","")&amp;IF(AND(AL129&lt;&gt;"",AL129&lt;&gt;"OK"),"TAN wrong format; ","")&amp;IF(AG129="","PAN missing; ","")&amp;IF(AP129="","Entity type missing; ","")&amp;IF(AND(AN129&lt;&gt;"",COUNTIF($AN$6:$AN$1005,AN129)&gt;1),"GSTIN repeated in this sheet; ","")&amp;IF(AND(AG129&lt;&gt;"",COUNTIF($AG$6:$AG$1005,AG129)&gt;1),"PAN repeated in this sheet (same client? put extra GSTINs in Other GSTINs); ","")&amp;IF(AND(AR129&gt;0,V129=""),"Financial year missing; ","")&amp;IF(AND(AR129=0,V129&lt;&gt;""),"Financial year given but no service is Yes; ","")&amp;IF(AND(W129="Yes",AN129=""),"GST needs a GSTIN; ","")&amp;IF(AND(W129="Yes",X129=""),"GST return frequency missing; ","")&amp;IF(AND(Y129="Yes",TRIM(H129)=""),"TDS needs a TAN; ","")&amp;IF(AND(AA129="Yes",AQ129&lt;&gt;"",AQ129&lt;&gt;"company",AQ129&lt;&gt;"llp"),"ROC is only for a company / LLP; ","")&amp;IF(AND(AA129="Yes",OR(AQ129="company",AQ129="llp"),TRIM(I129)=""),"ROC needs the CIN / LLPIN; ","")</f>
        <v/>
      </c>
    </row>
    <row r="130">
      <c r="A130" s="30" t="n"/>
      <c r="B130" s="31" t="n"/>
      <c r="C130" s="31" t="n"/>
      <c r="D130" s="31" t="n"/>
      <c r="E130" s="30" t="n"/>
      <c r="F130" s="30" t="n"/>
      <c r="G130" s="30" t="n"/>
      <c r="H130" s="30" t="n"/>
      <c r="I130" s="30" t="n"/>
      <c r="J130" s="32" t="n"/>
      <c r="K130" s="31" t="n"/>
      <c r="L130" s="30" t="n"/>
      <c r="M130" s="31" t="n"/>
      <c r="N130" s="31" t="n"/>
      <c r="O130" s="31" t="n"/>
      <c r="P130" s="30" t="n"/>
      <c r="Q130" s="31" t="n"/>
      <c r="R130" s="31" t="n"/>
      <c r="S130" s="31" t="n"/>
      <c r="T130" s="31" t="n"/>
      <c r="U130" s="30" t="n"/>
      <c r="V130" s="31" t="n"/>
      <c r="W130" s="31" t="n"/>
      <c r="X130" s="31" t="n"/>
      <c r="Y130" s="31" t="n"/>
      <c r="Z130" s="31" t="n"/>
      <c r="AA130" s="31" t="n"/>
      <c r="AB130" s="31" t="n"/>
      <c r="AC130" s="31" t="n"/>
      <c r="AD130" s="31" t="n"/>
      <c r="AE130" s="31" t="n"/>
      <c r="AF130" s="27">
        <f>IF(NOT(COUNTA(A130:AE130)&gt;0),"",IF(A130="","New client","Update"))</f>
        <v/>
      </c>
      <c r="AG130" s="27">
        <f>IF(AO130&lt;&gt;"",AO130,IF(LEN(AN130)=15,MID(AN130,3,10),""))</f>
        <v/>
      </c>
      <c r="AH130" s="27">
        <f>IF(AP130="","",AP130&amp;IF(D130="","  (guessed from PAN)",""))</f>
        <v/>
      </c>
      <c r="AI130" s="27">
        <f>IF(AN130="","",IFERROR(INDEX(Lists!$L$2:$L$38,MATCH(LEFT(AN130,2),Lists!$K$2:$K$38,0)),"Unknown code"))</f>
        <v/>
      </c>
      <c r="AJ130" s="27">
        <f>IF(AN130="","",IFERROR(IF(NOT(AND(LEN(AN130)=15,ISNUMBER(MATCH(LEFT(AN130,2),Lists!$K$2:$K$38,0)),SUMPRODUCT(--ISERROR(FIND(MID(MID(AN130,3,10),{1,2,3,4,5,10},1),"ABCDEFGHIJKLMNOPQRSTUVWXYZ")))=0,SUMPRODUCT(--ISERROR(FIND(MID(MID(AN130,3,10),{6,7,8,9},1),"0123456789")))=0,ISNUMBER(FIND(MID(AN130,13,1),"123456789ABCDEFGHIJKLMNOPQRSTUVWXYZ")),MID(AN130,14,1)="Z")),"Wrong format",IF(MID("0123456789ABCDEFGHIJKLMNOPQRSTUVWXYZ",MOD(36-MOD(SUMPRODUCT(INT((FIND(MID(AN130,{1,2,3,4,5,6,7,8,9,10,11,12,13,14},1),"0123456789ABCDEFGHIJKLMNOPQRSTUVWXYZ")-1)*{1,2,1,2,1,2,1,2,1,2,1,2,1,2}/36)+MOD((FIND(MID(AN130,{1,2,3,4,5,6,7,8,9,10,11,12,13,14},1),"0123456789ABCDEFGHIJKLMNOPQRSTUVWXYZ")-1)*{1,2,1,2,1,2,1,2,1,2,1,2,1,2},36)),36),36)+1,1)=MID(AN130,15,1),"OK","Typo? check digit wrong")),"Wrong format"))</f>
        <v/>
      </c>
      <c r="AK130" s="27">
        <f>IF(AO130="","",IF(AND(LEN(AO130)=10,SUMPRODUCT(--ISERROR(FIND(MID(AO130,{1,2,3,4,5,10},1),"ABCDEFGHIJKLMNOPQRSTUVWXYZ")))=0,SUMPRODUCT(--ISERROR(FIND(MID(AO130,{6,7,8,9},1),"0123456789")))=0),"OK","Wrong format"))</f>
        <v/>
      </c>
      <c r="AL130" s="27">
        <f>IF(TRIM(H130)="","",IF(AND(LEN(UPPER(TRIM(H130)))=10,SUMPRODUCT(--ISERROR(FIND(MID(UPPER(TRIM(H130)),{1,2,3,4,10},1),"ABCDEFGHIJKLMNOPQRSTUVWXYZ")))=0,SUMPRODUCT(--ISERROR(FIND(MID(UPPER(TRIM(H130)),{5,6,7,8,9},1),"0123456789")))=0),"OK","Wrong format"))</f>
        <v/>
      </c>
      <c r="AM130" s="28">
        <f>IF(NOT(COUNTA(A130:AE130)&gt;0),"",IF(AS130&lt;&gt;"","✖ "&amp;LEFT(AS130,LEN(AS130)-2),IF(AR130&gt;0,"✔ Ready — client + "&amp;AR130&amp;" service(s)","✔ Ready — client only")))</f>
        <v/>
      </c>
      <c r="AN130" s="29">
        <f>UPPER(SUBSTITUTE(TRIM(F130)," ",""))</f>
        <v/>
      </c>
      <c r="AO130" s="29">
        <f>UPPER(SUBSTITUTE(TRIM(E130)," ",""))</f>
        <v/>
      </c>
      <c r="AP130" s="29">
        <f>IF(D130&lt;&gt;"",D130,IFERROR(VLOOKUP(MID(AG130,4,1),Lists!$E$2:$F$8,2,FALSE),""))</f>
        <v/>
      </c>
      <c r="AQ130" s="29">
        <f>IFERROR(VLOOKUP(AP130,Lists!$A$2:$C$12,3,FALSE),"")</f>
        <v/>
      </c>
      <c r="AR130" s="29">
        <f>COUNTIF(W130:AC130,"Yes")</f>
        <v/>
      </c>
      <c r="AS130" s="29">
        <f>IF(TRIM(B130)="","Legal name missing; ","")&amp;IF(AND(AJ130&lt;&gt;"",AJ130&lt;&gt;"OK"),"GSTIN: "&amp;AJ130&amp;"; ","")&amp;IF(AND(AK130&lt;&gt;"",AK130&lt;&gt;"OK"),"PAN wrong format; ","")&amp;IF(AND(AO130&lt;&gt;"",LEN(AN130)=15,MID(AN130,3,10)&lt;&gt;AO130),"PAN does not match GSTIN; ","")&amp;IF(AND(AL130&lt;&gt;"",AL130&lt;&gt;"OK"),"TAN wrong format; ","")&amp;IF(AG130="","PAN missing; ","")&amp;IF(AP130="","Entity type missing; ","")&amp;IF(AND(AN130&lt;&gt;"",COUNTIF($AN$6:$AN$1005,AN130)&gt;1),"GSTIN repeated in this sheet; ","")&amp;IF(AND(AG130&lt;&gt;"",COUNTIF($AG$6:$AG$1005,AG130)&gt;1),"PAN repeated in this sheet (same client? put extra GSTINs in Other GSTINs); ","")&amp;IF(AND(AR130&gt;0,V130=""),"Financial year missing; ","")&amp;IF(AND(AR130=0,V130&lt;&gt;""),"Financial year given but no service is Yes; ","")&amp;IF(AND(W130="Yes",AN130=""),"GST needs a GSTIN; ","")&amp;IF(AND(W130="Yes",X130=""),"GST return frequency missing; ","")&amp;IF(AND(Y130="Yes",TRIM(H130)=""),"TDS needs a TAN; ","")&amp;IF(AND(AA130="Yes",AQ130&lt;&gt;"",AQ130&lt;&gt;"company",AQ130&lt;&gt;"llp"),"ROC is only for a company / LLP; ","")&amp;IF(AND(AA130="Yes",OR(AQ130="company",AQ130="llp"),TRIM(I130)=""),"ROC needs the CIN / LLPIN; ","")</f>
        <v/>
      </c>
    </row>
    <row r="131">
      <c r="A131" s="30" t="n"/>
      <c r="B131" s="31" t="n"/>
      <c r="C131" s="31" t="n"/>
      <c r="D131" s="31" t="n"/>
      <c r="E131" s="30" t="n"/>
      <c r="F131" s="30" t="n"/>
      <c r="G131" s="30" t="n"/>
      <c r="H131" s="30" t="n"/>
      <c r="I131" s="30" t="n"/>
      <c r="J131" s="32" t="n"/>
      <c r="K131" s="31" t="n"/>
      <c r="L131" s="30" t="n"/>
      <c r="M131" s="31" t="n"/>
      <c r="N131" s="31" t="n"/>
      <c r="O131" s="31" t="n"/>
      <c r="P131" s="30" t="n"/>
      <c r="Q131" s="31" t="n"/>
      <c r="R131" s="31" t="n"/>
      <c r="S131" s="31" t="n"/>
      <c r="T131" s="31" t="n"/>
      <c r="U131" s="30" t="n"/>
      <c r="V131" s="31" t="n"/>
      <c r="W131" s="31" t="n"/>
      <c r="X131" s="31" t="n"/>
      <c r="Y131" s="31" t="n"/>
      <c r="Z131" s="31" t="n"/>
      <c r="AA131" s="31" t="n"/>
      <c r="AB131" s="31" t="n"/>
      <c r="AC131" s="31" t="n"/>
      <c r="AD131" s="31" t="n"/>
      <c r="AE131" s="31" t="n"/>
      <c r="AF131" s="27">
        <f>IF(NOT(COUNTA(A131:AE131)&gt;0),"",IF(A131="","New client","Update"))</f>
        <v/>
      </c>
      <c r="AG131" s="27">
        <f>IF(AO131&lt;&gt;"",AO131,IF(LEN(AN131)=15,MID(AN131,3,10),""))</f>
        <v/>
      </c>
      <c r="AH131" s="27">
        <f>IF(AP131="","",AP131&amp;IF(D131="","  (guessed from PAN)",""))</f>
        <v/>
      </c>
      <c r="AI131" s="27">
        <f>IF(AN131="","",IFERROR(INDEX(Lists!$L$2:$L$38,MATCH(LEFT(AN131,2),Lists!$K$2:$K$38,0)),"Unknown code"))</f>
        <v/>
      </c>
      <c r="AJ131" s="27">
        <f>IF(AN131="","",IFERROR(IF(NOT(AND(LEN(AN131)=15,ISNUMBER(MATCH(LEFT(AN131,2),Lists!$K$2:$K$38,0)),SUMPRODUCT(--ISERROR(FIND(MID(MID(AN131,3,10),{1,2,3,4,5,10},1),"ABCDEFGHIJKLMNOPQRSTUVWXYZ")))=0,SUMPRODUCT(--ISERROR(FIND(MID(MID(AN131,3,10),{6,7,8,9},1),"0123456789")))=0,ISNUMBER(FIND(MID(AN131,13,1),"123456789ABCDEFGHIJKLMNOPQRSTUVWXYZ")),MID(AN131,14,1)="Z")),"Wrong format",IF(MID("0123456789ABCDEFGHIJKLMNOPQRSTUVWXYZ",MOD(36-MOD(SUMPRODUCT(INT((FIND(MID(AN131,{1,2,3,4,5,6,7,8,9,10,11,12,13,14},1),"0123456789ABCDEFGHIJKLMNOPQRSTUVWXYZ")-1)*{1,2,1,2,1,2,1,2,1,2,1,2,1,2}/36)+MOD((FIND(MID(AN131,{1,2,3,4,5,6,7,8,9,10,11,12,13,14},1),"0123456789ABCDEFGHIJKLMNOPQRSTUVWXYZ")-1)*{1,2,1,2,1,2,1,2,1,2,1,2,1,2},36)),36),36)+1,1)=MID(AN131,15,1),"OK","Typo? check digit wrong")),"Wrong format"))</f>
        <v/>
      </c>
      <c r="AK131" s="27">
        <f>IF(AO131="","",IF(AND(LEN(AO131)=10,SUMPRODUCT(--ISERROR(FIND(MID(AO131,{1,2,3,4,5,10},1),"ABCDEFGHIJKLMNOPQRSTUVWXYZ")))=0,SUMPRODUCT(--ISERROR(FIND(MID(AO131,{6,7,8,9},1),"0123456789")))=0),"OK","Wrong format"))</f>
        <v/>
      </c>
      <c r="AL131" s="27">
        <f>IF(TRIM(H131)="","",IF(AND(LEN(UPPER(TRIM(H131)))=10,SUMPRODUCT(--ISERROR(FIND(MID(UPPER(TRIM(H131)),{1,2,3,4,10},1),"ABCDEFGHIJKLMNOPQRSTUVWXYZ")))=0,SUMPRODUCT(--ISERROR(FIND(MID(UPPER(TRIM(H131)),{5,6,7,8,9},1),"0123456789")))=0),"OK","Wrong format"))</f>
        <v/>
      </c>
      <c r="AM131" s="28">
        <f>IF(NOT(COUNTA(A131:AE131)&gt;0),"",IF(AS131&lt;&gt;"","✖ "&amp;LEFT(AS131,LEN(AS131)-2),IF(AR131&gt;0,"✔ Ready — client + "&amp;AR131&amp;" service(s)","✔ Ready — client only")))</f>
        <v/>
      </c>
      <c r="AN131" s="29">
        <f>UPPER(SUBSTITUTE(TRIM(F131)," ",""))</f>
        <v/>
      </c>
      <c r="AO131" s="29">
        <f>UPPER(SUBSTITUTE(TRIM(E131)," ",""))</f>
        <v/>
      </c>
      <c r="AP131" s="29">
        <f>IF(D131&lt;&gt;"",D131,IFERROR(VLOOKUP(MID(AG131,4,1),Lists!$E$2:$F$8,2,FALSE),""))</f>
        <v/>
      </c>
      <c r="AQ131" s="29">
        <f>IFERROR(VLOOKUP(AP131,Lists!$A$2:$C$12,3,FALSE),"")</f>
        <v/>
      </c>
      <c r="AR131" s="29">
        <f>COUNTIF(W131:AC131,"Yes")</f>
        <v/>
      </c>
      <c r="AS131" s="29">
        <f>IF(TRIM(B131)="","Legal name missing; ","")&amp;IF(AND(AJ131&lt;&gt;"",AJ131&lt;&gt;"OK"),"GSTIN: "&amp;AJ131&amp;"; ","")&amp;IF(AND(AK131&lt;&gt;"",AK131&lt;&gt;"OK"),"PAN wrong format; ","")&amp;IF(AND(AO131&lt;&gt;"",LEN(AN131)=15,MID(AN131,3,10)&lt;&gt;AO131),"PAN does not match GSTIN; ","")&amp;IF(AND(AL131&lt;&gt;"",AL131&lt;&gt;"OK"),"TAN wrong format; ","")&amp;IF(AG131="","PAN missing; ","")&amp;IF(AP131="","Entity type missing; ","")&amp;IF(AND(AN131&lt;&gt;"",COUNTIF($AN$6:$AN$1005,AN131)&gt;1),"GSTIN repeated in this sheet; ","")&amp;IF(AND(AG131&lt;&gt;"",COUNTIF($AG$6:$AG$1005,AG131)&gt;1),"PAN repeated in this sheet (same client? put extra GSTINs in Other GSTINs); ","")&amp;IF(AND(AR131&gt;0,V131=""),"Financial year missing; ","")&amp;IF(AND(AR131=0,V131&lt;&gt;""),"Financial year given but no service is Yes; ","")&amp;IF(AND(W131="Yes",AN131=""),"GST needs a GSTIN; ","")&amp;IF(AND(W131="Yes",X131=""),"GST return frequency missing; ","")&amp;IF(AND(Y131="Yes",TRIM(H131)=""),"TDS needs a TAN; ","")&amp;IF(AND(AA131="Yes",AQ131&lt;&gt;"",AQ131&lt;&gt;"company",AQ131&lt;&gt;"llp"),"ROC is only for a company / LLP; ","")&amp;IF(AND(AA131="Yes",OR(AQ131="company",AQ131="llp"),TRIM(I131)=""),"ROC needs the CIN / LLPIN; ","")</f>
        <v/>
      </c>
    </row>
    <row r="132">
      <c r="A132" s="30" t="n"/>
      <c r="B132" s="31" t="n"/>
      <c r="C132" s="31" t="n"/>
      <c r="D132" s="31" t="n"/>
      <c r="E132" s="30" t="n"/>
      <c r="F132" s="30" t="n"/>
      <c r="G132" s="30" t="n"/>
      <c r="H132" s="30" t="n"/>
      <c r="I132" s="30" t="n"/>
      <c r="J132" s="32" t="n"/>
      <c r="K132" s="31" t="n"/>
      <c r="L132" s="30" t="n"/>
      <c r="M132" s="31" t="n"/>
      <c r="N132" s="31" t="n"/>
      <c r="O132" s="31" t="n"/>
      <c r="P132" s="30" t="n"/>
      <c r="Q132" s="31" t="n"/>
      <c r="R132" s="31" t="n"/>
      <c r="S132" s="31" t="n"/>
      <c r="T132" s="31" t="n"/>
      <c r="U132" s="30" t="n"/>
      <c r="V132" s="31" t="n"/>
      <c r="W132" s="31" t="n"/>
      <c r="X132" s="31" t="n"/>
      <c r="Y132" s="31" t="n"/>
      <c r="Z132" s="31" t="n"/>
      <c r="AA132" s="31" t="n"/>
      <c r="AB132" s="31" t="n"/>
      <c r="AC132" s="31" t="n"/>
      <c r="AD132" s="31" t="n"/>
      <c r="AE132" s="31" t="n"/>
      <c r="AF132" s="27">
        <f>IF(NOT(COUNTA(A132:AE132)&gt;0),"",IF(A132="","New client","Update"))</f>
        <v/>
      </c>
      <c r="AG132" s="27">
        <f>IF(AO132&lt;&gt;"",AO132,IF(LEN(AN132)=15,MID(AN132,3,10),""))</f>
        <v/>
      </c>
      <c r="AH132" s="27">
        <f>IF(AP132="","",AP132&amp;IF(D132="","  (guessed from PAN)",""))</f>
        <v/>
      </c>
      <c r="AI132" s="27">
        <f>IF(AN132="","",IFERROR(INDEX(Lists!$L$2:$L$38,MATCH(LEFT(AN132,2),Lists!$K$2:$K$38,0)),"Unknown code"))</f>
        <v/>
      </c>
      <c r="AJ132" s="27">
        <f>IF(AN132="","",IFERROR(IF(NOT(AND(LEN(AN132)=15,ISNUMBER(MATCH(LEFT(AN132,2),Lists!$K$2:$K$38,0)),SUMPRODUCT(--ISERROR(FIND(MID(MID(AN132,3,10),{1,2,3,4,5,10},1),"ABCDEFGHIJKLMNOPQRSTUVWXYZ")))=0,SUMPRODUCT(--ISERROR(FIND(MID(MID(AN132,3,10),{6,7,8,9},1),"0123456789")))=0,ISNUMBER(FIND(MID(AN132,13,1),"123456789ABCDEFGHIJKLMNOPQRSTUVWXYZ")),MID(AN132,14,1)="Z")),"Wrong format",IF(MID("0123456789ABCDEFGHIJKLMNOPQRSTUVWXYZ",MOD(36-MOD(SUMPRODUCT(INT((FIND(MID(AN132,{1,2,3,4,5,6,7,8,9,10,11,12,13,14},1),"0123456789ABCDEFGHIJKLMNOPQRSTUVWXYZ")-1)*{1,2,1,2,1,2,1,2,1,2,1,2,1,2}/36)+MOD((FIND(MID(AN132,{1,2,3,4,5,6,7,8,9,10,11,12,13,14},1),"0123456789ABCDEFGHIJKLMNOPQRSTUVWXYZ")-1)*{1,2,1,2,1,2,1,2,1,2,1,2,1,2},36)),36),36)+1,1)=MID(AN132,15,1),"OK","Typo? check digit wrong")),"Wrong format"))</f>
        <v/>
      </c>
      <c r="AK132" s="27">
        <f>IF(AO132="","",IF(AND(LEN(AO132)=10,SUMPRODUCT(--ISERROR(FIND(MID(AO132,{1,2,3,4,5,10},1),"ABCDEFGHIJKLMNOPQRSTUVWXYZ")))=0,SUMPRODUCT(--ISERROR(FIND(MID(AO132,{6,7,8,9},1),"0123456789")))=0),"OK","Wrong format"))</f>
        <v/>
      </c>
      <c r="AL132" s="27">
        <f>IF(TRIM(H132)="","",IF(AND(LEN(UPPER(TRIM(H132)))=10,SUMPRODUCT(--ISERROR(FIND(MID(UPPER(TRIM(H132)),{1,2,3,4,10},1),"ABCDEFGHIJKLMNOPQRSTUVWXYZ")))=0,SUMPRODUCT(--ISERROR(FIND(MID(UPPER(TRIM(H132)),{5,6,7,8,9},1),"0123456789")))=0),"OK","Wrong format"))</f>
        <v/>
      </c>
      <c r="AM132" s="28">
        <f>IF(NOT(COUNTA(A132:AE132)&gt;0),"",IF(AS132&lt;&gt;"","✖ "&amp;LEFT(AS132,LEN(AS132)-2),IF(AR132&gt;0,"✔ Ready — client + "&amp;AR132&amp;" service(s)","✔ Ready — client only")))</f>
        <v/>
      </c>
      <c r="AN132" s="29">
        <f>UPPER(SUBSTITUTE(TRIM(F132)," ",""))</f>
        <v/>
      </c>
      <c r="AO132" s="29">
        <f>UPPER(SUBSTITUTE(TRIM(E132)," ",""))</f>
        <v/>
      </c>
      <c r="AP132" s="29">
        <f>IF(D132&lt;&gt;"",D132,IFERROR(VLOOKUP(MID(AG132,4,1),Lists!$E$2:$F$8,2,FALSE),""))</f>
        <v/>
      </c>
      <c r="AQ132" s="29">
        <f>IFERROR(VLOOKUP(AP132,Lists!$A$2:$C$12,3,FALSE),"")</f>
        <v/>
      </c>
      <c r="AR132" s="29">
        <f>COUNTIF(W132:AC132,"Yes")</f>
        <v/>
      </c>
      <c r="AS132" s="29">
        <f>IF(TRIM(B132)="","Legal name missing; ","")&amp;IF(AND(AJ132&lt;&gt;"",AJ132&lt;&gt;"OK"),"GSTIN: "&amp;AJ132&amp;"; ","")&amp;IF(AND(AK132&lt;&gt;"",AK132&lt;&gt;"OK"),"PAN wrong format; ","")&amp;IF(AND(AO132&lt;&gt;"",LEN(AN132)=15,MID(AN132,3,10)&lt;&gt;AO132),"PAN does not match GSTIN; ","")&amp;IF(AND(AL132&lt;&gt;"",AL132&lt;&gt;"OK"),"TAN wrong format; ","")&amp;IF(AG132="","PAN missing; ","")&amp;IF(AP132="","Entity type missing; ","")&amp;IF(AND(AN132&lt;&gt;"",COUNTIF($AN$6:$AN$1005,AN132)&gt;1),"GSTIN repeated in this sheet; ","")&amp;IF(AND(AG132&lt;&gt;"",COUNTIF($AG$6:$AG$1005,AG132)&gt;1),"PAN repeated in this sheet (same client? put extra GSTINs in Other GSTINs); ","")&amp;IF(AND(AR132&gt;0,V132=""),"Financial year missing; ","")&amp;IF(AND(AR132=0,V132&lt;&gt;""),"Financial year given but no service is Yes; ","")&amp;IF(AND(W132="Yes",AN132=""),"GST needs a GSTIN; ","")&amp;IF(AND(W132="Yes",X132=""),"GST return frequency missing; ","")&amp;IF(AND(Y132="Yes",TRIM(H132)=""),"TDS needs a TAN; ","")&amp;IF(AND(AA132="Yes",AQ132&lt;&gt;"",AQ132&lt;&gt;"company",AQ132&lt;&gt;"llp"),"ROC is only for a company / LLP; ","")&amp;IF(AND(AA132="Yes",OR(AQ132="company",AQ132="llp"),TRIM(I132)=""),"ROC needs the CIN / LLPIN; ","")</f>
        <v/>
      </c>
    </row>
    <row r="133">
      <c r="A133" s="30" t="n"/>
      <c r="B133" s="31" t="n"/>
      <c r="C133" s="31" t="n"/>
      <c r="D133" s="31" t="n"/>
      <c r="E133" s="30" t="n"/>
      <c r="F133" s="30" t="n"/>
      <c r="G133" s="30" t="n"/>
      <c r="H133" s="30" t="n"/>
      <c r="I133" s="30" t="n"/>
      <c r="J133" s="32" t="n"/>
      <c r="K133" s="31" t="n"/>
      <c r="L133" s="30" t="n"/>
      <c r="M133" s="31" t="n"/>
      <c r="N133" s="31" t="n"/>
      <c r="O133" s="31" t="n"/>
      <c r="P133" s="30" t="n"/>
      <c r="Q133" s="31" t="n"/>
      <c r="R133" s="31" t="n"/>
      <c r="S133" s="31" t="n"/>
      <c r="T133" s="31" t="n"/>
      <c r="U133" s="30" t="n"/>
      <c r="V133" s="31" t="n"/>
      <c r="W133" s="31" t="n"/>
      <c r="X133" s="31" t="n"/>
      <c r="Y133" s="31" t="n"/>
      <c r="Z133" s="31" t="n"/>
      <c r="AA133" s="31" t="n"/>
      <c r="AB133" s="31" t="n"/>
      <c r="AC133" s="31" t="n"/>
      <c r="AD133" s="31" t="n"/>
      <c r="AE133" s="31" t="n"/>
      <c r="AF133" s="27">
        <f>IF(NOT(COUNTA(A133:AE133)&gt;0),"",IF(A133="","New client","Update"))</f>
        <v/>
      </c>
      <c r="AG133" s="27">
        <f>IF(AO133&lt;&gt;"",AO133,IF(LEN(AN133)=15,MID(AN133,3,10),""))</f>
        <v/>
      </c>
      <c r="AH133" s="27">
        <f>IF(AP133="","",AP133&amp;IF(D133="","  (guessed from PAN)",""))</f>
        <v/>
      </c>
      <c r="AI133" s="27">
        <f>IF(AN133="","",IFERROR(INDEX(Lists!$L$2:$L$38,MATCH(LEFT(AN133,2),Lists!$K$2:$K$38,0)),"Unknown code"))</f>
        <v/>
      </c>
      <c r="AJ133" s="27">
        <f>IF(AN133="","",IFERROR(IF(NOT(AND(LEN(AN133)=15,ISNUMBER(MATCH(LEFT(AN133,2),Lists!$K$2:$K$38,0)),SUMPRODUCT(--ISERROR(FIND(MID(MID(AN133,3,10),{1,2,3,4,5,10},1),"ABCDEFGHIJKLMNOPQRSTUVWXYZ")))=0,SUMPRODUCT(--ISERROR(FIND(MID(MID(AN133,3,10),{6,7,8,9},1),"0123456789")))=0,ISNUMBER(FIND(MID(AN133,13,1),"123456789ABCDEFGHIJKLMNOPQRSTUVWXYZ")),MID(AN133,14,1)="Z")),"Wrong format",IF(MID("0123456789ABCDEFGHIJKLMNOPQRSTUVWXYZ",MOD(36-MOD(SUMPRODUCT(INT((FIND(MID(AN133,{1,2,3,4,5,6,7,8,9,10,11,12,13,14},1),"0123456789ABCDEFGHIJKLMNOPQRSTUVWXYZ")-1)*{1,2,1,2,1,2,1,2,1,2,1,2,1,2}/36)+MOD((FIND(MID(AN133,{1,2,3,4,5,6,7,8,9,10,11,12,13,14},1),"0123456789ABCDEFGHIJKLMNOPQRSTUVWXYZ")-1)*{1,2,1,2,1,2,1,2,1,2,1,2,1,2},36)),36),36)+1,1)=MID(AN133,15,1),"OK","Typo? check digit wrong")),"Wrong format"))</f>
        <v/>
      </c>
      <c r="AK133" s="27">
        <f>IF(AO133="","",IF(AND(LEN(AO133)=10,SUMPRODUCT(--ISERROR(FIND(MID(AO133,{1,2,3,4,5,10},1),"ABCDEFGHIJKLMNOPQRSTUVWXYZ")))=0,SUMPRODUCT(--ISERROR(FIND(MID(AO133,{6,7,8,9},1),"0123456789")))=0),"OK","Wrong format"))</f>
        <v/>
      </c>
      <c r="AL133" s="27">
        <f>IF(TRIM(H133)="","",IF(AND(LEN(UPPER(TRIM(H133)))=10,SUMPRODUCT(--ISERROR(FIND(MID(UPPER(TRIM(H133)),{1,2,3,4,10},1),"ABCDEFGHIJKLMNOPQRSTUVWXYZ")))=0,SUMPRODUCT(--ISERROR(FIND(MID(UPPER(TRIM(H133)),{5,6,7,8,9},1),"0123456789")))=0),"OK","Wrong format"))</f>
        <v/>
      </c>
      <c r="AM133" s="28">
        <f>IF(NOT(COUNTA(A133:AE133)&gt;0),"",IF(AS133&lt;&gt;"","✖ "&amp;LEFT(AS133,LEN(AS133)-2),IF(AR133&gt;0,"✔ Ready — client + "&amp;AR133&amp;" service(s)","✔ Ready — client only")))</f>
        <v/>
      </c>
      <c r="AN133" s="29">
        <f>UPPER(SUBSTITUTE(TRIM(F133)," ",""))</f>
        <v/>
      </c>
      <c r="AO133" s="29">
        <f>UPPER(SUBSTITUTE(TRIM(E133)," ",""))</f>
        <v/>
      </c>
      <c r="AP133" s="29">
        <f>IF(D133&lt;&gt;"",D133,IFERROR(VLOOKUP(MID(AG133,4,1),Lists!$E$2:$F$8,2,FALSE),""))</f>
        <v/>
      </c>
      <c r="AQ133" s="29">
        <f>IFERROR(VLOOKUP(AP133,Lists!$A$2:$C$12,3,FALSE),"")</f>
        <v/>
      </c>
      <c r="AR133" s="29">
        <f>COUNTIF(W133:AC133,"Yes")</f>
        <v/>
      </c>
      <c r="AS133" s="29">
        <f>IF(TRIM(B133)="","Legal name missing; ","")&amp;IF(AND(AJ133&lt;&gt;"",AJ133&lt;&gt;"OK"),"GSTIN: "&amp;AJ133&amp;"; ","")&amp;IF(AND(AK133&lt;&gt;"",AK133&lt;&gt;"OK"),"PAN wrong format; ","")&amp;IF(AND(AO133&lt;&gt;"",LEN(AN133)=15,MID(AN133,3,10)&lt;&gt;AO133),"PAN does not match GSTIN; ","")&amp;IF(AND(AL133&lt;&gt;"",AL133&lt;&gt;"OK"),"TAN wrong format; ","")&amp;IF(AG133="","PAN missing; ","")&amp;IF(AP133="","Entity type missing; ","")&amp;IF(AND(AN133&lt;&gt;"",COUNTIF($AN$6:$AN$1005,AN133)&gt;1),"GSTIN repeated in this sheet; ","")&amp;IF(AND(AG133&lt;&gt;"",COUNTIF($AG$6:$AG$1005,AG133)&gt;1),"PAN repeated in this sheet (same client? put extra GSTINs in Other GSTINs); ","")&amp;IF(AND(AR133&gt;0,V133=""),"Financial year missing; ","")&amp;IF(AND(AR133=0,V133&lt;&gt;""),"Financial year given but no service is Yes; ","")&amp;IF(AND(W133="Yes",AN133=""),"GST needs a GSTIN; ","")&amp;IF(AND(W133="Yes",X133=""),"GST return frequency missing; ","")&amp;IF(AND(Y133="Yes",TRIM(H133)=""),"TDS needs a TAN; ","")&amp;IF(AND(AA133="Yes",AQ133&lt;&gt;"",AQ133&lt;&gt;"company",AQ133&lt;&gt;"llp"),"ROC is only for a company / LLP; ","")&amp;IF(AND(AA133="Yes",OR(AQ133="company",AQ133="llp"),TRIM(I133)=""),"ROC needs the CIN / LLPIN; ","")</f>
        <v/>
      </c>
    </row>
    <row r="134">
      <c r="A134" s="30" t="n"/>
      <c r="B134" s="31" t="n"/>
      <c r="C134" s="31" t="n"/>
      <c r="D134" s="31" t="n"/>
      <c r="E134" s="30" t="n"/>
      <c r="F134" s="30" t="n"/>
      <c r="G134" s="30" t="n"/>
      <c r="H134" s="30" t="n"/>
      <c r="I134" s="30" t="n"/>
      <c r="J134" s="32" t="n"/>
      <c r="K134" s="31" t="n"/>
      <c r="L134" s="30" t="n"/>
      <c r="M134" s="31" t="n"/>
      <c r="N134" s="31" t="n"/>
      <c r="O134" s="31" t="n"/>
      <c r="P134" s="30" t="n"/>
      <c r="Q134" s="31" t="n"/>
      <c r="R134" s="31" t="n"/>
      <c r="S134" s="31" t="n"/>
      <c r="T134" s="31" t="n"/>
      <c r="U134" s="30" t="n"/>
      <c r="V134" s="31" t="n"/>
      <c r="W134" s="31" t="n"/>
      <c r="X134" s="31" t="n"/>
      <c r="Y134" s="31" t="n"/>
      <c r="Z134" s="31" t="n"/>
      <c r="AA134" s="31" t="n"/>
      <c r="AB134" s="31" t="n"/>
      <c r="AC134" s="31" t="n"/>
      <c r="AD134" s="31" t="n"/>
      <c r="AE134" s="31" t="n"/>
      <c r="AF134" s="27">
        <f>IF(NOT(COUNTA(A134:AE134)&gt;0),"",IF(A134="","New client","Update"))</f>
        <v/>
      </c>
      <c r="AG134" s="27">
        <f>IF(AO134&lt;&gt;"",AO134,IF(LEN(AN134)=15,MID(AN134,3,10),""))</f>
        <v/>
      </c>
      <c r="AH134" s="27">
        <f>IF(AP134="","",AP134&amp;IF(D134="","  (guessed from PAN)",""))</f>
        <v/>
      </c>
      <c r="AI134" s="27">
        <f>IF(AN134="","",IFERROR(INDEX(Lists!$L$2:$L$38,MATCH(LEFT(AN134,2),Lists!$K$2:$K$38,0)),"Unknown code"))</f>
        <v/>
      </c>
      <c r="AJ134" s="27">
        <f>IF(AN134="","",IFERROR(IF(NOT(AND(LEN(AN134)=15,ISNUMBER(MATCH(LEFT(AN134,2),Lists!$K$2:$K$38,0)),SUMPRODUCT(--ISERROR(FIND(MID(MID(AN134,3,10),{1,2,3,4,5,10},1),"ABCDEFGHIJKLMNOPQRSTUVWXYZ")))=0,SUMPRODUCT(--ISERROR(FIND(MID(MID(AN134,3,10),{6,7,8,9},1),"0123456789")))=0,ISNUMBER(FIND(MID(AN134,13,1),"123456789ABCDEFGHIJKLMNOPQRSTUVWXYZ")),MID(AN134,14,1)="Z")),"Wrong format",IF(MID("0123456789ABCDEFGHIJKLMNOPQRSTUVWXYZ",MOD(36-MOD(SUMPRODUCT(INT((FIND(MID(AN134,{1,2,3,4,5,6,7,8,9,10,11,12,13,14},1),"0123456789ABCDEFGHIJKLMNOPQRSTUVWXYZ")-1)*{1,2,1,2,1,2,1,2,1,2,1,2,1,2}/36)+MOD((FIND(MID(AN134,{1,2,3,4,5,6,7,8,9,10,11,12,13,14},1),"0123456789ABCDEFGHIJKLMNOPQRSTUVWXYZ")-1)*{1,2,1,2,1,2,1,2,1,2,1,2,1,2},36)),36),36)+1,1)=MID(AN134,15,1),"OK","Typo? check digit wrong")),"Wrong format"))</f>
        <v/>
      </c>
      <c r="AK134" s="27">
        <f>IF(AO134="","",IF(AND(LEN(AO134)=10,SUMPRODUCT(--ISERROR(FIND(MID(AO134,{1,2,3,4,5,10},1),"ABCDEFGHIJKLMNOPQRSTUVWXYZ")))=0,SUMPRODUCT(--ISERROR(FIND(MID(AO134,{6,7,8,9},1),"0123456789")))=0),"OK","Wrong format"))</f>
        <v/>
      </c>
      <c r="AL134" s="27">
        <f>IF(TRIM(H134)="","",IF(AND(LEN(UPPER(TRIM(H134)))=10,SUMPRODUCT(--ISERROR(FIND(MID(UPPER(TRIM(H134)),{1,2,3,4,10},1),"ABCDEFGHIJKLMNOPQRSTUVWXYZ")))=0,SUMPRODUCT(--ISERROR(FIND(MID(UPPER(TRIM(H134)),{5,6,7,8,9},1),"0123456789")))=0),"OK","Wrong format"))</f>
        <v/>
      </c>
      <c r="AM134" s="28">
        <f>IF(NOT(COUNTA(A134:AE134)&gt;0),"",IF(AS134&lt;&gt;"","✖ "&amp;LEFT(AS134,LEN(AS134)-2),IF(AR134&gt;0,"✔ Ready — client + "&amp;AR134&amp;" service(s)","✔ Ready — client only")))</f>
        <v/>
      </c>
      <c r="AN134" s="29">
        <f>UPPER(SUBSTITUTE(TRIM(F134)," ",""))</f>
        <v/>
      </c>
      <c r="AO134" s="29">
        <f>UPPER(SUBSTITUTE(TRIM(E134)," ",""))</f>
        <v/>
      </c>
      <c r="AP134" s="29">
        <f>IF(D134&lt;&gt;"",D134,IFERROR(VLOOKUP(MID(AG134,4,1),Lists!$E$2:$F$8,2,FALSE),""))</f>
        <v/>
      </c>
      <c r="AQ134" s="29">
        <f>IFERROR(VLOOKUP(AP134,Lists!$A$2:$C$12,3,FALSE),"")</f>
        <v/>
      </c>
      <c r="AR134" s="29">
        <f>COUNTIF(W134:AC134,"Yes")</f>
        <v/>
      </c>
      <c r="AS134" s="29">
        <f>IF(TRIM(B134)="","Legal name missing; ","")&amp;IF(AND(AJ134&lt;&gt;"",AJ134&lt;&gt;"OK"),"GSTIN: "&amp;AJ134&amp;"; ","")&amp;IF(AND(AK134&lt;&gt;"",AK134&lt;&gt;"OK"),"PAN wrong format; ","")&amp;IF(AND(AO134&lt;&gt;"",LEN(AN134)=15,MID(AN134,3,10)&lt;&gt;AO134),"PAN does not match GSTIN; ","")&amp;IF(AND(AL134&lt;&gt;"",AL134&lt;&gt;"OK"),"TAN wrong format; ","")&amp;IF(AG134="","PAN missing; ","")&amp;IF(AP134="","Entity type missing; ","")&amp;IF(AND(AN134&lt;&gt;"",COUNTIF($AN$6:$AN$1005,AN134)&gt;1),"GSTIN repeated in this sheet; ","")&amp;IF(AND(AG134&lt;&gt;"",COUNTIF($AG$6:$AG$1005,AG134)&gt;1),"PAN repeated in this sheet (same client? put extra GSTINs in Other GSTINs); ","")&amp;IF(AND(AR134&gt;0,V134=""),"Financial year missing; ","")&amp;IF(AND(AR134=0,V134&lt;&gt;""),"Financial year given but no service is Yes; ","")&amp;IF(AND(W134="Yes",AN134=""),"GST needs a GSTIN; ","")&amp;IF(AND(W134="Yes",X134=""),"GST return frequency missing; ","")&amp;IF(AND(Y134="Yes",TRIM(H134)=""),"TDS needs a TAN; ","")&amp;IF(AND(AA134="Yes",AQ134&lt;&gt;"",AQ134&lt;&gt;"company",AQ134&lt;&gt;"llp"),"ROC is only for a company / LLP; ","")&amp;IF(AND(AA134="Yes",OR(AQ134="company",AQ134="llp"),TRIM(I134)=""),"ROC needs the CIN / LLPIN; ","")</f>
        <v/>
      </c>
    </row>
    <row r="135">
      <c r="A135" s="30" t="n"/>
      <c r="B135" s="31" t="n"/>
      <c r="C135" s="31" t="n"/>
      <c r="D135" s="31" t="n"/>
      <c r="E135" s="30" t="n"/>
      <c r="F135" s="30" t="n"/>
      <c r="G135" s="30" t="n"/>
      <c r="H135" s="30" t="n"/>
      <c r="I135" s="30" t="n"/>
      <c r="J135" s="32" t="n"/>
      <c r="K135" s="31" t="n"/>
      <c r="L135" s="30" t="n"/>
      <c r="M135" s="31" t="n"/>
      <c r="N135" s="31" t="n"/>
      <c r="O135" s="31" t="n"/>
      <c r="P135" s="30" t="n"/>
      <c r="Q135" s="31" t="n"/>
      <c r="R135" s="31" t="n"/>
      <c r="S135" s="31" t="n"/>
      <c r="T135" s="31" t="n"/>
      <c r="U135" s="30" t="n"/>
      <c r="V135" s="31" t="n"/>
      <c r="W135" s="31" t="n"/>
      <c r="X135" s="31" t="n"/>
      <c r="Y135" s="31" t="n"/>
      <c r="Z135" s="31" t="n"/>
      <c r="AA135" s="31" t="n"/>
      <c r="AB135" s="31" t="n"/>
      <c r="AC135" s="31" t="n"/>
      <c r="AD135" s="31" t="n"/>
      <c r="AE135" s="31" t="n"/>
      <c r="AF135" s="27">
        <f>IF(NOT(COUNTA(A135:AE135)&gt;0),"",IF(A135="","New client","Update"))</f>
        <v/>
      </c>
      <c r="AG135" s="27">
        <f>IF(AO135&lt;&gt;"",AO135,IF(LEN(AN135)=15,MID(AN135,3,10),""))</f>
        <v/>
      </c>
      <c r="AH135" s="27">
        <f>IF(AP135="","",AP135&amp;IF(D135="","  (guessed from PAN)",""))</f>
        <v/>
      </c>
      <c r="AI135" s="27">
        <f>IF(AN135="","",IFERROR(INDEX(Lists!$L$2:$L$38,MATCH(LEFT(AN135,2),Lists!$K$2:$K$38,0)),"Unknown code"))</f>
        <v/>
      </c>
      <c r="AJ135" s="27">
        <f>IF(AN135="","",IFERROR(IF(NOT(AND(LEN(AN135)=15,ISNUMBER(MATCH(LEFT(AN135,2),Lists!$K$2:$K$38,0)),SUMPRODUCT(--ISERROR(FIND(MID(MID(AN135,3,10),{1,2,3,4,5,10},1),"ABCDEFGHIJKLMNOPQRSTUVWXYZ")))=0,SUMPRODUCT(--ISERROR(FIND(MID(MID(AN135,3,10),{6,7,8,9},1),"0123456789")))=0,ISNUMBER(FIND(MID(AN135,13,1),"123456789ABCDEFGHIJKLMNOPQRSTUVWXYZ")),MID(AN135,14,1)="Z")),"Wrong format",IF(MID("0123456789ABCDEFGHIJKLMNOPQRSTUVWXYZ",MOD(36-MOD(SUMPRODUCT(INT((FIND(MID(AN135,{1,2,3,4,5,6,7,8,9,10,11,12,13,14},1),"0123456789ABCDEFGHIJKLMNOPQRSTUVWXYZ")-1)*{1,2,1,2,1,2,1,2,1,2,1,2,1,2}/36)+MOD((FIND(MID(AN135,{1,2,3,4,5,6,7,8,9,10,11,12,13,14},1),"0123456789ABCDEFGHIJKLMNOPQRSTUVWXYZ")-1)*{1,2,1,2,1,2,1,2,1,2,1,2,1,2},36)),36),36)+1,1)=MID(AN135,15,1),"OK","Typo? check digit wrong")),"Wrong format"))</f>
        <v/>
      </c>
      <c r="AK135" s="27">
        <f>IF(AO135="","",IF(AND(LEN(AO135)=10,SUMPRODUCT(--ISERROR(FIND(MID(AO135,{1,2,3,4,5,10},1),"ABCDEFGHIJKLMNOPQRSTUVWXYZ")))=0,SUMPRODUCT(--ISERROR(FIND(MID(AO135,{6,7,8,9},1),"0123456789")))=0),"OK","Wrong format"))</f>
        <v/>
      </c>
      <c r="AL135" s="27">
        <f>IF(TRIM(H135)="","",IF(AND(LEN(UPPER(TRIM(H135)))=10,SUMPRODUCT(--ISERROR(FIND(MID(UPPER(TRIM(H135)),{1,2,3,4,10},1),"ABCDEFGHIJKLMNOPQRSTUVWXYZ")))=0,SUMPRODUCT(--ISERROR(FIND(MID(UPPER(TRIM(H135)),{5,6,7,8,9},1),"0123456789")))=0),"OK","Wrong format"))</f>
        <v/>
      </c>
      <c r="AM135" s="28">
        <f>IF(NOT(COUNTA(A135:AE135)&gt;0),"",IF(AS135&lt;&gt;"","✖ "&amp;LEFT(AS135,LEN(AS135)-2),IF(AR135&gt;0,"✔ Ready — client + "&amp;AR135&amp;" service(s)","✔ Ready — client only")))</f>
        <v/>
      </c>
      <c r="AN135" s="29">
        <f>UPPER(SUBSTITUTE(TRIM(F135)," ",""))</f>
        <v/>
      </c>
      <c r="AO135" s="29">
        <f>UPPER(SUBSTITUTE(TRIM(E135)," ",""))</f>
        <v/>
      </c>
      <c r="AP135" s="29">
        <f>IF(D135&lt;&gt;"",D135,IFERROR(VLOOKUP(MID(AG135,4,1),Lists!$E$2:$F$8,2,FALSE),""))</f>
        <v/>
      </c>
      <c r="AQ135" s="29">
        <f>IFERROR(VLOOKUP(AP135,Lists!$A$2:$C$12,3,FALSE),"")</f>
        <v/>
      </c>
      <c r="AR135" s="29">
        <f>COUNTIF(W135:AC135,"Yes")</f>
        <v/>
      </c>
      <c r="AS135" s="29">
        <f>IF(TRIM(B135)="","Legal name missing; ","")&amp;IF(AND(AJ135&lt;&gt;"",AJ135&lt;&gt;"OK"),"GSTIN: "&amp;AJ135&amp;"; ","")&amp;IF(AND(AK135&lt;&gt;"",AK135&lt;&gt;"OK"),"PAN wrong format; ","")&amp;IF(AND(AO135&lt;&gt;"",LEN(AN135)=15,MID(AN135,3,10)&lt;&gt;AO135),"PAN does not match GSTIN; ","")&amp;IF(AND(AL135&lt;&gt;"",AL135&lt;&gt;"OK"),"TAN wrong format; ","")&amp;IF(AG135="","PAN missing; ","")&amp;IF(AP135="","Entity type missing; ","")&amp;IF(AND(AN135&lt;&gt;"",COUNTIF($AN$6:$AN$1005,AN135)&gt;1),"GSTIN repeated in this sheet; ","")&amp;IF(AND(AG135&lt;&gt;"",COUNTIF($AG$6:$AG$1005,AG135)&gt;1),"PAN repeated in this sheet (same client? put extra GSTINs in Other GSTINs); ","")&amp;IF(AND(AR135&gt;0,V135=""),"Financial year missing; ","")&amp;IF(AND(AR135=0,V135&lt;&gt;""),"Financial year given but no service is Yes; ","")&amp;IF(AND(W135="Yes",AN135=""),"GST needs a GSTIN; ","")&amp;IF(AND(W135="Yes",X135=""),"GST return frequency missing; ","")&amp;IF(AND(Y135="Yes",TRIM(H135)=""),"TDS needs a TAN; ","")&amp;IF(AND(AA135="Yes",AQ135&lt;&gt;"",AQ135&lt;&gt;"company",AQ135&lt;&gt;"llp"),"ROC is only for a company / LLP; ","")&amp;IF(AND(AA135="Yes",OR(AQ135="company",AQ135="llp"),TRIM(I135)=""),"ROC needs the CIN / LLPIN; ","")</f>
        <v/>
      </c>
    </row>
    <row r="136">
      <c r="A136" s="30" t="n"/>
      <c r="B136" s="31" t="n"/>
      <c r="C136" s="31" t="n"/>
      <c r="D136" s="31" t="n"/>
      <c r="E136" s="30" t="n"/>
      <c r="F136" s="30" t="n"/>
      <c r="G136" s="30" t="n"/>
      <c r="H136" s="30" t="n"/>
      <c r="I136" s="30" t="n"/>
      <c r="J136" s="32" t="n"/>
      <c r="K136" s="31" t="n"/>
      <c r="L136" s="30" t="n"/>
      <c r="M136" s="31" t="n"/>
      <c r="N136" s="31" t="n"/>
      <c r="O136" s="31" t="n"/>
      <c r="P136" s="30" t="n"/>
      <c r="Q136" s="31" t="n"/>
      <c r="R136" s="31" t="n"/>
      <c r="S136" s="31" t="n"/>
      <c r="T136" s="31" t="n"/>
      <c r="U136" s="30" t="n"/>
      <c r="V136" s="31" t="n"/>
      <c r="W136" s="31" t="n"/>
      <c r="X136" s="31" t="n"/>
      <c r="Y136" s="31" t="n"/>
      <c r="Z136" s="31" t="n"/>
      <c r="AA136" s="31" t="n"/>
      <c r="AB136" s="31" t="n"/>
      <c r="AC136" s="31" t="n"/>
      <c r="AD136" s="31" t="n"/>
      <c r="AE136" s="31" t="n"/>
      <c r="AF136" s="27">
        <f>IF(NOT(COUNTA(A136:AE136)&gt;0),"",IF(A136="","New client","Update"))</f>
        <v/>
      </c>
      <c r="AG136" s="27">
        <f>IF(AO136&lt;&gt;"",AO136,IF(LEN(AN136)=15,MID(AN136,3,10),""))</f>
        <v/>
      </c>
      <c r="AH136" s="27">
        <f>IF(AP136="","",AP136&amp;IF(D136="","  (guessed from PAN)",""))</f>
        <v/>
      </c>
      <c r="AI136" s="27">
        <f>IF(AN136="","",IFERROR(INDEX(Lists!$L$2:$L$38,MATCH(LEFT(AN136,2),Lists!$K$2:$K$38,0)),"Unknown code"))</f>
        <v/>
      </c>
      <c r="AJ136" s="27">
        <f>IF(AN136="","",IFERROR(IF(NOT(AND(LEN(AN136)=15,ISNUMBER(MATCH(LEFT(AN136,2),Lists!$K$2:$K$38,0)),SUMPRODUCT(--ISERROR(FIND(MID(MID(AN136,3,10),{1,2,3,4,5,10},1),"ABCDEFGHIJKLMNOPQRSTUVWXYZ")))=0,SUMPRODUCT(--ISERROR(FIND(MID(MID(AN136,3,10),{6,7,8,9},1),"0123456789")))=0,ISNUMBER(FIND(MID(AN136,13,1),"123456789ABCDEFGHIJKLMNOPQRSTUVWXYZ")),MID(AN136,14,1)="Z")),"Wrong format",IF(MID("0123456789ABCDEFGHIJKLMNOPQRSTUVWXYZ",MOD(36-MOD(SUMPRODUCT(INT((FIND(MID(AN136,{1,2,3,4,5,6,7,8,9,10,11,12,13,14},1),"0123456789ABCDEFGHIJKLMNOPQRSTUVWXYZ")-1)*{1,2,1,2,1,2,1,2,1,2,1,2,1,2}/36)+MOD((FIND(MID(AN136,{1,2,3,4,5,6,7,8,9,10,11,12,13,14},1),"0123456789ABCDEFGHIJKLMNOPQRSTUVWXYZ")-1)*{1,2,1,2,1,2,1,2,1,2,1,2,1,2},36)),36),36)+1,1)=MID(AN136,15,1),"OK","Typo? check digit wrong")),"Wrong format"))</f>
        <v/>
      </c>
      <c r="AK136" s="27">
        <f>IF(AO136="","",IF(AND(LEN(AO136)=10,SUMPRODUCT(--ISERROR(FIND(MID(AO136,{1,2,3,4,5,10},1),"ABCDEFGHIJKLMNOPQRSTUVWXYZ")))=0,SUMPRODUCT(--ISERROR(FIND(MID(AO136,{6,7,8,9},1),"0123456789")))=0),"OK","Wrong format"))</f>
        <v/>
      </c>
      <c r="AL136" s="27">
        <f>IF(TRIM(H136)="","",IF(AND(LEN(UPPER(TRIM(H136)))=10,SUMPRODUCT(--ISERROR(FIND(MID(UPPER(TRIM(H136)),{1,2,3,4,10},1),"ABCDEFGHIJKLMNOPQRSTUVWXYZ")))=0,SUMPRODUCT(--ISERROR(FIND(MID(UPPER(TRIM(H136)),{5,6,7,8,9},1),"0123456789")))=0),"OK","Wrong format"))</f>
        <v/>
      </c>
      <c r="AM136" s="28">
        <f>IF(NOT(COUNTA(A136:AE136)&gt;0),"",IF(AS136&lt;&gt;"","✖ "&amp;LEFT(AS136,LEN(AS136)-2),IF(AR136&gt;0,"✔ Ready — client + "&amp;AR136&amp;" service(s)","✔ Ready — client only")))</f>
        <v/>
      </c>
      <c r="AN136" s="29">
        <f>UPPER(SUBSTITUTE(TRIM(F136)," ",""))</f>
        <v/>
      </c>
      <c r="AO136" s="29">
        <f>UPPER(SUBSTITUTE(TRIM(E136)," ",""))</f>
        <v/>
      </c>
      <c r="AP136" s="29">
        <f>IF(D136&lt;&gt;"",D136,IFERROR(VLOOKUP(MID(AG136,4,1),Lists!$E$2:$F$8,2,FALSE),""))</f>
        <v/>
      </c>
      <c r="AQ136" s="29">
        <f>IFERROR(VLOOKUP(AP136,Lists!$A$2:$C$12,3,FALSE),"")</f>
        <v/>
      </c>
      <c r="AR136" s="29">
        <f>COUNTIF(W136:AC136,"Yes")</f>
        <v/>
      </c>
      <c r="AS136" s="29">
        <f>IF(TRIM(B136)="","Legal name missing; ","")&amp;IF(AND(AJ136&lt;&gt;"",AJ136&lt;&gt;"OK"),"GSTIN: "&amp;AJ136&amp;"; ","")&amp;IF(AND(AK136&lt;&gt;"",AK136&lt;&gt;"OK"),"PAN wrong format; ","")&amp;IF(AND(AO136&lt;&gt;"",LEN(AN136)=15,MID(AN136,3,10)&lt;&gt;AO136),"PAN does not match GSTIN; ","")&amp;IF(AND(AL136&lt;&gt;"",AL136&lt;&gt;"OK"),"TAN wrong format; ","")&amp;IF(AG136="","PAN missing; ","")&amp;IF(AP136="","Entity type missing; ","")&amp;IF(AND(AN136&lt;&gt;"",COUNTIF($AN$6:$AN$1005,AN136)&gt;1),"GSTIN repeated in this sheet; ","")&amp;IF(AND(AG136&lt;&gt;"",COUNTIF($AG$6:$AG$1005,AG136)&gt;1),"PAN repeated in this sheet (same client? put extra GSTINs in Other GSTINs); ","")&amp;IF(AND(AR136&gt;0,V136=""),"Financial year missing; ","")&amp;IF(AND(AR136=0,V136&lt;&gt;""),"Financial year given but no service is Yes; ","")&amp;IF(AND(W136="Yes",AN136=""),"GST needs a GSTIN; ","")&amp;IF(AND(W136="Yes",X136=""),"GST return frequency missing; ","")&amp;IF(AND(Y136="Yes",TRIM(H136)=""),"TDS needs a TAN; ","")&amp;IF(AND(AA136="Yes",AQ136&lt;&gt;"",AQ136&lt;&gt;"company",AQ136&lt;&gt;"llp"),"ROC is only for a company / LLP; ","")&amp;IF(AND(AA136="Yes",OR(AQ136="company",AQ136="llp"),TRIM(I136)=""),"ROC needs the CIN / LLPIN; ","")</f>
        <v/>
      </c>
    </row>
    <row r="137">
      <c r="A137" s="30" t="n"/>
      <c r="B137" s="31" t="n"/>
      <c r="C137" s="31" t="n"/>
      <c r="D137" s="31" t="n"/>
      <c r="E137" s="30" t="n"/>
      <c r="F137" s="30" t="n"/>
      <c r="G137" s="30" t="n"/>
      <c r="H137" s="30" t="n"/>
      <c r="I137" s="30" t="n"/>
      <c r="J137" s="32" t="n"/>
      <c r="K137" s="31" t="n"/>
      <c r="L137" s="30" t="n"/>
      <c r="M137" s="31" t="n"/>
      <c r="N137" s="31" t="n"/>
      <c r="O137" s="31" t="n"/>
      <c r="P137" s="30" t="n"/>
      <c r="Q137" s="31" t="n"/>
      <c r="R137" s="31" t="n"/>
      <c r="S137" s="31" t="n"/>
      <c r="T137" s="31" t="n"/>
      <c r="U137" s="30" t="n"/>
      <c r="V137" s="31" t="n"/>
      <c r="W137" s="31" t="n"/>
      <c r="X137" s="31" t="n"/>
      <c r="Y137" s="31" t="n"/>
      <c r="Z137" s="31" t="n"/>
      <c r="AA137" s="31" t="n"/>
      <c r="AB137" s="31" t="n"/>
      <c r="AC137" s="31" t="n"/>
      <c r="AD137" s="31" t="n"/>
      <c r="AE137" s="31" t="n"/>
      <c r="AF137" s="27">
        <f>IF(NOT(COUNTA(A137:AE137)&gt;0),"",IF(A137="","New client","Update"))</f>
        <v/>
      </c>
      <c r="AG137" s="27">
        <f>IF(AO137&lt;&gt;"",AO137,IF(LEN(AN137)=15,MID(AN137,3,10),""))</f>
        <v/>
      </c>
      <c r="AH137" s="27">
        <f>IF(AP137="","",AP137&amp;IF(D137="","  (guessed from PAN)",""))</f>
        <v/>
      </c>
      <c r="AI137" s="27">
        <f>IF(AN137="","",IFERROR(INDEX(Lists!$L$2:$L$38,MATCH(LEFT(AN137,2),Lists!$K$2:$K$38,0)),"Unknown code"))</f>
        <v/>
      </c>
      <c r="AJ137" s="27">
        <f>IF(AN137="","",IFERROR(IF(NOT(AND(LEN(AN137)=15,ISNUMBER(MATCH(LEFT(AN137,2),Lists!$K$2:$K$38,0)),SUMPRODUCT(--ISERROR(FIND(MID(MID(AN137,3,10),{1,2,3,4,5,10},1),"ABCDEFGHIJKLMNOPQRSTUVWXYZ")))=0,SUMPRODUCT(--ISERROR(FIND(MID(MID(AN137,3,10),{6,7,8,9},1),"0123456789")))=0,ISNUMBER(FIND(MID(AN137,13,1),"123456789ABCDEFGHIJKLMNOPQRSTUVWXYZ")),MID(AN137,14,1)="Z")),"Wrong format",IF(MID("0123456789ABCDEFGHIJKLMNOPQRSTUVWXYZ",MOD(36-MOD(SUMPRODUCT(INT((FIND(MID(AN137,{1,2,3,4,5,6,7,8,9,10,11,12,13,14},1),"0123456789ABCDEFGHIJKLMNOPQRSTUVWXYZ")-1)*{1,2,1,2,1,2,1,2,1,2,1,2,1,2}/36)+MOD((FIND(MID(AN137,{1,2,3,4,5,6,7,8,9,10,11,12,13,14},1),"0123456789ABCDEFGHIJKLMNOPQRSTUVWXYZ")-1)*{1,2,1,2,1,2,1,2,1,2,1,2,1,2},36)),36),36)+1,1)=MID(AN137,15,1),"OK","Typo? check digit wrong")),"Wrong format"))</f>
        <v/>
      </c>
      <c r="AK137" s="27">
        <f>IF(AO137="","",IF(AND(LEN(AO137)=10,SUMPRODUCT(--ISERROR(FIND(MID(AO137,{1,2,3,4,5,10},1),"ABCDEFGHIJKLMNOPQRSTUVWXYZ")))=0,SUMPRODUCT(--ISERROR(FIND(MID(AO137,{6,7,8,9},1),"0123456789")))=0),"OK","Wrong format"))</f>
        <v/>
      </c>
      <c r="AL137" s="27">
        <f>IF(TRIM(H137)="","",IF(AND(LEN(UPPER(TRIM(H137)))=10,SUMPRODUCT(--ISERROR(FIND(MID(UPPER(TRIM(H137)),{1,2,3,4,10},1),"ABCDEFGHIJKLMNOPQRSTUVWXYZ")))=0,SUMPRODUCT(--ISERROR(FIND(MID(UPPER(TRIM(H137)),{5,6,7,8,9},1),"0123456789")))=0),"OK","Wrong format"))</f>
        <v/>
      </c>
      <c r="AM137" s="28">
        <f>IF(NOT(COUNTA(A137:AE137)&gt;0),"",IF(AS137&lt;&gt;"","✖ "&amp;LEFT(AS137,LEN(AS137)-2),IF(AR137&gt;0,"✔ Ready — client + "&amp;AR137&amp;" service(s)","✔ Ready — client only")))</f>
        <v/>
      </c>
      <c r="AN137" s="29">
        <f>UPPER(SUBSTITUTE(TRIM(F137)," ",""))</f>
        <v/>
      </c>
      <c r="AO137" s="29">
        <f>UPPER(SUBSTITUTE(TRIM(E137)," ",""))</f>
        <v/>
      </c>
      <c r="AP137" s="29">
        <f>IF(D137&lt;&gt;"",D137,IFERROR(VLOOKUP(MID(AG137,4,1),Lists!$E$2:$F$8,2,FALSE),""))</f>
        <v/>
      </c>
      <c r="AQ137" s="29">
        <f>IFERROR(VLOOKUP(AP137,Lists!$A$2:$C$12,3,FALSE),"")</f>
        <v/>
      </c>
      <c r="AR137" s="29">
        <f>COUNTIF(W137:AC137,"Yes")</f>
        <v/>
      </c>
      <c r="AS137" s="29">
        <f>IF(TRIM(B137)="","Legal name missing; ","")&amp;IF(AND(AJ137&lt;&gt;"",AJ137&lt;&gt;"OK"),"GSTIN: "&amp;AJ137&amp;"; ","")&amp;IF(AND(AK137&lt;&gt;"",AK137&lt;&gt;"OK"),"PAN wrong format; ","")&amp;IF(AND(AO137&lt;&gt;"",LEN(AN137)=15,MID(AN137,3,10)&lt;&gt;AO137),"PAN does not match GSTIN; ","")&amp;IF(AND(AL137&lt;&gt;"",AL137&lt;&gt;"OK"),"TAN wrong format; ","")&amp;IF(AG137="","PAN missing; ","")&amp;IF(AP137="","Entity type missing; ","")&amp;IF(AND(AN137&lt;&gt;"",COUNTIF($AN$6:$AN$1005,AN137)&gt;1),"GSTIN repeated in this sheet; ","")&amp;IF(AND(AG137&lt;&gt;"",COUNTIF($AG$6:$AG$1005,AG137)&gt;1),"PAN repeated in this sheet (same client? put extra GSTINs in Other GSTINs); ","")&amp;IF(AND(AR137&gt;0,V137=""),"Financial year missing; ","")&amp;IF(AND(AR137=0,V137&lt;&gt;""),"Financial year given but no service is Yes; ","")&amp;IF(AND(W137="Yes",AN137=""),"GST needs a GSTIN; ","")&amp;IF(AND(W137="Yes",X137=""),"GST return frequency missing; ","")&amp;IF(AND(Y137="Yes",TRIM(H137)=""),"TDS needs a TAN; ","")&amp;IF(AND(AA137="Yes",AQ137&lt;&gt;"",AQ137&lt;&gt;"company",AQ137&lt;&gt;"llp"),"ROC is only for a company / LLP; ","")&amp;IF(AND(AA137="Yes",OR(AQ137="company",AQ137="llp"),TRIM(I137)=""),"ROC needs the CIN / LLPIN; ","")</f>
        <v/>
      </c>
    </row>
    <row r="138">
      <c r="A138" s="30" t="n"/>
      <c r="B138" s="31" t="n"/>
      <c r="C138" s="31" t="n"/>
      <c r="D138" s="31" t="n"/>
      <c r="E138" s="30" t="n"/>
      <c r="F138" s="30" t="n"/>
      <c r="G138" s="30" t="n"/>
      <c r="H138" s="30" t="n"/>
      <c r="I138" s="30" t="n"/>
      <c r="J138" s="32" t="n"/>
      <c r="K138" s="31" t="n"/>
      <c r="L138" s="30" t="n"/>
      <c r="M138" s="31" t="n"/>
      <c r="N138" s="31" t="n"/>
      <c r="O138" s="31" t="n"/>
      <c r="P138" s="30" t="n"/>
      <c r="Q138" s="31" t="n"/>
      <c r="R138" s="31" t="n"/>
      <c r="S138" s="31" t="n"/>
      <c r="T138" s="31" t="n"/>
      <c r="U138" s="30" t="n"/>
      <c r="V138" s="31" t="n"/>
      <c r="W138" s="31" t="n"/>
      <c r="X138" s="31" t="n"/>
      <c r="Y138" s="31" t="n"/>
      <c r="Z138" s="31" t="n"/>
      <c r="AA138" s="31" t="n"/>
      <c r="AB138" s="31" t="n"/>
      <c r="AC138" s="31" t="n"/>
      <c r="AD138" s="31" t="n"/>
      <c r="AE138" s="31" t="n"/>
      <c r="AF138" s="27">
        <f>IF(NOT(COUNTA(A138:AE138)&gt;0),"",IF(A138="","New client","Update"))</f>
        <v/>
      </c>
      <c r="AG138" s="27">
        <f>IF(AO138&lt;&gt;"",AO138,IF(LEN(AN138)=15,MID(AN138,3,10),""))</f>
        <v/>
      </c>
      <c r="AH138" s="27">
        <f>IF(AP138="","",AP138&amp;IF(D138="","  (guessed from PAN)",""))</f>
        <v/>
      </c>
      <c r="AI138" s="27">
        <f>IF(AN138="","",IFERROR(INDEX(Lists!$L$2:$L$38,MATCH(LEFT(AN138,2),Lists!$K$2:$K$38,0)),"Unknown code"))</f>
        <v/>
      </c>
      <c r="AJ138" s="27">
        <f>IF(AN138="","",IFERROR(IF(NOT(AND(LEN(AN138)=15,ISNUMBER(MATCH(LEFT(AN138,2),Lists!$K$2:$K$38,0)),SUMPRODUCT(--ISERROR(FIND(MID(MID(AN138,3,10),{1,2,3,4,5,10},1),"ABCDEFGHIJKLMNOPQRSTUVWXYZ")))=0,SUMPRODUCT(--ISERROR(FIND(MID(MID(AN138,3,10),{6,7,8,9},1),"0123456789")))=0,ISNUMBER(FIND(MID(AN138,13,1),"123456789ABCDEFGHIJKLMNOPQRSTUVWXYZ")),MID(AN138,14,1)="Z")),"Wrong format",IF(MID("0123456789ABCDEFGHIJKLMNOPQRSTUVWXYZ",MOD(36-MOD(SUMPRODUCT(INT((FIND(MID(AN138,{1,2,3,4,5,6,7,8,9,10,11,12,13,14},1),"0123456789ABCDEFGHIJKLMNOPQRSTUVWXYZ")-1)*{1,2,1,2,1,2,1,2,1,2,1,2,1,2}/36)+MOD((FIND(MID(AN138,{1,2,3,4,5,6,7,8,9,10,11,12,13,14},1),"0123456789ABCDEFGHIJKLMNOPQRSTUVWXYZ")-1)*{1,2,1,2,1,2,1,2,1,2,1,2,1,2},36)),36),36)+1,1)=MID(AN138,15,1),"OK","Typo? check digit wrong")),"Wrong format"))</f>
        <v/>
      </c>
      <c r="AK138" s="27">
        <f>IF(AO138="","",IF(AND(LEN(AO138)=10,SUMPRODUCT(--ISERROR(FIND(MID(AO138,{1,2,3,4,5,10},1),"ABCDEFGHIJKLMNOPQRSTUVWXYZ")))=0,SUMPRODUCT(--ISERROR(FIND(MID(AO138,{6,7,8,9},1),"0123456789")))=0),"OK","Wrong format"))</f>
        <v/>
      </c>
      <c r="AL138" s="27">
        <f>IF(TRIM(H138)="","",IF(AND(LEN(UPPER(TRIM(H138)))=10,SUMPRODUCT(--ISERROR(FIND(MID(UPPER(TRIM(H138)),{1,2,3,4,10},1),"ABCDEFGHIJKLMNOPQRSTUVWXYZ")))=0,SUMPRODUCT(--ISERROR(FIND(MID(UPPER(TRIM(H138)),{5,6,7,8,9},1),"0123456789")))=0),"OK","Wrong format"))</f>
        <v/>
      </c>
      <c r="AM138" s="28">
        <f>IF(NOT(COUNTA(A138:AE138)&gt;0),"",IF(AS138&lt;&gt;"","✖ "&amp;LEFT(AS138,LEN(AS138)-2),IF(AR138&gt;0,"✔ Ready — client + "&amp;AR138&amp;" service(s)","✔ Ready — client only")))</f>
        <v/>
      </c>
      <c r="AN138" s="29">
        <f>UPPER(SUBSTITUTE(TRIM(F138)," ",""))</f>
        <v/>
      </c>
      <c r="AO138" s="29">
        <f>UPPER(SUBSTITUTE(TRIM(E138)," ",""))</f>
        <v/>
      </c>
      <c r="AP138" s="29">
        <f>IF(D138&lt;&gt;"",D138,IFERROR(VLOOKUP(MID(AG138,4,1),Lists!$E$2:$F$8,2,FALSE),""))</f>
        <v/>
      </c>
      <c r="AQ138" s="29">
        <f>IFERROR(VLOOKUP(AP138,Lists!$A$2:$C$12,3,FALSE),"")</f>
        <v/>
      </c>
      <c r="AR138" s="29">
        <f>COUNTIF(W138:AC138,"Yes")</f>
        <v/>
      </c>
      <c r="AS138" s="29">
        <f>IF(TRIM(B138)="","Legal name missing; ","")&amp;IF(AND(AJ138&lt;&gt;"",AJ138&lt;&gt;"OK"),"GSTIN: "&amp;AJ138&amp;"; ","")&amp;IF(AND(AK138&lt;&gt;"",AK138&lt;&gt;"OK"),"PAN wrong format; ","")&amp;IF(AND(AO138&lt;&gt;"",LEN(AN138)=15,MID(AN138,3,10)&lt;&gt;AO138),"PAN does not match GSTIN; ","")&amp;IF(AND(AL138&lt;&gt;"",AL138&lt;&gt;"OK"),"TAN wrong format; ","")&amp;IF(AG138="","PAN missing; ","")&amp;IF(AP138="","Entity type missing; ","")&amp;IF(AND(AN138&lt;&gt;"",COUNTIF($AN$6:$AN$1005,AN138)&gt;1),"GSTIN repeated in this sheet; ","")&amp;IF(AND(AG138&lt;&gt;"",COUNTIF($AG$6:$AG$1005,AG138)&gt;1),"PAN repeated in this sheet (same client? put extra GSTINs in Other GSTINs); ","")&amp;IF(AND(AR138&gt;0,V138=""),"Financial year missing; ","")&amp;IF(AND(AR138=0,V138&lt;&gt;""),"Financial year given but no service is Yes; ","")&amp;IF(AND(W138="Yes",AN138=""),"GST needs a GSTIN; ","")&amp;IF(AND(W138="Yes",X138=""),"GST return frequency missing; ","")&amp;IF(AND(Y138="Yes",TRIM(H138)=""),"TDS needs a TAN; ","")&amp;IF(AND(AA138="Yes",AQ138&lt;&gt;"",AQ138&lt;&gt;"company",AQ138&lt;&gt;"llp"),"ROC is only for a company / LLP; ","")&amp;IF(AND(AA138="Yes",OR(AQ138="company",AQ138="llp"),TRIM(I138)=""),"ROC needs the CIN / LLPIN; ","")</f>
        <v/>
      </c>
    </row>
    <row r="139">
      <c r="A139" s="30" t="n"/>
      <c r="B139" s="31" t="n"/>
      <c r="C139" s="31" t="n"/>
      <c r="D139" s="31" t="n"/>
      <c r="E139" s="30" t="n"/>
      <c r="F139" s="30" t="n"/>
      <c r="G139" s="30" t="n"/>
      <c r="H139" s="30" t="n"/>
      <c r="I139" s="30" t="n"/>
      <c r="J139" s="32" t="n"/>
      <c r="K139" s="31" t="n"/>
      <c r="L139" s="30" t="n"/>
      <c r="M139" s="31" t="n"/>
      <c r="N139" s="31" t="n"/>
      <c r="O139" s="31" t="n"/>
      <c r="P139" s="30" t="n"/>
      <c r="Q139" s="31" t="n"/>
      <c r="R139" s="31" t="n"/>
      <c r="S139" s="31" t="n"/>
      <c r="T139" s="31" t="n"/>
      <c r="U139" s="30" t="n"/>
      <c r="V139" s="31" t="n"/>
      <c r="W139" s="31" t="n"/>
      <c r="X139" s="31" t="n"/>
      <c r="Y139" s="31" t="n"/>
      <c r="Z139" s="31" t="n"/>
      <c r="AA139" s="31" t="n"/>
      <c r="AB139" s="31" t="n"/>
      <c r="AC139" s="31" t="n"/>
      <c r="AD139" s="31" t="n"/>
      <c r="AE139" s="31" t="n"/>
      <c r="AF139" s="27">
        <f>IF(NOT(COUNTA(A139:AE139)&gt;0),"",IF(A139="","New client","Update"))</f>
        <v/>
      </c>
      <c r="AG139" s="27">
        <f>IF(AO139&lt;&gt;"",AO139,IF(LEN(AN139)=15,MID(AN139,3,10),""))</f>
        <v/>
      </c>
      <c r="AH139" s="27">
        <f>IF(AP139="","",AP139&amp;IF(D139="","  (guessed from PAN)",""))</f>
        <v/>
      </c>
      <c r="AI139" s="27">
        <f>IF(AN139="","",IFERROR(INDEX(Lists!$L$2:$L$38,MATCH(LEFT(AN139,2),Lists!$K$2:$K$38,0)),"Unknown code"))</f>
        <v/>
      </c>
      <c r="AJ139" s="27">
        <f>IF(AN139="","",IFERROR(IF(NOT(AND(LEN(AN139)=15,ISNUMBER(MATCH(LEFT(AN139,2),Lists!$K$2:$K$38,0)),SUMPRODUCT(--ISERROR(FIND(MID(MID(AN139,3,10),{1,2,3,4,5,10},1),"ABCDEFGHIJKLMNOPQRSTUVWXYZ")))=0,SUMPRODUCT(--ISERROR(FIND(MID(MID(AN139,3,10),{6,7,8,9},1),"0123456789")))=0,ISNUMBER(FIND(MID(AN139,13,1),"123456789ABCDEFGHIJKLMNOPQRSTUVWXYZ")),MID(AN139,14,1)="Z")),"Wrong format",IF(MID("0123456789ABCDEFGHIJKLMNOPQRSTUVWXYZ",MOD(36-MOD(SUMPRODUCT(INT((FIND(MID(AN139,{1,2,3,4,5,6,7,8,9,10,11,12,13,14},1),"0123456789ABCDEFGHIJKLMNOPQRSTUVWXYZ")-1)*{1,2,1,2,1,2,1,2,1,2,1,2,1,2}/36)+MOD((FIND(MID(AN139,{1,2,3,4,5,6,7,8,9,10,11,12,13,14},1),"0123456789ABCDEFGHIJKLMNOPQRSTUVWXYZ")-1)*{1,2,1,2,1,2,1,2,1,2,1,2,1,2},36)),36),36)+1,1)=MID(AN139,15,1),"OK","Typo? check digit wrong")),"Wrong format"))</f>
        <v/>
      </c>
      <c r="AK139" s="27">
        <f>IF(AO139="","",IF(AND(LEN(AO139)=10,SUMPRODUCT(--ISERROR(FIND(MID(AO139,{1,2,3,4,5,10},1),"ABCDEFGHIJKLMNOPQRSTUVWXYZ")))=0,SUMPRODUCT(--ISERROR(FIND(MID(AO139,{6,7,8,9},1),"0123456789")))=0),"OK","Wrong format"))</f>
        <v/>
      </c>
      <c r="AL139" s="27">
        <f>IF(TRIM(H139)="","",IF(AND(LEN(UPPER(TRIM(H139)))=10,SUMPRODUCT(--ISERROR(FIND(MID(UPPER(TRIM(H139)),{1,2,3,4,10},1),"ABCDEFGHIJKLMNOPQRSTUVWXYZ")))=0,SUMPRODUCT(--ISERROR(FIND(MID(UPPER(TRIM(H139)),{5,6,7,8,9},1),"0123456789")))=0),"OK","Wrong format"))</f>
        <v/>
      </c>
      <c r="AM139" s="28">
        <f>IF(NOT(COUNTA(A139:AE139)&gt;0),"",IF(AS139&lt;&gt;"","✖ "&amp;LEFT(AS139,LEN(AS139)-2),IF(AR139&gt;0,"✔ Ready — client + "&amp;AR139&amp;" service(s)","✔ Ready — client only")))</f>
        <v/>
      </c>
      <c r="AN139" s="29">
        <f>UPPER(SUBSTITUTE(TRIM(F139)," ",""))</f>
        <v/>
      </c>
      <c r="AO139" s="29">
        <f>UPPER(SUBSTITUTE(TRIM(E139)," ",""))</f>
        <v/>
      </c>
      <c r="AP139" s="29">
        <f>IF(D139&lt;&gt;"",D139,IFERROR(VLOOKUP(MID(AG139,4,1),Lists!$E$2:$F$8,2,FALSE),""))</f>
        <v/>
      </c>
      <c r="AQ139" s="29">
        <f>IFERROR(VLOOKUP(AP139,Lists!$A$2:$C$12,3,FALSE),"")</f>
        <v/>
      </c>
      <c r="AR139" s="29">
        <f>COUNTIF(W139:AC139,"Yes")</f>
        <v/>
      </c>
      <c r="AS139" s="29">
        <f>IF(TRIM(B139)="","Legal name missing; ","")&amp;IF(AND(AJ139&lt;&gt;"",AJ139&lt;&gt;"OK"),"GSTIN: "&amp;AJ139&amp;"; ","")&amp;IF(AND(AK139&lt;&gt;"",AK139&lt;&gt;"OK"),"PAN wrong format; ","")&amp;IF(AND(AO139&lt;&gt;"",LEN(AN139)=15,MID(AN139,3,10)&lt;&gt;AO139),"PAN does not match GSTIN; ","")&amp;IF(AND(AL139&lt;&gt;"",AL139&lt;&gt;"OK"),"TAN wrong format; ","")&amp;IF(AG139="","PAN missing; ","")&amp;IF(AP139="","Entity type missing; ","")&amp;IF(AND(AN139&lt;&gt;"",COUNTIF($AN$6:$AN$1005,AN139)&gt;1),"GSTIN repeated in this sheet; ","")&amp;IF(AND(AG139&lt;&gt;"",COUNTIF($AG$6:$AG$1005,AG139)&gt;1),"PAN repeated in this sheet (same client? put extra GSTINs in Other GSTINs); ","")&amp;IF(AND(AR139&gt;0,V139=""),"Financial year missing; ","")&amp;IF(AND(AR139=0,V139&lt;&gt;""),"Financial year given but no service is Yes; ","")&amp;IF(AND(W139="Yes",AN139=""),"GST needs a GSTIN; ","")&amp;IF(AND(W139="Yes",X139=""),"GST return frequency missing; ","")&amp;IF(AND(Y139="Yes",TRIM(H139)=""),"TDS needs a TAN; ","")&amp;IF(AND(AA139="Yes",AQ139&lt;&gt;"",AQ139&lt;&gt;"company",AQ139&lt;&gt;"llp"),"ROC is only for a company / LLP; ","")&amp;IF(AND(AA139="Yes",OR(AQ139="company",AQ139="llp"),TRIM(I139)=""),"ROC needs the CIN / LLPIN; ","")</f>
        <v/>
      </c>
    </row>
    <row r="140">
      <c r="A140" s="30" t="n"/>
      <c r="B140" s="31" t="n"/>
      <c r="C140" s="31" t="n"/>
      <c r="D140" s="31" t="n"/>
      <c r="E140" s="30" t="n"/>
      <c r="F140" s="30" t="n"/>
      <c r="G140" s="30" t="n"/>
      <c r="H140" s="30" t="n"/>
      <c r="I140" s="30" t="n"/>
      <c r="J140" s="32" t="n"/>
      <c r="K140" s="31" t="n"/>
      <c r="L140" s="30" t="n"/>
      <c r="M140" s="31" t="n"/>
      <c r="N140" s="31" t="n"/>
      <c r="O140" s="31" t="n"/>
      <c r="P140" s="30" t="n"/>
      <c r="Q140" s="31" t="n"/>
      <c r="R140" s="31" t="n"/>
      <c r="S140" s="31" t="n"/>
      <c r="T140" s="31" t="n"/>
      <c r="U140" s="30" t="n"/>
      <c r="V140" s="31" t="n"/>
      <c r="W140" s="31" t="n"/>
      <c r="X140" s="31" t="n"/>
      <c r="Y140" s="31" t="n"/>
      <c r="Z140" s="31" t="n"/>
      <c r="AA140" s="31" t="n"/>
      <c r="AB140" s="31" t="n"/>
      <c r="AC140" s="31" t="n"/>
      <c r="AD140" s="31" t="n"/>
      <c r="AE140" s="31" t="n"/>
      <c r="AF140" s="27">
        <f>IF(NOT(COUNTA(A140:AE140)&gt;0),"",IF(A140="","New client","Update"))</f>
        <v/>
      </c>
      <c r="AG140" s="27">
        <f>IF(AO140&lt;&gt;"",AO140,IF(LEN(AN140)=15,MID(AN140,3,10),""))</f>
        <v/>
      </c>
      <c r="AH140" s="27">
        <f>IF(AP140="","",AP140&amp;IF(D140="","  (guessed from PAN)",""))</f>
        <v/>
      </c>
      <c r="AI140" s="27">
        <f>IF(AN140="","",IFERROR(INDEX(Lists!$L$2:$L$38,MATCH(LEFT(AN140,2),Lists!$K$2:$K$38,0)),"Unknown code"))</f>
        <v/>
      </c>
      <c r="AJ140" s="27">
        <f>IF(AN140="","",IFERROR(IF(NOT(AND(LEN(AN140)=15,ISNUMBER(MATCH(LEFT(AN140,2),Lists!$K$2:$K$38,0)),SUMPRODUCT(--ISERROR(FIND(MID(MID(AN140,3,10),{1,2,3,4,5,10},1),"ABCDEFGHIJKLMNOPQRSTUVWXYZ")))=0,SUMPRODUCT(--ISERROR(FIND(MID(MID(AN140,3,10),{6,7,8,9},1),"0123456789")))=0,ISNUMBER(FIND(MID(AN140,13,1),"123456789ABCDEFGHIJKLMNOPQRSTUVWXYZ")),MID(AN140,14,1)="Z")),"Wrong format",IF(MID("0123456789ABCDEFGHIJKLMNOPQRSTUVWXYZ",MOD(36-MOD(SUMPRODUCT(INT((FIND(MID(AN140,{1,2,3,4,5,6,7,8,9,10,11,12,13,14},1),"0123456789ABCDEFGHIJKLMNOPQRSTUVWXYZ")-1)*{1,2,1,2,1,2,1,2,1,2,1,2,1,2}/36)+MOD((FIND(MID(AN140,{1,2,3,4,5,6,7,8,9,10,11,12,13,14},1),"0123456789ABCDEFGHIJKLMNOPQRSTUVWXYZ")-1)*{1,2,1,2,1,2,1,2,1,2,1,2,1,2},36)),36),36)+1,1)=MID(AN140,15,1),"OK","Typo? check digit wrong")),"Wrong format"))</f>
        <v/>
      </c>
      <c r="AK140" s="27">
        <f>IF(AO140="","",IF(AND(LEN(AO140)=10,SUMPRODUCT(--ISERROR(FIND(MID(AO140,{1,2,3,4,5,10},1),"ABCDEFGHIJKLMNOPQRSTUVWXYZ")))=0,SUMPRODUCT(--ISERROR(FIND(MID(AO140,{6,7,8,9},1),"0123456789")))=0),"OK","Wrong format"))</f>
        <v/>
      </c>
      <c r="AL140" s="27">
        <f>IF(TRIM(H140)="","",IF(AND(LEN(UPPER(TRIM(H140)))=10,SUMPRODUCT(--ISERROR(FIND(MID(UPPER(TRIM(H140)),{1,2,3,4,10},1),"ABCDEFGHIJKLMNOPQRSTUVWXYZ")))=0,SUMPRODUCT(--ISERROR(FIND(MID(UPPER(TRIM(H140)),{5,6,7,8,9},1),"0123456789")))=0),"OK","Wrong format"))</f>
        <v/>
      </c>
      <c r="AM140" s="28">
        <f>IF(NOT(COUNTA(A140:AE140)&gt;0),"",IF(AS140&lt;&gt;"","✖ "&amp;LEFT(AS140,LEN(AS140)-2),IF(AR140&gt;0,"✔ Ready — client + "&amp;AR140&amp;" service(s)","✔ Ready — client only")))</f>
        <v/>
      </c>
      <c r="AN140" s="29">
        <f>UPPER(SUBSTITUTE(TRIM(F140)," ",""))</f>
        <v/>
      </c>
      <c r="AO140" s="29">
        <f>UPPER(SUBSTITUTE(TRIM(E140)," ",""))</f>
        <v/>
      </c>
      <c r="AP140" s="29">
        <f>IF(D140&lt;&gt;"",D140,IFERROR(VLOOKUP(MID(AG140,4,1),Lists!$E$2:$F$8,2,FALSE),""))</f>
        <v/>
      </c>
      <c r="AQ140" s="29">
        <f>IFERROR(VLOOKUP(AP140,Lists!$A$2:$C$12,3,FALSE),"")</f>
        <v/>
      </c>
      <c r="AR140" s="29">
        <f>COUNTIF(W140:AC140,"Yes")</f>
        <v/>
      </c>
      <c r="AS140" s="29">
        <f>IF(TRIM(B140)="","Legal name missing; ","")&amp;IF(AND(AJ140&lt;&gt;"",AJ140&lt;&gt;"OK"),"GSTIN: "&amp;AJ140&amp;"; ","")&amp;IF(AND(AK140&lt;&gt;"",AK140&lt;&gt;"OK"),"PAN wrong format; ","")&amp;IF(AND(AO140&lt;&gt;"",LEN(AN140)=15,MID(AN140,3,10)&lt;&gt;AO140),"PAN does not match GSTIN; ","")&amp;IF(AND(AL140&lt;&gt;"",AL140&lt;&gt;"OK"),"TAN wrong format; ","")&amp;IF(AG140="","PAN missing; ","")&amp;IF(AP140="","Entity type missing; ","")&amp;IF(AND(AN140&lt;&gt;"",COUNTIF($AN$6:$AN$1005,AN140)&gt;1),"GSTIN repeated in this sheet; ","")&amp;IF(AND(AG140&lt;&gt;"",COUNTIF($AG$6:$AG$1005,AG140)&gt;1),"PAN repeated in this sheet (same client? put extra GSTINs in Other GSTINs); ","")&amp;IF(AND(AR140&gt;0,V140=""),"Financial year missing; ","")&amp;IF(AND(AR140=0,V140&lt;&gt;""),"Financial year given but no service is Yes; ","")&amp;IF(AND(W140="Yes",AN140=""),"GST needs a GSTIN; ","")&amp;IF(AND(W140="Yes",X140=""),"GST return frequency missing; ","")&amp;IF(AND(Y140="Yes",TRIM(H140)=""),"TDS needs a TAN; ","")&amp;IF(AND(AA140="Yes",AQ140&lt;&gt;"",AQ140&lt;&gt;"company",AQ140&lt;&gt;"llp"),"ROC is only for a company / LLP; ","")&amp;IF(AND(AA140="Yes",OR(AQ140="company",AQ140="llp"),TRIM(I140)=""),"ROC needs the CIN / LLPIN; ","")</f>
        <v/>
      </c>
    </row>
    <row r="141">
      <c r="A141" s="30" t="n"/>
      <c r="B141" s="31" t="n"/>
      <c r="C141" s="31" t="n"/>
      <c r="D141" s="31" t="n"/>
      <c r="E141" s="30" t="n"/>
      <c r="F141" s="30" t="n"/>
      <c r="G141" s="30" t="n"/>
      <c r="H141" s="30" t="n"/>
      <c r="I141" s="30" t="n"/>
      <c r="J141" s="32" t="n"/>
      <c r="K141" s="31" t="n"/>
      <c r="L141" s="30" t="n"/>
      <c r="M141" s="31" t="n"/>
      <c r="N141" s="31" t="n"/>
      <c r="O141" s="31" t="n"/>
      <c r="P141" s="30" t="n"/>
      <c r="Q141" s="31" t="n"/>
      <c r="R141" s="31" t="n"/>
      <c r="S141" s="31" t="n"/>
      <c r="T141" s="31" t="n"/>
      <c r="U141" s="30" t="n"/>
      <c r="V141" s="31" t="n"/>
      <c r="W141" s="31" t="n"/>
      <c r="X141" s="31" t="n"/>
      <c r="Y141" s="31" t="n"/>
      <c r="Z141" s="31" t="n"/>
      <c r="AA141" s="31" t="n"/>
      <c r="AB141" s="31" t="n"/>
      <c r="AC141" s="31" t="n"/>
      <c r="AD141" s="31" t="n"/>
      <c r="AE141" s="31" t="n"/>
      <c r="AF141" s="27">
        <f>IF(NOT(COUNTA(A141:AE141)&gt;0),"",IF(A141="","New client","Update"))</f>
        <v/>
      </c>
      <c r="AG141" s="27">
        <f>IF(AO141&lt;&gt;"",AO141,IF(LEN(AN141)=15,MID(AN141,3,10),""))</f>
        <v/>
      </c>
      <c r="AH141" s="27">
        <f>IF(AP141="","",AP141&amp;IF(D141="","  (guessed from PAN)",""))</f>
        <v/>
      </c>
      <c r="AI141" s="27">
        <f>IF(AN141="","",IFERROR(INDEX(Lists!$L$2:$L$38,MATCH(LEFT(AN141,2),Lists!$K$2:$K$38,0)),"Unknown code"))</f>
        <v/>
      </c>
      <c r="AJ141" s="27">
        <f>IF(AN141="","",IFERROR(IF(NOT(AND(LEN(AN141)=15,ISNUMBER(MATCH(LEFT(AN141,2),Lists!$K$2:$K$38,0)),SUMPRODUCT(--ISERROR(FIND(MID(MID(AN141,3,10),{1,2,3,4,5,10},1),"ABCDEFGHIJKLMNOPQRSTUVWXYZ")))=0,SUMPRODUCT(--ISERROR(FIND(MID(MID(AN141,3,10),{6,7,8,9},1),"0123456789")))=0,ISNUMBER(FIND(MID(AN141,13,1),"123456789ABCDEFGHIJKLMNOPQRSTUVWXYZ")),MID(AN141,14,1)="Z")),"Wrong format",IF(MID("0123456789ABCDEFGHIJKLMNOPQRSTUVWXYZ",MOD(36-MOD(SUMPRODUCT(INT((FIND(MID(AN141,{1,2,3,4,5,6,7,8,9,10,11,12,13,14},1),"0123456789ABCDEFGHIJKLMNOPQRSTUVWXYZ")-1)*{1,2,1,2,1,2,1,2,1,2,1,2,1,2}/36)+MOD((FIND(MID(AN141,{1,2,3,4,5,6,7,8,9,10,11,12,13,14},1),"0123456789ABCDEFGHIJKLMNOPQRSTUVWXYZ")-1)*{1,2,1,2,1,2,1,2,1,2,1,2,1,2},36)),36),36)+1,1)=MID(AN141,15,1),"OK","Typo? check digit wrong")),"Wrong format"))</f>
        <v/>
      </c>
      <c r="AK141" s="27">
        <f>IF(AO141="","",IF(AND(LEN(AO141)=10,SUMPRODUCT(--ISERROR(FIND(MID(AO141,{1,2,3,4,5,10},1),"ABCDEFGHIJKLMNOPQRSTUVWXYZ")))=0,SUMPRODUCT(--ISERROR(FIND(MID(AO141,{6,7,8,9},1),"0123456789")))=0),"OK","Wrong format"))</f>
        <v/>
      </c>
      <c r="AL141" s="27">
        <f>IF(TRIM(H141)="","",IF(AND(LEN(UPPER(TRIM(H141)))=10,SUMPRODUCT(--ISERROR(FIND(MID(UPPER(TRIM(H141)),{1,2,3,4,10},1),"ABCDEFGHIJKLMNOPQRSTUVWXYZ")))=0,SUMPRODUCT(--ISERROR(FIND(MID(UPPER(TRIM(H141)),{5,6,7,8,9},1),"0123456789")))=0),"OK","Wrong format"))</f>
        <v/>
      </c>
      <c r="AM141" s="28">
        <f>IF(NOT(COUNTA(A141:AE141)&gt;0),"",IF(AS141&lt;&gt;"","✖ "&amp;LEFT(AS141,LEN(AS141)-2),IF(AR141&gt;0,"✔ Ready — client + "&amp;AR141&amp;" service(s)","✔ Ready — client only")))</f>
        <v/>
      </c>
      <c r="AN141" s="29">
        <f>UPPER(SUBSTITUTE(TRIM(F141)," ",""))</f>
        <v/>
      </c>
      <c r="AO141" s="29">
        <f>UPPER(SUBSTITUTE(TRIM(E141)," ",""))</f>
        <v/>
      </c>
      <c r="AP141" s="29">
        <f>IF(D141&lt;&gt;"",D141,IFERROR(VLOOKUP(MID(AG141,4,1),Lists!$E$2:$F$8,2,FALSE),""))</f>
        <v/>
      </c>
      <c r="AQ141" s="29">
        <f>IFERROR(VLOOKUP(AP141,Lists!$A$2:$C$12,3,FALSE),"")</f>
        <v/>
      </c>
      <c r="AR141" s="29">
        <f>COUNTIF(W141:AC141,"Yes")</f>
        <v/>
      </c>
      <c r="AS141" s="29">
        <f>IF(TRIM(B141)="","Legal name missing; ","")&amp;IF(AND(AJ141&lt;&gt;"",AJ141&lt;&gt;"OK"),"GSTIN: "&amp;AJ141&amp;"; ","")&amp;IF(AND(AK141&lt;&gt;"",AK141&lt;&gt;"OK"),"PAN wrong format; ","")&amp;IF(AND(AO141&lt;&gt;"",LEN(AN141)=15,MID(AN141,3,10)&lt;&gt;AO141),"PAN does not match GSTIN; ","")&amp;IF(AND(AL141&lt;&gt;"",AL141&lt;&gt;"OK"),"TAN wrong format; ","")&amp;IF(AG141="","PAN missing; ","")&amp;IF(AP141="","Entity type missing; ","")&amp;IF(AND(AN141&lt;&gt;"",COUNTIF($AN$6:$AN$1005,AN141)&gt;1),"GSTIN repeated in this sheet; ","")&amp;IF(AND(AG141&lt;&gt;"",COUNTIF($AG$6:$AG$1005,AG141)&gt;1),"PAN repeated in this sheet (same client? put extra GSTINs in Other GSTINs); ","")&amp;IF(AND(AR141&gt;0,V141=""),"Financial year missing; ","")&amp;IF(AND(AR141=0,V141&lt;&gt;""),"Financial year given but no service is Yes; ","")&amp;IF(AND(W141="Yes",AN141=""),"GST needs a GSTIN; ","")&amp;IF(AND(W141="Yes",X141=""),"GST return frequency missing; ","")&amp;IF(AND(Y141="Yes",TRIM(H141)=""),"TDS needs a TAN; ","")&amp;IF(AND(AA141="Yes",AQ141&lt;&gt;"",AQ141&lt;&gt;"company",AQ141&lt;&gt;"llp"),"ROC is only for a company / LLP; ","")&amp;IF(AND(AA141="Yes",OR(AQ141="company",AQ141="llp"),TRIM(I141)=""),"ROC needs the CIN / LLPIN; ","")</f>
        <v/>
      </c>
    </row>
    <row r="142">
      <c r="A142" s="30" t="n"/>
      <c r="B142" s="31" t="n"/>
      <c r="C142" s="31" t="n"/>
      <c r="D142" s="31" t="n"/>
      <c r="E142" s="30" t="n"/>
      <c r="F142" s="30" t="n"/>
      <c r="G142" s="30" t="n"/>
      <c r="H142" s="30" t="n"/>
      <c r="I142" s="30" t="n"/>
      <c r="J142" s="32" t="n"/>
      <c r="K142" s="31" t="n"/>
      <c r="L142" s="30" t="n"/>
      <c r="M142" s="31" t="n"/>
      <c r="N142" s="31" t="n"/>
      <c r="O142" s="31" t="n"/>
      <c r="P142" s="30" t="n"/>
      <c r="Q142" s="31" t="n"/>
      <c r="R142" s="31" t="n"/>
      <c r="S142" s="31" t="n"/>
      <c r="T142" s="31" t="n"/>
      <c r="U142" s="30" t="n"/>
      <c r="V142" s="31" t="n"/>
      <c r="W142" s="31" t="n"/>
      <c r="X142" s="31" t="n"/>
      <c r="Y142" s="31" t="n"/>
      <c r="Z142" s="31" t="n"/>
      <c r="AA142" s="31" t="n"/>
      <c r="AB142" s="31" t="n"/>
      <c r="AC142" s="31" t="n"/>
      <c r="AD142" s="31" t="n"/>
      <c r="AE142" s="31" t="n"/>
      <c r="AF142" s="27">
        <f>IF(NOT(COUNTA(A142:AE142)&gt;0),"",IF(A142="","New client","Update"))</f>
        <v/>
      </c>
      <c r="AG142" s="27">
        <f>IF(AO142&lt;&gt;"",AO142,IF(LEN(AN142)=15,MID(AN142,3,10),""))</f>
        <v/>
      </c>
      <c r="AH142" s="27">
        <f>IF(AP142="","",AP142&amp;IF(D142="","  (guessed from PAN)",""))</f>
        <v/>
      </c>
      <c r="AI142" s="27">
        <f>IF(AN142="","",IFERROR(INDEX(Lists!$L$2:$L$38,MATCH(LEFT(AN142,2),Lists!$K$2:$K$38,0)),"Unknown code"))</f>
        <v/>
      </c>
      <c r="AJ142" s="27">
        <f>IF(AN142="","",IFERROR(IF(NOT(AND(LEN(AN142)=15,ISNUMBER(MATCH(LEFT(AN142,2),Lists!$K$2:$K$38,0)),SUMPRODUCT(--ISERROR(FIND(MID(MID(AN142,3,10),{1,2,3,4,5,10},1),"ABCDEFGHIJKLMNOPQRSTUVWXYZ")))=0,SUMPRODUCT(--ISERROR(FIND(MID(MID(AN142,3,10),{6,7,8,9},1),"0123456789")))=0,ISNUMBER(FIND(MID(AN142,13,1),"123456789ABCDEFGHIJKLMNOPQRSTUVWXYZ")),MID(AN142,14,1)="Z")),"Wrong format",IF(MID("0123456789ABCDEFGHIJKLMNOPQRSTUVWXYZ",MOD(36-MOD(SUMPRODUCT(INT((FIND(MID(AN142,{1,2,3,4,5,6,7,8,9,10,11,12,13,14},1),"0123456789ABCDEFGHIJKLMNOPQRSTUVWXYZ")-1)*{1,2,1,2,1,2,1,2,1,2,1,2,1,2}/36)+MOD((FIND(MID(AN142,{1,2,3,4,5,6,7,8,9,10,11,12,13,14},1),"0123456789ABCDEFGHIJKLMNOPQRSTUVWXYZ")-1)*{1,2,1,2,1,2,1,2,1,2,1,2,1,2},36)),36),36)+1,1)=MID(AN142,15,1),"OK","Typo? check digit wrong")),"Wrong format"))</f>
        <v/>
      </c>
      <c r="AK142" s="27">
        <f>IF(AO142="","",IF(AND(LEN(AO142)=10,SUMPRODUCT(--ISERROR(FIND(MID(AO142,{1,2,3,4,5,10},1),"ABCDEFGHIJKLMNOPQRSTUVWXYZ")))=0,SUMPRODUCT(--ISERROR(FIND(MID(AO142,{6,7,8,9},1),"0123456789")))=0),"OK","Wrong format"))</f>
        <v/>
      </c>
      <c r="AL142" s="27">
        <f>IF(TRIM(H142)="","",IF(AND(LEN(UPPER(TRIM(H142)))=10,SUMPRODUCT(--ISERROR(FIND(MID(UPPER(TRIM(H142)),{1,2,3,4,10},1),"ABCDEFGHIJKLMNOPQRSTUVWXYZ")))=0,SUMPRODUCT(--ISERROR(FIND(MID(UPPER(TRIM(H142)),{5,6,7,8,9},1),"0123456789")))=0),"OK","Wrong format"))</f>
        <v/>
      </c>
      <c r="AM142" s="28">
        <f>IF(NOT(COUNTA(A142:AE142)&gt;0),"",IF(AS142&lt;&gt;"","✖ "&amp;LEFT(AS142,LEN(AS142)-2),IF(AR142&gt;0,"✔ Ready — client + "&amp;AR142&amp;" service(s)","✔ Ready — client only")))</f>
        <v/>
      </c>
      <c r="AN142" s="29">
        <f>UPPER(SUBSTITUTE(TRIM(F142)," ",""))</f>
        <v/>
      </c>
      <c r="AO142" s="29">
        <f>UPPER(SUBSTITUTE(TRIM(E142)," ",""))</f>
        <v/>
      </c>
      <c r="AP142" s="29">
        <f>IF(D142&lt;&gt;"",D142,IFERROR(VLOOKUP(MID(AG142,4,1),Lists!$E$2:$F$8,2,FALSE),""))</f>
        <v/>
      </c>
      <c r="AQ142" s="29">
        <f>IFERROR(VLOOKUP(AP142,Lists!$A$2:$C$12,3,FALSE),"")</f>
        <v/>
      </c>
      <c r="AR142" s="29">
        <f>COUNTIF(W142:AC142,"Yes")</f>
        <v/>
      </c>
      <c r="AS142" s="29">
        <f>IF(TRIM(B142)="","Legal name missing; ","")&amp;IF(AND(AJ142&lt;&gt;"",AJ142&lt;&gt;"OK"),"GSTIN: "&amp;AJ142&amp;"; ","")&amp;IF(AND(AK142&lt;&gt;"",AK142&lt;&gt;"OK"),"PAN wrong format; ","")&amp;IF(AND(AO142&lt;&gt;"",LEN(AN142)=15,MID(AN142,3,10)&lt;&gt;AO142),"PAN does not match GSTIN; ","")&amp;IF(AND(AL142&lt;&gt;"",AL142&lt;&gt;"OK"),"TAN wrong format; ","")&amp;IF(AG142="","PAN missing; ","")&amp;IF(AP142="","Entity type missing; ","")&amp;IF(AND(AN142&lt;&gt;"",COUNTIF($AN$6:$AN$1005,AN142)&gt;1),"GSTIN repeated in this sheet; ","")&amp;IF(AND(AG142&lt;&gt;"",COUNTIF($AG$6:$AG$1005,AG142)&gt;1),"PAN repeated in this sheet (same client? put extra GSTINs in Other GSTINs); ","")&amp;IF(AND(AR142&gt;0,V142=""),"Financial year missing; ","")&amp;IF(AND(AR142=0,V142&lt;&gt;""),"Financial year given but no service is Yes; ","")&amp;IF(AND(W142="Yes",AN142=""),"GST needs a GSTIN; ","")&amp;IF(AND(W142="Yes",X142=""),"GST return frequency missing; ","")&amp;IF(AND(Y142="Yes",TRIM(H142)=""),"TDS needs a TAN; ","")&amp;IF(AND(AA142="Yes",AQ142&lt;&gt;"",AQ142&lt;&gt;"company",AQ142&lt;&gt;"llp"),"ROC is only for a company / LLP; ","")&amp;IF(AND(AA142="Yes",OR(AQ142="company",AQ142="llp"),TRIM(I142)=""),"ROC needs the CIN / LLPIN; ","")</f>
        <v/>
      </c>
    </row>
    <row r="143">
      <c r="A143" s="30" t="n"/>
      <c r="B143" s="31" t="n"/>
      <c r="C143" s="31" t="n"/>
      <c r="D143" s="31" t="n"/>
      <c r="E143" s="30" t="n"/>
      <c r="F143" s="30" t="n"/>
      <c r="G143" s="30" t="n"/>
      <c r="H143" s="30" t="n"/>
      <c r="I143" s="30" t="n"/>
      <c r="J143" s="32" t="n"/>
      <c r="K143" s="31" t="n"/>
      <c r="L143" s="30" t="n"/>
      <c r="M143" s="31" t="n"/>
      <c r="N143" s="31" t="n"/>
      <c r="O143" s="31" t="n"/>
      <c r="P143" s="30" t="n"/>
      <c r="Q143" s="31" t="n"/>
      <c r="R143" s="31" t="n"/>
      <c r="S143" s="31" t="n"/>
      <c r="T143" s="31" t="n"/>
      <c r="U143" s="30" t="n"/>
      <c r="V143" s="31" t="n"/>
      <c r="W143" s="31" t="n"/>
      <c r="X143" s="31" t="n"/>
      <c r="Y143" s="31" t="n"/>
      <c r="Z143" s="31" t="n"/>
      <c r="AA143" s="31" t="n"/>
      <c r="AB143" s="31" t="n"/>
      <c r="AC143" s="31" t="n"/>
      <c r="AD143" s="31" t="n"/>
      <c r="AE143" s="31" t="n"/>
      <c r="AF143" s="27">
        <f>IF(NOT(COUNTA(A143:AE143)&gt;0),"",IF(A143="","New client","Update"))</f>
        <v/>
      </c>
      <c r="AG143" s="27">
        <f>IF(AO143&lt;&gt;"",AO143,IF(LEN(AN143)=15,MID(AN143,3,10),""))</f>
        <v/>
      </c>
      <c r="AH143" s="27">
        <f>IF(AP143="","",AP143&amp;IF(D143="","  (guessed from PAN)",""))</f>
        <v/>
      </c>
      <c r="AI143" s="27">
        <f>IF(AN143="","",IFERROR(INDEX(Lists!$L$2:$L$38,MATCH(LEFT(AN143,2),Lists!$K$2:$K$38,0)),"Unknown code"))</f>
        <v/>
      </c>
      <c r="AJ143" s="27">
        <f>IF(AN143="","",IFERROR(IF(NOT(AND(LEN(AN143)=15,ISNUMBER(MATCH(LEFT(AN143,2),Lists!$K$2:$K$38,0)),SUMPRODUCT(--ISERROR(FIND(MID(MID(AN143,3,10),{1,2,3,4,5,10},1),"ABCDEFGHIJKLMNOPQRSTUVWXYZ")))=0,SUMPRODUCT(--ISERROR(FIND(MID(MID(AN143,3,10),{6,7,8,9},1),"0123456789")))=0,ISNUMBER(FIND(MID(AN143,13,1),"123456789ABCDEFGHIJKLMNOPQRSTUVWXYZ")),MID(AN143,14,1)="Z")),"Wrong format",IF(MID("0123456789ABCDEFGHIJKLMNOPQRSTUVWXYZ",MOD(36-MOD(SUMPRODUCT(INT((FIND(MID(AN143,{1,2,3,4,5,6,7,8,9,10,11,12,13,14},1),"0123456789ABCDEFGHIJKLMNOPQRSTUVWXYZ")-1)*{1,2,1,2,1,2,1,2,1,2,1,2,1,2}/36)+MOD((FIND(MID(AN143,{1,2,3,4,5,6,7,8,9,10,11,12,13,14},1),"0123456789ABCDEFGHIJKLMNOPQRSTUVWXYZ")-1)*{1,2,1,2,1,2,1,2,1,2,1,2,1,2},36)),36),36)+1,1)=MID(AN143,15,1),"OK","Typo? check digit wrong")),"Wrong format"))</f>
        <v/>
      </c>
      <c r="AK143" s="27">
        <f>IF(AO143="","",IF(AND(LEN(AO143)=10,SUMPRODUCT(--ISERROR(FIND(MID(AO143,{1,2,3,4,5,10},1),"ABCDEFGHIJKLMNOPQRSTUVWXYZ")))=0,SUMPRODUCT(--ISERROR(FIND(MID(AO143,{6,7,8,9},1),"0123456789")))=0),"OK","Wrong format"))</f>
        <v/>
      </c>
      <c r="AL143" s="27">
        <f>IF(TRIM(H143)="","",IF(AND(LEN(UPPER(TRIM(H143)))=10,SUMPRODUCT(--ISERROR(FIND(MID(UPPER(TRIM(H143)),{1,2,3,4,10},1),"ABCDEFGHIJKLMNOPQRSTUVWXYZ")))=0,SUMPRODUCT(--ISERROR(FIND(MID(UPPER(TRIM(H143)),{5,6,7,8,9},1),"0123456789")))=0),"OK","Wrong format"))</f>
        <v/>
      </c>
      <c r="AM143" s="28">
        <f>IF(NOT(COUNTA(A143:AE143)&gt;0),"",IF(AS143&lt;&gt;"","✖ "&amp;LEFT(AS143,LEN(AS143)-2),IF(AR143&gt;0,"✔ Ready — client + "&amp;AR143&amp;" service(s)","✔ Ready — client only")))</f>
        <v/>
      </c>
      <c r="AN143" s="29">
        <f>UPPER(SUBSTITUTE(TRIM(F143)," ",""))</f>
        <v/>
      </c>
      <c r="AO143" s="29">
        <f>UPPER(SUBSTITUTE(TRIM(E143)," ",""))</f>
        <v/>
      </c>
      <c r="AP143" s="29">
        <f>IF(D143&lt;&gt;"",D143,IFERROR(VLOOKUP(MID(AG143,4,1),Lists!$E$2:$F$8,2,FALSE),""))</f>
        <v/>
      </c>
      <c r="AQ143" s="29">
        <f>IFERROR(VLOOKUP(AP143,Lists!$A$2:$C$12,3,FALSE),"")</f>
        <v/>
      </c>
      <c r="AR143" s="29">
        <f>COUNTIF(W143:AC143,"Yes")</f>
        <v/>
      </c>
      <c r="AS143" s="29">
        <f>IF(TRIM(B143)="","Legal name missing; ","")&amp;IF(AND(AJ143&lt;&gt;"",AJ143&lt;&gt;"OK"),"GSTIN: "&amp;AJ143&amp;"; ","")&amp;IF(AND(AK143&lt;&gt;"",AK143&lt;&gt;"OK"),"PAN wrong format; ","")&amp;IF(AND(AO143&lt;&gt;"",LEN(AN143)=15,MID(AN143,3,10)&lt;&gt;AO143),"PAN does not match GSTIN; ","")&amp;IF(AND(AL143&lt;&gt;"",AL143&lt;&gt;"OK"),"TAN wrong format; ","")&amp;IF(AG143="","PAN missing; ","")&amp;IF(AP143="","Entity type missing; ","")&amp;IF(AND(AN143&lt;&gt;"",COUNTIF($AN$6:$AN$1005,AN143)&gt;1),"GSTIN repeated in this sheet; ","")&amp;IF(AND(AG143&lt;&gt;"",COUNTIF($AG$6:$AG$1005,AG143)&gt;1),"PAN repeated in this sheet (same client? put extra GSTINs in Other GSTINs); ","")&amp;IF(AND(AR143&gt;0,V143=""),"Financial year missing; ","")&amp;IF(AND(AR143=0,V143&lt;&gt;""),"Financial year given but no service is Yes; ","")&amp;IF(AND(W143="Yes",AN143=""),"GST needs a GSTIN; ","")&amp;IF(AND(W143="Yes",X143=""),"GST return frequency missing; ","")&amp;IF(AND(Y143="Yes",TRIM(H143)=""),"TDS needs a TAN; ","")&amp;IF(AND(AA143="Yes",AQ143&lt;&gt;"",AQ143&lt;&gt;"company",AQ143&lt;&gt;"llp"),"ROC is only for a company / LLP; ","")&amp;IF(AND(AA143="Yes",OR(AQ143="company",AQ143="llp"),TRIM(I143)=""),"ROC needs the CIN / LLPIN; ","")</f>
        <v/>
      </c>
    </row>
    <row r="144">
      <c r="A144" s="30" t="n"/>
      <c r="B144" s="31" t="n"/>
      <c r="C144" s="31" t="n"/>
      <c r="D144" s="31" t="n"/>
      <c r="E144" s="30" t="n"/>
      <c r="F144" s="30" t="n"/>
      <c r="G144" s="30" t="n"/>
      <c r="H144" s="30" t="n"/>
      <c r="I144" s="30" t="n"/>
      <c r="J144" s="32" t="n"/>
      <c r="K144" s="31" t="n"/>
      <c r="L144" s="30" t="n"/>
      <c r="M144" s="31" t="n"/>
      <c r="N144" s="31" t="n"/>
      <c r="O144" s="31" t="n"/>
      <c r="P144" s="30" t="n"/>
      <c r="Q144" s="31" t="n"/>
      <c r="R144" s="31" t="n"/>
      <c r="S144" s="31" t="n"/>
      <c r="T144" s="31" t="n"/>
      <c r="U144" s="30" t="n"/>
      <c r="V144" s="31" t="n"/>
      <c r="W144" s="31" t="n"/>
      <c r="X144" s="31" t="n"/>
      <c r="Y144" s="31" t="n"/>
      <c r="Z144" s="31" t="n"/>
      <c r="AA144" s="31" t="n"/>
      <c r="AB144" s="31" t="n"/>
      <c r="AC144" s="31" t="n"/>
      <c r="AD144" s="31" t="n"/>
      <c r="AE144" s="31" t="n"/>
      <c r="AF144" s="27">
        <f>IF(NOT(COUNTA(A144:AE144)&gt;0),"",IF(A144="","New client","Update"))</f>
        <v/>
      </c>
      <c r="AG144" s="27">
        <f>IF(AO144&lt;&gt;"",AO144,IF(LEN(AN144)=15,MID(AN144,3,10),""))</f>
        <v/>
      </c>
      <c r="AH144" s="27">
        <f>IF(AP144="","",AP144&amp;IF(D144="","  (guessed from PAN)",""))</f>
        <v/>
      </c>
      <c r="AI144" s="27">
        <f>IF(AN144="","",IFERROR(INDEX(Lists!$L$2:$L$38,MATCH(LEFT(AN144,2),Lists!$K$2:$K$38,0)),"Unknown code"))</f>
        <v/>
      </c>
      <c r="AJ144" s="27">
        <f>IF(AN144="","",IFERROR(IF(NOT(AND(LEN(AN144)=15,ISNUMBER(MATCH(LEFT(AN144,2),Lists!$K$2:$K$38,0)),SUMPRODUCT(--ISERROR(FIND(MID(MID(AN144,3,10),{1,2,3,4,5,10},1),"ABCDEFGHIJKLMNOPQRSTUVWXYZ")))=0,SUMPRODUCT(--ISERROR(FIND(MID(MID(AN144,3,10),{6,7,8,9},1),"0123456789")))=0,ISNUMBER(FIND(MID(AN144,13,1),"123456789ABCDEFGHIJKLMNOPQRSTUVWXYZ")),MID(AN144,14,1)="Z")),"Wrong format",IF(MID("0123456789ABCDEFGHIJKLMNOPQRSTUVWXYZ",MOD(36-MOD(SUMPRODUCT(INT((FIND(MID(AN144,{1,2,3,4,5,6,7,8,9,10,11,12,13,14},1),"0123456789ABCDEFGHIJKLMNOPQRSTUVWXYZ")-1)*{1,2,1,2,1,2,1,2,1,2,1,2,1,2}/36)+MOD((FIND(MID(AN144,{1,2,3,4,5,6,7,8,9,10,11,12,13,14},1),"0123456789ABCDEFGHIJKLMNOPQRSTUVWXYZ")-1)*{1,2,1,2,1,2,1,2,1,2,1,2,1,2},36)),36),36)+1,1)=MID(AN144,15,1),"OK","Typo? check digit wrong")),"Wrong format"))</f>
        <v/>
      </c>
      <c r="AK144" s="27">
        <f>IF(AO144="","",IF(AND(LEN(AO144)=10,SUMPRODUCT(--ISERROR(FIND(MID(AO144,{1,2,3,4,5,10},1),"ABCDEFGHIJKLMNOPQRSTUVWXYZ")))=0,SUMPRODUCT(--ISERROR(FIND(MID(AO144,{6,7,8,9},1),"0123456789")))=0),"OK","Wrong format"))</f>
        <v/>
      </c>
      <c r="AL144" s="27">
        <f>IF(TRIM(H144)="","",IF(AND(LEN(UPPER(TRIM(H144)))=10,SUMPRODUCT(--ISERROR(FIND(MID(UPPER(TRIM(H144)),{1,2,3,4,10},1),"ABCDEFGHIJKLMNOPQRSTUVWXYZ")))=0,SUMPRODUCT(--ISERROR(FIND(MID(UPPER(TRIM(H144)),{5,6,7,8,9},1),"0123456789")))=0),"OK","Wrong format"))</f>
        <v/>
      </c>
      <c r="AM144" s="28">
        <f>IF(NOT(COUNTA(A144:AE144)&gt;0),"",IF(AS144&lt;&gt;"","✖ "&amp;LEFT(AS144,LEN(AS144)-2),IF(AR144&gt;0,"✔ Ready — client + "&amp;AR144&amp;" service(s)","✔ Ready — client only")))</f>
        <v/>
      </c>
      <c r="AN144" s="29">
        <f>UPPER(SUBSTITUTE(TRIM(F144)," ",""))</f>
        <v/>
      </c>
      <c r="AO144" s="29">
        <f>UPPER(SUBSTITUTE(TRIM(E144)," ",""))</f>
        <v/>
      </c>
      <c r="AP144" s="29">
        <f>IF(D144&lt;&gt;"",D144,IFERROR(VLOOKUP(MID(AG144,4,1),Lists!$E$2:$F$8,2,FALSE),""))</f>
        <v/>
      </c>
      <c r="AQ144" s="29">
        <f>IFERROR(VLOOKUP(AP144,Lists!$A$2:$C$12,3,FALSE),"")</f>
        <v/>
      </c>
      <c r="AR144" s="29">
        <f>COUNTIF(W144:AC144,"Yes")</f>
        <v/>
      </c>
      <c r="AS144" s="29">
        <f>IF(TRIM(B144)="","Legal name missing; ","")&amp;IF(AND(AJ144&lt;&gt;"",AJ144&lt;&gt;"OK"),"GSTIN: "&amp;AJ144&amp;"; ","")&amp;IF(AND(AK144&lt;&gt;"",AK144&lt;&gt;"OK"),"PAN wrong format; ","")&amp;IF(AND(AO144&lt;&gt;"",LEN(AN144)=15,MID(AN144,3,10)&lt;&gt;AO144),"PAN does not match GSTIN; ","")&amp;IF(AND(AL144&lt;&gt;"",AL144&lt;&gt;"OK"),"TAN wrong format; ","")&amp;IF(AG144="","PAN missing; ","")&amp;IF(AP144="","Entity type missing; ","")&amp;IF(AND(AN144&lt;&gt;"",COUNTIF($AN$6:$AN$1005,AN144)&gt;1),"GSTIN repeated in this sheet; ","")&amp;IF(AND(AG144&lt;&gt;"",COUNTIF($AG$6:$AG$1005,AG144)&gt;1),"PAN repeated in this sheet (same client? put extra GSTINs in Other GSTINs); ","")&amp;IF(AND(AR144&gt;0,V144=""),"Financial year missing; ","")&amp;IF(AND(AR144=0,V144&lt;&gt;""),"Financial year given but no service is Yes; ","")&amp;IF(AND(W144="Yes",AN144=""),"GST needs a GSTIN; ","")&amp;IF(AND(W144="Yes",X144=""),"GST return frequency missing; ","")&amp;IF(AND(Y144="Yes",TRIM(H144)=""),"TDS needs a TAN; ","")&amp;IF(AND(AA144="Yes",AQ144&lt;&gt;"",AQ144&lt;&gt;"company",AQ144&lt;&gt;"llp"),"ROC is only for a company / LLP; ","")&amp;IF(AND(AA144="Yes",OR(AQ144="company",AQ144="llp"),TRIM(I144)=""),"ROC needs the CIN / LLPIN; ","")</f>
        <v/>
      </c>
    </row>
    <row r="145">
      <c r="A145" s="30" t="n"/>
      <c r="B145" s="31" t="n"/>
      <c r="C145" s="31" t="n"/>
      <c r="D145" s="31" t="n"/>
      <c r="E145" s="30" t="n"/>
      <c r="F145" s="30" t="n"/>
      <c r="G145" s="30" t="n"/>
      <c r="H145" s="30" t="n"/>
      <c r="I145" s="30" t="n"/>
      <c r="J145" s="32" t="n"/>
      <c r="K145" s="31" t="n"/>
      <c r="L145" s="30" t="n"/>
      <c r="M145" s="31" t="n"/>
      <c r="N145" s="31" t="n"/>
      <c r="O145" s="31" t="n"/>
      <c r="P145" s="30" t="n"/>
      <c r="Q145" s="31" t="n"/>
      <c r="R145" s="31" t="n"/>
      <c r="S145" s="31" t="n"/>
      <c r="T145" s="31" t="n"/>
      <c r="U145" s="30" t="n"/>
      <c r="V145" s="31" t="n"/>
      <c r="W145" s="31" t="n"/>
      <c r="X145" s="31" t="n"/>
      <c r="Y145" s="31" t="n"/>
      <c r="Z145" s="31" t="n"/>
      <c r="AA145" s="31" t="n"/>
      <c r="AB145" s="31" t="n"/>
      <c r="AC145" s="31" t="n"/>
      <c r="AD145" s="31" t="n"/>
      <c r="AE145" s="31" t="n"/>
      <c r="AF145" s="27">
        <f>IF(NOT(COUNTA(A145:AE145)&gt;0),"",IF(A145="","New client","Update"))</f>
        <v/>
      </c>
      <c r="AG145" s="27">
        <f>IF(AO145&lt;&gt;"",AO145,IF(LEN(AN145)=15,MID(AN145,3,10),""))</f>
        <v/>
      </c>
      <c r="AH145" s="27">
        <f>IF(AP145="","",AP145&amp;IF(D145="","  (guessed from PAN)",""))</f>
        <v/>
      </c>
      <c r="AI145" s="27">
        <f>IF(AN145="","",IFERROR(INDEX(Lists!$L$2:$L$38,MATCH(LEFT(AN145,2),Lists!$K$2:$K$38,0)),"Unknown code"))</f>
        <v/>
      </c>
      <c r="AJ145" s="27">
        <f>IF(AN145="","",IFERROR(IF(NOT(AND(LEN(AN145)=15,ISNUMBER(MATCH(LEFT(AN145,2),Lists!$K$2:$K$38,0)),SUMPRODUCT(--ISERROR(FIND(MID(MID(AN145,3,10),{1,2,3,4,5,10},1),"ABCDEFGHIJKLMNOPQRSTUVWXYZ")))=0,SUMPRODUCT(--ISERROR(FIND(MID(MID(AN145,3,10),{6,7,8,9},1),"0123456789")))=0,ISNUMBER(FIND(MID(AN145,13,1),"123456789ABCDEFGHIJKLMNOPQRSTUVWXYZ")),MID(AN145,14,1)="Z")),"Wrong format",IF(MID("0123456789ABCDEFGHIJKLMNOPQRSTUVWXYZ",MOD(36-MOD(SUMPRODUCT(INT((FIND(MID(AN145,{1,2,3,4,5,6,7,8,9,10,11,12,13,14},1),"0123456789ABCDEFGHIJKLMNOPQRSTUVWXYZ")-1)*{1,2,1,2,1,2,1,2,1,2,1,2,1,2}/36)+MOD((FIND(MID(AN145,{1,2,3,4,5,6,7,8,9,10,11,12,13,14},1),"0123456789ABCDEFGHIJKLMNOPQRSTUVWXYZ")-1)*{1,2,1,2,1,2,1,2,1,2,1,2,1,2},36)),36),36)+1,1)=MID(AN145,15,1),"OK","Typo? check digit wrong")),"Wrong format"))</f>
        <v/>
      </c>
      <c r="AK145" s="27">
        <f>IF(AO145="","",IF(AND(LEN(AO145)=10,SUMPRODUCT(--ISERROR(FIND(MID(AO145,{1,2,3,4,5,10},1),"ABCDEFGHIJKLMNOPQRSTUVWXYZ")))=0,SUMPRODUCT(--ISERROR(FIND(MID(AO145,{6,7,8,9},1),"0123456789")))=0),"OK","Wrong format"))</f>
        <v/>
      </c>
      <c r="AL145" s="27">
        <f>IF(TRIM(H145)="","",IF(AND(LEN(UPPER(TRIM(H145)))=10,SUMPRODUCT(--ISERROR(FIND(MID(UPPER(TRIM(H145)),{1,2,3,4,10},1),"ABCDEFGHIJKLMNOPQRSTUVWXYZ")))=0,SUMPRODUCT(--ISERROR(FIND(MID(UPPER(TRIM(H145)),{5,6,7,8,9},1),"0123456789")))=0),"OK","Wrong format"))</f>
        <v/>
      </c>
      <c r="AM145" s="28">
        <f>IF(NOT(COUNTA(A145:AE145)&gt;0),"",IF(AS145&lt;&gt;"","✖ "&amp;LEFT(AS145,LEN(AS145)-2),IF(AR145&gt;0,"✔ Ready — client + "&amp;AR145&amp;" service(s)","✔ Ready — client only")))</f>
        <v/>
      </c>
      <c r="AN145" s="29">
        <f>UPPER(SUBSTITUTE(TRIM(F145)," ",""))</f>
        <v/>
      </c>
      <c r="AO145" s="29">
        <f>UPPER(SUBSTITUTE(TRIM(E145)," ",""))</f>
        <v/>
      </c>
      <c r="AP145" s="29">
        <f>IF(D145&lt;&gt;"",D145,IFERROR(VLOOKUP(MID(AG145,4,1),Lists!$E$2:$F$8,2,FALSE),""))</f>
        <v/>
      </c>
      <c r="AQ145" s="29">
        <f>IFERROR(VLOOKUP(AP145,Lists!$A$2:$C$12,3,FALSE),"")</f>
        <v/>
      </c>
      <c r="AR145" s="29">
        <f>COUNTIF(W145:AC145,"Yes")</f>
        <v/>
      </c>
      <c r="AS145" s="29">
        <f>IF(TRIM(B145)="","Legal name missing; ","")&amp;IF(AND(AJ145&lt;&gt;"",AJ145&lt;&gt;"OK"),"GSTIN: "&amp;AJ145&amp;"; ","")&amp;IF(AND(AK145&lt;&gt;"",AK145&lt;&gt;"OK"),"PAN wrong format; ","")&amp;IF(AND(AO145&lt;&gt;"",LEN(AN145)=15,MID(AN145,3,10)&lt;&gt;AO145),"PAN does not match GSTIN; ","")&amp;IF(AND(AL145&lt;&gt;"",AL145&lt;&gt;"OK"),"TAN wrong format; ","")&amp;IF(AG145="","PAN missing; ","")&amp;IF(AP145="","Entity type missing; ","")&amp;IF(AND(AN145&lt;&gt;"",COUNTIF($AN$6:$AN$1005,AN145)&gt;1),"GSTIN repeated in this sheet; ","")&amp;IF(AND(AG145&lt;&gt;"",COUNTIF($AG$6:$AG$1005,AG145)&gt;1),"PAN repeated in this sheet (same client? put extra GSTINs in Other GSTINs); ","")&amp;IF(AND(AR145&gt;0,V145=""),"Financial year missing; ","")&amp;IF(AND(AR145=0,V145&lt;&gt;""),"Financial year given but no service is Yes; ","")&amp;IF(AND(W145="Yes",AN145=""),"GST needs a GSTIN; ","")&amp;IF(AND(W145="Yes",X145=""),"GST return frequency missing; ","")&amp;IF(AND(Y145="Yes",TRIM(H145)=""),"TDS needs a TAN; ","")&amp;IF(AND(AA145="Yes",AQ145&lt;&gt;"",AQ145&lt;&gt;"company",AQ145&lt;&gt;"llp"),"ROC is only for a company / LLP; ","")&amp;IF(AND(AA145="Yes",OR(AQ145="company",AQ145="llp"),TRIM(I145)=""),"ROC needs the CIN / LLPIN; ","")</f>
        <v/>
      </c>
    </row>
    <row r="146">
      <c r="A146" s="30" t="n"/>
      <c r="B146" s="31" t="n"/>
      <c r="C146" s="31" t="n"/>
      <c r="D146" s="31" t="n"/>
      <c r="E146" s="30" t="n"/>
      <c r="F146" s="30" t="n"/>
      <c r="G146" s="30" t="n"/>
      <c r="H146" s="30" t="n"/>
      <c r="I146" s="30" t="n"/>
      <c r="J146" s="32" t="n"/>
      <c r="K146" s="31" t="n"/>
      <c r="L146" s="30" t="n"/>
      <c r="M146" s="31" t="n"/>
      <c r="N146" s="31" t="n"/>
      <c r="O146" s="31" t="n"/>
      <c r="P146" s="30" t="n"/>
      <c r="Q146" s="31" t="n"/>
      <c r="R146" s="31" t="n"/>
      <c r="S146" s="31" t="n"/>
      <c r="T146" s="31" t="n"/>
      <c r="U146" s="30" t="n"/>
      <c r="V146" s="31" t="n"/>
      <c r="W146" s="31" t="n"/>
      <c r="X146" s="31" t="n"/>
      <c r="Y146" s="31" t="n"/>
      <c r="Z146" s="31" t="n"/>
      <c r="AA146" s="31" t="n"/>
      <c r="AB146" s="31" t="n"/>
      <c r="AC146" s="31" t="n"/>
      <c r="AD146" s="31" t="n"/>
      <c r="AE146" s="31" t="n"/>
      <c r="AF146" s="27">
        <f>IF(NOT(COUNTA(A146:AE146)&gt;0),"",IF(A146="","New client","Update"))</f>
        <v/>
      </c>
      <c r="AG146" s="27">
        <f>IF(AO146&lt;&gt;"",AO146,IF(LEN(AN146)=15,MID(AN146,3,10),""))</f>
        <v/>
      </c>
      <c r="AH146" s="27">
        <f>IF(AP146="","",AP146&amp;IF(D146="","  (guessed from PAN)",""))</f>
        <v/>
      </c>
      <c r="AI146" s="27">
        <f>IF(AN146="","",IFERROR(INDEX(Lists!$L$2:$L$38,MATCH(LEFT(AN146,2),Lists!$K$2:$K$38,0)),"Unknown code"))</f>
        <v/>
      </c>
      <c r="AJ146" s="27">
        <f>IF(AN146="","",IFERROR(IF(NOT(AND(LEN(AN146)=15,ISNUMBER(MATCH(LEFT(AN146,2),Lists!$K$2:$K$38,0)),SUMPRODUCT(--ISERROR(FIND(MID(MID(AN146,3,10),{1,2,3,4,5,10},1),"ABCDEFGHIJKLMNOPQRSTUVWXYZ")))=0,SUMPRODUCT(--ISERROR(FIND(MID(MID(AN146,3,10),{6,7,8,9},1),"0123456789")))=0,ISNUMBER(FIND(MID(AN146,13,1),"123456789ABCDEFGHIJKLMNOPQRSTUVWXYZ")),MID(AN146,14,1)="Z")),"Wrong format",IF(MID("0123456789ABCDEFGHIJKLMNOPQRSTUVWXYZ",MOD(36-MOD(SUMPRODUCT(INT((FIND(MID(AN146,{1,2,3,4,5,6,7,8,9,10,11,12,13,14},1),"0123456789ABCDEFGHIJKLMNOPQRSTUVWXYZ")-1)*{1,2,1,2,1,2,1,2,1,2,1,2,1,2}/36)+MOD((FIND(MID(AN146,{1,2,3,4,5,6,7,8,9,10,11,12,13,14},1),"0123456789ABCDEFGHIJKLMNOPQRSTUVWXYZ")-1)*{1,2,1,2,1,2,1,2,1,2,1,2,1,2},36)),36),36)+1,1)=MID(AN146,15,1),"OK","Typo? check digit wrong")),"Wrong format"))</f>
        <v/>
      </c>
      <c r="AK146" s="27">
        <f>IF(AO146="","",IF(AND(LEN(AO146)=10,SUMPRODUCT(--ISERROR(FIND(MID(AO146,{1,2,3,4,5,10},1),"ABCDEFGHIJKLMNOPQRSTUVWXYZ")))=0,SUMPRODUCT(--ISERROR(FIND(MID(AO146,{6,7,8,9},1),"0123456789")))=0),"OK","Wrong format"))</f>
        <v/>
      </c>
      <c r="AL146" s="27">
        <f>IF(TRIM(H146)="","",IF(AND(LEN(UPPER(TRIM(H146)))=10,SUMPRODUCT(--ISERROR(FIND(MID(UPPER(TRIM(H146)),{1,2,3,4,10},1),"ABCDEFGHIJKLMNOPQRSTUVWXYZ")))=0,SUMPRODUCT(--ISERROR(FIND(MID(UPPER(TRIM(H146)),{5,6,7,8,9},1),"0123456789")))=0),"OK","Wrong format"))</f>
        <v/>
      </c>
      <c r="AM146" s="28">
        <f>IF(NOT(COUNTA(A146:AE146)&gt;0),"",IF(AS146&lt;&gt;"","✖ "&amp;LEFT(AS146,LEN(AS146)-2),IF(AR146&gt;0,"✔ Ready — client + "&amp;AR146&amp;" service(s)","✔ Ready — client only")))</f>
        <v/>
      </c>
      <c r="AN146" s="29">
        <f>UPPER(SUBSTITUTE(TRIM(F146)," ",""))</f>
        <v/>
      </c>
      <c r="AO146" s="29">
        <f>UPPER(SUBSTITUTE(TRIM(E146)," ",""))</f>
        <v/>
      </c>
      <c r="AP146" s="29">
        <f>IF(D146&lt;&gt;"",D146,IFERROR(VLOOKUP(MID(AG146,4,1),Lists!$E$2:$F$8,2,FALSE),""))</f>
        <v/>
      </c>
      <c r="AQ146" s="29">
        <f>IFERROR(VLOOKUP(AP146,Lists!$A$2:$C$12,3,FALSE),"")</f>
        <v/>
      </c>
      <c r="AR146" s="29">
        <f>COUNTIF(W146:AC146,"Yes")</f>
        <v/>
      </c>
      <c r="AS146" s="29">
        <f>IF(TRIM(B146)="","Legal name missing; ","")&amp;IF(AND(AJ146&lt;&gt;"",AJ146&lt;&gt;"OK"),"GSTIN: "&amp;AJ146&amp;"; ","")&amp;IF(AND(AK146&lt;&gt;"",AK146&lt;&gt;"OK"),"PAN wrong format; ","")&amp;IF(AND(AO146&lt;&gt;"",LEN(AN146)=15,MID(AN146,3,10)&lt;&gt;AO146),"PAN does not match GSTIN; ","")&amp;IF(AND(AL146&lt;&gt;"",AL146&lt;&gt;"OK"),"TAN wrong format; ","")&amp;IF(AG146="","PAN missing; ","")&amp;IF(AP146="","Entity type missing; ","")&amp;IF(AND(AN146&lt;&gt;"",COUNTIF($AN$6:$AN$1005,AN146)&gt;1),"GSTIN repeated in this sheet; ","")&amp;IF(AND(AG146&lt;&gt;"",COUNTIF($AG$6:$AG$1005,AG146)&gt;1),"PAN repeated in this sheet (same client? put extra GSTINs in Other GSTINs); ","")&amp;IF(AND(AR146&gt;0,V146=""),"Financial year missing; ","")&amp;IF(AND(AR146=0,V146&lt;&gt;""),"Financial year given but no service is Yes; ","")&amp;IF(AND(W146="Yes",AN146=""),"GST needs a GSTIN; ","")&amp;IF(AND(W146="Yes",X146=""),"GST return frequency missing; ","")&amp;IF(AND(Y146="Yes",TRIM(H146)=""),"TDS needs a TAN; ","")&amp;IF(AND(AA146="Yes",AQ146&lt;&gt;"",AQ146&lt;&gt;"company",AQ146&lt;&gt;"llp"),"ROC is only for a company / LLP; ","")&amp;IF(AND(AA146="Yes",OR(AQ146="company",AQ146="llp"),TRIM(I146)=""),"ROC needs the CIN / LLPIN; ","")</f>
        <v/>
      </c>
    </row>
    <row r="147">
      <c r="A147" s="30" t="n"/>
      <c r="B147" s="31" t="n"/>
      <c r="C147" s="31" t="n"/>
      <c r="D147" s="31" t="n"/>
      <c r="E147" s="30" t="n"/>
      <c r="F147" s="30" t="n"/>
      <c r="G147" s="30" t="n"/>
      <c r="H147" s="30" t="n"/>
      <c r="I147" s="30" t="n"/>
      <c r="J147" s="32" t="n"/>
      <c r="K147" s="31" t="n"/>
      <c r="L147" s="30" t="n"/>
      <c r="M147" s="31" t="n"/>
      <c r="N147" s="31" t="n"/>
      <c r="O147" s="31" t="n"/>
      <c r="P147" s="30" t="n"/>
      <c r="Q147" s="31" t="n"/>
      <c r="R147" s="31" t="n"/>
      <c r="S147" s="31" t="n"/>
      <c r="T147" s="31" t="n"/>
      <c r="U147" s="30" t="n"/>
      <c r="V147" s="31" t="n"/>
      <c r="W147" s="31" t="n"/>
      <c r="X147" s="31" t="n"/>
      <c r="Y147" s="31" t="n"/>
      <c r="Z147" s="31" t="n"/>
      <c r="AA147" s="31" t="n"/>
      <c r="AB147" s="31" t="n"/>
      <c r="AC147" s="31" t="n"/>
      <c r="AD147" s="31" t="n"/>
      <c r="AE147" s="31" t="n"/>
      <c r="AF147" s="27">
        <f>IF(NOT(COUNTA(A147:AE147)&gt;0),"",IF(A147="","New client","Update"))</f>
        <v/>
      </c>
      <c r="AG147" s="27">
        <f>IF(AO147&lt;&gt;"",AO147,IF(LEN(AN147)=15,MID(AN147,3,10),""))</f>
        <v/>
      </c>
      <c r="AH147" s="27">
        <f>IF(AP147="","",AP147&amp;IF(D147="","  (guessed from PAN)",""))</f>
        <v/>
      </c>
      <c r="AI147" s="27">
        <f>IF(AN147="","",IFERROR(INDEX(Lists!$L$2:$L$38,MATCH(LEFT(AN147,2),Lists!$K$2:$K$38,0)),"Unknown code"))</f>
        <v/>
      </c>
      <c r="AJ147" s="27">
        <f>IF(AN147="","",IFERROR(IF(NOT(AND(LEN(AN147)=15,ISNUMBER(MATCH(LEFT(AN147,2),Lists!$K$2:$K$38,0)),SUMPRODUCT(--ISERROR(FIND(MID(MID(AN147,3,10),{1,2,3,4,5,10},1),"ABCDEFGHIJKLMNOPQRSTUVWXYZ")))=0,SUMPRODUCT(--ISERROR(FIND(MID(MID(AN147,3,10),{6,7,8,9},1),"0123456789")))=0,ISNUMBER(FIND(MID(AN147,13,1),"123456789ABCDEFGHIJKLMNOPQRSTUVWXYZ")),MID(AN147,14,1)="Z")),"Wrong format",IF(MID("0123456789ABCDEFGHIJKLMNOPQRSTUVWXYZ",MOD(36-MOD(SUMPRODUCT(INT((FIND(MID(AN147,{1,2,3,4,5,6,7,8,9,10,11,12,13,14},1),"0123456789ABCDEFGHIJKLMNOPQRSTUVWXYZ")-1)*{1,2,1,2,1,2,1,2,1,2,1,2,1,2}/36)+MOD((FIND(MID(AN147,{1,2,3,4,5,6,7,8,9,10,11,12,13,14},1),"0123456789ABCDEFGHIJKLMNOPQRSTUVWXYZ")-1)*{1,2,1,2,1,2,1,2,1,2,1,2,1,2},36)),36),36)+1,1)=MID(AN147,15,1),"OK","Typo? check digit wrong")),"Wrong format"))</f>
        <v/>
      </c>
      <c r="AK147" s="27">
        <f>IF(AO147="","",IF(AND(LEN(AO147)=10,SUMPRODUCT(--ISERROR(FIND(MID(AO147,{1,2,3,4,5,10},1),"ABCDEFGHIJKLMNOPQRSTUVWXYZ")))=0,SUMPRODUCT(--ISERROR(FIND(MID(AO147,{6,7,8,9},1),"0123456789")))=0),"OK","Wrong format"))</f>
        <v/>
      </c>
      <c r="AL147" s="27">
        <f>IF(TRIM(H147)="","",IF(AND(LEN(UPPER(TRIM(H147)))=10,SUMPRODUCT(--ISERROR(FIND(MID(UPPER(TRIM(H147)),{1,2,3,4,10},1),"ABCDEFGHIJKLMNOPQRSTUVWXYZ")))=0,SUMPRODUCT(--ISERROR(FIND(MID(UPPER(TRIM(H147)),{5,6,7,8,9},1),"0123456789")))=0),"OK","Wrong format"))</f>
        <v/>
      </c>
      <c r="AM147" s="28">
        <f>IF(NOT(COUNTA(A147:AE147)&gt;0),"",IF(AS147&lt;&gt;"","✖ "&amp;LEFT(AS147,LEN(AS147)-2),IF(AR147&gt;0,"✔ Ready — client + "&amp;AR147&amp;" service(s)","✔ Ready — client only")))</f>
        <v/>
      </c>
      <c r="AN147" s="29">
        <f>UPPER(SUBSTITUTE(TRIM(F147)," ",""))</f>
        <v/>
      </c>
      <c r="AO147" s="29">
        <f>UPPER(SUBSTITUTE(TRIM(E147)," ",""))</f>
        <v/>
      </c>
      <c r="AP147" s="29">
        <f>IF(D147&lt;&gt;"",D147,IFERROR(VLOOKUP(MID(AG147,4,1),Lists!$E$2:$F$8,2,FALSE),""))</f>
        <v/>
      </c>
      <c r="AQ147" s="29">
        <f>IFERROR(VLOOKUP(AP147,Lists!$A$2:$C$12,3,FALSE),"")</f>
        <v/>
      </c>
      <c r="AR147" s="29">
        <f>COUNTIF(W147:AC147,"Yes")</f>
        <v/>
      </c>
      <c r="AS147" s="29">
        <f>IF(TRIM(B147)="","Legal name missing; ","")&amp;IF(AND(AJ147&lt;&gt;"",AJ147&lt;&gt;"OK"),"GSTIN: "&amp;AJ147&amp;"; ","")&amp;IF(AND(AK147&lt;&gt;"",AK147&lt;&gt;"OK"),"PAN wrong format; ","")&amp;IF(AND(AO147&lt;&gt;"",LEN(AN147)=15,MID(AN147,3,10)&lt;&gt;AO147),"PAN does not match GSTIN; ","")&amp;IF(AND(AL147&lt;&gt;"",AL147&lt;&gt;"OK"),"TAN wrong format; ","")&amp;IF(AG147="","PAN missing; ","")&amp;IF(AP147="","Entity type missing; ","")&amp;IF(AND(AN147&lt;&gt;"",COUNTIF($AN$6:$AN$1005,AN147)&gt;1),"GSTIN repeated in this sheet; ","")&amp;IF(AND(AG147&lt;&gt;"",COUNTIF($AG$6:$AG$1005,AG147)&gt;1),"PAN repeated in this sheet (same client? put extra GSTINs in Other GSTINs); ","")&amp;IF(AND(AR147&gt;0,V147=""),"Financial year missing; ","")&amp;IF(AND(AR147=0,V147&lt;&gt;""),"Financial year given but no service is Yes; ","")&amp;IF(AND(W147="Yes",AN147=""),"GST needs a GSTIN; ","")&amp;IF(AND(W147="Yes",X147=""),"GST return frequency missing; ","")&amp;IF(AND(Y147="Yes",TRIM(H147)=""),"TDS needs a TAN; ","")&amp;IF(AND(AA147="Yes",AQ147&lt;&gt;"",AQ147&lt;&gt;"company",AQ147&lt;&gt;"llp"),"ROC is only for a company / LLP; ","")&amp;IF(AND(AA147="Yes",OR(AQ147="company",AQ147="llp"),TRIM(I147)=""),"ROC needs the CIN / LLPIN; ","")</f>
        <v/>
      </c>
    </row>
    <row r="148">
      <c r="A148" s="30" t="n"/>
      <c r="B148" s="31" t="n"/>
      <c r="C148" s="31" t="n"/>
      <c r="D148" s="31" t="n"/>
      <c r="E148" s="30" t="n"/>
      <c r="F148" s="30" t="n"/>
      <c r="G148" s="30" t="n"/>
      <c r="H148" s="30" t="n"/>
      <c r="I148" s="30" t="n"/>
      <c r="J148" s="32" t="n"/>
      <c r="K148" s="31" t="n"/>
      <c r="L148" s="30" t="n"/>
      <c r="M148" s="31" t="n"/>
      <c r="N148" s="31" t="n"/>
      <c r="O148" s="31" t="n"/>
      <c r="P148" s="30" t="n"/>
      <c r="Q148" s="31" t="n"/>
      <c r="R148" s="31" t="n"/>
      <c r="S148" s="31" t="n"/>
      <c r="T148" s="31" t="n"/>
      <c r="U148" s="30" t="n"/>
      <c r="V148" s="31" t="n"/>
      <c r="W148" s="31" t="n"/>
      <c r="X148" s="31" t="n"/>
      <c r="Y148" s="31" t="n"/>
      <c r="Z148" s="31" t="n"/>
      <c r="AA148" s="31" t="n"/>
      <c r="AB148" s="31" t="n"/>
      <c r="AC148" s="31" t="n"/>
      <c r="AD148" s="31" t="n"/>
      <c r="AE148" s="31" t="n"/>
      <c r="AF148" s="27">
        <f>IF(NOT(COUNTA(A148:AE148)&gt;0),"",IF(A148="","New client","Update"))</f>
        <v/>
      </c>
      <c r="AG148" s="27">
        <f>IF(AO148&lt;&gt;"",AO148,IF(LEN(AN148)=15,MID(AN148,3,10),""))</f>
        <v/>
      </c>
      <c r="AH148" s="27">
        <f>IF(AP148="","",AP148&amp;IF(D148="","  (guessed from PAN)",""))</f>
        <v/>
      </c>
      <c r="AI148" s="27">
        <f>IF(AN148="","",IFERROR(INDEX(Lists!$L$2:$L$38,MATCH(LEFT(AN148,2),Lists!$K$2:$K$38,0)),"Unknown code"))</f>
        <v/>
      </c>
      <c r="AJ148" s="27">
        <f>IF(AN148="","",IFERROR(IF(NOT(AND(LEN(AN148)=15,ISNUMBER(MATCH(LEFT(AN148,2),Lists!$K$2:$K$38,0)),SUMPRODUCT(--ISERROR(FIND(MID(MID(AN148,3,10),{1,2,3,4,5,10},1),"ABCDEFGHIJKLMNOPQRSTUVWXYZ")))=0,SUMPRODUCT(--ISERROR(FIND(MID(MID(AN148,3,10),{6,7,8,9},1),"0123456789")))=0,ISNUMBER(FIND(MID(AN148,13,1),"123456789ABCDEFGHIJKLMNOPQRSTUVWXYZ")),MID(AN148,14,1)="Z")),"Wrong format",IF(MID("0123456789ABCDEFGHIJKLMNOPQRSTUVWXYZ",MOD(36-MOD(SUMPRODUCT(INT((FIND(MID(AN148,{1,2,3,4,5,6,7,8,9,10,11,12,13,14},1),"0123456789ABCDEFGHIJKLMNOPQRSTUVWXYZ")-1)*{1,2,1,2,1,2,1,2,1,2,1,2,1,2}/36)+MOD((FIND(MID(AN148,{1,2,3,4,5,6,7,8,9,10,11,12,13,14},1),"0123456789ABCDEFGHIJKLMNOPQRSTUVWXYZ")-1)*{1,2,1,2,1,2,1,2,1,2,1,2,1,2},36)),36),36)+1,1)=MID(AN148,15,1),"OK","Typo? check digit wrong")),"Wrong format"))</f>
        <v/>
      </c>
      <c r="AK148" s="27">
        <f>IF(AO148="","",IF(AND(LEN(AO148)=10,SUMPRODUCT(--ISERROR(FIND(MID(AO148,{1,2,3,4,5,10},1),"ABCDEFGHIJKLMNOPQRSTUVWXYZ")))=0,SUMPRODUCT(--ISERROR(FIND(MID(AO148,{6,7,8,9},1),"0123456789")))=0),"OK","Wrong format"))</f>
        <v/>
      </c>
      <c r="AL148" s="27">
        <f>IF(TRIM(H148)="","",IF(AND(LEN(UPPER(TRIM(H148)))=10,SUMPRODUCT(--ISERROR(FIND(MID(UPPER(TRIM(H148)),{1,2,3,4,10},1),"ABCDEFGHIJKLMNOPQRSTUVWXYZ")))=0,SUMPRODUCT(--ISERROR(FIND(MID(UPPER(TRIM(H148)),{5,6,7,8,9},1),"0123456789")))=0),"OK","Wrong format"))</f>
        <v/>
      </c>
      <c r="AM148" s="28">
        <f>IF(NOT(COUNTA(A148:AE148)&gt;0),"",IF(AS148&lt;&gt;"","✖ "&amp;LEFT(AS148,LEN(AS148)-2),IF(AR148&gt;0,"✔ Ready — client + "&amp;AR148&amp;" service(s)","✔ Ready — client only")))</f>
        <v/>
      </c>
      <c r="AN148" s="29">
        <f>UPPER(SUBSTITUTE(TRIM(F148)," ",""))</f>
        <v/>
      </c>
      <c r="AO148" s="29">
        <f>UPPER(SUBSTITUTE(TRIM(E148)," ",""))</f>
        <v/>
      </c>
      <c r="AP148" s="29">
        <f>IF(D148&lt;&gt;"",D148,IFERROR(VLOOKUP(MID(AG148,4,1),Lists!$E$2:$F$8,2,FALSE),""))</f>
        <v/>
      </c>
      <c r="AQ148" s="29">
        <f>IFERROR(VLOOKUP(AP148,Lists!$A$2:$C$12,3,FALSE),"")</f>
        <v/>
      </c>
      <c r="AR148" s="29">
        <f>COUNTIF(W148:AC148,"Yes")</f>
        <v/>
      </c>
      <c r="AS148" s="29">
        <f>IF(TRIM(B148)="","Legal name missing; ","")&amp;IF(AND(AJ148&lt;&gt;"",AJ148&lt;&gt;"OK"),"GSTIN: "&amp;AJ148&amp;"; ","")&amp;IF(AND(AK148&lt;&gt;"",AK148&lt;&gt;"OK"),"PAN wrong format; ","")&amp;IF(AND(AO148&lt;&gt;"",LEN(AN148)=15,MID(AN148,3,10)&lt;&gt;AO148),"PAN does not match GSTIN; ","")&amp;IF(AND(AL148&lt;&gt;"",AL148&lt;&gt;"OK"),"TAN wrong format; ","")&amp;IF(AG148="","PAN missing; ","")&amp;IF(AP148="","Entity type missing; ","")&amp;IF(AND(AN148&lt;&gt;"",COUNTIF($AN$6:$AN$1005,AN148)&gt;1),"GSTIN repeated in this sheet; ","")&amp;IF(AND(AG148&lt;&gt;"",COUNTIF($AG$6:$AG$1005,AG148)&gt;1),"PAN repeated in this sheet (same client? put extra GSTINs in Other GSTINs); ","")&amp;IF(AND(AR148&gt;0,V148=""),"Financial year missing; ","")&amp;IF(AND(AR148=0,V148&lt;&gt;""),"Financial year given but no service is Yes; ","")&amp;IF(AND(W148="Yes",AN148=""),"GST needs a GSTIN; ","")&amp;IF(AND(W148="Yes",X148=""),"GST return frequency missing; ","")&amp;IF(AND(Y148="Yes",TRIM(H148)=""),"TDS needs a TAN; ","")&amp;IF(AND(AA148="Yes",AQ148&lt;&gt;"",AQ148&lt;&gt;"company",AQ148&lt;&gt;"llp"),"ROC is only for a company / LLP; ","")&amp;IF(AND(AA148="Yes",OR(AQ148="company",AQ148="llp"),TRIM(I148)=""),"ROC needs the CIN / LLPIN; ","")</f>
        <v/>
      </c>
    </row>
    <row r="149">
      <c r="A149" s="30" t="n"/>
      <c r="B149" s="31" t="n"/>
      <c r="C149" s="31" t="n"/>
      <c r="D149" s="31" t="n"/>
      <c r="E149" s="30" t="n"/>
      <c r="F149" s="30" t="n"/>
      <c r="G149" s="30" t="n"/>
      <c r="H149" s="30" t="n"/>
      <c r="I149" s="30" t="n"/>
      <c r="J149" s="32" t="n"/>
      <c r="K149" s="31" t="n"/>
      <c r="L149" s="30" t="n"/>
      <c r="M149" s="31" t="n"/>
      <c r="N149" s="31" t="n"/>
      <c r="O149" s="31" t="n"/>
      <c r="P149" s="30" t="n"/>
      <c r="Q149" s="31" t="n"/>
      <c r="R149" s="31" t="n"/>
      <c r="S149" s="31" t="n"/>
      <c r="T149" s="31" t="n"/>
      <c r="U149" s="30" t="n"/>
      <c r="V149" s="31" t="n"/>
      <c r="W149" s="31" t="n"/>
      <c r="X149" s="31" t="n"/>
      <c r="Y149" s="31" t="n"/>
      <c r="Z149" s="31" t="n"/>
      <c r="AA149" s="31" t="n"/>
      <c r="AB149" s="31" t="n"/>
      <c r="AC149" s="31" t="n"/>
      <c r="AD149" s="31" t="n"/>
      <c r="AE149" s="31" t="n"/>
      <c r="AF149" s="27">
        <f>IF(NOT(COUNTA(A149:AE149)&gt;0),"",IF(A149="","New client","Update"))</f>
        <v/>
      </c>
      <c r="AG149" s="27">
        <f>IF(AO149&lt;&gt;"",AO149,IF(LEN(AN149)=15,MID(AN149,3,10),""))</f>
        <v/>
      </c>
      <c r="AH149" s="27">
        <f>IF(AP149="","",AP149&amp;IF(D149="","  (guessed from PAN)",""))</f>
        <v/>
      </c>
      <c r="AI149" s="27">
        <f>IF(AN149="","",IFERROR(INDEX(Lists!$L$2:$L$38,MATCH(LEFT(AN149,2),Lists!$K$2:$K$38,0)),"Unknown code"))</f>
        <v/>
      </c>
      <c r="AJ149" s="27">
        <f>IF(AN149="","",IFERROR(IF(NOT(AND(LEN(AN149)=15,ISNUMBER(MATCH(LEFT(AN149,2),Lists!$K$2:$K$38,0)),SUMPRODUCT(--ISERROR(FIND(MID(MID(AN149,3,10),{1,2,3,4,5,10},1),"ABCDEFGHIJKLMNOPQRSTUVWXYZ")))=0,SUMPRODUCT(--ISERROR(FIND(MID(MID(AN149,3,10),{6,7,8,9},1),"0123456789")))=0,ISNUMBER(FIND(MID(AN149,13,1),"123456789ABCDEFGHIJKLMNOPQRSTUVWXYZ")),MID(AN149,14,1)="Z")),"Wrong format",IF(MID("0123456789ABCDEFGHIJKLMNOPQRSTUVWXYZ",MOD(36-MOD(SUMPRODUCT(INT((FIND(MID(AN149,{1,2,3,4,5,6,7,8,9,10,11,12,13,14},1),"0123456789ABCDEFGHIJKLMNOPQRSTUVWXYZ")-1)*{1,2,1,2,1,2,1,2,1,2,1,2,1,2}/36)+MOD((FIND(MID(AN149,{1,2,3,4,5,6,7,8,9,10,11,12,13,14},1),"0123456789ABCDEFGHIJKLMNOPQRSTUVWXYZ")-1)*{1,2,1,2,1,2,1,2,1,2,1,2,1,2},36)),36),36)+1,1)=MID(AN149,15,1),"OK","Typo? check digit wrong")),"Wrong format"))</f>
        <v/>
      </c>
      <c r="AK149" s="27">
        <f>IF(AO149="","",IF(AND(LEN(AO149)=10,SUMPRODUCT(--ISERROR(FIND(MID(AO149,{1,2,3,4,5,10},1),"ABCDEFGHIJKLMNOPQRSTUVWXYZ")))=0,SUMPRODUCT(--ISERROR(FIND(MID(AO149,{6,7,8,9},1),"0123456789")))=0),"OK","Wrong format"))</f>
        <v/>
      </c>
      <c r="AL149" s="27">
        <f>IF(TRIM(H149)="","",IF(AND(LEN(UPPER(TRIM(H149)))=10,SUMPRODUCT(--ISERROR(FIND(MID(UPPER(TRIM(H149)),{1,2,3,4,10},1),"ABCDEFGHIJKLMNOPQRSTUVWXYZ")))=0,SUMPRODUCT(--ISERROR(FIND(MID(UPPER(TRIM(H149)),{5,6,7,8,9},1),"0123456789")))=0),"OK","Wrong format"))</f>
        <v/>
      </c>
      <c r="AM149" s="28">
        <f>IF(NOT(COUNTA(A149:AE149)&gt;0),"",IF(AS149&lt;&gt;"","✖ "&amp;LEFT(AS149,LEN(AS149)-2),IF(AR149&gt;0,"✔ Ready — client + "&amp;AR149&amp;" service(s)","✔ Ready — client only")))</f>
        <v/>
      </c>
      <c r="AN149" s="29">
        <f>UPPER(SUBSTITUTE(TRIM(F149)," ",""))</f>
        <v/>
      </c>
      <c r="AO149" s="29">
        <f>UPPER(SUBSTITUTE(TRIM(E149)," ",""))</f>
        <v/>
      </c>
      <c r="AP149" s="29">
        <f>IF(D149&lt;&gt;"",D149,IFERROR(VLOOKUP(MID(AG149,4,1),Lists!$E$2:$F$8,2,FALSE),""))</f>
        <v/>
      </c>
      <c r="AQ149" s="29">
        <f>IFERROR(VLOOKUP(AP149,Lists!$A$2:$C$12,3,FALSE),"")</f>
        <v/>
      </c>
      <c r="AR149" s="29">
        <f>COUNTIF(W149:AC149,"Yes")</f>
        <v/>
      </c>
      <c r="AS149" s="29">
        <f>IF(TRIM(B149)="","Legal name missing; ","")&amp;IF(AND(AJ149&lt;&gt;"",AJ149&lt;&gt;"OK"),"GSTIN: "&amp;AJ149&amp;"; ","")&amp;IF(AND(AK149&lt;&gt;"",AK149&lt;&gt;"OK"),"PAN wrong format; ","")&amp;IF(AND(AO149&lt;&gt;"",LEN(AN149)=15,MID(AN149,3,10)&lt;&gt;AO149),"PAN does not match GSTIN; ","")&amp;IF(AND(AL149&lt;&gt;"",AL149&lt;&gt;"OK"),"TAN wrong format; ","")&amp;IF(AG149="","PAN missing; ","")&amp;IF(AP149="","Entity type missing; ","")&amp;IF(AND(AN149&lt;&gt;"",COUNTIF($AN$6:$AN$1005,AN149)&gt;1),"GSTIN repeated in this sheet; ","")&amp;IF(AND(AG149&lt;&gt;"",COUNTIF($AG$6:$AG$1005,AG149)&gt;1),"PAN repeated in this sheet (same client? put extra GSTINs in Other GSTINs); ","")&amp;IF(AND(AR149&gt;0,V149=""),"Financial year missing; ","")&amp;IF(AND(AR149=0,V149&lt;&gt;""),"Financial year given but no service is Yes; ","")&amp;IF(AND(W149="Yes",AN149=""),"GST needs a GSTIN; ","")&amp;IF(AND(W149="Yes",X149=""),"GST return frequency missing; ","")&amp;IF(AND(Y149="Yes",TRIM(H149)=""),"TDS needs a TAN; ","")&amp;IF(AND(AA149="Yes",AQ149&lt;&gt;"",AQ149&lt;&gt;"company",AQ149&lt;&gt;"llp"),"ROC is only for a company / LLP; ","")&amp;IF(AND(AA149="Yes",OR(AQ149="company",AQ149="llp"),TRIM(I149)=""),"ROC needs the CIN / LLPIN; ","")</f>
        <v/>
      </c>
    </row>
    <row r="150">
      <c r="A150" s="30" t="n"/>
      <c r="B150" s="31" t="n"/>
      <c r="C150" s="31" t="n"/>
      <c r="D150" s="31" t="n"/>
      <c r="E150" s="30" t="n"/>
      <c r="F150" s="30" t="n"/>
      <c r="G150" s="30" t="n"/>
      <c r="H150" s="30" t="n"/>
      <c r="I150" s="30" t="n"/>
      <c r="J150" s="32" t="n"/>
      <c r="K150" s="31" t="n"/>
      <c r="L150" s="30" t="n"/>
      <c r="M150" s="31" t="n"/>
      <c r="N150" s="31" t="n"/>
      <c r="O150" s="31" t="n"/>
      <c r="P150" s="30" t="n"/>
      <c r="Q150" s="31" t="n"/>
      <c r="R150" s="31" t="n"/>
      <c r="S150" s="31" t="n"/>
      <c r="T150" s="31" t="n"/>
      <c r="U150" s="30" t="n"/>
      <c r="V150" s="31" t="n"/>
      <c r="W150" s="31" t="n"/>
      <c r="X150" s="31" t="n"/>
      <c r="Y150" s="31" t="n"/>
      <c r="Z150" s="31" t="n"/>
      <c r="AA150" s="31" t="n"/>
      <c r="AB150" s="31" t="n"/>
      <c r="AC150" s="31" t="n"/>
      <c r="AD150" s="31" t="n"/>
      <c r="AE150" s="31" t="n"/>
      <c r="AF150" s="27">
        <f>IF(NOT(COUNTA(A150:AE150)&gt;0),"",IF(A150="","New client","Update"))</f>
        <v/>
      </c>
      <c r="AG150" s="27">
        <f>IF(AO150&lt;&gt;"",AO150,IF(LEN(AN150)=15,MID(AN150,3,10),""))</f>
        <v/>
      </c>
      <c r="AH150" s="27">
        <f>IF(AP150="","",AP150&amp;IF(D150="","  (guessed from PAN)",""))</f>
        <v/>
      </c>
      <c r="AI150" s="27">
        <f>IF(AN150="","",IFERROR(INDEX(Lists!$L$2:$L$38,MATCH(LEFT(AN150,2),Lists!$K$2:$K$38,0)),"Unknown code"))</f>
        <v/>
      </c>
      <c r="AJ150" s="27">
        <f>IF(AN150="","",IFERROR(IF(NOT(AND(LEN(AN150)=15,ISNUMBER(MATCH(LEFT(AN150,2),Lists!$K$2:$K$38,0)),SUMPRODUCT(--ISERROR(FIND(MID(MID(AN150,3,10),{1,2,3,4,5,10},1),"ABCDEFGHIJKLMNOPQRSTUVWXYZ")))=0,SUMPRODUCT(--ISERROR(FIND(MID(MID(AN150,3,10),{6,7,8,9},1),"0123456789")))=0,ISNUMBER(FIND(MID(AN150,13,1),"123456789ABCDEFGHIJKLMNOPQRSTUVWXYZ")),MID(AN150,14,1)="Z")),"Wrong format",IF(MID("0123456789ABCDEFGHIJKLMNOPQRSTUVWXYZ",MOD(36-MOD(SUMPRODUCT(INT((FIND(MID(AN150,{1,2,3,4,5,6,7,8,9,10,11,12,13,14},1),"0123456789ABCDEFGHIJKLMNOPQRSTUVWXYZ")-1)*{1,2,1,2,1,2,1,2,1,2,1,2,1,2}/36)+MOD((FIND(MID(AN150,{1,2,3,4,5,6,7,8,9,10,11,12,13,14},1),"0123456789ABCDEFGHIJKLMNOPQRSTUVWXYZ")-1)*{1,2,1,2,1,2,1,2,1,2,1,2,1,2},36)),36),36)+1,1)=MID(AN150,15,1),"OK","Typo? check digit wrong")),"Wrong format"))</f>
        <v/>
      </c>
      <c r="AK150" s="27">
        <f>IF(AO150="","",IF(AND(LEN(AO150)=10,SUMPRODUCT(--ISERROR(FIND(MID(AO150,{1,2,3,4,5,10},1),"ABCDEFGHIJKLMNOPQRSTUVWXYZ")))=0,SUMPRODUCT(--ISERROR(FIND(MID(AO150,{6,7,8,9},1),"0123456789")))=0),"OK","Wrong format"))</f>
        <v/>
      </c>
      <c r="AL150" s="27">
        <f>IF(TRIM(H150)="","",IF(AND(LEN(UPPER(TRIM(H150)))=10,SUMPRODUCT(--ISERROR(FIND(MID(UPPER(TRIM(H150)),{1,2,3,4,10},1),"ABCDEFGHIJKLMNOPQRSTUVWXYZ")))=0,SUMPRODUCT(--ISERROR(FIND(MID(UPPER(TRIM(H150)),{5,6,7,8,9},1),"0123456789")))=0),"OK","Wrong format"))</f>
        <v/>
      </c>
      <c r="AM150" s="28">
        <f>IF(NOT(COUNTA(A150:AE150)&gt;0),"",IF(AS150&lt;&gt;"","✖ "&amp;LEFT(AS150,LEN(AS150)-2),IF(AR150&gt;0,"✔ Ready — client + "&amp;AR150&amp;" service(s)","✔ Ready — client only")))</f>
        <v/>
      </c>
      <c r="AN150" s="29">
        <f>UPPER(SUBSTITUTE(TRIM(F150)," ",""))</f>
        <v/>
      </c>
      <c r="AO150" s="29">
        <f>UPPER(SUBSTITUTE(TRIM(E150)," ",""))</f>
        <v/>
      </c>
      <c r="AP150" s="29">
        <f>IF(D150&lt;&gt;"",D150,IFERROR(VLOOKUP(MID(AG150,4,1),Lists!$E$2:$F$8,2,FALSE),""))</f>
        <v/>
      </c>
      <c r="AQ150" s="29">
        <f>IFERROR(VLOOKUP(AP150,Lists!$A$2:$C$12,3,FALSE),"")</f>
        <v/>
      </c>
      <c r="AR150" s="29">
        <f>COUNTIF(W150:AC150,"Yes")</f>
        <v/>
      </c>
      <c r="AS150" s="29">
        <f>IF(TRIM(B150)="","Legal name missing; ","")&amp;IF(AND(AJ150&lt;&gt;"",AJ150&lt;&gt;"OK"),"GSTIN: "&amp;AJ150&amp;"; ","")&amp;IF(AND(AK150&lt;&gt;"",AK150&lt;&gt;"OK"),"PAN wrong format; ","")&amp;IF(AND(AO150&lt;&gt;"",LEN(AN150)=15,MID(AN150,3,10)&lt;&gt;AO150),"PAN does not match GSTIN; ","")&amp;IF(AND(AL150&lt;&gt;"",AL150&lt;&gt;"OK"),"TAN wrong format; ","")&amp;IF(AG150="","PAN missing; ","")&amp;IF(AP150="","Entity type missing; ","")&amp;IF(AND(AN150&lt;&gt;"",COUNTIF($AN$6:$AN$1005,AN150)&gt;1),"GSTIN repeated in this sheet; ","")&amp;IF(AND(AG150&lt;&gt;"",COUNTIF($AG$6:$AG$1005,AG150)&gt;1),"PAN repeated in this sheet (same client? put extra GSTINs in Other GSTINs); ","")&amp;IF(AND(AR150&gt;0,V150=""),"Financial year missing; ","")&amp;IF(AND(AR150=0,V150&lt;&gt;""),"Financial year given but no service is Yes; ","")&amp;IF(AND(W150="Yes",AN150=""),"GST needs a GSTIN; ","")&amp;IF(AND(W150="Yes",X150=""),"GST return frequency missing; ","")&amp;IF(AND(Y150="Yes",TRIM(H150)=""),"TDS needs a TAN; ","")&amp;IF(AND(AA150="Yes",AQ150&lt;&gt;"",AQ150&lt;&gt;"company",AQ150&lt;&gt;"llp"),"ROC is only for a company / LLP; ","")&amp;IF(AND(AA150="Yes",OR(AQ150="company",AQ150="llp"),TRIM(I150)=""),"ROC needs the CIN / LLPIN; ","")</f>
        <v/>
      </c>
    </row>
    <row r="151">
      <c r="A151" s="30" t="n"/>
      <c r="B151" s="31" t="n"/>
      <c r="C151" s="31" t="n"/>
      <c r="D151" s="31" t="n"/>
      <c r="E151" s="30" t="n"/>
      <c r="F151" s="30" t="n"/>
      <c r="G151" s="30" t="n"/>
      <c r="H151" s="30" t="n"/>
      <c r="I151" s="30" t="n"/>
      <c r="J151" s="32" t="n"/>
      <c r="K151" s="31" t="n"/>
      <c r="L151" s="30" t="n"/>
      <c r="M151" s="31" t="n"/>
      <c r="N151" s="31" t="n"/>
      <c r="O151" s="31" t="n"/>
      <c r="P151" s="30" t="n"/>
      <c r="Q151" s="31" t="n"/>
      <c r="R151" s="31" t="n"/>
      <c r="S151" s="31" t="n"/>
      <c r="T151" s="31" t="n"/>
      <c r="U151" s="30" t="n"/>
      <c r="V151" s="31" t="n"/>
      <c r="W151" s="31" t="n"/>
      <c r="X151" s="31" t="n"/>
      <c r="Y151" s="31" t="n"/>
      <c r="Z151" s="31" t="n"/>
      <c r="AA151" s="31" t="n"/>
      <c r="AB151" s="31" t="n"/>
      <c r="AC151" s="31" t="n"/>
      <c r="AD151" s="31" t="n"/>
      <c r="AE151" s="31" t="n"/>
      <c r="AF151" s="27">
        <f>IF(NOT(COUNTA(A151:AE151)&gt;0),"",IF(A151="","New client","Update"))</f>
        <v/>
      </c>
      <c r="AG151" s="27">
        <f>IF(AO151&lt;&gt;"",AO151,IF(LEN(AN151)=15,MID(AN151,3,10),""))</f>
        <v/>
      </c>
      <c r="AH151" s="27">
        <f>IF(AP151="","",AP151&amp;IF(D151="","  (guessed from PAN)",""))</f>
        <v/>
      </c>
      <c r="AI151" s="27">
        <f>IF(AN151="","",IFERROR(INDEX(Lists!$L$2:$L$38,MATCH(LEFT(AN151,2),Lists!$K$2:$K$38,0)),"Unknown code"))</f>
        <v/>
      </c>
      <c r="AJ151" s="27">
        <f>IF(AN151="","",IFERROR(IF(NOT(AND(LEN(AN151)=15,ISNUMBER(MATCH(LEFT(AN151,2),Lists!$K$2:$K$38,0)),SUMPRODUCT(--ISERROR(FIND(MID(MID(AN151,3,10),{1,2,3,4,5,10},1),"ABCDEFGHIJKLMNOPQRSTUVWXYZ")))=0,SUMPRODUCT(--ISERROR(FIND(MID(MID(AN151,3,10),{6,7,8,9},1),"0123456789")))=0,ISNUMBER(FIND(MID(AN151,13,1),"123456789ABCDEFGHIJKLMNOPQRSTUVWXYZ")),MID(AN151,14,1)="Z")),"Wrong format",IF(MID("0123456789ABCDEFGHIJKLMNOPQRSTUVWXYZ",MOD(36-MOD(SUMPRODUCT(INT((FIND(MID(AN151,{1,2,3,4,5,6,7,8,9,10,11,12,13,14},1),"0123456789ABCDEFGHIJKLMNOPQRSTUVWXYZ")-1)*{1,2,1,2,1,2,1,2,1,2,1,2,1,2}/36)+MOD((FIND(MID(AN151,{1,2,3,4,5,6,7,8,9,10,11,12,13,14},1),"0123456789ABCDEFGHIJKLMNOPQRSTUVWXYZ")-1)*{1,2,1,2,1,2,1,2,1,2,1,2,1,2},36)),36),36)+1,1)=MID(AN151,15,1),"OK","Typo? check digit wrong")),"Wrong format"))</f>
        <v/>
      </c>
      <c r="AK151" s="27">
        <f>IF(AO151="","",IF(AND(LEN(AO151)=10,SUMPRODUCT(--ISERROR(FIND(MID(AO151,{1,2,3,4,5,10},1),"ABCDEFGHIJKLMNOPQRSTUVWXYZ")))=0,SUMPRODUCT(--ISERROR(FIND(MID(AO151,{6,7,8,9},1),"0123456789")))=0),"OK","Wrong format"))</f>
        <v/>
      </c>
      <c r="AL151" s="27">
        <f>IF(TRIM(H151)="","",IF(AND(LEN(UPPER(TRIM(H151)))=10,SUMPRODUCT(--ISERROR(FIND(MID(UPPER(TRIM(H151)),{1,2,3,4,10},1),"ABCDEFGHIJKLMNOPQRSTUVWXYZ")))=0,SUMPRODUCT(--ISERROR(FIND(MID(UPPER(TRIM(H151)),{5,6,7,8,9},1),"0123456789")))=0),"OK","Wrong format"))</f>
        <v/>
      </c>
      <c r="AM151" s="28">
        <f>IF(NOT(COUNTA(A151:AE151)&gt;0),"",IF(AS151&lt;&gt;"","✖ "&amp;LEFT(AS151,LEN(AS151)-2),IF(AR151&gt;0,"✔ Ready — client + "&amp;AR151&amp;" service(s)","✔ Ready — client only")))</f>
        <v/>
      </c>
      <c r="AN151" s="29">
        <f>UPPER(SUBSTITUTE(TRIM(F151)," ",""))</f>
        <v/>
      </c>
      <c r="AO151" s="29">
        <f>UPPER(SUBSTITUTE(TRIM(E151)," ",""))</f>
        <v/>
      </c>
      <c r="AP151" s="29">
        <f>IF(D151&lt;&gt;"",D151,IFERROR(VLOOKUP(MID(AG151,4,1),Lists!$E$2:$F$8,2,FALSE),""))</f>
        <v/>
      </c>
      <c r="AQ151" s="29">
        <f>IFERROR(VLOOKUP(AP151,Lists!$A$2:$C$12,3,FALSE),"")</f>
        <v/>
      </c>
      <c r="AR151" s="29">
        <f>COUNTIF(W151:AC151,"Yes")</f>
        <v/>
      </c>
      <c r="AS151" s="29">
        <f>IF(TRIM(B151)="","Legal name missing; ","")&amp;IF(AND(AJ151&lt;&gt;"",AJ151&lt;&gt;"OK"),"GSTIN: "&amp;AJ151&amp;"; ","")&amp;IF(AND(AK151&lt;&gt;"",AK151&lt;&gt;"OK"),"PAN wrong format; ","")&amp;IF(AND(AO151&lt;&gt;"",LEN(AN151)=15,MID(AN151,3,10)&lt;&gt;AO151),"PAN does not match GSTIN; ","")&amp;IF(AND(AL151&lt;&gt;"",AL151&lt;&gt;"OK"),"TAN wrong format; ","")&amp;IF(AG151="","PAN missing; ","")&amp;IF(AP151="","Entity type missing; ","")&amp;IF(AND(AN151&lt;&gt;"",COUNTIF($AN$6:$AN$1005,AN151)&gt;1),"GSTIN repeated in this sheet; ","")&amp;IF(AND(AG151&lt;&gt;"",COUNTIF($AG$6:$AG$1005,AG151)&gt;1),"PAN repeated in this sheet (same client? put extra GSTINs in Other GSTINs); ","")&amp;IF(AND(AR151&gt;0,V151=""),"Financial year missing; ","")&amp;IF(AND(AR151=0,V151&lt;&gt;""),"Financial year given but no service is Yes; ","")&amp;IF(AND(W151="Yes",AN151=""),"GST needs a GSTIN; ","")&amp;IF(AND(W151="Yes",X151=""),"GST return frequency missing; ","")&amp;IF(AND(Y151="Yes",TRIM(H151)=""),"TDS needs a TAN; ","")&amp;IF(AND(AA151="Yes",AQ151&lt;&gt;"",AQ151&lt;&gt;"company",AQ151&lt;&gt;"llp"),"ROC is only for a company / LLP; ","")&amp;IF(AND(AA151="Yes",OR(AQ151="company",AQ151="llp"),TRIM(I151)=""),"ROC needs the CIN / LLPIN; ","")</f>
        <v/>
      </c>
    </row>
    <row r="152">
      <c r="A152" s="30" t="n"/>
      <c r="B152" s="31" t="n"/>
      <c r="C152" s="31" t="n"/>
      <c r="D152" s="31" t="n"/>
      <c r="E152" s="30" t="n"/>
      <c r="F152" s="30" t="n"/>
      <c r="G152" s="30" t="n"/>
      <c r="H152" s="30" t="n"/>
      <c r="I152" s="30" t="n"/>
      <c r="J152" s="32" t="n"/>
      <c r="K152" s="31" t="n"/>
      <c r="L152" s="30" t="n"/>
      <c r="M152" s="31" t="n"/>
      <c r="N152" s="31" t="n"/>
      <c r="O152" s="31" t="n"/>
      <c r="P152" s="30" t="n"/>
      <c r="Q152" s="31" t="n"/>
      <c r="R152" s="31" t="n"/>
      <c r="S152" s="31" t="n"/>
      <c r="T152" s="31" t="n"/>
      <c r="U152" s="30" t="n"/>
      <c r="V152" s="31" t="n"/>
      <c r="W152" s="31" t="n"/>
      <c r="X152" s="31" t="n"/>
      <c r="Y152" s="31" t="n"/>
      <c r="Z152" s="31" t="n"/>
      <c r="AA152" s="31" t="n"/>
      <c r="AB152" s="31" t="n"/>
      <c r="AC152" s="31" t="n"/>
      <c r="AD152" s="31" t="n"/>
      <c r="AE152" s="31" t="n"/>
      <c r="AF152" s="27">
        <f>IF(NOT(COUNTA(A152:AE152)&gt;0),"",IF(A152="","New client","Update"))</f>
        <v/>
      </c>
      <c r="AG152" s="27">
        <f>IF(AO152&lt;&gt;"",AO152,IF(LEN(AN152)=15,MID(AN152,3,10),""))</f>
        <v/>
      </c>
      <c r="AH152" s="27">
        <f>IF(AP152="","",AP152&amp;IF(D152="","  (guessed from PAN)",""))</f>
        <v/>
      </c>
      <c r="AI152" s="27">
        <f>IF(AN152="","",IFERROR(INDEX(Lists!$L$2:$L$38,MATCH(LEFT(AN152,2),Lists!$K$2:$K$38,0)),"Unknown code"))</f>
        <v/>
      </c>
      <c r="AJ152" s="27">
        <f>IF(AN152="","",IFERROR(IF(NOT(AND(LEN(AN152)=15,ISNUMBER(MATCH(LEFT(AN152,2),Lists!$K$2:$K$38,0)),SUMPRODUCT(--ISERROR(FIND(MID(MID(AN152,3,10),{1,2,3,4,5,10},1),"ABCDEFGHIJKLMNOPQRSTUVWXYZ")))=0,SUMPRODUCT(--ISERROR(FIND(MID(MID(AN152,3,10),{6,7,8,9},1),"0123456789")))=0,ISNUMBER(FIND(MID(AN152,13,1),"123456789ABCDEFGHIJKLMNOPQRSTUVWXYZ")),MID(AN152,14,1)="Z")),"Wrong format",IF(MID("0123456789ABCDEFGHIJKLMNOPQRSTUVWXYZ",MOD(36-MOD(SUMPRODUCT(INT((FIND(MID(AN152,{1,2,3,4,5,6,7,8,9,10,11,12,13,14},1),"0123456789ABCDEFGHIJKLMNOPQRSTUVWXYZ")-1)*{1,2,1,2,1,2,1,2,1,2,1,2,1,2}/36)+MOD((FIND(MID(AN152,{1,2,3,4,5,6,7,8,9,10,11,12,13,14},1),"0123456789ABCDEFGHIJKLMNOPQRSTUVWXYZ")-1)*{1,2,1,2,1,2,1,2,1,2,1,2,1,2},36)),36),36)+1,1)=MID(AN152,15,1),"OK","Typo? check digit wrong")),"Wrong format"))</f>
        <v/>
      </c>
      <c r="AK152" s="27">
        <f>IF(AO152="","",IF(AND(LEN(AO152)=10,SUMPRODUCT(--ISERROR(FIND(MID(AO152,{1,2,3,4,5,10},1),"ABCDEFGHIJKLMNOPQRSTUVWXYZ")))=0,SUMPRODUCT(--ISERROR(FIND(MID(AO152,{6,7,8,9},1),"0123456789")))=0),"OK","Wrong format"))</f>
        <v/>
      </c>
      <c r="AL152" s="27">
        <f>IF(TRIM(H152)="","",IF(AND(LEN(UPPER(TRIM(H152)))=10,SUMPRODUCT(--ISERROR(FIND(MID(UPPER(TRIM(H152)),{1,2,3,4,10},1),"ABCDEFGHIJKLMNOPQRSTUVWXYZ")))=0,SUMPRODUCT(--ISERROR(FIND(MID(UPPER(TRIM(H152)),{5,6,7,8,9},1),"0123456789")))=0),"OK","Wrong format"))</f>
        <v/>
      </c>
      <c r="AM152" s="28">
        <f>IF(NOT(COUNTA(A152:AE152)&gt;0),"",IF(AS152&lt;&gt;"","✖ "&amp;LEFT(AS152,LEN(AS152)-2),IF(AR152&gt;0,"✔ Ready — client + "&amp;AR152&amp;" service(s)","✔ Ready — client only")))</f>
        <v/>
      </c>
      <c r="AN152" s="29">
        <f>UPPER(SUBSTITUTE(TRIM(F152)," ",""))</f>
        <v/>
      </c>
      <c r="AO152" s="29">
        <f>UPPER(SUBSTITUTE(TRIM(E152)," ",""))</f>
        <v/>
      </c>
      <c r="AP152" s="29">
        <f>IF(D152&lt;&gt;"",D152,IFERROR(VLOOKUP(MID(AG152,4,1),Lists!$E$2:$F$8,2,FALSE),""))</f>
        <v/>
      </c>
      <c r="AQ152" s="29">
        <f>IFERROR(VLOOKUP(AP152,Lists!$A$2:$C$12,3,FALSE),"")</f>
        <v/>
      </c>
      <c r="AR152" s="29">
        <f>COUNTIF(W152:AC152,"Yes")</f>
        <v/>
      </c>
      <c r="AS152" s="29">
        <f>IF(TRIM(B152)="","Legal name missing; ","")&amp;IF(AND(AJ152&lt;&gt;"",AJ152&lt;&gt;"OK"),"GSTIN: "&amp;AJ152&amp;"; ","")&amp;IF(AND(AK152&lt;&gt;"",AK152&lt;&gt;"OK"),"PAN wrong format; ","")&amp;IF(AND(AO152&lt;&gt;"",LEN(AN152)=15,MID(AN152,3,10)&lt;&gt;AO152),"PAN does not match GSTIN; ","")&amp;IF(AND(AL152&lt;&gt;"",AL152&lt;&gt;"OK"),"TAN wrong format; ","")&amp;IF(AG152="","PAN missing; ","")&amp;IF(AP152="","Entity type missing; ","")&amp;IF(AND(AN152&lt;&gt;"",COUNTIF($AN$6:$AN$1005,AN152)&gt;1),"GSTIN repeated in this sheet; ","")&amp;IF(AND(AG152&lt;&gt;"",COUNTIF($AG$6:$AG$1005,AG152)&gt;1),"PAN repeated in this sheet (same client? put extra GSTINs in Other GSTINs); ","")&amp;IF(AND(AR152&gt;0,V152=""),"Financial year missing; ","")&amp;IF(AND(AR152=0,V152&lt;&gt;""),"Financial year given but no service is Yes; ","")&amp;IF(AND(W152="Yes",AN152=""),"GST needs a GSTIN; ","")&amp;IF(AND(W152="Yes",X152=""),"GST return frequency missing; ","")&amp;IF(AND(Y152="Yes",TRIM(H152)=""),"TDS needs a TAN; ","")&amp;IF(AND(AA152="Yes",AQ152&lt;&gt;"",AQ152&lt;&gt;"company",AQ152&lt;&gt;"llp"),"ROC is only for a company / LLP; ","")&amp;IF(AND(AA152="Yes",OR(AQ152="company",AQ152="llp"),TRIM(I152)=""),"ROC needs the CIN / LLPIN; ","")</f>
        <v/>
      </c>
    </row>
    <row r="153">
      <c r="A153" s="30" t="n"/>
      <c r="B153" s="31" t="n"/>
      <c r="C153" s="31" t="n"/>
      <c r="D153" s="31" t="n"/>
      <c r="E153" s="30" t="n"/>
      <c r="F153" s="30" t="n"/>
      <c r="G153" s="30" t="n"/>
      <c r="H153" s="30" t="n"/>
      <c r="I153" s="30" t="n"/>
      <c r="J153" s="32" t="n"/>
      <c r="K153" s="31" t="n"/>
      <c r="L153" s="30" t="n"/>
      <c r="M153" s="31" t="n"/>
      <c r="N153" s="31" t="n"/>
      <c r="O153" s="31" t="n"/>
      <c r="P153" s="30" t="n"/>
      <c r="Q153" s="31" t="n"/>
      <c r="R153" s="31" t="n"/>
      <c r="S153" s="31" t="n"/>
      <c r="T153" s="31" t="n"/>
      <c r="U153" s="30" t="n"/>
      <c r="V153" s="31" t="n"/>
      <c r="W153" s="31" t="n"/>
      <c r="X153" s="31" t="n"/>
      <c r="Y153" s="31" t="n"/>
      <c r="Z153" s="31" t="n"/>
      <c r="AA153" s="31" t="n"/>
      <c r="AB153" s="31" t="n"/>
      <c r="AC153" s="31" t="n"/>
      <c r="AD153" s="31" t="n"/>
      <c r="AE153" s="31" t="n"/>
      <c r="AF153" s="27">
        <f>IF(NOT(COUNTA(A153:AE153)&gt;0),"",IF(A153="","New client","Update"))</f>
        <v/>
      </c>
      <c r="AG153" s="27">
        <f>IF(AO153&lt;&gt;"",AO153,IF(LEN(AN153)=15,MID(AN153,3,10),""))</f>
        <v/>
      </c>
      <c r="AH153" s="27">
        <f>IF(AP153="","",AP153&amp;IF(D153="","  (guessed from PAN)",""))</f>
        <v/>
      </c>
      <c r="AI153" s="27">
        <f>IF(AN153="","",IFERROR(INDEX(Lists!$L$2:$L$38,MATCH(LEFT(AN153,2),Lists!$K$2:$K$38,0)),"Unknown code"))</f>
        <v/>
      </c>
      <c r="AJ153" s="27">
        <f>IF(AN153="","",IFERROR(IF(NOT(AND(LEN(AN153)=15,ISNUMBER(MATCH(LEFT(AN153,2),Lists!$K$2:$K$38,0)),SUMPRODUCT(--ISERROR(FIND(MID(MID(AN153,3,10),{1,2,3,4,5,10},1),"ABCDEFGHIJKLMNOPQRSTUVWXYZ")))=0,SUMPRODUCT(--ISERROR(FIND(MID(MID(AN153,3,10),{6,7,8,9},1),"0123456789")))=0,ISNUMBER(FIND(MID(AN153,13,1),"123456789ABCDEFGHIJKLMNOPQRSTUVWXYZ")),MID(AN153,14,1)="Z")),"Wrong format",IF(MID("0123456789ABCDEFGHIJKLMNOPQRSTUVWXYZ",MOD(36-MOD(SUMPRODUCT(INT((FIND(MID(AN153,{1,2,3,4,5,6,7,8,9,10,11,12,13,14},1),"0123456789ABCDEFGHIJKLMNOPQRSTUVWXYZ")-1)*{1,2,1,2,1,2,1,2,1,2,1,2,1,2}/36)+MOD((FIND(MID(AN153,{1,2,3,4,5,6,7,8,9,10,11,12,13,14},1),"0123456789ABCDEFGHIJKLMNOPQRSTUVWXYZ")-1)*{1,2,1,2,1,2,1,2,1,2,1,2,1,2},36)),36),36)+1,1)=MID(AN153,15,1),"OK","Typo? check digit wrong")),"Wrong format"))</f>
        <v/>
      </c>
      <c r="AK153" s="27">
        <f>IF(AO153="","",IF(AND(LEN(AO153)=10,SUMPRODUCT(--ISERROR(FIND(MID(AO153,{1,2,3,4,5,10},1),"ABCDEFGHIJKLMNOPQRSTUVWXYZ")))=0,SUMPRODUCT(--ISERROR(FIND(MID(AO153,{6,7,8,9},1),"0123456789")))=0),"OK","Wrong format"))</f>
        <v/>
      </c>
      <c r="AL153" s="27">
        <f>IF(TRIM(H153)="","",IF(AND(LEN(UPPER(TRIM(H153)))=10,SUMPRODUCT(--ISERROR(FIND(MID(UPPER(TRIM(H153)),{1,2,3,4,10},1),"ABCDEFGHIJKLMNOPQRSTUVWXYZ")))=0,SUMPRODUCT(--ISERROR(FIND(MID(UPPER(TRIM(H153)),{5,6,7,8,9},1),"0123456789")))=0),"OK","Wrong format"))</f>
        <v/>
      </c>
      <c r="AM153" s="28">
        <f>IF(NOT(COUNTA(A153:AE153)&gt;0),"",IF(AS153&lt;&gt;"","✖ "&amp;LEFT(AS153,LEN(AS153)-2),IF(AR153&gt;0,"✔ Ready — client + "&amp;AR153&amp;" service(s)","✔ Ready — client only")))</f>
        <v/>
      </c>
      <c r="AN153" s="29">
        <f>UPPER(SUBSTITUTE(TRIM(F153)," ",""))</f>
        <v/>
      </c>
      <c r="AO153" s="29">
        <f>UPPER(SUBSTITUTE(TRIM(E153)," ",""))</f>
        <v/>
      </c>
      <c r="AP153" s="29">
        <f>IF(D153&lt;&gt;"",D153,IFERROR(VLOOKUP(MID(AG153,4,1),Lists!$E$2:$F$8,2,FALSE),""))</f>
        <v/>
      </c>
      <c r="AQ153" s="29">
        <f>IFERROR(VLOOKUP(AP153,Lists!$A$2:$C$12,3,FALSE),"")</f>
        <v/>
      </c>
      <c r="AR153" s="29">
        <f>COUNTIF(W153:AC153,"Yes")</f>
        <v/>
      </c>
      <c r="AS153" s="29">
        <f>IF(TRIM(B153)="","Legal name missing; ","")&amp;IF(AND(AJ153&lt;&gt;"",AJ153&lt;&gt;"OK"),"GSTIN: "&amp;AJ153&amp;"; ","")&amp;IF(AND(AK153&lt;&gt;"",AK153&lt;&gt;"OK"),"PAN wrong format; ","")&amp;IF(AND(AO153&lt;&gt;"",LEN(AN153)=15,MID(AN153,3,10)&lt;&gt;AO153),"PAN does not match GSTIN; ","")&amp;IF(AND(AL153&lt;&gt;"",AL153&lt;&gt;"OK"),"TAN wrong format; ","")&amp;IF(AG153="","PAN missing; ","")&amp;IF(AP153="","Entity type missing; ","")&amp;IF(AND(AN153&lt;&gt;"",COUNTIF($AN$6:$AN$1005,AN153)&gt;1),"GSTIN repeated in this sheet; ","")&amp;IF(AND(AG153&lt;&gt;"",COUNTIF($AG$6:$AG$1005,AG153)&gt;1),"PAN repeated in this sheet (same client? put extra GSTINs in Other GSTINs); ","")&amp;IF(AND(AR153&gt;0,V153=""),"Financial year missing; ","")&amp;IF(AND(AR153=0,V153&lt;&gt;""),"Financial year given but no service is Yes; ","")&amp;IF(AND(W153="Yes",AN153=""),"GST needs a GSTIN; ","")&amp;IF(AND(W153="Yes",X153=""),"GST return frequency missing; ","")&amp;IF(AND(Y153="Yes",TRIM(H153)=""),"TDS needs a TAN; ","")&amp;IF(AND(AA153="Yes",AQ153&lt;&gt;"",AQ153&lt;&gt;"company",AQ153&lt;&gt;"llp"),"ROC is only for a company / LLP; ","")&amp;IF(AND(AA153="Yes",OR(AQ153="company",AQ153="llp"),TRIM(I153)=""),"ROC needs the CIN / LLPIN; ","")</f>
        <v/>
      </c>
    </row>
    <row r="154">
      <c r="A154" s="30" t="n"/>
      <c r="B154" s="31" t="n"/>
      <c r="C154" s="31" t="n"/>
      <c r="D154" s="31" t="n"/>
      <c r="E154" s="30" t="n"/>
      <c r="F154" s="30" t="n"/>
      <c r="G154" s="30" t="n"/>
      <c r="H154" s="30" t="n"/>
      <c r="I154" s="30" t="n"/>
      <c r="J154" s="32" t="n"/>
      <c r="K154" s="31" t="n"/>
      <c r="L154" s="30" t="n"/>
      <c r="M154" s="31" t="n"/>
      <c r="N154" s="31" t="n"/>
      <c r="O154" s="31" t="n"/>
      <c r="P154" s="30" t="n"/>
      <c r="Q154" s="31" t="n"/>
      <c r="R154" s="31" t="n"/>
      <c r="S154" s="31" t="n"/>
      <c r="T154" s="31" t="n"/>
      <c r="U154" s="30" t="n"/>
      <c r="V154" s="31" t="n"/>
      <c r="W154" s="31" t="n"/>
      <c r="X154" s="31" t="n"/>
      <c r="Y154" s="31" t="n"/>
      <c r="Z154" s="31" t="n"/>
      <c r="AA154" s="31" t="n"/>
      <c r="AB154" s="31" t="n"/>
      <c r="AC154" s="31" t="n"/>
      <c r="AD154" s="31" t="n"/>
      <c r="AE154" s="31" t="n"/>
      <c r="AF154" s="27">
        <f>IF(NOT(COUNTA(A154:AE154)&gt;0),"",IF(A154="","New client","Update"))</f>
        <v/>
      </c>
      <c r="AG154" s="27">
        <f>IF(AO154&lt;&gt;"",AO154,IF(LEN(AN154)=15,MID(AN154,3,10),""))</f>
        <v/>
      </c>
      <c r="AH154" s="27">
        <f>IF(AP154="","",AP154&amp;IF(D154="","  (guessed from PAN)",""))</f>
        <v/>
      </c>
      <c r="AI154" s="27">
        <f>IF(AN154="","",IFERROR(INDEX(Lists!$L$2:$L$38,MATCH(LEFT(AN154,2),Lists!$K$2:$K$38,0)),"Unknown code"))</f>
        <v/>
      </c>
      <c r="AJ154" s="27">
        <f>IF(AN154="","",IFERROR(IF(NOT(AND(LEN(AN154)=15,ISNUMBER(MATCH(LEFT(AN154,2),Lists!$K$2:$K$38,0)),SUMPRODUCT(--ISERROR(FIND(MID(MID(AN154,3,10),{1,2,3,4,5,10},1),"ABCDEFGHIJKLMNOPQRSTUVWXYZ")))=0,SUMPRODUCT(--ISERROR(FIND(MID(MID(AN154,3,10),{6,7,8,9},1),"0123456789")))=0,ISNUMBER(FIND(MID(AN154,13,1),"123456789ABCDEFGHIJKLMNOPQRSTUVWXYZ")),MID(AN154,14,1)="Z")),"Wrong format",IF(MID("0123456789ABCDEFGHIJKLMNOPQRSTUVWXYZ",MOD(36-MOD(SUMPRODUCT(INT((FIND(MID(AN154,{1,2,3,4,5,6,7,8,9,10,11,12,13,14},1),"0123456789ABCDEFGHIJKLMNOPQRSTUVWXYZ")-1)*{1,2,1,2,1,2,1,2,1,2,1,2,1,2}/36)+MOD((FIND(MID(AN154,{1,2,3,4,5,6,7,8,9,10,11,12,13,14},1),"0123456789ABCDEFGHIJKLMNOPQRSTUVWXYZ")-1)*{1,2,1,2,1,2,1,2,1,2,1,2,1,2},36)),36),36)+1,1)=MID(AN154,15,1),"OK","Typo? check digit wrong")),"Wrong format"))</f>
        <v/>
      </c>
      <c r="AK154" s="27">
        <f>IF(AO154="","",IF(AND(LEN(AO154)=10,SUMPRODUCT(--ISERROR(FIND(MID(AO154,{1,2,3,4,5,10},1),"ABCDEFGHIJKLMNOPQRSTUVWXYZ")))=0,SUMPRODUCT(--ISERROR(FIND(MID(AO154,{6,7,8,9},1),"0123456789")))=0),"OK","Wrong format"))</f>
        <v/>
      </c>
      <c r="AL154" s="27">
        <f>IF(TRIM(H154)="","",IF(AND(LEN(UPPER(TRIM(H154)))=10,SUMPRODUCT(--ISERROR(FIND(MID(UPPER(TRIM(H154)),{1,2,3,4,10},1),"ABCDEFGHIJKLMNOPQRSTUVWXYZ")))=0,SUMPRODUCT(--ISERROR(FIND(MID(UPPER(TRIM(H154)),{5,6,7,8,9},1),"0123456789")))=0),"OK","Wrong format"))</f>
        <v/>
      </c>
      <c r="AM154" s="28">
        <f>IF(NOT(COUNTA(A154:AE154)&gt;0),"",IF(AS154&lt;&gt;"","✖ "&amp;LEFT(AS154,LEN(AS154)-2),IF(AR154&gt;0,"✔ Ready — client + "&amp;AR154&amp;" service(s)","✔ Ready — client only")))</f>
        <v/>
      </c>
      <c r="AN154" s="29">
        <f>UPPER(SUBSTITUTE(TRIM(F154)," ",""))</f>
        <v/>
      </c>
      <c r="AO154" s="29">
        <f>UPPER(SUBSTITUTE(TRIM(E154)," ",""))</f>
        <v/>
      </c>
      <c r="AP154" s="29">
        <f>IF(D154&lt;&gt;"",D154,IFERROR(VLOOKUP(MID(AG154,4,1),Lists!$E$2:$F$8,2,FALSE),""))</f>
        <v/>
      </c>
      <c r="AQ154" s="29">
        <f>IFERROR(VLOOKUP(AP154,Lists!$A$2:$C$12,3,FALSE),"")</f>
        <v/>
      </c>
      <c r="AR154" s="29">
        <f>COUNTIF(W154:AC154,"Yes")</f>
        <v/>
      </c>
      <c r="AS154" s="29">
        <f>IF(TRIM(B154)="","Legal name missing; ","")&amp;IF(AND(AJ154&lt;&gt;"",AJ154&lt;&gt;"OK"),"GSTIN: "&amp;AJ154&amp;"; ","")&amp;IF(AND(AK154&lt;&gt;"",AK154&lt;&gt;"OK"),"PAN wrong format; ","")&amp;IF(AND(AO154&lt;&gt;"",LEN(AN154)=15,MID(AN154,3,10)&lt;&gt;AO154),"PAN does not match GSTIN; ","")&amp;IF(AND(AL154&lt;&gt;"",AL154&lt;&gt;"OK"),"TAN wrong format; ","")&amp;IF(AG154="","PAN missing; ","")&amp;IF(AP154="","Entity type missing; ","")&amp;IF(AND(AN154&lt;&gt;"",COUNTIF($AN$6:$AN$1005,AN154)&gt;1),"GSTIN repeated in this sheet; ","")&amp;IF(AND(AG154&lt;&gt;"",COUNTIF($AG$6:$AG$1005,AG154)&gt;1),"PAN repeated in this sheet (same client? put extra GSTINs in Other GSTINs); ","")&amp;IF(AND(AR154&gt;0,V154=""),"Financial year missing; ","")&amp;IF(AND(AR154=0,V154&lt;&gt;""),"Financial year given but no service is Yes; ","")&amp;IF(AND(W154="Yes",AN154=""),"GST needs a GSTIN; ","")&amp;IF(AND(W154="Yes",X154=""),"GST return frequency missing; ","")&amp;IF(AND(Y154="Yes",TRIM(H154)=""),"TDS needs a TAN; ","")&amp;IF(AND(AA154="Yes",AQ154&lt;&gt;"",AQ154&lt;&gt;"company",AQ154&lt;&gt;"llp"),"ROC is only for a company / LLP; ","")&amp;IF(AND(AA154="Yes",OR(AQ154="company",AQ154="llp"),TRIM(I154)=""),"ROC needs the CIN / LLPIN; ","")</f>
        <v/>
      </c>
    </row>
    <row r="155">
      <c r="A155" s="30" t="n"/>
      <c r="B155" s="31" t="n"/>
      <c r="C155" s="31" t="n"/>
      <c r="D155" s="31" t="n"/>
      <c r="E155" s="30" t="n"/>
      <c r="F155" s="30" t="n"/>
      <c r="G155" s="30" t="n"/>
      <c r="H155" s="30" t="n"/>
      <c r="I155" s="30" t="n"/>
      <c r="J155" s="32" t="n"/>
      <c r="K155" s="31" t="n"/>
      <c r="L155" s="30" t="n"/>
      <c r="M155" s="31" t="n"/>
      <c r="N155" s="31" t="n"/>
      <c r="O155" s="31" t="n"/>
      <c r="P155" s="30" t="n"/>
      <c r="Q155" s="31" t="n"/>
      <c r="R155" s="31" t="n"/>
      <c r="S155" s="31" t="n"/>
      <c r="T155" s="31" t="n"/>
      <c r="U155" s="30" t="n"/>
      <c r="V155" s="31" t="n"/>
      <c r="W155" s="31" t="n"/>
      <c r="X155" s="31" t="n"/>
      <c r="Y155" s="31" t="n"/>
      <c r="Z155" s="31" t="n"/>
      <c r="AA155" s="31" t="n"/>
      <c r="AB155" s="31" t="n"/>
      <c r="AC155" s="31" t="n"/>
      <c r="AD155" s="31" t="n"/>
      <c r="AE155" s="31" t="n"/>
      <c r="AF155" s="27">
        <f>IF(NOT(COUNTA(A155:AE155)&gt;0),"",IF(A155="","New client","Update"))</f>
        <v/>
      </c>
      <c r="AG155" s="27">
        <f>IF(AO155&lt;&gt;"",AO155,IF(LEN(AN155)=15,MID(AN155,3,10),""))</f>
        <v/>
      </c>
      <c r="AH155" s="27">
        <f>IF(AP155="","",AP155&amp;IF(D155="","  (guessed from PAN)",""))</f>
        <v/>
      </c>
      <c r="AI155" s="27">
        <f>IF(AN155="","",IFERROR(INDEX(Lists!$L$2:$L$38,MATCH(LEFT(AN155,2),Lists!$K$2:$K$38,0)),"Unknown code"))</f>
        <v/>
      </c>
      <c r="AJ155" s="27">
        <f>IF(AN155="","",IFERROR(IF(NOT(AND(LEN(AN155)=15,ISNUMBER(MATCH(LEFT(AN155,2),Lists!$K$2:$K$38,0)),SUMPRODUCT(--ISERROR(FIND(MID(MID(AN155,3,10),{1,2,3,4,5,10},1),"ABCDEFGHIJKLMNOPQRSTUVWXYZ")))=0,SUMPRODUCT(--ISERROR(FIND(MID(MID(AN155,3,10),{6,7,8,9},1),"0123456789")))=0,ISNUMBER(FIND(MID(AN155,13,1),"123456789ABCDEFGHIJKLMNOPQRSTUVWXYZ")),MID(AN155,14,1)="Z")),"Wrong format",IF(MID("0123456789ABCDEFGHIJKLMNOPQRSTUVWXYZ",MOD(36-MOD(SUMPRODUCT(INT((FIND(MID(AN155,{1,2,3,4,5,6,7,8,9,10,11,12,13,14},1),"0123456789ABCDEFGHIJKLMNOPQRSTUVWXYZ")-1)*{1,2,1,2,1,2,1,2,1,2,1,2,1,2}/36)+MOD((FIND(MID(AN155,{1,2,3,4,5,6,7,8,9,10,11,12,13,14},1),"0123456789ABCDEFGHIJKLMNOPQRSTUVWXYZ")-1)*{1,2,1,2,1,2,1,2,1,2,1,2,1,2},36)),36),36)+1,1)=MID(AN155,15,1),"OK","Typo? check digit wrong")),"Wrong format"))</f>
        <v/>
      </c>
      <c r="AK155" s="27">
        <f>IF(AO155="","",IF(AND(LEN(AO155)=10,SUMPRODUCT(--ISERROR(FIND(MID(AO155,{1,2,3,4,5,10},1),"ABCDEFGHIJKLMNOPQRSTUVWXYZ")))=0,SUMPRODUCT(--ISERROR(FIND(MID(AO155,{6,7,8,9},1),"0123456789")))=0),"OK","Wrong format"))</f>
        <v/>
      </c>
      <c r="AL155" s="27">
        <f>IF(TRIM(H155)="","",IF(AND(LEN(UPPER(TRIM(H155)))=10,SUMPRODUCT(--ISERROR(FIND(MID(UPPER(TRIM(H155)),{1,2,3,4,10},1),"ABCDEFGHIJKLMNOPQRSTUVWXYZ")))=0,SUMPRODUCT(--ISERROR(FIND(MID(UPPER(TRIM(H155)),{5,6,7,8,9},1),"0123456789")))=0),"OK","Wrong format"))</f>
        <v/>
      </c>
      <c r="AM155" s="28">
        <f>IF(NOT(COUNTA(A155:AE155)&gt;0),"",IF(AS155&lt;&gt;"","✖ "&amp;LEFT(AS155,LEN(AS155)-2),IF(AR155&gt;0,"✔ Ready — client + "&amp;AR155&amp;" service(s)","✔ Ready — client only")))</f>
        <v/>
      </c>
      <c r="AN155" s="29">
        <f>UPPER(SUBSTITUTE(TRIM(F155)," ",""))</f>
        <v/>
      </c>
      <c r="AO155" s="29">
        <f>UPPER(SUBSTITUTE(TRIM(E155)," ",""))</f>
        <v/>
      </c>
      <c r="AP155" s="29">
        <f>IF(D155&lt;&gt;"",D155,IFERROR(VLOOKUP(MID(AG155,4,1),Lists!$E$2:$F$8,2,FALSE),""))</f>
        <v/>
      </c>
      <c r="AQ155" s="29">
        <f>IFERROR(VLOOKUP(AP155,Lists!$A$2:$C$12,3,FALSE),"")</f>
        <v/>
      </c>
      <c r="AR155" s="29">
        <f>COUNTIF(W155:AC155,"Yes")</f>
        <v/>
      </c>
      <c r="AS155" s="29">
        <f>IF(TRIM(B155)="","Legal name missing; ","")&amp;IF(AND(AJ155&lt;&gt;"",AJ155&lt;&gt;"OK"),"GSTIN: "&amp;AJ155&amp;"; ","")&amp;IF(AND(AK155&lt;&gt;"",AK155&lt;&gt;"OK"),"PAN wrong format; ","")&amp;IF(AND(AO155&lt;&gt;"",LEN(AN155)=15,MID(AN155,3,10)&lt;&gt;AO155),"PAN does not match GSTIN; ","")&amp;IF(AND(AL155&lt;&gt;"",AL155&lt;&gt;"OK"),"TAN wrong format; ","")&amp;IF(AG155="","PAN missing; ","")&amp;IF(AP155="","Entity type missing; ","")&amp;IF(AND(AN155&lt;&gt;"",COUNTIF($AN$6:$AN$1005,AN155)&gt;1),"GSTIN repeated in this sheet; ","")&amp;IF(AND(AG155&lt;&gt;"",COUNTIF($AG$6:$AG$1005,AG155)&gt;1),"PAN repeated in this sheet (same client? put extra GSTINs in Other GSTINs); ","")&amp;IF(AND(AR155&gt;0,V155=""),"Financial year missing; ","")&amp;IF(AND(AR155=0,V155&lt;&gt;""),"Financial year given but no service is Yes; ","")&amp;IF(AND(W155="Yes",AN155=""),"GST needs a GSTIN; ","")&amp;IF(AND(W155="Yes",X155=""),"GST return frequency missing; ","")&amp;IF(AND(Y155="Yes",TRIM(H155)=""),"TDS needs a TAN; ","")&amp;IF(AND(AA155="Yes",AQ155&lt;&gt;"",AQ155&lt;&gt;"company",AQ155&lt;&gt;"llp"),"ROC is only for a company / LLP; ","")&amp;IF(AND(AA155="Yes",OR(AQ155="company",AQ155="llp"),TRIM(I155)=""),"ROC needs the CIN / LLPIN; ","")</f>
        <v/>
      </c>
    </row>
    <row r="156">
      <c r="A156" s="30" t="n"/>
      <c r="B156" s="31" t="n"/>
      <c r="C156" s="31" t="n"/>
      <c r="D156" s="31" t="n"/>
      <c r="E156" s="30" t="n"/>
      <c r="F156" s="30" t="n"/>
      <c r="G156" s="30" t="n"/>
      <c r="H156" s="30" t="n"/>
      <c r="I156" s="30" t="n"/>
      <c r="J156" s="32" t="n"/>
      <c r="K156" s="31" t="n"/>
      <c r="L156" s="30" t="n"/>
      <c r="M156" s="31" t="n"/>
      <c r="N156" s="31" t="n"/>
      <c r="O156" s="31" t="n"/>
      <c r="P156" s="30" t="n"/>
      <c r="Q156" s="31" t="n"/>
      <c r="R156" s="31" t="n"/>
      <c r="S156" s="31" t="n"/>
      <c r="T156" s="31" t="n"/>
      <c r="U156" s="30" t="n"/>
      <c r="V156" s="31" t="n"/>
      <c r="W156" s="31" t="n"/>
      <c r="X156" s="31" t="n"/>
      <c r="Y156" s="31" t="n"/>
      <c r="Z156" s="31" t="n"/>
      <c r="AA156" s="31" t="n"/>
      <c r="AB156" s="31" t="n"/>
      <c r="AC156" s="31" t="n"/>
      <c r="AD156" s="31" t="n"/>
      <c r="AE156" s="31" t="n"/>
      <c r="AF156" s="27">
        <f>IF(NOT(COUNTA(A156:AE156)&gt;0),"",IF(A156="","New client","Update"))</f>
        <v/>
      </c>
      <c r="AG156" s="27">
        <f>IF(AO156&lt;&gt;"",AO156,IF(LEN(AN156)=15,MID(AN156,3,10),""))</f>
        <v/>
      </c>
      <c r="AH156" s="27">
        <f>IF(AP156="","",AP156&amp;IF(D156="","  (guessed from PAN)",""))</f>
        <v/>
      </c>
      <c r="AI156" s="27">
        <f>IF(AN156="","",IFERROR(INDEX(Lists!$L$2:$L$38,MATCH(LEFT(AN156,2),Lists!$K$2:$K$38,0)),"Unknown code"))</f>
        <v/>
      </c>
      <c r="AJ156" s="27">
        <f>IF(AN156="","",IFERROR(IF(NOT(AND(LEN(AN156)=15,ISNUMBER(MATCH(LEFT(AN156,2),Lists!$K$2:$K$38,0)),SUMPRODUCT(--ISERROR(FIND(MID(MID(AN156,3,10),{1,2,3,4,5,10},1),"ABCDEFGHIJKLMNOPQRSTUVWXYZ")))=0,SUMPRODUCT(--ISERROR(FIND(MID(MID(AN156,3,10),{6,7,8,9},1),"0123456789")))=0,ISNUMBER(FIND(MID(AN156,13,1),"123456789ABCDEFGHIJKLMNOPQRSTUVWXYZ")),MID(AN156,14,1)="Z")),"Wrong format",IF(MID("0123456789ABCDEFGHIJKLMNOPQRSTUVWXYZ",MOD(36-MOD(SUMPRODUCT(INT((FIND(MID(AN156,{1,2,3,4,5,6,7,8,9,10,11,12,13,14},1),"0123456789ABCDEFGHIJKLMNOPQRSTUVWXYZ")-1)*{1,2,1,2,1,2,1,2,1,2,1,2,1,2}/36)+MOD((FIND(MID(AN156,{1,2,3,4,5,6,7,8,9,10,11,12,13,14},1),"0123456789ABCDEFGHIJKLMNOPQRSTUVWXYZ")-1)*{1,2,1,2,1,2,1,2,1,2,1,2,1,2},36)),36),36)+1,1)=MID(AN156,15,1),"OK","Typo? check digit wrong")),"Wrong format"))</f>
        <v/>
      </c>
      <c r="AK156" s="27">
        <f>IF(AO156="","",IF(AND(LEN(AO156)=10,SUMPRODUCT(--ISERROR(FIND(MID(AO156,{1,2,3,4,5,10},1),"ABCDEFGHIJKLMNOPQRSTUVWXYZ")))=0,SUMPRODUCT(--ISERROR(FIND(MID(AO156,{6,7,8,9},1),"0123456789")))=0),"OK","Wrong format"))</f>
        <v/>
      </c>
      <c r="AL156" s="27">
        <f>IF(TRIM(H156)="","",IF(AND(LEN(UPPER(TRIM(H156)))=10,SUMPRODUCT(--ISERROR(FIND(MID(UPPER(TRIM(H156)),{1,2,3,4,10},1),"ABCDEFGHIJKLMNOPQRSTUVWXYZ")))=0,SUMPRODUCT(--ISERROR(FIND(MID(UPPER(TRIM(H156)),{5,6,7,8,9},1),"0123456789")))=0),"OK","Wrong format"))</f>
        <v/>
      </c>
      <c r="AM156" s="28">
        <f>IF(NOT(COUNTA(A156:AE156)&gt;0),"",IF(AS156&lt;&gt;"","✖ "&amp;LEFT(AS156,LEN(AS156)-2),IF(AR156&gt;0,"✔ Ready — client + "&amp;AR156&amp;" service(s)","✔ Ready — client only")))</f>
        <v/>
      </c>
      <c r="AN156" s="29">
        <f>UPPER(SUBSTITUTE(TRIM(F156)," ",""))</f>
        <v/>
      </c>
      <c r="AO156" s="29">
        <f>UPPER(SUBSTITUTE(TRIM(E156)," ",""))</f>
        <v/>
      </c>
      <c r="AP156" s="29">
        <f>IF(D156&lt;&gt;"",D156,IFERROR(VLOOKUP(MID(AG156,4,1),Lists!$E$2:$F$8,2,FALSE),""))</f>
        <v/>
      </c>
      <c r="AQ156" s="29">
        <f>IFERROR(VLOOKUP(AP156,Lists!$A$2:$C$12,3,FALSE),"")</f>
        <v/>
      </c>
      <c r="AR156" s="29">
        <f>COUNTIF(W156:AC156,"Yes")</f>
        <v/>
      </c>
      <c r="AS156" s="29">
        <f>IF(TRIM(B156)="","Legal name missing; ","")&amp;IF(AND(AJ156&lt;&gt;"",AJ156&lt;&gt;"OK"),"GSTIN: "&amp;AJ156&amp;"; ","")&amp;IF(AND(AK156&lt;&gt;"",AK156&lt;&gt;"OK"),"PAN wrong format; ","")&amp;IF(AND(AO156&lt;&gt;"",LEN(AN156)=15,MID(AN156,3,10)&lt;&gt;AO156),"PAN does not match GSTIN; ","")&amp;IF(AND(AL156&lt;&gt;"",AL156&lt;&gt;"OK"),"TAN wrong format; ","")&amp;IF(AG156="","PAN missing; ","")&amp;IF(AP156="","Entity type missing; ","")&amp;IF(AND(AN156&lt;&gt;"",COUNTIF($AN$6:$AN$1005,AN156)&gt;1),"GSTIN repeated in this sheet; ","")&amp;IF(AND(AG156&lt;&gt;"",COUNTIF($AG$6:$AG$1005,AG156)&gt;1),"PAN repeated in this sheet (same client? put extra GSTINs in Other GSTINs); ","")&amp;IF(AND(AR156&gt;0,V156=""),"Financial year missing; ","")&amp;IF(AND(AR156=0,V156&lt;&gt;""),"Financial year given but no service is Yes; ","")&amp;IF(AND(W156="Yes",AN156=""),"GST needs a GSTIN; ","")&amp;IF(AND(W156="Yes",X156=""),"GST return frequency missing; ","")&amp;IF(AND(Y156="Yes",TRIM(H156)=""),"TDS needs a TAN; ","")&amp;IF(AND(AA156="Yes",AQ156&lt;&gt;"",AQ156&lt;&gt;"company",AQ156&lt;&gt;"llp"),"ROC is only for a company / LLP; ","")&amp;IF(AND(AA156="Yes",OR(AQ156="company",AQ156="llp"),TRIM(I156)=""),"ROC needs the CIN / LLPIN; ","")</f>
        <v/>
      </c>
    </row>
    <row r="157">
      <c r="A157" s="30" t="n"/>
      <c r="B157" s="31" t="n"/>
      <c r="C157" s="31" t="n"/>
      <c r="D157" s="31" t="n"/>
      <c r="E157" s="30" t="n"/>
      <c r="F157" s="30" t="n"/>
      <c r="G157" s="30" t="n"/>
      <c r="H157" s="30" t="n"/>
      <c r="I157" s="30" t="n"/>
      <c r="J157" s="32" t="n"/>
      <c r="K157" s="31" t="n"/>
      <c r="L157" s="30" t="n"/>
      <c r="M157" s="31" t="n"/>
      <c r="N157" s="31" t="n"/>
      <c r="O157" s="31" t="n"/>
      <c r="P157" s="30" t="n"/>
      <c r="Q157" s="31" t="n"/>
      <c r="R157" s="31" t="n"/>
      <c r="S157" s="31" t="n"/>
      <c r="T157" s="31" t="n"/>
      <c r="U157" s="30" t="n"/>
      <c r="V157" s="31" t="n"/>
      <c r="W157" s="31" t="n"/>
      <c r="X157" s="31" t="n"/>
      <c r="Y157" s="31" t="n"/>
      <c r="Z157" s="31" t="n"/>
      <c r="AA157" s="31" t="n"/>
      <c r="AB157" s="31" t="n"/>
      <c r="AC157" s="31" t="n"/>
      <c r="AD157" s="31" t="n"/>
      <c r="AE157" s="31" t="n"/>
      <c r="AF157" s="27">
        <f>IF(NOT(COUNTA(A157:AE157)&gt;0),"",IF(A157="","New client","Update"))</f>
        <v/>
      </c>
      <c r="AG157" s="27">
        <f>IF(AO157&lt;&gt;"",AO157,IF(LEN(AN157)=15,MID(AN157,3,10),""))</f>
        <v/>
      </c>
      <c r="AH157" s="27">
        <f>IF(AP157="","",AP157&amp;IF(D157="","  (guessed from PAN)",""))</f>
        <v/>
      </c>
      <c r="AI157" s="27">
        <f>IF(AN157="","",IFERROR(INDEX(Lists!$L$2:$L$38,MATCH(LEFT(AN157,2),Lists!$K$2:$K$38,0)),"Unknown code"))</f>
        <v/>
      </c>
      <c r="AJ157" s="27">
        <f>IF(AN157="","",IFERROR(IF(NOT(AND(LEN(AN157)=15,ISNUMBER(MATCH(LEFT(AN157,2),Lists!$K$2:$K$38,0)),SUMPRODUCT(--ISERROR(FIND(MID(MID(AN157,3,10),{1,2,3,4,5,10},1),"ABCDEFGHIJKLMNOPQRSTUVWXYZ")))=0,SUMPRODUCT(--ISERROR(FIND(MID(MID(AN157,3,10),{6,7,8,9},1),"0123456789")))=0,ISNUMBER(FIND(MID(AN157,13,1),"123456789ABCDEFGHIJKLMNOPQRSTUVWXYZ")),MID(AN157,14,1)="Z")),"Wrong format",IF(MID("0123456789ABCDEFGHIJKLMNOPQRSTUVWXYZ",MOD(36-MOD(SUMPRODUCT(INT((FIND(MID(AN157,{1,2,3,4,5,6,7,8,9,10,11,12,13,14},1),"0123456789ABCDEFGHIJKLMNOPQRSTUVWXYZ")-1)*{1,2,1,2,1,2,1,2,1,2,1,2,1,2}/36)+MOD((FIND(MID(AN157,{1,2,3,4,5,6,7,8,9,10,11,12,13,14},1),"0123456789ABCDEFGHIJKLMNOPQRSTUVWXYZ")-1)*{1,2,1,2,1,2,1,2,1,2,1,2,1,2},36)),36),36)+1,1)=MID(AN157,15,1),"OK","Typo? check digit wrong")),"Wrong format"))</f>
        <v/>
      </c>
      <c r="AK157" s="27">
        <f>IF(AO157="","",IF(AND(LEN(AO157)=10,SUMPRODUCT(--ISERROR(FIND(MID(AO157,{1,2,3,4,5,10},1),"ABCDEFGHIJKLMNOPQRSTUVWXYZ")))=0,SUMPRODUCT(--ISERROR(FIND(MID(AO157,{6,7,8,9},1),"0123456789")))=0),"OK","Wrong format"))</f>
        <v/>
      </c>
      <c r="AL157" s="27">
        <f>IF(TRIM(H157)="","",IF(AND(LEN(UPPER(TRIM(H157)))=10,SUMPRODUCT(--ISERROR(FIND(MID(UPPER(TRIM(H157)),{1,2,3,4,10},1),"ABCDEFGHIJKLMNOPQRSTUVWXYZ")))=0,SUMPRODUCT(--ISERROR(FIND(MID(UPPER(TRIM(H157)),{5,6,7,8,9},1),"0123456789")))=0),"OK","Wrong format"))</f>
        <v/>
      </c>
      <c r="AM157" s="28">
        <f>IF(NOT(COUNTA(A157:AE157)&gt;0),"",IF(AS157&lt;&gt;"","✖ "&amp;LEFT(AS157,LEN(AS157)-2),IF(AR157&gt;0,"✔ Ready — client + "&amp;AR157&amp;" service(s)","✔ Ready — client only")))</f>
        <v/>
      </c>
      <c r="AN157" s="29">
        <f>UPPER(SUBSTITUTE(TRIM(F157)," ",""))</f>
        <v/>
      </c>
      <c r="AO157" s="29">
        <f>UPPER(SUBSTITUTE(TRIM(E157)," ",""))</f>
        <v/>
      </c>
      <c r="AP157" s="29">
        <f>IF(D157&lt;&gt;"",D157,IFERROR(VLOOKUP(MID(AG157,4,1),Lists!$E$2:$F$8,2,FALSE),""))</f>
        <v/>
      </c>
      <c r="AQ157" s="29">
        <f>IFERROR(VLOOKUP(AP157,Lists!$A$2:$C$12,3,FALSE),"")</f>
        <v/>
      </c>
      <c r="AR157" s="29">
        <f>COUNTIF(W157:AC157,"Yes")</f>
        <v/>
      </c>
      <c r="AS157" s="29">
        <f>IF(TRIM(B157)="","Legal name missing; ","")&amp;IF(AND(AJ157&lt;&gt;"",AJ157&lt;&gt;"OK"),"GSTIN: "&amp;AJ157&amp;"; ","")&amp;IF(AND(AK157&lt;&gt;"",AK157&lt;&gt;"OK"),"PAN wrong format; ","")&amp;IF(AND(AO157&lt;&gt;"",LEN(AN157)=15,MID(AN157,3,10)&lt;&gt;AO157),"PAN does not match GSTIN; ","")&amp;IF(AND(AL157&lt;&gt;"",AL157&lt;&gt;"OK"),"TAN wrong format; ","")&amp;IF(AG157="","PAN missing; ","")&amp;IF(AP157="","Entity type missing; ","")&amp;IF(AND(AN157&lt;&gt;"",COUNTIF($AN$6:$AN$1005,AN157)&gt;1),"GSTIN repeated in this sheet; ","")&amp;IF(AND(AG157&lt;&gt;"",COUNTIF($AG$6:$AG$1005,AG157)&gt;1),"PAN repeated in this sheet (same client? put extra GSTINs in Other GSTINs); ","")&amp;IF(AND(AR157&gt;0,V157=""),"Financial year missing; ","")&amp;IF(AND(AR157=0,V157&lt;&gt;""),"Financial year given but no service is Yes; ","")&amp;IF(AND(W157="Yes",AN157=""),"GST needs a GSTIN; ","")&amp;IF(AND(W157="Yes",X157=""),"GST return frequency missing; ","")&amp;IF(AND(Y157="Yes",TRIM(H157)=""),"TDS needs a TAN; ","")&amp;IF(AND(AA157="Yes",AQ157&lt;&gt;"",AQ157&lt;&gt;"company",AQ157&lt;&gt;"llp"),"ROC is only for a company / LLP; ","")&amp;IF(AND(AA157="Yes",OR(AQ157="company",AQ157="llp"),TRIM(I157)=""),"ROC needs the CIN / LLPIN; ","")</f>
        <v/>
      </c>
    </row>
    <row r="158">
      <c r="A158" s="30" t="n"/>
      <c r="B158" s="31" t="n"/>
      <c r="C158" s="31" t="n"/>
      <c r="D158" s="31" t="n"/>
      <c r="E158" s="30" t="n"/>
      <c r="F158" s="30" t="n"/>
      <c r="G158" s="30" t="n"/>
      <c r="H158" s="30" t="n"/>
      <c r="I158" s="30" t="n"/>
      <c r="J158" s="32" t="n"/>
      <c r="K158" s="31" t="n"/>
      <c r="L158" s="30" t="n"/>
      <c r="M158" s="31" t="n"/>
      <c r="N158" s="31" t="n"/>
      <c r="O158" s="31" t="n"/>
      <c r="P158" s="30" t="n"/>
      <c r="Q158" s="31" t="n"/>
      <c r="R158" s="31" t="n"/>
      <c r="S158" s="31" t="n"/>
      <c r="T158" s="31" t="n"/>
      <c r="U158" s="30" t="n"/>
      <c r="V158" s="31" t="n"/>
      <c r="W158" s="31" t="n"/>
      <c r="X158" s="31" t="n"/>
      <c r="Y158" s="31" t="n"/>
      <c r="Z158" s="31" t="n"/>
      <c r="AA158" s="31" t="n"/>
      <c r="AB158" s="31" t="n"/>
      <c r="AC158" s="31" t="n"/>
      <c r="AD158" s="31" t="n"/>
      <c r="AE158" s="31" t="n"/>
      <c r="AF158" s="27">
        <f>IF(NOT(COUNTA(A158:AE158)&gt;0),"",IF(A158="","New client","Update"))</f>
        <v/>
      </c>
      <c r="AG158" s="27">
        <f>IF(AO158&lt;&gt;"",AO158,IF(LEN(AN158)=15,MID(AN158,3,10),""))</f>
        <v/>
      </c>
      <c r="AH158" s="27">
        <f>IF(AP158="","",AP158&amp;IF(D158="","  (guessed from PAN)",""))</f>
        <v/>
      </c>
      <c r="AI158" s="27">
        <f>IF(AN158="","",IFERROR(INDEX(Lists!$L$2:$L$38,MATCH(LEFT(AN158,2),Lists!$K$2:$K$38,0)),"Unknown code"))</f>
        <v/>
      </c>
      <c r="AJ158" s="27">
        <f>IF(AN158="","",IFERROR(IF(NOT(AND(LEN(AN158)=15,ISNUMBER(MATCH(LEFT(AN158,2),Lists!$K$2:$K$38,0)),SUMPRODUCT(--ISERROR(FIND(MID(MID(AN158,3,10),{1,2,3,4,5,10},1),"ABCDEFGHIJKLMNOPQRSTUVWXYZ")))=0,SUMPRODUCT(--ISERROR(FIND(MID(MID(AN158,3,10),{6,7,8,9},1),"0123456789")))=0,ISNUMBER(FIND(MID(AN158,13,1),"123456789ABCDEFGHIJKLMNOPQRSTUVWXYZ")),MID(AN158,14,1)="Z")),"Wrong format",IF(MID("0123456789ABCDEFGHIJKLMNOPQRSTUVWXYZ",MOD(36-MOD(SUMPRODUCT(INT((FIND(MID(AN158,{1,2,3,4,5,6,7,8,9,10,11,12,13,14},1),"0123456789ABCDEFGHIJKLMNOPQRSTUVWXYZ")-1)*{1,2,1,2,1,2,1,2,1,2,1,2,1,2}/36)+MOD((FIND(MID(AN158,{1,2,3,4,5,6,7,8,9,10,11,12,13,14},1),"0123456789ABCDEFGHIJKLMNOPQRSTUVWXYZ")-1)*{1,2,1,2,1,2,1,2,1,2,1,2,1,2},36)),36),36)+1,1)=MID(AN158,15,1),"OK","Typo? check digit wrong")),"Wrong format"))</f>
        <v/>
      </c>
      <c r="AK158" s="27">
        <f>IF(AO158="","",IF(AND(LEN(AO158)=10,SUMPRODUCT(--ISERROR(FIND(MID(AO158,{1,2,3,4,5,10},1),"ABCDEFGHIJKLMNOPQRSTUVWXYZ")))=0,SUMPRODUCT(--ISERROR(FIND(MID(AO158,{6,7,8,9},1),"0123456789")))=0),"OK","Wrong format"))</f>
        <v/>
      </c>
      <c r="AL158" s="27">
        <f>IF(TRIM(H158)="","",IF(AND(LEN(UPPER(TRIM(H158)))=10,SUMPRODUCT(--ISERROR(FIND(MID(UPPER(TRIM(H158)),{1,2,3,4,10},1),"ABCDEFGHIJKLMNOPQRSTUVWXYZ")))=0,SUMPRODUCT(--ISERROR(FIND(MID(UPPER(TRIM(H158)),{5,6,7,8,9},1),"0123456789")))=0),"OK","Wrong format"))</f>
        <v/>
      </c>
      <c r="AM158" s="28">
        <f>IF(NOT(COUNTA(A158:AE158)&gt;0),"",IF(AS158&lt;&gt;"","✖ "&amp;LEFT(AS158,LEN(AS158)-2),IF(AR158&gt;0,"✔ Ready — client + "&amp;AR158&amp;" service(s)","✔ Ready — client only")))</f>
        <v/>
      </c>
      <c r="AN158" s="29">
        <f>UPPER(SUBSTITUTE(TRIM(F158)," ",""))</f>
        <v/>
      </c>
      <c r="AO158" s="29">
        <f>UPPER(SUBSTITUTE(TRIM(E158)," ",""))</f>
        <v/>
      </c>
      <c r="AP158" s="29">
        <f>IF(D158&lt;&gt;"",D158,IFERROR(VLOOKUP(MID(AG158,4,1),Lists!$E$2:$F$8,2,FALSE),""))</f>
        <v/>
      </c>
      <c r="AQ158" s="29">
        <f>IFERROR(VLOOKUP(AP158,Lists!$A$2:$C$12,3,FALSE),"")</f>
        <v/>
      </c>
      <c r="AR158" s="29">
        <f>COUNTIF(W158:AC158,"Yes")</f>
        <v/>
      </c>
      <c r="AS158" s="29">
        <f>IF(TRIM(B158)="","Legal name missing; ","")&amp;IF(AND(AJ158&lt;&gt;"",AJ158&lt;&gt;"OK"),"GSTIN: "&amp;AJ158&amp;"; ","")&amp;IF(AND(AK158&lt;&gt;"",AK158&lt;&gt;"OK"),"PAN wrong format; ","")&amp;IF(AND(AO158&lt;&gt;"",LEN(AN158)=15,MID(AN158,3,10)&lt;&gt;AO158),"PAN does not match GSTIN; ","")&amp;IF(AND(AL158&lt;&gt;"",AL158&lt;&gt;"OK"),"TAN wrong format; ","")&amp;IF(AG158="","PAN missing; ","")&amp;IF(AP158="","Entity type missing; ","")&amp;IF(AND(AN158&lt;&gt;"",COUNTIF($AN$6:$AN$1005,AN158)&gt;1),"GSTIN repeated in this sheet; ","")&amp;IF(AND(AG158&lt;&gt;"",COUNTIF($AG$6:$AG$1005,AG158)&gt;1),"PAN repeated in this sheet (same client? put extra GSTINs in Other GSTINs); ","")&amp;IF(AND(AR158&gt;0,V158=""),"Financial year missing; ","")&amp;IF(AND(AR158=0,V158&lt;&gt;""),"Financial year given but no service is Yes; ","")&amp;IF(AND(W158="Yes",AN158=""),"GST needs a GSTIN; ","")&amp;IF(AND(W158="Yes",X158=""),"GST return frequency missing; ","")&amp;IF(AND(Y158="Yes",TRIM(H158)=""),"TDS needs a TAN; ","")&amp;IF(AND(AA158="Yes",AQ158&lt;&gt;"",AQ158&lt;&gt;"company",AQ158&lt;&gt;"llp"),"ROC is only for a company / LLP; ","")&amp;IF(AND(AA158="Yes",OR(AQ158="company",AQ158="llp"),TRIM(I158)=""),"ROC needs the CIN / LLPIN; ","")</f>
        <v/>
      </c>
    </row>
    <row r="159">
      <c r="A159" s="30" t="n"/>
      <c r="B159" s="31" t="n"/>
      <c r="C159" s="31" t="n"/>
      <c r="D159" s="31" t="n"/>
      <c r="E159" s="30" t="n"/>
      <c r="F159" s="30" t="n"/>
      <c r="G159" s="30" t="n"/>
      <c r="H159" s="30" t="n"/>
      <c r="I159" s="30" t="n"/>
      <c r="J159" s="32" t="n"/>
      <c r="K159" s="31" t="n"/>
      <c r="L159" s="30" t="n"/>
      <c r="M159" s="31" t="n"/>
      <c r="N159" s="31" t="n"/>
      <c r="O159" s="31" t="n"/>
      <c r="P159" s="30" t="n"/>
      <c r="Q159" s="31" t="n"/>
      <c r="R159" s="31" t="n"/>
      <c r="S159" s="31" t="n"/>
      <c r="T159" s="31" t="n"/>
      <c r="U159" s="30" t="n"/>
      <c r="V159" s="31" t="n"/>
      <c r="W159" s="31" t="n"/>
      <c r="X159" s="31" t="n"/>
      <c r="Y159" s="31" t="n"/>
      <c r="Z159" s="31" t="n"/>
      <c r="AA159" s="31" t="n"/>
      <c r="AB159" s="31" t="n"/>
      <c r="AC159" s="31" t="n"/>
      <c r="AD159" s="31" t="n"/>
      <c r="AE159" s="31" t="n"/>
      <c r="AF159" s="27">
        <f>IF(NOT(COUNTA(A159:AE159)&gt;0),"",IF(A159="","New client","Update"))</f>
        <v/>
      </c>
      <c r="AG159" s="27">
        <f>IF(AO159&lt;&gt;"",AO159,IF(LEN(AN159)=15,MID(AN159,3,10),""))</f>
        <v/>
      </c>
      <c r="AH159" s="27">
        <f>IF(AP159="","",AP159&amp;IF(D159="","  (guessed from PAN)",""))</f>
        <v/>
      </c>
      <c r="AI159" s="27">
        <f>IF(AN159="","",IFERROR(INDEX(Lists!$L$2:$L$38,MATCH(LEFT(AN159,2),Lists!$K$2:$K$38,0)),"Unknown code"))</f>
        <v/>
      </c>
      <c r="AJ159" s="27">
        <f>IF(AN159="","",IFERROR(IF(NOT(AND(LEN(AN159)=15,ISNUMBER(MATCH(LEFT(AN159,2),Lists!$K$2:$K$38,0)),SUMPRODUCT(--ISERROR(FIND(MID(MID(AN159,3,10),{1,2,3,4,5,10},1),"ABCDEFGHIJKLMNOPQRSTUVWXYZ")))=0,SUMPRODUCT(--ISERROR(FIND(MID(MID(AN159,3,10),{6,7,8,9},1),"0123456789")))=0,ISNUMBER(FIND(MID(AN159,13,1),"123456789ABCDEFGHIJKLMNOPQRSTUVWXYZ")),MID(AN159,14,1)="Z")),"Wrong format",IF(MID("0123456789ABCDEFGHIJKLMNOPQRSTUVWXYZ",MOD(36-MOD(SUMPRODUCT(INT((FIND(MID(AN159,{1,2,3,4,5,6,7,8,9,10,11,12,13,14},1),"0123456789ABCDEFGHIJKLMNOPQRSTUVWXYZ")-1)*{1,2,1,2,1,2,1,2,1,2,1,2,1,2}/36)+MOD((FIND(MID(AN159,{1,2,3,4,5,6,7,8,9,10,11,12,13,14},1),"0123456789ABCDEFGHIJKLMNOPQRSTUVWXYZ")-1)*{1,2,1,2,1,2,1,2,1,2,1,2,1,2},36)),36),36)+1,1)=MID(AN159,15,1),"OK","Typo? check digit wrong")),"Wrong format"))</f>
        <v/>
      </c>
      <c r="AK159" s="27">
        <f>IF(AO159="","",IF(AND(LEN(AO159)=10,SUMPRODUCT(--ISERROR(FIND(MID(AO159,{1,2,3,4,5,10},1),"ABCDEFGHIJKLMNOPQRSTUVWXYZ")))=0,SUMPRODUCT(--ISERROR(FIND(MID(AO159,{6,7,8,9},1),"0123456789")))=0),"OK","Wrong format"))</f>
        <v/>
      </c>
      <c r="AL159" s="27">
        <f>IF(TRIM(H159)="","",IF(AND(LEN(UPPER(TRIM(H159)))=10,SUMPRODUCT(--ISERROR(FIND(MID(UPPER(TRIM(H159)),{1,2,3,4,10},1),"ABCDEFGHIJKLMNOPQRSTUVWXYZ")))=0,SUMPRODUCT(--ISERROR(FIND(MID(UPPER(TRIM(H159)),{5,6,7,8,9},1),"0123456789")))=0),"OK","Wrong format"))</f>
        <v/>
      </c>
      <c r="AM159" s="28">
        <f>IF(NOT(COUNTA(A159:AE159)&gt;0),"",IF(AS159&lt;&gt;"","✖ "&amp;LEFT(AS159,LEN(AS159)-2),IF(AR159&gt;0,"✔ Ready — client + "&amp;AR159&amp;" service(s)","✔ Ready — client only")))</f>
        <v/>
      </c>
      <c r="AN159" s="29">
        <f>UPPER(SUBSTITUTE(TRIM(F159)," ",""))</f>
        <v/>
      </c>
      <c r="AO159" s="29">
        <f>UPPER(SUBSTITUTE(TRIM(E159)," ",""))</f>
        <v/>
      </c>
      <c r="AP159" s="29">
        <f>IF(D159&lt;&gt;"",D159,IFERROR(VLOOKUP(MID(AG159,4,1),Lists!$E$2:$F$8,2,FALSE),""))</f>
        <v/>
      </c>
      <c r="AQ159" s="29">
        <f>IFERROR(VLOOKUP(AP159,Lists!$A$2:$C$12,3,FALSE),"")</f>
        <v/>
      </c>
      <c r="AR159" s="29">
        <f>COUNTIF(W159:AC159,"Yes")</f>
        <v/>
      </c>
      <c r="AS159" s="29">
        <f>IF(TRIM(B159)="","Legal name missing; ","")&amp;IF(AND(AJ159&lt;&gt;"",AJ159&lt;&gt;"OK"),"GSTIN: "&amp;AJ159&amp;"; ","")&amp;IF(AND(AK159&lt;&gt;"",AK159&lt;&gt;"OK"),"PAN wrong format; ","")&amp;IF(AND(AO159&lt;&gt;"",LEN(AN159)=15,MID(AN159,3,10)&lt;&gt;AO159),"PAN does not match GSTIN; ","")&amp;IF(AND(AL159&lt;&gt;"",AL159&lt;&gt;"OK"),"TAN wrong format; ","")&amp;IF(AG159="","PAN missing; ","")&amp;IF(AP159="","Entity type missing; ","")&amp;IF(AND(AN159&lt;&gt;"",COUNTIF($AN$6:$AN$1005,AN159)&gt;1),"GSTIN repeated in this sheet; ","")&amp;IF(AND(AG159&lt;&gt;"",COUNTIF($AG$6:$AG$1005,AG159)&gt;1),"PAN repeated in this sheet (same client? put extra GSTINs in Other GSTINs); ","")&amp;IF(AND(AR159&gt;0,V159=""),"Financial year missing; ","")&amp;IF(AND(AR159=0,V159&lt;&gt;""),"Financial year given but no service is Yes; ","")&amp;IF(AND(W159="Yes",AN159=""),"GST needs a GSTIN; ","")&amp;IF(AND(W159="Yes",X159=""),"GST return frequency missing; ","")&amp;IF(AND(Y159="Yes",TRIM(H159)=""),"TDS needs a TAN; ","")&amp;IF(AND(AA159="Yes",AQ159&lt;&gt;"",AQ159&lt;&gt;"company",AQ159&lt;&gt;"llp"),"ROC is only for a company / LLP; ","")&amp;IF(AND(AA159="Yes",OR(AQ159="company",AQ159="llp"),TRIM(I159)=""),"ROC needs the CIN / LLPIN; ","")</f>
        <v/>
      </c>
    </row>
    <row r="160">
      <c r="A160" s="30" t="n"/>
      <c r="B160" s="31" t="n"/>
      <c r="C160" s="31" t="n"/>
      <c r="D160" s="31" t="n"/>
      <c r="E160" s="30" t="n"/>
      <c r="F160" s="30" t="n"/>
      <c r="G160" s="30" t="n"/>
      <c r="H160" s="30" t="n"/>
      <c r="I160" s="30" t="n"/>
      <c r="J160" s="32" t="n"/>
      <c r="K160" s="31" t="n"/>
      <c r="L160" s="30" t="n"/>
      <c r="M160" s="31" t="n"/>
      <c r="N160" s="31" t="n"/>
      <c r="O160" s="31" t="n"/>
      <c r="P160" s="30" t="n"/>
      <c r="Q160" s="31" t="n"/>
      <c r="R160" s="31" t="n"/>
      <c r="S160" s="31" t="n"/>
      <c r="T160" s="31" t="n"/>
      <c r="U160" s="30" t="n"/>
      <c r="V160" s="31" t="n"/>
      <c r="W160" s="31" t="n"/>
      <c r="X160" s="31" t="n"/>
      <c r="Y160" s="31" t="n"/>
      <c r="Z160" s="31" t="n"/>
      <c r="AA160" s="31" t="n"/>
      <c r="AB160" s="31" t="n"/>
      <c r="AC160" s="31" t="n"/>
      <c r="AD160" s="31" t="n"/>
      <c r="AE160" s="31" t="n"/>
      <c r="AF160" s="27">
        <f>IF(NOT(COUNTA(A160:AE160)&gt;0),"",IF(A160="","New client","Update"))</f>
        <v/>
      </c>
      <c r="AG160" s="27">
        <f>IF(AO160&lt;&gt;"",AO160,IF(LEN(AN160)=15,MID(AN160,3,10),""))</f>
        <v/>
      </c>
      <c r="AH160" s="27">
        <f>IF(AP160="","",AP160&amp;IF(D160="","  (guessed from PAN)",""))</f>
        <v/>
      </c>
      <c r="AI160" s="27">
        <f>IF(AN160="","",IFERROR(INDEX(Lists!$L$2:$L$38,MATCH(LEFT(AN160,2),Lists!$K$2:$K$38,0)),"Unknown code"))</f>
        <v/>
      </c>
      <c r="AJ160" s="27">
        <f>IF(AN160="","",IFERROR(IF(NOT(AND(LEN(AN160)=15,ISNUMBER(MATCH(LEFT(AN160,2),Lists!$K$2:$K$38,0)),SUMPRODUCT(--ISERROR(FIND(MID(MID(AN160,3,10),{1,2,3,4,5,10},1),"ABCDEFGHIJKLMNOPQRSTUVWXYZ")))=0,SUMPRODUCT(--ISERROR(FIND(MID(MID(AN160,3,10),{6,7,8,9},1),"0123456789")))=0,ISNUMBER(FIND(MID(AN160,13,1),"123456789ABCDEFGHIJKLMNOPQRSTUVWXYZ")),MID(AN160,14,1)="Z")),"Wrong format",IF(MID("0123456789ABCDEFGHIJKLMNOPQRSTUVWXYZ",MOD(36-MOD(SUMPRODUCT(INT((FIND(MID(AN160,{1,2,3,4,5,6,7,8,9,10,11,12,13,14},1),"0123456789ABCDEFGHIJKLMNOPQRSTUVWXYZ")-1)*{1,2,1,2,1,2,1,2,1,2,1,2,1,2}/36)+MOD((FIND(MID(AN160,{1,2,3,4,5,6,7,8,9,10,11,12,13,14},1),"0123456789ABCDEFGHIJKLMNOPQRSTUVWXYZ")-1)*{1,2,1,2,1,2,1,2,1,2,1,2,1,2},36)),36),36)+1,1)=MID(AN160,15,1),"OK","Typo? check digit wrong")),"Wrong format"))</f>
        <v/>
      </c>
      <c r="AK160" s="27">
        <f>IF(AO160="","",IF(AND(LEN(AO160)=10,SUMPRODUCT(--ISERROR(FIND(MID(AO160,{1,2,3,4,5,10},1),"ABCDEFGHIJKLMNOPQRSTUVWXYZ")))=0,SUMPRODUCT(--ISERROR(FIND(MID(AO160,{6,7,8,9},1),"0123456789")))=0),"OK","Wrong format"))</f>
        <v/>
      </c>
      <c r="AL160" s="27">
        <f>IF(TRIM(H160)="","",IF(AND(LEN(UPPER(TRIM(H160)))=10,SUMPRODUCT(--ISERROR(FIND(MID(UPPER(TRIM(H160)),{1,2,3,4,10},1),"ABCDEFGHIJKLMNOPQRSTUVWXYZ")))=0,SUMPRODUCT(--ISERROR(FIND(MID(UPPER(TRIM(H160)),{5,6,7,8,9},1),"0123456789")))=0),"OK","Wrong format"))</f>
        <v/>
      </c>
      <c r="AM160" s="28">
        <f>IF(NOT(COUNTA(A160:AE160)&gt;0),"",IF(AS160&lt;&gt;"","✖ "&amp;LEFT(AS160,LEN(AS160)-2),IF(AR160&gt;0,"✔ Ready — client + "&amp;AR160&amp;" service(s)","✔ Ready — client only")))</f>
        <v/>
      </c>
      <c r="AN160" s="29">
        <f>UPPER(SUBSTITUTE(TRIM(F160)," ",""))</f>
        <v/>
      </c>
      <c r="AO160" s="29">
        <f>UPPER(SUBSTITUTE(TRIM(E160)," ",""))</f>
        <v/>
      </c>
      <c r="AP160" s="29">
        <f>IF(D160&lt;&gt;"",D160,IFERROR(VLOOKUP(MID(AG160,4,1),Lists!$E$2:$F$8,2,FALSE),""))</f>
        <v/>
      </c>
      <c r="AQ160" s="29">
        <f>IFERROR(VLOOKUP(AP160,Lists!$A$2:$C$12,3,FALSE),"")</f>
        <v/>
      </c>
      <c r="AR160" s="29">
        <f>COUNTIF(W160:AC160,"Yes")</f>
        <v/>
      </c>
      <c r="AS160" s="29">
        <f>IF(TRIM(B160)="","Legal name missing; ","")&amp;IF(AND(AJ160&lt;&gt;"",AJ160&lt;&gt;"OK"),"GSTIN: "&amp;AJ160&amp;"; ","")&amp;IF(AND(AK160&lt;&gt;"",AK160&lt;&gt;"OK"),"PAN wrong format; ","")&amp;IF(AND(AO160&lt;&gt;"",LEN(AN160)=15,MID(AN160,3,10)&lt;&gt;AO160),"PAN does not match GSTIN; ","")&amp;IF(AND(AL160&lt;&gt;"",AL160&lt;&gt;"OK"),"TAN wrong format; ","")&amp;IF(AG160="","PAN missing; ","")&amp;IF(AP160="","Entity type missing; ","")&amp;IF(AND(AN160&lt;&gt;"",COUNTIF($AN$6:$AN$1005,AN160)&gt;1),"GSTIN repeated in this sheet; ","")&amp;IF(AND(AG160&lt;&gt;"",COUNTIF($AG$6:$AG$1005,AG160)&gt;1),"PAN repeated in this sheet (same client? put extra GSTINs in Other GSTINs); ","")&amp;IF(AND(AR160&gt;0,V160=""),"Financial year missing; ","")&amp;IF(AND(AR160=0,V160&lt;&gt;""),"Financial year given but no service is Yes; ","")&amp;IF(AND(W160="Yes",AN160=""),"GST needs a GSTIN; ","")&amp;IF(AND(W160="Yes",X160=""),"GST return frequency missing; ","")&amp;IF(AND(Y160="Yes",TRIM(H160)=""),"TDS needs a TAN; ","")&amp;IF(AND(AA160="Yes",AQ160&lt;&gt;"",AQ160&lt;&gt;"company",AQ160&lt;&gt;"llp"),"ROC is only for a company / LLP; ","")&amp;IF(AND(AA160="Yes",OR(AQ160="company",AQ160="llp"),TRIM(I160)=""),"ROC needs the CIN / LLPIN; ","")</f>
        <v/>
      </c>
    </row>
    <row r="161">
      <c r="A161" s="30" t="n"/>
      <c r="B161" s="31" t="n"/>
      <c r="C161" s="31" t="n"/>
      <c r="D161" s="31" t="n"/>
      <c r="E161" s="30" t="n"/>
      <c r="F161" s="30" t="n"/>
      <c r="G161" s="30" t="n"/>
      <c r="H161" s="30" t="n"/>
      <c r="I161" s="30" t="n"/>
      <c r="J161" s="32" t="n"/>
      <c r="K161" s="31" t="n"/>
      <c r="L161" s="30" t="n"/>
      <c r="M161" s="31" t="n"/>
      <c r="N161" s="31" t="n"/>
      <c r="O161" s="31" t="n"/>
      <c r="P161" s="30" t="n"/>
      <c r="Q161" s="31" t="n"/>
      <c r="R161" s="31" t="n"/>
      <c r="S161" s="31" t="n"/>
      <c r="T161" s="31" t="n"/>
      <c r="U161" s="30" t="n"/>
      <c r="V161" s="31" t="n"/>
      <c r="W161" s="31" t="n"/>
      <c r="X161" s="31" t="n"/>
      <c r="Y161" s="31" t="n"/>
      <c r="Z161" s="31" t="n"/>
      <c r="AA161" s="31" t="n"/>
      <c r="AB161" s="31" t="n"/>
      <c r="AC161" s="31" t="n"/>
      <c r="AD161" s="31" t="n"/>
      <c r="AE161" s="31" t="n"/>
      <c r="AF161" s="27">
        <f>IF(NOT(COUNTA(A161:AE161)&gt;0),"",IF(A161="","New client","Update"))</f>
        <v/>
      </c>
      <c r="AG161" s="27">
        <f>IF(AO161&lt;&gt;"",AO161,IF(LEN(AN161)=15,MID(AN161,3,10),""))</f>
        <v/>
      </c>
      <c r="AH161" s="27">
        <f>IF(AP161="","",AP161&amp;IF(D161="","  (guessed from PAN)",""))</f>
        <v/>
      </c>
      <c r="AI161" s="27">
        <f>IF(AN161="","",IFERROR(INDEX(Lists!$L$2:$L$38,MATCH(LEFT(AN161,2),Lists!$K$2:$K$38,0)),"Unknown code"))</f>
        <v/>
      </c>
      <c r="AJ161" s="27">
        <f>IF(AN161="","",IFERROR(IF(NOT(AND(LEN(AN161)=15,ISNUMBER(MATCH(LEFT(AN161,2),Lists!$K$2:$K$38,0)),SUMPRODUCT(--ISERROR(FIND(MID(MID(AN161,3,10),{1,2,3,4,5,10},1),"ABCDEFGHIJKLMNOPQRSTUVWXYZ")))=0,SUMPRODUCT(--ISERROR(FIND(MID(MID(AN161,3,10),{6,7,8,9},1),"0123456789")))=0,ISNUMBER(FIND(MID(AN161,13,1),"123456789ABCDEFGHIJKLMNOPQRSTUVWXYZ")),MID(AN161,14,1)="Z")),"Wrong format",IF(MID("0123456789ABCDEFGHIJKLMNOPQRSTUVWXYZ",MOD(36-MOD(SUMPRODUCT(INT((FIND(MID(AN161,{1,2,3,4,5,6,7,8,9,10,11,12,13,14},1),"0123456789ABCDEFGHIJKLMNOPQRSTUVWXYZ")-1)*{1,2,1,2,1,2,1,2,1,2,1,2,1,2}/36)+MOD((FIND(MID(AN161,{1,2,3,4,5,6,7,8,9,10,11,12,13,14},1),"0123456789ABCDEFGHIJKLMNOPQRSTUVWXYZ")-1)*{1,2,1,2,1,2,1,2,1,2,1,2,1,2},36)),36),36)+1,1)=MID(AN161,15,1),"OK","Typo? check digit wrong")),"Wrong format"))</f>
        <v/>
      </c>
      <c r="AK161" s="27">
        <f>IF(AO161="","",IF(AND(LEN(AO161)=10,SUMPRODUCT(--ISERROR(FIND(MID(AO161,{1,2,3,4,5,10},1),"ABCDEFGHIJKLMNOPQRSTUVWXYZ")))=0,SUMPRODUCT(--ISERROR(FIND(MID(AO161,{6,7,8,9},1),"0123456789")))=0),"OK","Wrong format"))</f>
        <v/>
      </c>
      <c r="AL161" s="27">
        <f>IF(TRIM(H161)="","",IF(AND(LEN(UPPER(TRIM(H161)))=10,SUMPRODUCT(--ISERROR(FIND(MID(UPPER(TRIM(H161)),{1,2,3,4,10},1),"ABCDEFGHIJKLMNOPQRSTUVWXYZ")))=0,SUMPRODUCT(--ISERROR(FIND(MID(UPPER(TRIM(H161)),{5,6,7,8,9},1),"0123456789")))=0),"OK","Wrong format"))</f>
        <v/>
      </c>
      <c r="AM161" s="28">
        <f>IF(NOT(COUNTA(A161:AE161)&gt;0),"",IF(AS161&lt;&gt;"","✖ "&amp;LEFT(AS161,LEN(AS161)-2),IF(AR161&gt;0,"✔ Ready — client + "&amp;AR161&amp;" service(s)","✔ Ready — client only")))</f>
        <v/>
      </c>
      <c r="AN161" s="29">
        <f>UPPER(SUBSTITUTE(TRIM(F161)," ",""))</f>
        <v/>
      </c>
      <c r="AO161" s="29">
        <f>UPPER(SUBSTITUTE(TRIM(E161)," ",""))</f>
        <v/>
      </c>
      <c r="AP161" s="29">
        <f>IF(D161&lt;&gt;"",D161,IFERROR(VLOOKUP(MID(AG161,4,1),Lists!$E$2:$F$8,2,FALSE),""))</f>
        <v/>
      </c>
      <c r="AQ161" s="29">
        <f>IFERROR(VLOOKUP(AP161,Lists!$A$2:$C$12,3,FALSE),"")</f>
        <v/>
      </c>
      <c r="AR161" s="29">
        <f>COUNTIF(W161:AC161,"Yes")</f>
        <v/>
      </c>
      <c r="AS161" s="29">
        <f>IF(TRIM(B161)="","Legal name missing; ","")&amp;IF(AND(AJ161&lt;&gt;"",AJ161&lt;&gt;"OK"),"GSTIN: "&amp;AJ161&amp;"; ","")&amp;IF(AND(AK161&lt;&gt;"",AK161&lt;&gt;"OK"),"PAN wrong format; ","")&amp;IF(AND(AO161&lt;&gt;"",LEN(AN161)=15,MID(AN161,3,10)&lt;&gt;AO161),"PAN does not match GSTIN; ","")&amp;IF(AND(AL161&lt;&gt;"",AL161&lt;&gt;"OK"),"TAN wrong format; ","")&amp;IF(AG161="","PAN missing; ","")&amp;IF(AP161="","Entity type missing; ","")&amp;IF(AND(AN161&lt;&gt;"",COUNTIF($AN$6:$AN$1005,AN161)&gt;1),"GSTIN repeated in this sheet; ","")&amp;IF(AND(AG161&lt;&gt;"",COUNTIF($AG$6:$AG$1005,AG161)&gt;1),"PAN repeated in this sheet (same client? put extra GSTINs in Other GSTINs); ","")&amp;IF(AND(AR161&gt;0,V161=""),"Financial year missing; ","")&amp;IF(AND(AR161=0,V161&lt;&gt;""),"Financial year given but no service is Yes; ","")&amp;IF(AND(W161="Yes",AN161=""),"GST needs a GSTIN; ","")&amp;IF(AND(W161="Yes",X161=""),"GST return frequency missing; ","")&amp;IF(AND(Y161="Yes",TRIM(H161)=""),"TDS needs a TAN; ","")&amp;IF(AND(AA161="Yes",AQ161&lt;&gt;"",AQ161&lt;&gt;"company",AQ161&lt;&gt;"llp"),"ROC is only for a company / LLP; ","")&amp;IF(AND(AA161="Yes",OR(AQ161="company",AQ161="llp"),TRIM(I161)=""),"ROC needs the CIN / LLPIN; ","")</f>
        <v/>
      </c>
    </row>
    <row r="162">
      <c r="A162" s="30" t="n"/>
      <c r="B162" s="31" t="n"/>
      <c r="C162" s="31" t="n"/>
      <c r="D162" s="31" t="n"/>
      <c r="E162" s="30" t="n"/>
      <c r="F162" s="30" t="n"/>
      <c r="G162" s="30" t="n"/>
      <c r="H162" s="30" t="n"/>
      <c r="I162" s="30" t="n"/>
      <c r="J162" s="32" t="n"/>
      <c r="K162" s="31" t="n"/>
      <c r="L162" s="30" t="n"/>
      <c r="M162" s="31" t="n"/>
      <c r="N162" s="31" t="n"/>
      <c r="O162" s="31" t="n"/>
      <c r="P162" s="30" t="n"/>
      <c r="Q162" s="31" t="n"/>
      <c r="R162" s="31" t="n"/>
      <c r="S162" s="31" t="n"/>
      <c r="T162" s="31" t="n"/>
      <c r="U162" s="30" t="n"/>
      <c r="V162" s="31" t="n"/>
      <c r="W162" s="31" t="n"/>
      <c r="X162" s="31" t="n"/>
      <c r="Y162" s="31" t="n"/>
      <c r="Z162" s="31" t="n"/>
      <c r="AA162" s="31" t="n"/>
      <c r="AB162" s="31" t="n"/>
      <c r="AC162" s="31" t="n"/>
      <c r="AD162" s="31" t="n"/>
      <c r="AE162" s="31" t="n"/>
      <c r="AF162" s="27">
        <f>IF(NOT(COUNTA(A162:AE162)&gt;0),"",IF(A162="","New client","Update"))</f>
        <v/>
      </c>
      <c r="AG162" s="27">
        <f>IF(AO162&lt;&gt;"",AO162,IF(LEN(AN162)=15,MID(AN162,3,10),""))</f>
        <v/>
      </c>
      <c r="AH162" s="27">
        <f>IF(AP162="","",AP162&amp;IF(D162="","  (guessed from PAN)",""))</f>
        <v/>
      </c>
      <c r="AI162" s="27">
        <f>IF(AN162="","",IFERROR(INDEX(Lists!$L$2:$L$38,MATCH(LEFT(AN162,2),Lists!$K$2:$K$38,0)),"Unknown code"))</f>
        <v/>
      </c>
      <c r="AJ162" s="27">
        <f>IF(AN162="","",IFERROR(IF(NOT(AND(LEN(AN162)=15,ISNUMBER(MATCH(LEFT(AN162,2),Lists!$K$2:$K$38,0)),SUMPRODUCT(--ISERROR(FIND(MID(MID(AN162,3,10),{1,2,3,4,5,10},1),"ABCDEFGHIJKLMNOPQRSTUVWXYZ")))=0,SUMPRODUCT(--ISERROR(FIND(MID(MID(AN162,3,10),{6,7,8,9},1),"0123456789")))=0,ISNUMBER(FIND(MID(AN162,13,1),"123456789ABCDEFGHIJKLMNOPQRSTUVWXYZ")),MID(AN162,14,1)="Z")),"Wrong format",IF(MID("0123456789ABCDEFGHIJKLMNOPQRSTUVWXYZ",MOD(36-MOD(SUMPRODUCT(INT((FIND(MID(AN162,{1,2,3,4,5,6,7,8,9,10,11,12,13,14},1),"0123456789ABCDEFGHIJKLMNOPQRSTUVWXYZ")-1)*{1,2,1,2,1,2,1,2,1,2,1,2,1,2}/36)+MOD((FIND(MID(AN162,{1,2,3,4,5,6,7,8,9,10,11,12,13,14},1),"0123456789ABCDEFGHIJKLMNOPQRSTUVWXYZ")-1)*{1,2,1,2,1,2,1,2,1,2,1,2,1,2},36)),36),36)+1,1)=MID(AN162,15,1),"OK","Typo? check digit wrong")),"Wrong format"))</f>
        <v/>
      </c>
      <c r="AK162" s="27">
        <f>IF(AO162="","",IF(AND(LEN(AO162)=10,SUMPRODUCT(--ISERROR(FIND(MID(AO162,{1,2,3,4,5,10},1),"ABCDEFGHIJKLMNOPQRSTUVWXYZ")))=0,SUMPRODUCT(--ISERROR(FIND(MID(AO162,{6,7,8,9},1),"0123456789")))=0),"OK","Wrong format"))</f>
        <v/>
      </c>
      <c r="AL162" s="27">
        <f>IF(TRIM(H162)="","",IF(AND(LEN(UPPER(TRIM(H162)))=10,SUMPRODUCT(--ISERROR(FIND(MID(UPPER(TRIM(H162)),{1,2,3,4,10},1),"ABCDEFGHIJKLMNOPQRSTUVWXYZ")))=0,SUMPRODUCT(--ISERROR(FIND(MID(UPPER(TRIM(H162)),{5,6,7,8,9},1),"0123456789")))=0),"OK","Wrong format"))</f>
        <v/>
      </c>
      <c r="AM162" s="28">
        <f>IF(NOT(COUNTA(A162:AE162)&gt;0),"",IF(AS162&lt;&gt;"","✖ "&amp;LEFT(AS162,LEN(AS162)-2),IF(AR162&gt;0,"✔ Ready — client + "&amp;AR162&amp;" service(s)","✔ Ready — client only")))</f>
        <v/>
      </c>
      <c r="AN162" s="29">
        <f>UPPER(SUBSTITUTE(TRIM(F162)," ",""))</f>
        <v/>
      </c>
      <c r="AO162" s="29">
        <f>UPPER(SUBSTITUTE(TRIM(E162)," ",""))</f>
        <v/>
      </c>
      <c r="AP162" s="29">
        <f>IF(D162&lt;&gt;"",D162,IFERROR(VLOOKUP(MID(AG162,4,1),Lists!$E$2:$F$8,2,FALSE),""))</f>
        <v/>
      </c>
      <c r="AQ162" s="29">
        <f>IFERROR(VLOOKUP(AP162,Lists!$A$2:$C$12,3,FALSE),"")</f>
        <v/>
      </c>
      <c r="AR162" s="29">
        <f>COUNTIF(W162:AC162,"Yes")</f>
        <v/>
      </c>
      <c r="AS162" s="29">
        <f>IF(TRIM(B162)="","Legal name missing; ","")&amp;IF(AND(AJ162&lt;&gt;"",AJ162&lt;&gt;"OK"),"GSTIN: "&amp;AJ162&amp;"; ","")&amp;IF(AND(AK162&lt;&gt;"",AK162&lt;&gt;"OK"),"PAN wrong format; ","")&amp;IF(AND(AO162&lt;&gt;"",LEN(AN162)=15,MID(AN162,3,10)&lt;&gt;AO162),"PAN does not match GSTIN; ","")&amp;IF(AND(AL162&lt;&gt;"",AL162&lt;&gt;"OK"),"TAN wrong format; ","")&amp;IF(AG162="","PAN missing; ","")&amp;IF(AP162="","Entity type missing; ","")&amp;IF(AND(AN162&lt;&gt;"",COUNTIF($AN$6:$AN$1005,AN162)&gt;1),"GSTIN repeated in this sheet; ","")&amp;IF(AND(AG162&lt;&gt;"",COUNTIF($AG$6:$AG$1005,AG162)&gt;1),"PAN repeated in this sheet (same client? put extra GSTINs in Other GSTINs); ","")&amp;IF(AND(AR162&gt;0,V162=""),"Financial year missing; ","")&amp;IF(AND(AR162=0,V162&lt;&gt;""),"Financial year given but no service is Yes; ","")&amp;IF(AND(W162="Yes",AN162=""),"GST needs a GSTIN; ","")&amp;IF(AND(W162="Yes",X162=""),"GST return frequency missing; ","")&amp;IF(AND(Y162="Yes",TRIM(H162)=""),"TDS needs a TAN; ","")&amp;IF(AND(AA162="Yes",AQ162&lt;&gt;"",AQ162&lt;&gt;"company",AQ162&lt;&gt;"llp"),"ROC is only for a company / LLP; ","")&amp;IF(AND(AA162="Yes",OR(AQ162="company",AQ162="llp"),TRIM(I162)=""),"ROC needs the CIN / LLPIN; ","")</f>
        <v/>
      </c>
    </row>
    <row r="163">
      <c r="A163" s="30" t="n"/>
      <c r="B163" s="31" t="n"/>
      <c r="C163" s="31" t="n"/>
      <c r="D163" s="31" t="n"/>
      <c r="E163" s="30" t="n"/>
      <c r="F163" s="30" t="n"/>
      <c r="G163" s="30" t="n"/>
      <c r="H163" s="30" t="n"/>
      <c r="I163" s="30" t="n"/>
      <c r="J163" s="32" t="n"/>
      <c r="K163" s="31" t="n"/>
      <c r="L163" s="30" t="n"/>
      <c r="M163" s="31" t="n"/>
      <c r="N163" s="31" t="n"/>
      <c r="O163" s="31" t="n"/>
      <c r="P163" s="30" t="n"/>
      <c r="Q163" s="31" t="n"/>
      <c r="R163" s="31" t="n"/>
      <c r="S163" s="31" t="n"/>
      <c r="T163" s="31" t="n"/>
      <c r="U163" s="30" t="n"/>
      <c r="V163" s="31" t="n"/>
      <c r="W163" s="31" t="n"/>
      <c r="X163" s="31" t="n"/>
      <c r="Y163" s="31" t="n"/>
      <c r="Z163" s="31" t="n"/>
      <c r="AA163" s="31" t="n"/>
      <c r="AB163" s="31" t="n"/>
      <c r="AC163" s="31" t="n"/>
      <c r="AD163" s="31" t="n"/>
      <c r="AE163" s="31" t="n"/>
      <c r="AF163" s="27">
        <f>IF(NOT(COUNTA(A163:AE163)&gt;0),"",IF(A163="","New client","Update"))</f>
        <v/>
      </c>
      <c r="AG163" s="27">
        <f>IF(AO163&lt;&gt;"",AO163,IF(LEN(AN163)=15,MID(AN163,3,10),""))</f>
        <v/>
      </c>
      <c r="AH163" s="27">
        <f>IF(AP163="","",AP163&amp;IF(D163="","  (guessed from PAN)",""))</f>
        <v/>
      </c>
      <c r="AI163" s="27">
        <f>IF(AN163="","",IFERROR(INDEX(Lists!$L$2:$L$38,MATCH(LEFT(AN163,2),Lists!$K$2:$K$38,0)),"Unknown code"))</f>
        <v/>
      </c>
      <c r="AJ163" s="27">
        <f>IF(AN163="","",IFERROR(IF(NOT(AND(LEN(AN163)=15,ISNUMBER(MATCH(LEFT(AN163,2),Lists!$K$2:$K$38,0)),SUMPRODUCT(--ISERROR(FIND(MID(MID(AN163,3,10),{1,2,3,4,5,10},1),"ABCDEFGHIJKLMNOPQRSTUVWXYZ")))=0,SUMPRODUCT(--ISERROR(FIND(MID(MID(AN163,3,10),{6,7,8,9},1),"0123456789")))=0,ISNUMBER(FIND(MID(AN163,13,1),"123456789ABCDEFGHIJKLMNOPQRSTUVWXYZ")),MID(AN163,14,1)="Z")),"Wrong format",IF(MID("0123456789ABCDEFGHIJKLMNOPQRSTUVWXYZ",MOD(36-MOD(SUMPRODUCT(INT((FIND(MID(AN163,{1,2,3,4,5,6,7,8,9,10,11,12,13,14},1),"0123456789ABCDEFGHIJKLMNOPQRSTUVWXYZ")-1)*{1,2,1,2,1,2,1,2,1,2,1,2,1,2}/36)+MOD((FIND(MID(AN163,{1,2,3,4,5,6,7,8,9,10,11,12,13,14},1),"0123456789ABCDEFGHIJKLMNOPQRSTUVWXYZ")-1)*{1,2,1,2,1,2,1,2,1,2,1,2,1,2},36)),36),36)+1,1)=MID(AN163,15,1),"OK","Typo? check digit wrong")),"Wrong format"))</f>
        <v/>
      </c>
      <c r="AK163" s="27">
        <f>IF(AO163="","",IF(AND(LEN(AO163)=10,SUMPRODUCT(--ISERROR(FIND(MID(AO163,{1,2,3,4,5,10},1),"ABCDEFGHIJKLMNOPQRSTUVWXYZ")))=0,SUMPRODUCT(--ISERROR(FIND(MID(AO163,{6,7,8,9},1),"0123456789")))=0),"OK","Wrong format"))</f>
        <v/>
      </c>
      <c r="AL163" s="27">
        <f>IF(TRIM(H163)="","",IF(AND(LEN(UPPER(TRIM(H163)))=10,SUMPRODUCT(--ISERROR(FIND(MID(UPPER(TRIM(H163)),{1,2,3,4,10},1),"ABCDEFGHIJKLMNOPQRSTUVWXYZ")))=0,SUMPRODUCT(--ISERROR(FIND(MID(UPPER(TRIM(H163)),{5,6,7,8,9},1),"0123456789")))=0),"OK","Wrong format"))</f>
        <v/>
      </c>
      <c r="AM163" s="28">
        <f>IF(NOT(COUNTA(A163:AE163)&gt;0),"",IF(AS163&lt;&gt;"","✖ "&amp;LEFT(AS163,LEN(AS163)-2),IF(AR163&gt;0,"✔ Ready — client + "&amp;AR163&amp;" service(s)","✔ Ready — client only")))</f>
        <v/>
      </c>
      <c r="AN163" s="29">
        <f>UPPER(SUBSTITUTE(TRIM(F163)," ",""))</f>
        <v/>
      </c>
      <c r="AO163" s="29">
        <f>UPPER(SUBSTITUTE(TRIM(E163)," ",""))</f>
        <v/>
      </c>
      <c r="AP163" s="29">
        <f>IF(D163&lt;&gt;"",D163,IFERROR(VLOOKUP(MID(AG163,4,1),Lists!$E$2:$F$8,2,FALSE),""))</f>
        <v/>
      </c>
      <c r="AQ163" s="29">
        <f>IFERROR(VLOOKUP(AP163,Lists!$A$2:$C$12,3,FALSE),"")</f>
        <v/>
      </c>
      <c r="AR163" s="29">
        <f>COUNTIF(W163:AC163,"Yes")</f>
        <v/>
      </c>
      <c r="AS163" s="29">
        <f>IF(TRIM(B163)="","Legal name missing; ","")&amp;IF(AND(AJ163&lt;&gt;"",AJ163&lt;&gt;"OK"),"GSTIN: "&amp;AJ163&amp;"; ","")&amp;IF(AND(AK163&lt;&gt;"",AK163&lt;&gt;"OK"),"PAN wrong format; ","")&amp;IF(AND(AO163&lt;&gt;"",LEN(AN163)=15,MID(AN163,3,10)&lt;&gt;AO163),"PAN does not match GSTIN; ","")&amp;IF(AND(AL163&lt;&gt;"",AL163&lt;&gt;"OK"),"TAN wrong format; ","")&amp;IF(AG163="","PAN missing; ","")&amp;IF(AP163="","Entity type missing; ","")&amp;IF(AND(AN163&lt;&gt;"",COUNTIF($AN$6:$AN$1005,AN163)&gt;1),"GSTIN repeated in this sheet; ","")&amp;IF(AND(AG163&lt;&gt;"",COUNTIF($AG$6:$AG$1005,AG163)&gt;1),"PAN repeated in this sheet (same client? put extra GSTINs in Other GSTINs); ","")&amp;IF(AND(AR163&gt;0,V163=""),"Financial year missing; ","")&amp;IF(AND(AR163=0,V163&lt;&gt;""),"Financial year given but no service is Yes; ","")&amp;IF(AND(W163="Yes",AN163=""),"GST needs a GSTIN; ","")&amp;IF(AND(W163="Yes",X163=""),"GST return frequency missing; ","")&amp;IF(AND(Y163="Yes",TRIM(H163)=""),"TDS needs a TAN; ","")&amp;IF(AND(AA163="Yes",AQ163&lt;&gt;"",AQ163&lt;&gt;"company",AQ163&lt;&gt;"llp"),"ROC is only for a company / LLP; ","")&amp;IF(AND(AA163="Yes",OR(AQ163="company",AQ163="llp"),TRIM(I163)=""),"ROC needs the CIN / LLPIN; ","")</f>
        <v/>
      </c>
    </row>
    <row r="164">
      <c r="A164" s="30" t="n"/>
      <c r="B164" s="31" t="n"/>
      <c r="C164" s="31" t="n"/>
      <c r="D164" s="31" t="n"/>
      <c r="E164" s="30" t="n"/>
      <c r="F164" s="30" t="n"/>
      <c r="G164" s="30" t="n"/>
      <c r="H164" s="30" t="n"/>
      <c r="I164" s="30" t="n"/>
      <c r="J164" s="32" t="n"/>
      <c r="K164" s="31" t="n"/>
      <c r="L164" s="30" t="n"/>
      <c r="M164" s="31" t="n"/>
      <c r="N164" s="31" t="n"/>
      <c r="O164" s="31" t="n"/>
      <c r="P164" s="30" t="n"/>
      <c r="Q164" s="31" t="n"/>
      <c r="R164" s="31" t="n"/>
      <c r="S164" s="31" t="n"/>
      <c r="T164" s="31" t="n"/>
      <c r="U164" s="30" t="n"/>
      <c r="V164" s="31" t="n"/>
      <c r="W164" s="31" t="n"/>
      <c r="X164" s="31" t="n"/>
      <c r="Y164" s="31" t="n"/>
      <c r="Z164" s="31" t="n"/>
      <c r="AA164" s="31" t="n"/>
      <c r="AB164" s="31" t="n"/>
      <c r="AC164" s="31" t="n"/>
      <c r="AD164" s="31" t="n"/>
      <c r="AE164" s="31" t="n"/>
      <c r="AF164" s="27">
        <f>IF(NOT(COUNTA(A164:AE164)&gt;0),"",IF(A164="","New client","Update"))</f>
        <v/>
      </c>
      <c r="AG164" s="27">
        <f>IF(AO164&lt;&gt;"",AO164,IF(LEN(AN164)=15,MID(AN164,3,10),""))</f>
        <v/>
      </c>
      <c r="AH164" s="27">
        <f>IF(AP164="","",AP164&amp;IF(D164="","  (guessed from PAN)",""))</f>
        <v/>
      </c>
      <c r="AI164" s="27">
        <f>IF(AN164="","",IFERROR(INDEX(Lists!$L$2:$L$38,MATCH(LEFT(AN164,2),Lists!$K$2:$K$38,0)),"Unknown code"))</f>
        <v/>
      </c>
      <c r="AJ164" s="27">
        <f>IF(AN164="","",IFERROR(IF(NOT(AND(LEN(AN164)=15,ISNUMBER(MATCH(LEFT(AN164,2),Lists!$K$2:$K$38,0)),SUMPRODUCT(--ISERROR(FIND(MID(MID(AN164,3,10),{1,2,3,4,5,10},1),"ABCDEFGHIJKLMNOPQRSTUVWXYZ")))=0,SUMPRODUCT(--ISERROR(FIND(MID(MID(AN164,3,10),{6,7,8,9},1),"0123456789")))=0,ISNUMBER(FIND(MID(AN164,13,1),"123456789ABCDEFGHIJKLMNOPQRSTUVWXYZ")),MID(AN164,14,1)="Z")),"Wrong format",IF(MID("0123456789ABCDEFGHIJKLMNOPQRSTUVWXYZ",MOD(36-MOD(SUMPRODUCT(INT((FIND(MID(AN164,{1,2,3,4,5,6,7,8,9,10,11,12,13,14},1),"0123456789ABCDEFGHIJKLMNOPQRSTUVWXYZ")-1)*{1,2,1,2,1,2,1,2,1,2,1,2,1,2}/36)+MOD((FIND(MID(AN164,{1,2,3,4,5,6,7,8,9,10,11,12,13,14},1),"0123456789ABCDEFGHIJKLMNOPQRSTUVWXYZ")-1)*{1,2,1,2,1,2,1,2,1,2,1,2,1,2},36)),36),36)+1,1)=MID(AN164,15,1),"OK","Typo? check digit wrong")),"Wrong format"))</f>
        <v/>
      </c>
      <c r="AK164" s="27">
        <f>IF(AO164="","",IF(AND(LEN(AO164)=10,SUMPRODUCT(--ISERROR(FIND(MID(AO164,{1,2,3,4,5,10},1),"ABCDEFGHIJKLMNOPQRSTUVWXYZ")))=0,SUMPRODUCT(--ISERROR(FIND(MID(AO164,{6,7,8,9},1),"0123456789")))=0),"OK","Wrong format"))</f>
        <v/>
      </c>
      <c r="AL164" s="27">
        <f>IF(TRIM(H164)="","",IF(AND(LEN(UPPER(TRIM(H164)))=10,SUMPRODUCT(--ISERROR(FIND(MID(UPPER(TRIM(H164)),{1,2,3,4,10},1),"ABCDEFGHIJKLMNOPQRSTUVWXYZ")))=0,SUMPRODUCT(--ISERROR(FIND(MID(UPPER(TRIM(H164)),{5,6,7,8,9},1),"0123456789")))=0),"OK","Wrong format"))</f>
        <v/>
      </c>
      <c r="AM164" s="28">
        <f>IF(NOT(COUNTA(A164:AE164)&gt;0),"",IF(AS164&lt;&gt;"","✖ "&amp;LEFT(AS164,LEN(AS164)-2),IF(AR164&gt;0,"✔ Ready — client + "&amp;AR164&amp;" service(s)","✔ Ready — client only")))</f>
        <v/>
      </c>
      <c r="AN164" s="29">
        <f>UPPER(SUBSTITUTE(TRIM(F164)," ",""))</f>
        <v/>
      </c>
      <c r="AO164" s="29">
        <f>UPPER(SUBSTITUTE(TRIM(E164)," ",""))</f>
        <v/>
      </c>
      <c r="AP164" s="29">
        <f>IF(D164&lt;&gt;"",D164,IFERROR(VLOOKUP(MID(AG164,4,1),Lists!$E$2:$F$8,2,FALSE),""))</f>
        <v/>
      </c>
      <c r="AQ164" s="29">
        <f>IFERROR(VLOOKUP(AP164,Lists!$A$2:$C$12,3,FALSE),"")</f>
        <v/>
      </c>
      <c r="AR164" s="29">
        <f>COUNTIF(W164:AC164,"Yes")</f>
        <v/>
      </c>
      <c r="AS164" s="29">
        <f>IF(TRIM(B164)="","Legal name missing; ","")&amp;IF(AND(AJ164&lt;&gt;"",AJ164&lt;&gt;"OK"),"GSTIN: "&amp;AJ164&amp;"; ","")&amp;IF(AND(AK164&lt;&gt;"",AK164&lt;&gt;"OK"),"PAN wrong format; ","")&amp;IF(AND(AO164&lt;&gt;"",LEN(AN164)=15,MID(AN164,3,10)&lt;&gt;AO164),"PAN does not match GSTIN; ","")&amp;IF(AND(AL164&lt;&gt;"",AL164&lt;&gt;"OK"),"TAN wrong format; ","")&amp;IF(AG164="","PAN missing; ","")&amp;IF(AP164="","Entity type missing; ","")&amp;IF(AND(AN164&lt;&gt;"",COUNTIF($AN$6:$AN$1005,AN164)&gt;1),"GSTIN repeated in this sheet; ","")&amp;IF(AND(AG164&lt;&gt;"",COUNTIF($AG$6:$AG$1005,AG164)&gt;1),"PAN repeated in this sheet (same client? put extra GSTINs in Other GSTINs); ","")&amp;IF(AND(AR164&gt;0,V164=""),"Financial year missing; ","")&amp;IF(AND(AR164=0,V164&lt;&gt;""),"Financial year given but no service is Yes; ","")&amp;IF(AND(W164="Yes",AN164=""),"GST needs a GSTIN; ","")&amp;IF(AND(W164="Yes",X164=""),"GST return frequency missing; ","")&amp;IF(AND(Y164="Yes",TRIM(H164)=""),"TDS needs a TAN; ","")&amp;IF(AND(AA164="Yes",AQ164&lt;&gt;"",AQ164&lt;&gt;"company",AQ164&lt;&gt;"llp"),"ROC is only for a company / LLP; ","")&amp;IF(AND(AA164="Yes",OR(AQ164="company",AQ164="llp"),TRIM(I164)=""),"ROC needs the CIN / LLPIN; ","")</f>
        <v/>
      </c>
    </row>
    <row r="165">
      <c r="A165" s="30" t="n"/>
      <c r="B165" s="31" t="n"/>
      <c r="C165" s="31" t="n"/>
      <c r="D165" s="31" t="n"/>
      <c r="E165" s="30" t="n"/>
      <c r="F165" s="30" t="n"/>
      <c r="G165" s="30" t="n"/>
      <c r="H165" s="30" t="n"/>
      <c r="I165" s="30" t="n"/>
      <c r="J165" s="32" t="n"/>
      <c r="K165" s="31" t="n"/>
      <c r="L165" s="30" t="n"/>
      <c r="M165" s="31" t="n"/>
      <c r="N165" s="31" t="n"/>
      <c r="O165" s="31" t="n"/>
      <c r="P165" s="30" t="n"/>
      <c r="Q165" s="31" t="n"/>
      <c r="R165" s="31" t="n"/>
      <c r="S165" s="31" t="n"/>
      <c r="T165" s="31" t="n"/>
      <c r="U165" s="30" t="n"/>
      <c r="V165" s="31" t="n"/>
      <c r="W165" s="31" t="n"/>
      <c r="X165" s="31" t="n"/>
      <c r="Y165" s="31" t="n"/>
      <c r="Z165" s="31" t="n"/>
      <c r="AA165" s="31" t="n"/>
      <c r="AB165" s="31" t="n"/>
      <c r="AC165" s="31" t="n"/>
      <c r="AD165" s="31" t="n"/>
      <c r="AE165" s="31" t="n"/>
      <c r="AF165" s="27">
        <f>IF(NOT(COUNTA(A165:AE165)&gt;0),"",IF(A165="","New client","Update"))</f>
        <v/>
      </c>
      <c r="AG165" s="27">
        <f>IF(AO165&lt;&gt;"",AO165,IF(LEN(AN165)=15,MID(AN165,3,10),""))</f>
        <v/>
      </c>
      <c r="AH165" s="27">
        <f>IF(AP165="","",AP165&amp;IF(D165="","  (guessed from PAN)",""))</f>
        <v/>
      </c>
      <c r="AI165" s="27">
        <f>IF(AN165="","",IFERROR(INDEX(Lists!$L$2:$L$38,MATCH(LEFT(AN165,2),Lists!$K$2:$K$38,0)),"Unknown code"))</f>
        <v/>
      </c>
      <c r="AJ165" s="27">
        <f>IF(AN165="","",IFERROR(IF(NOT(AND(LEN(AN165)=15,ISNUMBER(MATCH(LEFT(AN165,2),Lists!$K$2:$K$38,0)),SUMPRODUCT(--ISERROR(FIND(MID(MID(AN165,3,10),{1,2,3,4,5,10},1),"ABCDEFGHIJKLMNOPQRSTUVWXYZ")))=0,SUMPRODUCT(--ISERROR(FIND(MID(MID(AN165,3,10),{6,7,8,9},1),"0123456789")))=0,ISNUMBER(FIND(MID(AN165,13,1),"123456789ABCDEFGHIJKLMNOPQRSTUVWXYZ")),MID(AN165,14,1)="Z")),"Wrong format",IF(MID("0123456789ABCDEFGHIJKLMNOPQRSTUVWXYZ",MOD(36-MOD(SUMPRODUCT(INT((FIND(MID(AN165,{1,2,3,4,5,6,7,8,9,10,11,12,13,14},1),"0123456789ABCDEFGHIJKLMNOPQRSTUVWXYZ")-1)*{1,2,1,2,1,2,1,2,1,2,1,2,1,2}/36)+MOD((FIND(MID(AN165,{1,2,3,4,5,6,7,8,9,10,11,12,13,14},1),"0123456789ABCDEFGHIJKLMNOPQRSTUVWXYZ")-1)*{1,2,1,2,1,2,1,2,1,2,1,2,1,2},36)),36),36)+1,1)=MID(AN165,15,1),"OK","Typo? check digit wrong")),"Wrong format"))</f>
        <v/>
      </c>
      <c r="AK165" s="27">
        <f>IF(AO165="","",IF(AND(LEN(AO165)=10,SUMPRODUCT(--ISERROR(FIND(MID(AO165,{1,2,3,4,5,10},1),"ABCDEFGHIJKLMNOPQRSTUVWXYZ")))=0,SUMPRODUCT(--ISERROR(FIND(MID(AO165,{6,7,8,9},1),"0123456789")))=0),"OK","Wrong format"))</f>
        <v/>
      </c>
      <c r="AL165" s="27">
        <f>IF(TRIM(H165)="","",IF(AND(LEN(UPPER(TRIM(H165)))=10,SUMPRODUCT(--ISERROR(FIND(MID(UPPER(TRIM(H165)),{1,2,3,4,10},1),"ABCDEFGHIJKLMNOPQRSTUVWXYZ")))=0,SUMPRODUCT(--ISERROR(FIND(MID(UPPER(TRIM(H165)),{5,6,7,8,9},1),"0123456789")))=0),"OK","Wrong format"))</f>
        <v/>
      </c>
      <c r="AM165" s="28">
        <f>IF(NOT(COUNTA(A165:AE165)&gt;0),"",IF(AS165&lt;&gt;"","✖ "&amp;LEFT(AS165,LEN(AS165)-2),IF(AR165&gt;0,"✔ Ready — client + "&amp;AR165&amp;" service(s)","✔ Ready — client only")))</f>
        <v/>
      </c>
      <c r="AN165" s="29">
        <f>UPPER(SUBSTITUTE(TRIM(F165)," ",""))</f>
        <v/>
      </c>
      <c r="AO165" s="29">
        <f>UPPER(SUBSTITUTE(TRIM(E165)," ",""))</f>
        <v/>
      </c>
      <c r="AP165" s="29">
        <f>IF(D165&lt;&gt;"",D165,IFERROR(VLOOKUP(MID(AG165,4,1),Lists!$E$2:$F$8,2,FALSE),""))</f>
        <v/>
      </c>
      <c r="AQ165" s="29">
        <f>IFERROR(VLOOKUP(AP165,Lists!$A$2:$C$12,3,FALSE),"")</f>
        <v/>
      </c>
      <c r="AR165" s="29">
        <f>COUNTIF(W165:AC165,"Yes")</f>
        <v/>
      </c>
      <c r="AS165" s="29">
        <f>IF(TRIM(B165)="","Legal name missing; ","")&amp;IF(AND(AJ165&lt;&gt;"",AJ165&lt;&gt;"OK"),"GSTIN: "&amp;AJ165&amp;"; ","")&amp;IF(AND(AK165&lt;&gt;"",AK165&lt;&gt;"OK"),"PAN wrong format; ","")&amp;IF(AND(AO165&lt;&gt;"",LEN(AN165)=15,MID(AN165,3,10)&lt;&gt;AO165),"PAN does not match GSTIN; ","")&amp;IF(AND(AL165&lt;&gt;"",AL165&lt;&gt;"OK"),"TAN wrong format; ","")&amp;IF(AG165="","PAN missing; ","")&amp;IF(AP165="","Entity type missing; ","")&amp;IF(AND(AN165&lt;&gt;"",COUNTIF($AN$6:$AN$1005,AN165)&gt;1),"GSTIN repeated in this sheet; ","")&amp;IF(AND(AG165&lt;&gt;"",COUNTIF($AG$6:$AG$1005,AG165)&gt;1),"PAN repeated in this sheet (same client? put extra GSTINs in Other GSTINs); ","")&amp;IF(AND(AR165&gt;0,V165=""),"Financial year missing; ","")&amp;IF(AND(AR165=0,V165&lt;&gt;""),"Financial year given but no service is Yes; ","")&amp;IF(AND(W165="Yes",AN165=""),"GST needs a GSTIN; ","")&amp;IF(AND(W165="Yes",X165=""),"GST return frequency missing; ","")&amp;IF(AND(Y165="Yes",TRIM(H165)=""),"TDS needs a TAN; ","")&amp;IF(AND(AA165="Yes",AQ165&lt;&gt;"",AQ165&lt;&gt;"company",AQ165&lt;&gt;"llp"),"ROC is only for a company / LLP; ","")&amp;IF(AND(AA165="Yes",OR(AQ165="company",AQ165="llp"),TRIM(I165)=""),"ROC needs the CIN / LLPIN; ","")</f>
        <v/>
      </c>
    </row>
    <row r="166">
      <c r="A166" s="30" t="n"/>
      <c r="B166" s="31" t="n"/>
      <c r="C166" s="31" t="n"/>
      <c r="D166" s="31" t="n"/>
      <c r="E166" s="30" t="n"/>
      <c r="F166" s="30" t="n"/>
      <c r="G166" s="30" t="n"/>
      <c r="H166" s="30" t="n"/>
      <c r="I166" s="30" t="n"/>
      <c r="J166" s="32" t="n"/>
      <c r="K166" s="31" t="n"/>
      <c r="L166" s="30" t="n"/>
      <c r="M166" s="31" t="n"/>
      <c r="N166" s="31" t="n"/>
      <c r="O166" s="31" t="n"/>
      <c r="P166" s="30" t="n"/>
      <c r="Q166" s="31" t="n"/>
      <c r="R166" s="31" t="n"/>
      <c r="S166" s="31" t="n"/>
      <c r="T166" s="31" t="n"/>
      <c r="U166" s="30" t="n"/>
      <c r="V166" s="31" t="n"/>
      <c r="W166" s="31" t="n"/>
      <c r="X166" s="31" t="n"/>
      <c r="Y166" s="31" t="n"/>
      <c r="Z166" s="31" t="n"/>
      <c r="AA166" s="31" t="n"/>
      <c r="AB166" s="31" t="n"/>
      <c r="AC166" s="31" t="n"/>
      <c r="AD166" s="31" t="n"/>
      <c r="AE166" s="31" t="n"/>
      <c r="AF166" s="27">
        <f>IF(NOT(COUNTA(A166:AE166)&gt;0),"",IF(A166="","New client","Update"))</f>
        <v/>
      </c>
      <c r="AG166" s="27">
        <f>IF(AO166&lt;&gt;"",AO166,IF(LEN(AN166)=15,MID(AN166,3,10),""))</f>
        <v/>
      </c>
      <c r="AH166" s="27">
        <f>IF(AP166="","",AP166&amp;IF(D166="","  (guessed from PAN)",""))</f>
        <v/>
      </c>
      <c r="AI166" s="27">
        <f>IF(AN166="","",IFERROR(INDEX(Lists!$L$2:$L$38,MATCH(LEFT(AN166,2),Lists!$K$2:$K$38,0)),"Unknown code"))</f>
        <v/>
      </c>
      <c r="AJ166" s="27">
        <f>IF(AN166="","",IFERROR(IF(NOT(AND(LEN(AN166)=15,ISNUMBER(MATCH(LEFT(AN166,2),Lists!$K$2:$K$38,0)),SUMPRODUCT(--ISERROR(FIND(MID(MID(AN166,3,10),{1,2,3,4,5,10},1),"ABCDEFGHIJKLMNOPQRSTUVWXYZ")))=0,SUMPRODUCT(--ISERROR(FIND(MID(MID(AN166,3,10),{6,7,8,9},1),"0123456789")))=0,ISNUMBER(FIND(MID(AN166,13,1),"123456789ABCDEFGHIJKLMNOPQRSTUVWXYZ")),MID(AN166,14,1)="Z")),"Wrong format",IF(MID("0123456789ABCDEFGHIJKLMNOPQRSTUVWXYZ",MOD(36-MOD(SUMPRODUCT(INT((FIND(MID(AN166,{1,2,3,4,5,6,7,8,9,10,11,12,13,14},1),"0123456789ABCDEFGHIJKLMNOPQRSTUVWXYZ")-1)*{1,2,1,2,1,2,1,2,1,2,1,2,1,2}/36)+MOD((FIND(MID(AN166,{1,2,3,4,5,6,7,8,9,10,11,12,13,14},1),"0123456789ABCDEFGHIJKLMNOPQRSTUVWXYZ")-1)*{1,2,1,2,1,2,1,2,1,2,1,2,1,2},36)),36),36)+1,1)=MID(AN166,15,1),"OK","Typo? check digit wrong")),"Wrong format"))</f>
        <v/>
      </c>
      <c r="AK166" s="27">
        <f>IF(AO166="","",IF(AND(LEN(AO166)=10,SUMPRODUCT(--ISERROR(FIND(MID(AO166,{1,2,3,4,5,10},1),"ABCDEFGHIJKLMNOPQRSTUVWXYZ")))=0,SUMPRODUCT(--ISERROR(FIND(MID(AO166,{6,7,8,9},1),"0123456789")))=0),"OK","Wrong format"))</f>
        <v/>
      </c>
      <c r="AL166" s="27">
        <f>IF(TRIM(H166)="","",IF(AND(LEN(UPPER(TRIM(H166)))=10,SUMPRODUCT(--ISERROR(FIND(MID(UPPER(TRIM(H166)),{1,2,3,4,10},1),"ABCDEFGHIJKLMNOPQRSTUVWXYZ")))=0,SUMPRODUCT(--ISERROR(FIND(MID(UPPER(TRIM(H166)),{5,6,7,8,9},1),"0123456789")))=0),"OK","Wrong format"))</f>
        <v/>
      </c>
      <c r="AM166" s="28">
        <f>IF(NOT(COUNTA(A166:AE166)&gt;0),"",IF(AS166&lt;&gt;"","✖ "&amp;LEFT(AS166,LEN(AS166)-2),IF(AR166&gt;0,"✔ Ready — client + "&amp;AR166&amp;" service(s)","✔ Ready — client only")))</f>
        <v/>
      </c>
      <c r="AN166" s="29">
        <f>UPPER(SUBSTITUTE(TRIM(F166)," ",""))</f>
        <v/>
      </c>
      <c r="AO166" s="29">
        <f>UPPER(SUBSTITUTE(TRIM(E166)," ",""))</f>
        <v/>
      </c>
      <c r="AP166" s="29">
        <f>IF(D166&lt;&gt;"",D166,IFERROR(VLOOKUP(MID(AG166,4,1),Lists!$E$2:$F$8,2,FALSE),""))</f>
        <v/>
      </c>
      <c r="AQ166" s="29">
        <f>IFERROR(VLOOKUP(AP166,Lists!$A$2:$C$12,3,FALSE),"")</f>
        <v/>
      </c>
      <c r="AR166" s="29">
        <f>COUNTIF(W166:AC166,"Yes")</f>
        <v/>
      </c>
      <c r="AS166" s="29">
        <f>IF(TRIM(B166)="","Legal name missing; ","")&amp;IF(AND(AJ166&lt;&gt;"",AJ166&lt;&gt;"OK"),"GSTIN: "&amp;AJ166&amp;"; ","")&amp;IF(AND(AK166&lt;&gt;"",AK166&lt;&gt;"OK"),"PAN wrong format; ","")&amp;IF(AND(AO166&lt;&gt;"",LEN(AN166)=15,MID(AN166,3,10)&lt;&gt;AO166),"PAN does not match GSTIN; ","")&amp;IF(AND(AL166&lt;&gt;"",AL166&lt;&gt;"OK"),"TAN wrong format; ","")&amp;IF(AG166="","PAN missing; ","")&amp;IF(AP166="","Entity type missing; ","")&amp;IF(AND(AN166&lt;&gt;"",COUNTIF($AN$6:$AN$1005,AN166)&gt;1),"GSTIN repeated in this sheet; ","")&amp;IF(AND(AG166&lt;&gt;"",COUNTIF($AG$6:$AG$1005,AG166)&gt;1),"PAN repeated in this sheet (same client? put extra GSTINs in Other GSTINs); ","")&amp;IF(AND(AR166&gt;0,V166=""),"Financial year missing; ","")&amp;IF(AND(AR166=0,V166&lt;&gt;""),"Financial year given but no service is Yes; ","")&amp;IF(AND(W166="Yes",AN166=""),"GST needs a GSTIN; ","")&amp;IF(AND(W166="Yes",X166=""),"GST return frequency missing; ","")&amp;IF(AND(Y166="Yes",TRIM(H166)=""),"TDS needs a TAN; ","")&amp;IF(AND(AA166="Yes",AQ166&lt;&gt;"",AQ166&lt;&gt;"company",AQ166&lt;&gt;"llp"),"ROC is only for a company / LLP; ","")&amp;IF(AND(AA166="Yes",OR(AQ166="company",AQ166="llp"),TRIM(I166)=""),"ROC needs the CIN / LLPIN; ","")</f>
        <v/>
      </c>
    </row>
    <row r="167">
      <c r="A167" s="30" t="n"/>
      <c r="B167" s="31" t="n"/>
      <c r="C167" s="31" t="n"/>
      <c r="D167" s="31" t="n"/>
      <c r="E167" s="30" t="n"/>
      <c r="F167" s="30" t="n"/>
      <c r="G167" s="30" t="n"/>
      <c r="H167" s="30" t="n"/>
      <c r="I167" s="30" t="n"/>
      <c r="J167" s="32" t="n"/>
      <c r="K167" s="31" t="n"/>
      <c r="L167" s="30" t="n"/>
      <c r="M167" s="31" t="n"/>
      <c r="N167" s="31" t="n"/>
      <c r="O167" s="31" t="n"/>
      <c r="P167" s="30" t="n"/>
      <c r="Q167" s="31" t="n"/>
      <c r="R167" s="31" t="n"/>
      <c r="S167" s="31" t="n"/>
      <c r="T167" s="31" t="n"/>
      <c r="U167" s="30" t="n"/>
      <c r="V167" s="31" t="n"/>
      <c r="W167" s="31" t="n"/>
      <c r="X167" s="31" t="n"/>
      <c r="Y167" s="31" t="n"/>
      <c r="Z167" s="31" t="n"/>
      <c r="AA167" s="31" t="n"/>
      <c r="AB167" s="31" t="n"/>
      <c r="AC167" s="31" t="n"/>
      <c r="AD167" s="31" t="n"/>
      <c r="AE167" s="31" t="n"/>
      <c r="AF167" s="27">
        <f>IF(NOT(COUNTA(A167:AE167)&gt;0),"",IF(A167="","New client","Update"))</f>
        <v/>
      </c>
      <c r="AG167" s="27">
        <f>IF(AO167&lt;&gt;"",AO167,IF(LEN(AN167)=15,MID(AN167,3,10),""))</f>
        <v/>
      </c>
      <c r="AH167" s="27">
        <f>IF(AP167="","",AP167&amp;IF(D167="","  (guessed from PAN)",""))</f>
        <v/>
      </c>
      <c r="AI167" s="27">
        <f>IF(AN167="","",IFERROR(INDEX(Lists!$L$2:$L$38,MATCH(LEFT(AN167,2),Lists!$K$2:$K$38,0)),"Unknown code"))</f>
        <v/>
      </c>
      <c r="AJ167" s="27">
        <f>IF(AN167="","",IFERROR(IF(NOT(AND(LEN(AN167)=15,ISNUMBER(MATCH(LEFT(AN167,2),Lists!$K$2:$K$38,0)),SUMPRODUCT(--ISERROR(FIND(MID(MID(AN167,3,10),{1,2,3,4,5,10},1),"ABCDEFGHIJKLMNOPQRSTUVWXYZ")))=0,SUMPRODUCT(--ISERROR(FIND(MID(MID(AN167,3,10),{6,7,8,9},1),"0123456789")))=0,ISNUMBER(FIND(MID(AN167,13,1),"123456789ABCDEFGHIJKLMNOPQRSTUVWXYZ")),MID(AN167,14,1)="Z")),"Wrong format",IF(MID("0123456789ABCDEFGHIJKLMNOPQRSTUVWXYZ",MOD(36-MOD(SUMPRODUCT(INT((FIND(MID(AN167,{1,2,3,4,5,6,7,8,9,10,11,12,13,14},1),"0123456789ABCDEFGHIJKLMNOPQRSTUVWXYZ")-1)*{1,2,1,2,1,2,1,2,1,2,1,2,1,2}/36)+MOD((FIND(MID(AN167,{1,2,3,4,5,6,7,8,9,10,11,12,13,14},1),"0123456789ABCDEFGHIJKLMNOPQRSTUVWXYZ")-1)*{1,2,1,2,1,2,1,2,1,2,1,2,1,2},36)),36),36)+1,1)=MID(AN167,15,1),"OK","Typo? check digit wrong")),"Wrong format"))</f>
        <v/>
      </c>
      <c r="AK167" s="27">
        <f>IF(AO167="","",IF(AND(LEN(AO167)=10,SUMPRODUCT(--ISERROR(FIND(MID(AO167,{1,2,3,4,5,10},1),"ABCDEFGHIJKLMNOPQRSTUVWXYZ")))=0,SUMPRODUCT(--ISERROR(FIND(MID(AO167,{6,7,8,9},1),"0123456789")))=0),"OK","Wrong format"))</f>
        <v/>
      </c>
      <c r="AL167" s="27">
        <f>IF(TRIM(H167)="","",IF(AND(LEN(UPPER(TRIM(H167)))=10,SUMPRODUCT(--ISERROR(FIND(MID(UPPER(TRIM(H167)),{1,2,3,4,10},1),"ABCDEFGHIJKLMNOPQRSTUVWXYZ")))=0,SUMPRODUCT(--ISERROR(FIND(MID(UPPER(TRIM(H167)),{5,6,7,8,9},1),"0123456789")))=0),"OK","Wrong format"))</f>
        <v/>
      </c>
      <c r="AM167" s="28">
        <f>IF(NOT(COUNTA(A167:AE167)&gt;0),"",IF(AS167&lt;&gt;"","✖ "&amp;LEFT(AS167,LEN(AS167)-2),IF(AR167&gt;0,"✔ Ready — client + "&amp;AR167&amp;" service(s)","✔ Ready — client only")))</f>
        <v/>
      </c>
      <c r="AN167" s="29">
        <f>UPPER(SUBSTITUTE(TRIM(F167)," ",""))</f>
        <v/>
      </c>
      <c r="AO167" s="29">
        <f>UPPER(SUBSTITUTE(TRIM(E167)," ",""))</f>
        <v/>
      </c>
      <c r="AP167" s="29">
        <f>IF(D167&lt;&gt;"",D167,IFERROR(VLOOKUP(MID(AG167,4,1),Lists!$E$2:$F$8,2,FALSE),""))</f>
        <v/>
      </c>
      <c r="AQ167" s="29">
        <f>IFERROR(VLOOKUP(AP167,Lists!$A$2:$C$12,3,FALSE),"")</f>
        <v/>
      </c>
      <c r="AR167" s="29">
        <f>COUNTIF(W167:AC167,"Yes")</f>
        <v/>
      </c>
      <c r="AS167" s="29">
        <f>IF(TRIM(B167)="","Legal name missing; ","")&amp;IF(AND(AJ167&lt;&gt;"",AJ167&lt;&gt;"OK"),"GSTIN: "&amp;AJ167&amp;"; ","")&amp;IF(AND(AK167&lt;&gt;"",AK167&lt;&gt;"OK"),"PAN wrong format; ","")&amp;IF(AND(AO167&lt;&gt;"",LEN(AN167)=15,MID(AN167,3,10)&lt;&gt;AO167),"PAN does not match GSTIN; ","")&amp;IF(AND(AL167&lt;&gt;"",AL167&lt;&gt;"OK"),"TAN wrong format; ","")&amp;IF(AG167="","PAN missing; ","")&amp;IF(AP167="","Entity type missing; ","")&amp;IF(AND(AN167&lt;&gt;"",COUNTIF($AN$6:$AN$1005,AN167)&gt;1),"GSTIN repeated in this sheet; ","")&amp;IF(AND(AG167&lt;&gt;"",COUNTIF($AG$6:$AG$1005,AG167)&gt;1),"PAN repeated in this sheet (same client? put extra GSTINs in Other GSTINs); ","")&amp;IF(AND(AR167&gt;0,V167=""),"Financial year missing; ","")&amp;IF(AND(AR167=0,V167&lt;&gt;""),"Financial year given but no service is Yes; ","")&amp;IF(AND(W167="Yes",AN167=""),"GST needs a GSTIN; ","")&amp;IF(AND(W167="Yes",X167=""),"GST return frequency missing; ","")&amp;IF(AND(Y167="Yes",TRIM(H167)=""),"TDS needs a TAN; ","")&amp;IF(AND(AA167="Yes",AQ167&lt;&gt;"",AQ167&lt;&gt;"company",AQ167&lt;&gt;"llp"),"ROC is only for a company / LLP; ","")&amp;IF(AND(AA167="Yes",OR(AQ167="company",AQ167="llp"),TRIM(I167)=""),"ROC needs the CIN / LLPIN; ","")</f>
        <v/>
      </c>
    </row>
    <row r="168">
      <c r="A168" s="30" t="n"/>
      <c r="B168" s="31" t="n"/>
      <c r="C168" s="31" t="n"/>
      <c r="D168" s="31" t="n"/>
      <c r="E168" s="30" t="n"/>
      <c r="F168" s="30" t="n"/>
      <c r="G168" s="30" t="n"/>
      <c r="H168" s="30" t="n"/>
      <c r="I168" s="30" t="n"/>
      <c r="J168" s="32" t="n"/>
      <c r="K168" s="31" t="n"/>
      <c r="L168" s="30" t="n"/>
      <c r="M168" s="31" t="n"/>
      <c r="N168" s="31" t="n"/>
      <c r="O168" s="31" t="n"/>
      <c r="P168" s="30" t="n"/>
      <c r="Q168" s="31" t="n"/>
      <c r="R168" s="31" t="n"/>
      <c r="S168" s="31" t="n"/>
      <c r="T168" s="31" t="n"/>
      <c r="U168" s="30" t="n"/>
      <c r="V168" s="31" t="n"/>
      <c r="W168" s="31" t="n"/>
      <c r="X168" s="31" t="n"/>
      <c r="Y168" s="31" t="n"/>
      <c r="Z168" s="31" t="n"/>
      <c r="AA168" s="31" t="n"/>
      <c r="AB168" s="31" t="n"/>
      <c r="AC168" s="31" t="n"/>
      <c r="AD168" s="31" t="n"/>
      <c r="AE168" s="31" t="n"/>
      <c r="AF168" s="27">
        <f>IF(NOT(COUNTA(A168:AE168)&gt;0),"",IF(A168="","New client","Update"))</f>
        <v/>
      </c>
      <c r="AG168" s="27">
        <f>IF(AO168&lt;&gt;"",AO168,IF(LEN(AN168)=15,MID(AN168,3,10),""))</f>
        <v/>
      </c>
      <c r="AH168" s="27">
        <f>IF(AP168="","",AP168&amp;IF(D168="","  (guessed from PAN)",""))</f>
        <v/>
      </c>
      <c r="AI168" s="27">
        <f>IF(AN168="","",IFERROR(INDEX(Lists!$L$2:$L$38,MATCH(LEFT(AN168,2),Lists!$K$2:$K$38,0)),"Unknown code"))</f>
        <v/>
      </c>
      <c r="AJ168" s="27">
        <f>IF(AN168="","",IFERROR(IF(NOT(AND(LEN(AN168)=15,ISNUMBER(MATCH(LEFT(AN168,2),Lists!$K$2:$K$38,0)),SUMPRODUCT(--ISERROR(FIND(MID(MID(AN168,3,10),{1,2,3,4,5,10},1),"ABCDEFGHIJKLMNOPQRSTUVWXYZ")))=0,SUMPRODUCT(--ISERROR(FIND(MID(MID(AN168,3,10),{6,7,8,9},1),"0123456789")))=0,ISNUMBER(FIND(MID(AN168,13,1),"123456789ABCDEFGHIJKLMNOPQRSTUVWXYZ")),MID(AN168,14,1)="Z")),"Wrong format",IF(MID("0123456789ABCDEFGHIJKLMNOPQRSTUVWXYZ",MOD(36-MOD(SUMPRODUCT(INT((FIND(MID(AN168,{1,2,3,4,5,6,7,8,9,10,11,12,13,14},1),"0123456789ABCDEFGHIJKLMNOPQRSTUVWXYZ")-1)*{1,2,1,2,1,2,1,2,1,2,1,2,1,2}/36)+MOD((FIND(MID(AN168,{1,2,3,4,5,6,7,8,9,10,11,12,13,14},1),"0123456789ABCDEFGHIJKLMNOPQRSTUVWXYZ")-1)*{1,2,1,2,1,2,1,2,1,2,1,2,1,2},36)),36),36)+1,1)=MID(AN168,15,1),"OK","Typo? check digit wrong")),"Wrong format"))</f>
        <v/>
      </c>
      <c r="AK168" s="27">
        <f>IF(AO168="","",IF(AND(LEN(AO168)=10,SUMPRODUCT(--ISERROR(FIND(MID(AO168,{1,2,3,4,5,10},1),"ABCDEFGHIJKLMNOPQRSTUVWXYZ")))=0,SUMPRODUCT(--ISERROR(FIND(MID(AO168,{6,7,8,9},1),"0123456789")))=0),"OK","Wrong format"))</f>
        <v/>
      </c>
      <c r="AL168" s="27">
        <f>IF(TRIM(H168)="","",IF(AND(LEN(UPPER(TRIM(H168)))=10,SUMPRODUCT(--ISERROR(FIND(MID(UPPER(TRIM(H168)),{1,2,3,4,10},1),"ABCDEFGHIJKLMNOPQRSTUVWXYZ")))=0,SUMPRODUCT(--ISERROR(FIND(MID(UPPER(TRIM(H168)),{5,6,7,8,9},1),"0123456789")))=0),"OK","Wrong format"))</f>
        <v/>
      </c>
      <c r="AM168" s="28">
        <f>IF(NOT(COUNTA(A168:AE168)&gt;0),"",IF(AS168&lt;&gt;"","✖ "&amp;LEFT(AS168,LEN(AS168)-2),IF(AR168&gt;0,"✔ Ready — client + "&amp;AR168&amp;" service(s)","✔ Ready — client only")))</f>
        <v/>
      </c>
      <c r="AN168" s="29">
        <f>UPPER(SUBSTITUTE(TRIM(F168)," ",""))</f>
        <v/>
      </c>
      <c r="AO168" s="29">
        <f>UPPER(SUBSTITUTE(TRIM(E168)," ",""))</f>
        <v/>
      </c>
      <c r="AP168" s="29">
        <f>IF(D168&lt;&gt;"",D168,IFERROR(VLOOKUP(MID(AG168,4,1),Lists!$E$2:$F$8,2,FALSE),""))</f>
        <v/>
      </c>
      <c r="AQ168" s="29">
        <f>IFERROR(VLOOKUP(AP168,Lists!$A$2:$C$12,3,FALSE),"")</f>
        <v/>
      </c>
      <c r="AR168" s="29">
        <f>COUNTIF(W168:AC168,"Yes")</f>
        <v/>
      </c>
      <c r="AS168" s="29">
        <f>IF(TRIM(B168)="","Legal name missing; ","")&amp;IF(AND(AJ168&lt;&gt;"",AJ168&lt;&gt;"OK"),"GSTIN: "&amp;AJ168&amp;"; ","")&amp;IF(AND(AK168&lt;&gt;"",AK168&lt;&gt;"OK"),"PAN wrong format; ","")&amp;IF(AND(AO168&lt;&gt;"",LEN(AN168)=15,MID(AN168,3,10)&lt;&gt;AO168),"PAN does not match GSTIN; ","")&amp;IF(AND(AL168&lt;&gt;"",AL168&lt;&gt;"OK"),"TAN wrong format; ","")&amp;IF(AG168="","PAN missing; ","")&amp;IF(AP168="","Entity type missing; ","")&amp;IF(AND(AN168&lt;&gt;"",COUNTIF($AN$6:$AN$1005,AN168)&gt;1),"GSTIN repeated in this sheet; ","")&amp;IF(AND(AG168&lt;&gt;"",COUNTIF($AG$6:$AG$1005,AG168)&gt;1),"PAN repeated in this sheet (same client? put extra GSTINs in Other GSTINs); ","")&amp;IF(AND(AR168&gt;0,V168=""),"Financial year missing; ","")&amp;IF(AND(AR168=0,V168&lt;&gt;""),"Financial year given but no service is Yes; ","")&amp;IF(AND(W168="Yes",AN168=""),"GST needs a GSTIN; ","")&amp;IF(AND(W168="Yes",X168=""),"GST return frequency missing; ","")&amp;IF(AND(Y168="Yes",TRIM(H168)=""),"TDS needs a TAN; ","")&amp;IF(AND(AA168="Yes",AQ168&lt;&gt;"",AQ168&lt;&gt;"company",AQ168&lt;&gt;"llp"),"ROC is only for a company / LLP; ","")&amp;IF(AND(AA168="Yes",OR(AQ168="company",AQ168="llp"),TRIM(I168)=""),"ROC needs the CIN / LLPIN; ","")</f>
        <v/>
      </c>
    </row>
    <row r="169">
      <c r="A169" s="30" t="n"/>
      <c r="B169" s="31" t="n"/>
      <c r="C169" s="31" t="n"/>
      <c r="D169" s="31" t="n"/>
      <c r="E169" s="30" t="n"/>
      <c r="F169" s="30" t="n"/>
      <c r="G169" s="30" t="n"/>
      <c r="H169" s="30" t="n"/>
      <c r="I169" s="30" t="n"/>
      <c r="J169" s="32" t="n"/>
      <c r="K169" s="31" t="n"/>
      <c r="L169" s="30" t="n"/>
      <c r="M169" s="31" t="n"/>
      <c r="N169" s="31" t="n"/>
      <c r="O169" s="31" t="n"/>
      <c r="P169" s="30" t="n"/>
      <c r="Q169" s="31" t="n"/>
      <c r="R169" s="31" t="n"/>
      <c r="S169" s="31" t="n"/>
      <c r="T169" s="31" t="n"/>
      <c r="U169" s="30" t="n"/>
      <c r="V169" s="31" t="n"/>
      <c r="W169" s="31" t="n"/>
      <c r="X169" s="31" t="n"/>
      <c r="Y169" s="31" t="n"/>
      <c r="Z169" s="31" t="n"/>
      <c r="AA169" s="31" t="n"/>
      <c r="AB169" s="31" t="n"/>
      <c r="AC169" s="31" t="n"/>
      <c r="AD169" s="31" t="n"/>
      <c r="AE169" s="31" t="n"/>
      <c r="AF169" s="27">
        <f>IF(NOT(COUNTA(A169:AE169)&gt;0),"",IF(A169="","New client","Update"))</f>
        <v/>
      </c>
      <c r="AG169" s="27">
        <f>IF(AO169&lt;&gt;"",AO169,IF(LEN(AN169)=15,MID(AN169,3,10),""))</f>
        <v/>
      </c>
      <c r="AH169" s="27">
        <f>IF(AP169="","",AP169&amp;IF(D169="","  (guessed from PAN)",""))</f>
        <v/>
      </c>
      <c r="AI169" s="27">
        <f>IF(AN169="","",IFERROR(INDEX(Lists!$L$2:$L$38,MATCH(LEFT(AN169,2),Lists!$K$2:$K$38,0)),"Unknown code"))</f>
        <v/>
      </c>
      <c r="AJ169" s="27">
        <f>IF(AN169="","",IFERROR(IF(NOT(AND(LEN(AN169)=15,ISNUMBER(MATCH(LEFT(AN169,2),Lists!$K$2:$K$38,0)),SUMPRODUCT(--ISERROR(FIND(MID(MID(AN169,3,10),{1,2,3,4,5,10},1),"ABCDEFGHIJKLMNOPQRSTUVWXYZ")))=0,SUMPRODUCT(--ISERROR(FIND(MID(MID(AN169,3,10),{6,7,8,9},1),"0123456789")))=0,ISNUMBER(FIND(MID(AN169,13,1),"123456789ABCDEFGHIJKLMNOPQRSTUVWXYZ")),MID(AN169,14,1)="Z")),"Wrong format",IF(MID("0123456789ABCDEFGHIJKLMNOPQRSTUVWXYZ",MOD(36-MOD(SUMPRODUCT(INT((FIND(MID(AN169,{1,2,3,4,5,6,7,8,9,10,11,12,13,14},1),"0123456789ABCDEFGHIJKLMNOPQRSTUVWXYZ")-1)*{1,2,1,2,1,2,1,2,1,2,1,2,1,2}/36)+MOD((FIND(MID(AN169,{1,2,3,4,5,6,7,8,9,10,11,12,13,14},1),"0123456789ABCDEFGHIJKLMNOPQRSTUVWXYZ")-1)*{1,2,1,2,1,2,1,2,1,2,1,2,1,2},36)),36),36)+1,1)=MID(AN169,15,1),"OK","Typo? check digit wrong")),"Wrong format"))</f>
        <v/>
      </c>
      <c r="AK169" s="27">
        <f>IF(AO169="","",IF(AND(LEN(AO169)=10,SUMPRODUCT(--ISERROR(FIND(MID(AO169,{1,2,3,4,5,10},1),"ABCDEFGHIJKLMNOPQRSTUVWXYZ")))=0,SUMPRODUCT(--ISERROR(FIND(MID(AO169,{6,7,8,9},1),"0123456789")))=0),"OK","Wrong format"))</f>
        <v/>
      </c>
      <c r="AL169" s="27">
        <f>IF(TRIM(H169)="","",IF(AND(LEN(UPPER(TRIM(H169)))=10,SUMPRODUCT(--ISERROR(FIND(MID(UPPER(TRIM(H169)),{1,2,3,4,10},1),"ABCDEFGHIJKLMNOPQRSTUVWXYZ")))=0,SUMPRODUCT(--ISERROR(FIND(MID(UPPER(TRIM(H169)),{5,6,7,8,9},1),"0123456789")))=0),"OK","Wrong format"))</f>
        <v/>
      </c>
      <c r="AM169" s="28">
        <f>IF(NOT(COUNTA(A169:AE169)&gt;0),"",IF(AS169&lt;&gt;"","✖ "&amp;LEFT(AS169,LEN(AS169)-2),IF(AR169&gt;0,"✔ Ready — client + "&amp;AR169&amp;" service(s)","✔ Ready — client only")))</f>
        <v/>
      </c>
      <c r="AN169" s="29">
        <f>UPPER(SUBSTITUTE(TRIM(F169)," ",""))</f>
        <v/>
      </c>
      <c r="AO169" s="29">
        <f>UPPER(SUBSTITUTE(TRIM(E169)," ",""))</f>
        <v/>
      </c>
      <c r="AP169" s="29">
        <f>IF(D169&lt;&gt;"",D169,IFERROR(VLOOKUP(MID(AG169,4,1),Lists!$E$2:$F$8,2,FALSE),""))</f>
        <v/>
      </c>
      <c r="AQ169" s="29">
        <f>IFERROR(VLOOKUP(AP169,Lists!$A$2:$C$12,3,FALSE),"")</f>
        <v/>
      </c>
      <c r="AR169" s="29">
        <f>COUNTIF(W169:AC169,"Yes")</f>
        <v/>
      </c>
      <c r="AS169" s="29">
        <f>IF(TRIM(B169)="","Legal name missing; ","")&amp;IF(AND(AJ169&lt;&gt;"",AJ169&lt;&gt;"OK"),"GSTIN: "&amp;AJ169&amp;"; ","")&amp;IF(AND(AK169&lt;&gt;"",AK169&lt;&gt;"OK"),"PAN wrong format; ","")&amp;IF(AND(AO169&lt;&gt;"",LEN(AN169)=15,MID(AN169,3,10)&lt;&gt;AO169),"PAN does not match GSTIN; ","")&amp;IF(AND(AL169&lt;&gt;"",AL169&lt;&gt;"OK"),"TAN wrong format; ","")&amp;IF(AG169="","PAN missing; ","")&amp;IF(AP169="","Entity type missing; ","")&amp;IF(AND(AN169&lt;&gt;"",COUNTIF($AN$6:$AN$1005,AN169)&gt;1),"GSTIN repeated in this sheet; ","")&amp;IF(AND(AG169&lt;&gt;"",COUNTIF($AG$6:$AG$1005,AG169)&gt;1),"PAN repeated in this sheet (same client? put extra GSTINs in Other GSTINs); ","")&amp;IF(AND(AR169&gt;0,V169=""),"Financial year missing; ","")&amp;IF(AND(AR169=0,V169&lt;&gt;""),"Financial year given but no service is Yes; ","")&amp;IF(AND(W169="Yes",AN169=""),"GST needs a GSTIN; ","")&amp;IF(AND(W169="Yes",X169=""),"GST return frequency missing; ","")&amp;IF(AND(Y169="Yes",TRIM(H169)=""),"TDS needs a TAN; ","")&amp;IF(AND(AA169="Yes",AQ169&lt;&gt;"",AQ169&lt;&gt;"company",AQ169&lt;&gt;"llp"),"ROC is only for a company / LLP; ","")&amp;IF(AND(AA169="Yes",OR(AQ169="company",AQ169="llp"),TRIM(I169)=""),"ROC needs the CIN / LLPIN; ","")</f>
        <v/>
      </c>
    </row>
    <row r="170">
      <c r="A170" s="30" t="n"/>
      <c r="B170" s="31" t="n"/>
      <c r="C170" s="31" t="n"/>
      <c r="D170" s="31" t="n"/>
      <c r="E170" s="30" t="n"/>
      <c r="F170" s="30" t="n"/>
      <c r="G170" s="30" t="n"/>
      <c r="H170" s="30" t="n"/>
      <c r="I170" s="30" t="n"/>
      <c r="J170" s="32" t="n"/>
      <c r="K170" s="31" t="n"/>
      <c r="L170" s="30" t="n"/>
      <c r="M170" s="31" t="n"/>
      <c r="N170" s="31" t="n"/>
      <c r="O170" s="31" t="n"/>
      <c r="P170" s="30" t="n"/>
      <c r="Q170" s="31" t="n"/>
      <c r="R170" s="31" t="n"/>
      <c r="S170" s="31" t="n"/>
      <c r="T170" s="31" t="n"/>
      <c r="U170" s="30" t="n"/>
      <c r="V170" s="31" t="n"/>
      <c r="W170" s="31" t="n"/>
      <c r="X170" s="31" t="n"/>
      <c r="Y170" s="31" t="n"/>
      <c r="Z170" s="31" t="n"/>
      <c r="AA170" s="31" t="n"/>
      <c r="AB170" s="31" t="n"/>
      <c r="AC170" s="31" t="n"/>
      <c r="AD170" s="31" t="n"/>
      <c r="AE170" s="31" t="n"/>
      <c r="AF170" s="27">
        <f>IF(NOT(COUNTA(A170:AE170)&gt;0),"",IF(A170="","New client","Update"))</f>
        <v/>
      </c>
      <c r="AG170" s="27">
        <f>IF(AO170&lt;&gt;"",AO170,IF(LEN(AN170)=15,MID(AN170,3,10),""))</f>
        <v/>
      </c>
      <c r="AH170" s="27">
        <f>IF(AP170="","",AP170&amp;IF(D170="","  (guessed from PAN)",""))</f>
        <v/>
      </c>
      <c r="AI170" s="27">
        <f>IF(AN170="","",IFERROR(INDEX(Lists!$L$2:$L$38,MATCH(LEFT(AN170,2),Lists!$K$2:$K$38,0)),"Unknown code"))</f>
        <v/>
      </c>
      <c r="AJ170" s="27">
        <f>IF(AN170="","",IFERROR(IF(NOT(AND(LEN(AN170)=15,ISNUMBER(MATCH(LEFT(AN170,2),Lists!$K$2:$K$38,0)),SUMPRODUCT(--ISERROR(FIND(MID(MID(AN170,3,10),{1,2,3,4,5,10},1),"ABCDEFGHIJKLMNOPQRSTUVWXYZ")))=0,SUMPRODUCT(--ISERROR(FIND(MID(MID(AN170,3,10),{6,7,8,9},1),"0123456789")))=0,ISNUMBER(FIND(MID(AN170,13,1),"123456789ABCDEFGHIJKLMNOPQRSTUVWXYZ")),MID(AN170,14,1)="Z")),"Wrong format",IF(MID("0123456789ABCDEFGHIJKLMNOPQRSTUVWXYZ",MOD(36-MOD(SUMPRODUCT(INT((FIND(MID(AN170,{1,2,3,4,5,6,7,8,9,10,11,12,13,14},1),"0123456789ABCDEFGHIJKLMNOPQRSTUVWXYZ")-1)*{1,2,1,2,1,2,1,2,1,2,1,2,1,2}/36)+MOD((FIND(MID(AN170,{1,2,3,4,5,6,7,8,9,10,11,12,13,14},1),"0123456789ABCDEFGHIJKLMNOPQRSTUVWXYZ")-1)*{1,2,1,2,1,2,1,2,1,2,1,2,1,2},36)),36),36)+1,1)=MID(AN170,15,1),"OK","Typo? check digit wrong")),"Wrong format"))</f>
        <v/>
      </c>
      <c r="AK170" s="27">
        <f>IF(AO170="","",IF(AND(LEN(AO170)=10,SUMPRODUCT(--ISERROR(FIND(MID(AO170,{1,2,3,4,5,10},1),"ABCDEFGHIJKLMNOPQRSTUVWXYZ")))=0,SUMPRODUCT(--ISERROR(FIND(MID(AO170,{6,7,8,9},1),"0123456789")))=0),"OK","Wrong format"))</f>
        <v/>
      </c>
      <c r="AL170" s="27">
        <f>IF(TRIM(H170)="","",IF(AND(LEN(UPPER(TRIM(H170)))=10,SUMPRODUCT(--ISERROR(FIND(MID(UPPER(TRIM(H170)),{1,2,3,4,10},1),"ABCDEFGHIJKLMNOPQRSTUVWXYZ")))=0,SUMPRODUCT(--ISERROR(FIND(MID(UPPER(TRIM(H170)),{5,6,7,8,9},1),"0123456789")))=0),"OK","Wrong format"))</f>
        <v/>
      </c>
      <c r="AM170" s="28">
        <f>IF(NOT(COUNTA(A170:AE170)&gt;0),"",IF(AS170&lt;&gt;"","✖ "&amp;LEFT(AS170,LEN(AS170)-2),IF(AR170&gt;0,"✔ Ready — client + "&amp;AR170&amp;" service(s)","✔ Ready — client only")))</f>
        <v/>
      </c>
      <c r="AN170" s="29">
        <f>UPPER(SUBSTITUTE(TRIM(F170)," ",""))</f>
        <v/>
      </c>
      <c r="AO170" s="29">
        <f>UPPER(SUBSTITUTE(TRIM(E170)," ",""))</f>
        <v/>
      </c>
      <c r="AP170" s="29">
        <f>IF(D170&lt;&gt;"",D170,IFERROR(VLOOKUP(MID(AG170,4,1),Lists!$E$2:$F$8,2,FALSE),""))</f>
        <v/>
      </c>
      <c r="AQ170" s="29">
        <f>IFERROR(VLOOKUP(AP170,Lists!$A$2:$C$12,3,FALSE),"")</f>
        <v/>
      </c>
      <c r="AR170" s="29">
        <f>COUNTIF(W170:AC170,"Yes")</f>
        <v/>
      </c>
      <c r="AS170" s="29">
        <f>IF(TRIM(B170)="","Legal name missing; ","")&amp;IF(AND(AJ170&lt;&gt;"",AJ170&lt;&gt;"OK"),"GSTIN: "&amp;AJ170&amp;"; ","")&amp;IF(AND(AK170&lt;&gt;"",AK170&lt;&gt;"OK"),"PAN wrong format; ","")&amp;IF(AND(AO170&lt;&gt;"",LEN(AN170)=15,MID(AN170,3,10)&lt;&gt;AO170),"PAN does not match GSTIN; ","")&amp;IF(AND(AL170&lt;&gt;"",AL170&lt;&gt;"OK"),"TAN wrong format; ","")&amp;IF(AG170="","PAN missing; ","")&amp;IF(AP170="","Entity type missing; ","")&amp;IF(AND(AN170&lt;&gt;"",COUNTIF($AN$6:$AN$1005,AN170)&gt;1),"GSTIN repeated in this sheet; ","")&amp;IF(AND(AG170&lt;&gt;"",COUNTIF($AG$6:$AG$1005,AG170)&gt;1),"PAN repeated in this sheet (same client? put extra GSTINs in Other GSTINs); ","")&amp;IF(AND(AR170&gt;0,V170=""),"Financial year missing; ","")&amp;IF(AND(AR170=0,V170&lt;&gt;""),"Financial year given but no service is Yes; ","")&amp;IF(AND(W170="Yes",AN170=""),"GST needs a GSTIN; ","")&amp;IF(AND(W170="Yes",X170=""),"GST return frequency missing; ","")&amp;IF(AND(Y170="Yes",TRIM(H170)=""),"TDS needs a TAN; ","")&amp;IF(AND(AA170="Yes",AQ170&lt;&gt;"",AQ170&lt;&gt;"company",AQ170&lt;&gt;"llp"),"ROC is only for a company / LLP; ","")&amp;IF(AND(AA170="Yes",OR(AQ170="company",AQ170="llp"),TRIM(I170)=""),"ROC needs the CIN / LLPIN; ","")</f>
        <v/>
      </c>
    </row>
    <row r="171">
      <c r="A171" s="30" t="n"/>
      <c r="B171" s="31" t="n"/>
      <c r="C171" s="31" t="n"/>
      <c r="D171" s="31" t="n"/>
      <c r="E171" s="30" t="n"/>
      <c r="F171" s="30" t="n"/>
      <c r="G171" s="30" t="n"/>
      <c r="H171" s="30" t="n"/>
      <c r="I171" s="30" t="n"/>
      <c r="J171" s="32" t="n"/>
      <c r="K171" s="31" t="n"/>
      <c r="L171" s="30" t="n"/>
      <c r="M171" s="31" t="n"/>
      <c r="N171" s="31" t="n"/>
      <c r="O171" s="31" t="n"/>
      <c r="P171" s="30" t="n"/>
      <c r="Q171" s="31" t="n"/>
      <c r="R171" s="31" t="n"/>
      <c r="S171" s="31" t="n"/>
      <c r="T171" s="31" t="n"/>
      <c r="U171" s="30" t="n"/>
      <c r="V171" s="31" t="n"/>
      <c r="W171" s="31" t="n"/>
      <c r="X171" s="31" t="n"/>
      <c r="Y171" s="31" t="n"/>
      <c r="Z171" s="31" t="n"/>
      <c r="AA171" s="31" t="n"/>
      <c r="AB171" s="31" t="n"/>
      <c r="AC171" s="31" t="n"/>
      <c r="AD171" s="31" t="n"/>
      <c r="AE171" s="31" t="n"/>
      <c r="AF171" s="27">
        <f>IF(NOT(COUNTA(A171:AE171)&gt;0),"",IF(A171="","New client","Update"))</f>
        <v/>
      </c>
      <c r="AG171" s="27">
        <f>IF(AO171&lt;&gt;"",AO171,IF(LEN(AN171)=15,MID(AN171,3,10),""))</f>
        <v/>
      </c>
      <c r="AH171" s="27">
        <f>IF(AP171="","",AP171&amp;IF(D171="","  (guessed from PAN)",""))</f>
        <v/>
      </c>
      <c r="AI171" s="27">
        <f>IF(AN171="","",IFERROR(INDEX(Lists!$L$2:$L$38,MATCH(LEFT(AN171,2),Lists!$K$2:$K$38,0)),"Unknown code"))</f>
        <v/>
      </c>
      <c r="AJ171" s="27">
        <f>IF(AN171="","",IFERROR(IF(NOT(AND(LEN(AN171)=15,ISNUMBER(MATCH(LEFT(AN171,2),Lists!$K$2:$K$38,0)),SUMPRODUCT(--ISERROR(FIND(MID(MID(AN171,3,10),{1,2,3,4,5,10},1),"ABCDEFGHIJKLMNOPQRSTUVWXYZ")))=0,SUMPRODUCT(--ISERROR(FIND(MID(MID(AN171,3,10),{6,7,8,9},1),"0123456789")))=0,ISNUMBER(FIND(MID(AN171,13,1),"123456789ABCDEFGHIJKLMNOPQRSTUVWXYZ")),MID(AN171,14,1)="Z")),"Wrong format",IF(MID("0123456789ABCDEFGHIJKLMNOPQRSTUVWXYZ",MOD(36-MOD(SUMPRODUCT(INT((FIND(MID(AN171,{1,2,3,4,5,6,7,8,9,10,11,12,13,14},1),"0123456789ABCDEFGHIJKLMNOPQRSTUVWXYZ")-1)*{1,2,1,2,1,2,1,2,1,2,1,2,1,2}/36)+MOD((FIND(MID(AN171,{1,2,3,4,5,6,7,8,9,10,11,12,13,14},1),"0123456789ABCDEFGHIJKLMNOPQRSTUVWXYZ")-1)*{1,2,1,2,1,2,1,2,1,2,1,2,1,2},36)),36),36)+1,1)=MID(AN171,15,1),"OK","Typo? check digit wrong")),"Wrong format"))</f>
        <v/>
      </c>
      <c r="AK171" s="27">
        <f>IF(AO171="","",IF(AND(LEN(AO171)=10,SUMPRODUCT(--ISERROR(FIND(MID(AO171,{1,2,3,4,5,10},1),"ABCDEFGHIJKLMNOPQRSTUVWXYZ")))=0,SUMPRODUCT(--ISERROR(FIND(MID(AO171,{6,7,8,9},1),"0123456789")))=0),"OK","Wrong format"))</f>
        <v/>
      </c>
      <c r="AL171" s="27">
        <f>IF(TRIM(H171)="","",IF(AND(LEN(UPPER(TRIM(H171)))=10,SUMPRODUCT(--ISERROR(FIND(MID(UPPER(TRIM(H171)),{1,2,3,4,10},1),"ABCDEFGHIJKLMNOPQRSTUVWXYZ")))=0,SUMPRODUCT(--ISERROR(FIND(MID(UPPER(TRIM(H171)),{5,6,7,8,9},1),"0123456789")))=0),"OK","Wrong format"))</f>
        <v/>
      </c>
      <c r="AM171" s="28">
        <f>IF(NOT(COUNTA(A171:AE171)&gt;0),"",IF(AS171&lt;&gt;"","✖ "&amp;LEFT(AS171,LEN(AS171)-2),IF(AR171&gt;0,"✔ Ready — client + "&amp;AR171&amp;" service(s)","✔ Ready — client only")))</f>
        <v/>
      </c>
      <c r="AN171" s="29">
        <f>UPPER(SUBSTITUTE(TRIM(F171)," ",""))</f>
        <v/>
      </c>
      <c r="AO171" s="29">
        <f>UPPER(SUBSTITUTE(TRIM(E171)," ",""))</f>
        <v/>
      </c>
      <c r="AP171" s="29">
        <f>IF(D171&lt;&gt;"",D171,IFERROR(VLOOKUP(MID(AG171,4,1),Lists!$E$2:$F$8,2,FALSE),""))</f>
        <v/>
      </c>
      <c r="AQ171" s="29">
        <f>IFERROR(VLOOKUP(AP171,Lists!$A$2:$C$12,3,FALSE),"")</f>
        <v/>
      </c>
      <c r="AR171" s="29">
        <f>COUNTIF(W171:AC171,"Yes")</f>
        <v/>
      </c>
      <c r="AS171" s="29">
        <f>IF(TRIM(B171)="","Legal name missing; ","")&amp;IF(AND(AJ171&lt;&gt;"",AJ171&lt;&gt;"OK"),"GSTIN: "&amp;AJ171&amp;"; ","")&amp;IF(AND(AK171&lt;&gt;"",AK171&lt;&gt;"OK"),"PAN wrong format; ","")&amp;IF(AND(AO171&lt;&gt;"",LEN(AN171)=15,MID(AN171,3,10)&lt;&gt;AO171),"PAN does not match GSTIN; ","")&amp;IF(AND(AL171&lt;&gt;"",AL171&lt;&gt;"OK"),"TAN wrong format; ","")&amp;IF(AG171="","PAN missing; ","")&amp;IF(AP171="","Entity type missing; ","")&amp;IF(AND(AN171&lt;&gt;"",COUNTIF($AN$6:$AN$1005,AN171)&gt;1),"GSTIN repeated in this sheet; ","")&amp;IF(AND(AG171&lt;&gt;"",COUNTIF($AG$6:$AG$1005,AG171)&gt;1),"PAN repeated in this sheet (same client? put extra GSTINs in Other GSTINs); ","")&amp;IF(AND(AR171&gt;0,V171=""),"Financial year missing; ","")&amp;IF(AND(AR171=0,V171&lt;&gt;""),"Financial year given but no service is Yes; ","")&amp;IF(AND(W171="Yes",AN171=""),"GST needs a GSTIN; ","")&amp;IF(AND(W171="Yes",X171=""),"GST return frequency missing; ","")&amp;IF(AND(Y171="Yes",TRIM(H171)=""),"TDS needs a TAN; ","")&amp;IF(AND(AA171="Yes",AQ171&lt;&gt;"",AQ171&lt;&gt;"company",AQ171&lt;&gt;"llp"),"ROC is only for a company / LLP; ","")&amp;IF(AND(AA171="Yes",OR(AQ171="company",AQ171="llp"),TRIM(I171)=""),"ROC needs the CIN / LLPIN; ","")</f>
        <v/>
      </c>
    </row>
    <row r="172">
      <c r="A172" s="30" t="n"/>
      <c r="B172" s="31" t="n"/>
      <c r="C172" s="31" t="n"/>
      <c r="D172" s="31" t="n"/>
      <c r="E172" s="30" t="n"/>
      <c r="F172" s="30" t="n"/>
      <c r="G172" s="30" t="n"/>
      <c r="H172" s="30" t="n"/>
      <c r="I172" s="30" t="n"/>
      <c r="J172" s="32" t="n"/>
      <c r="K172" s="31" t="n"/>
      <c r="L172" s="30" t="n"/>
      <c r="M172" s="31" t="n"/>
      <c r="N172" s="31" t="n"/>
      <c r="O172" s="31" t="n"/>
      <c r="P172" s="30" t="n"/>
      <c r="Q172" s="31" t="n"/>
      <c r="R172" s="31" t="n"/>
      <c r="S172" s="31" t="n"/>
      <c r="T172" s="31" t="n"/>
      <c r="U172" s="30" t="n"/>
      <c r="V172" s="31" t="n"/>
      <c r="W172" s="31" t="n"/>
      <c r="X172" s="31" t="n"/>
      <c r="Y172" s="31" t="n"/>
      <c r="Z172" s="31" t="n"/>
      <c r="AA172" s="31" t="n"/>
      <c r="AB172" s="31" t="n"/>
      <c r="AC172" s="31" t="n"/>
      <c r="AD172" s="31" t="n"/>
      <c r="AE172" s="31" t="n"/>
      <c r="AF172" s="27">
        <f>IF(NOT(COUNTA(A172:AE172)&gt;0),"",IF(A172="","New client","Update"))</f>
        <v/>
      </c>
      <c r="AG172" s="27">
        <f>IF(AO172&lt;&gt;"",AO172,IF(LEN(AN172)=15,MID(AN172,3,10),""))</f>
        <v/>
      </c>
      <c r="AH172" s="27">
        <f>IF(AP172="","",AP172&amp;IF(D172="","  (guessed from PAN)",""))</f>
        <v/>
      </c>
      <c r="AI172" s="27">
        <f>IF(AN172="","",IFERROR(INDEX(Lists!$L$2:$L$38,MATCH(LEFT(AN172,2),Lists!$K$2:$K$38,0)),"Unknown code"))</f>
        <v/>
      </c>
      <c r="AJ172" s="27">
        <f>IF(AN172="","",IFERROR(IF(NOT(AND(LEN(AN172)=15,ISNUMBER(MATCH(LEFT(AN172,2),Lists!$K$2:$K$38,0)),SUMPRODUCT(--ISERROR(FIND(MID(MID(AN172,3,10),{1,2,3,4,5,10},1),"ABCDEFGHIJKLMNOPQRSTUVWXYZ")))=0,SUMPRODUCT(--ISERROR(FIND(MID(MID(AN172,3,10),{6,7,8,9},1),"0123456789")))=0,ISNUMBER(FIND(MID(AN172,13,1),"123456789ABCDEFGHIJKLMNOPQRSTUVWXYZ")),MID(AN172,14,1)="Z")),"Wrong format",IF(MID("0123456789ABCDEFGHIJKLMNOPQRSTUVWXYZ",MOD(36-MOD(SUMPRODUCT(INT((FIND(MID(AN172,{1,2,3,4,5,6,7,8,9,10,11,12,13,14},1),"0123456789ABCDEFGHIJKLMNOPQRSTUVWXYZ")-1)*{1,2,1,2,1,2,1,2,1,2,1,2,1,2}/36)+MOD((FIND(MID(AN172,{1,2,3,4,5,6,7,8,9,10,11,12,13,14},1),"0123456789ABCDEFGHIJKLMNOPQRSTUVWXYZ")-1)*{1,2,1,2,1,2,1,2,1,2,1,2,1,2},36)),36),36)+1,1)=MID(AN172,15,1),"OK","Typo? check digit wrong")),"Wrong format"))</f>
        <v/>
      </c>
      <c r="AK172" s="27">
        <f>IF(AO172="","",IF(AND(LEN(AO172)=10,SUMPRODUCT(--ISERROR(FIND(MID(AO172,{1,2,3,4,5,10},1),"ABCDEFGHIJKLMNOPQRSTUVWXYZ")))=0,SUMPRODUCT(--ISERROR(FIND(MID(AO172,{6,7,8,9},1),"0123456789")))=0),"OK","Wrong format"))</f>
        <v/>
      </c>
      <c r="AL172" s="27">
        <f>IF(TRIM(H172)="","",IF(AND(LEN(UPPER(TRIM(H172)))=10,SUMPRODUCT(--ISERROR(FIND(MID(UPPER(TRIM(H172)),{1,2,3,4,10},1),"ABCDEFGHIJKLMNOPQRSTUVWXYZ")))=0,SUMPRODUCT(--ISERROR(FIND(MID(UPPER(TRIM(H172)),{5,6,7,8,9},1),"0123456789")))=0),"OK","Wrong format"))</f>
        <v/>
      </c>
      <c r="AM172" s="28">
        <f>IF(NOT(COUNTA(A172:AE172)&gt;0),"",IF(AS172&lt;&gt;"","✖ "&amp;LEFT(AS172,LEN(AS172)-2),IF(AR172&gt;0,"✔ Ready — client + "&amp;AR172&amp;" service(s)","✔ Ready — client only")))</f>
        <v/>
      </c>
      <c r="AN172" s="29">
        <f>UPPER(SUBSTITUTE(TRIM(F172)," ",""))</f>
        <v/>
      </c>
      <c r="AO172" s="29">
        <f>UPPER(SUBSTITUTE(TRIM(E172)," ",""))</f>
        <v/>
      </c>
      <c r="AP172" s="29">
        <f>IF(D172&lt;&gt;"",D172,IFERROR(VLOOKUP(MID(AG172,4,1),Lists!$E$2:$F$8,2,FALSE),""))</f>
        <v/>
      </c>
      <c r="AQ172" s="29">
        <f>IFERROR(VLOOKUP(AP172,Lists!$A$2:$C$12,3,FALSE),"")</f>
        <v/>
      </c>
      <c r="AR172" s="29">
        <f>COUNTIF(W172:AC172,"Yes")</f>
        <v/>
      </c>
      <c r="AS172" s="29">
        <f>IF(TRIM(B172)="","Legal name missing; ","")&amp;IF(AND(AJ172&lt;&gt;"",AJ172&lt;&gt;"OK"),"GSTIN: "&amp;AJ172&amp;"; ","")&amp;IF(AND(AK172&lt;&gt;"",AK172&lt;&gt;"OK"),"PAN wrong format; ","")&amp;IF(AND(AO172&lt;&gt;"",LEN(AN172)=15,MID(AN172,3,10)&lt;&gt;AO172),"PAN does not match GSTIN; ","")&amp;IF(AND(AL172&lt;&gt;"",AL172&lt;&gt;"OK"),"TAN wrong format; ","")&amp;IF(AG172="","PAN missing; ","")&amp;IF(AP172="","Entity type missing; ","")&amp;IF(AND(AN172&lt;&gt;"",COUNTIF($AN$6:$AN$1005,AN172)&gt;1),"GSTIN repeated in this sheet; ","")&amp;IF(AND(AG172&lt;&gt;"",COUNTIF($AG$6:$AG$1005,AG172)&gt;1),"PAN repeated in this sheet (same client? put extra GSTINs in Other GSTINs); ","")&amp;IF(AND(AR172&gt;0,V172=""),"Financial year missing; ","")&amp;IF(AND(AR172=0,V172&lt;&gt;""),"Financial year given but no service is Yes; ","")&amp;IF(AND(W172="Yes",AN172=""),"GST needs a GSTIN; ","")&amp;IF(AND(W172="Yes",X172=""),"GST return frequency missing; ","")&amp;IF(AND(Y172="Yes",TRIM(H172)=""),"TDS needs a TAN; ","")&amp;IF(AND(AA172="Yes",AQ172&lt;&gt;"",AQ172&lt;&gt;"company",AQ172&lt;&gt;"llp"),"ROC is only for a company / LLP; ","")&amp;IF(AND(AA172="Yes",OR(AQ172="company",AQ172="llp"),TRIM(I172)=""),"ROC needs the CIN / LLPIN; ","")</f>
        <v/>
      </c>
    </row>
    <row r="173">
      <c r="A173" s="30" t="n"/>
      <c r="B173" s="31" t="n"/>
      <c r="C173" s="31" t="n"/>
      <c r="D173" s="31" t="n"/>
      <c r="E173" s="30" t="n"/>
      <c r="F173" s="30" t="n"/>
      <c r="G173" s="30" t="n"/>
      <c r="H173" s="30" t="n"/>
      <c r="I173" s="30" t="n"/>
      <c r="J173" s="32" t="n"/>
      <c r="K173" s="31" t="n"/>
      <c r="L173" s="30" t="n"/>
      <c r="M173" s="31" t="n"/>
      <c r="N173" s="31" t="n"/>
      <c r="O173" s="31" t="n"/>
      <c r="P173" s="30" t="n"/>
      <c r="Q173" s="31" t="n"/>
      <c r="R173" s="31" t="n"/>
      <c r="S173" s="31" t="n"/>
      <c r="T173" s="31" t="n"/>
      <c r="U173" s="30" t="n"/>
      <c r="V173" s="31" t="n"/>
      <c r="W173" s="31" t="n"/>
      <c r="X173" s="31" t="n"/>
      <c r="Y173" s="31" t="n"/>
      <c r="Z173" s="31" t="n"/>
      <c r="AA173" s="31" t="n"/>
      <c r="AB173" s="31" t="n"/>
      <c r="AC173" s="31" t="n"/>
      <c r="AD173" s="31" t="n"/>
      <c r="AE173" s="31" t="n"/>
      <c r="AF173" s="27">
        <f>IF(NOT(COUNTA(A173:AE173)&gt;0),"",IF(A173="","New client","Update"))</f>
        <v/>
      </c>
      <c r="AG173" s="27">
        <f>IF(AO173&lt;&gt;"",AO173,IF(LEN(AN173)=15,MID(AN173,3,10),""))</f>
        <v/>
      </c>
      <c r="AH173" s="27">
        <f>IF(AP173="","",AP173&amp;IF(D173="","  (guessed from PAN)",""))</f>
        <v/>
      </c>
      <c r="AI173" s="27">
        <f>IF(AN173="","",IFERROR(INDEX(Lists!$L$2:$L$38,MATCH(LEFT(AN173,2),Lists!$K$2:$K$38,0)),"Unknown code"))</f>
        <v/>
      </c>
      <c r="AJ173" s="27">
        <f>IF(AN173="","",IFERROR(IF(NOT(AND(LEN(AN173)=15,ISNUMBER(MATCH(LEFT(AN173,2),Lists!$K$2:$K$38,0)),SUMPRODUCT(--ISERROR(FIND(MID(MID(AN173,3,10),{1,2,3,4,5,10},1),"ABCDEFGHIJKLMNOPQRSTUVWXYZ")))=0,SUMPRODUCT(--ISERROR(FIND(MID(MID(AN173,3,10),{6,7,8,9},1),"0123456789")))=0,ISNUMBER(FIND(MID(AN173,13,1),"123456789ABCDEFGHIJKLMNOPQRSTUVWXYZ")),MID(AN173,14,1)="Z")),"Wrong format",IF(MID("0123456789ABCDEFGHIJKLMNOPQRSTUVWXYZ",MOD(36-MOD(SUMPRODUCT(INT((FIND(MID(AN173,{1,2,3,4,5,6,7,8,9,10,11,12,13,14},1),"0123456789ABCDEFGHIJKLMNOPQRSTUVWXYZ")-1)*{1,2,1,2,1,2,1,2,1,2,1,2,1,2}/36)+MOD((FIND(MID(AN173,{1,2,3,4,5,6,7,8,9,10,11,12,13,14},1),"0123456789ABCDEFGHIJKLMNOPQRSTUVWXYZ")-1)*{1,2,1,2,1,2,1,2,1,2,1,2,1,2},36)),36),36)+1,1)=MID(AN173,15,1),"OK","Typo? check digit wrong")),"Wrong format"))</f>
        <v/>
      </c>
      <c r="AK173" s="27">
        <f>IF(AO173="","",IF(AND(LEN(AO173)=10,SUMPRODUCT(--ISERROR(FIND(MID(AO173,{1,2,3,4,5,10},1),"ABCDEFGHIJKLMNOPQRSTUVWXYZ")))=0,SUMPRODUCT(--ISERROR(FIND(MID(AO173,{6,7,8,9},1),"0123456789")))=0),"OK","Wrong format"))</f>
        <v/>
      </c>
      <c r="AL173" s="27">
        <f>IF(TRIM(H173)="","",IF(AND(LEN(UPPER(TRIM(H173)))=10,SUMPRODUCT(--ISERROR(FIND(MID(UPPER(TRIM(H173)),{1,2,3,4,10},1),"ABCDEFGHIJKLMNOPQRSTUVWXYZ")))=0,SUMPRODUCT(--ISERROR(FIND(MID(UPPER(TRIM(H173)),{5,6,7,8,9},1),"0123456789")))=0),"OK","Wrong format"))</f>
        <v/>
      </c>
      <c r="AM173" s="28">
        <f>IF(NOT(COUNTA(A173:AE173)&gt;0),"",IF(AS173&lt;&gt;"","✖ "&amp;LEFT(AS173,LEN(AS173)-2),IF(AR173&gt;0,"✔ Ready — client + "&amp;AR173&amp;" service(s)","✔ Ready — client only")))</f>
        <v/>
      </c>
      <c r="AN173" s="29">
        <f>UPPER(SUBSTITUTE(TRIM(F173)," ",""))</f>
        <v/>
      </c>
      <c r="AO173" s="29">
        <f>UPPER(SUBSTITUTE(TRIM(E173)," ",""))</f>
        <v/>
      </c>
      <c r="AP173" s="29">
        <f>IF(D173&lt;&gt;"",D173,IFERROR(VLOOKUP(MID(AG173,4,1),Lists!$E$2:$F$8,2,FALSE),""))</f>
        <v/>
      </c>
      <c r="AQ173" s="29">
        <f>IFERROR(VLOOKUP(AP173,Lists!$A$2:$C$12,3,FALSE),"")</f>
        <v/>
      </c>
      <c r="AR173" s="29">
        <f>COUNTIF(W173:AC173,"Yes")</f>
        <v/>
      </c>
      <c r="AS173" s="29">
        <f>IF(TRIM(B173)="","Legal name missing; ","")&amp;IF(AND(AJ173&lt;&gt;"",AJ173&lt;&gt;"OK"),"GSTIN: "&amp;AJ173&amp;"; ","")&amp;IF(AND(AK173&lt;&gt;"",AK173&lt;&gt;"OK"),"PAN wrong format; ","")&amp;IF(AND(AO173&lt;&gt;"",LEN(AN173)=15,MID(AN173,3,10)&lt;&gt;AO173),"PAN does not match GSTIN; ","")&amp;IF(AND(AL173&lt;&gt;"",AL173&lt;&gt;"OK"),"TAN wrong format; ","")&amp;IF(AG173="","PAN missing; ","")&amp;IF(AP173="","Entity type missing; ","")&amp;IF(AND(AN173&lt;&gt;"",COUNTIF($AN$6:$AN$1005,AN173)&gt;1),"GSTIN repeated in this sheet; ","")&amp;IF(AND(AG173&lt;&gt;"",COUNTIF($AG$6:$AG$1005,AG173)&gt;1),"PAN repeated in this sheet (same client? put extra GSTINs in Other GSTINs); ","")&amp;IF(AND(AR173&gt;0,V173=""),"Financial year missing; ","")&amp;IF(AND(AR173=0,V173&lt;&gt;""),"Financial year given but no service is Yes; ","")&amp;IF(AND(W173="Yes",AN173=""),"GST needs a GSTIN; ","")&amp;IF(AND(W173="Yes",X173=""),"GST return frequency missing; ","")&amp;IF(AND(Y173="Yes",TRIM(H173)=""),"TDS needs a TAN; ","")&amp;IF(AND(AA173="Yes",AQ173&lt;&gt;"",AQ173&lt;&gt;"company",AQ173&lt;&gt;"llp"),"ROC is only for a company / LLP; ","")&amp;IF(AND(AA173="Yes",OR(AQ173="company",AQ173="llp"),TRIM(I173)=""),"ROC needs the CIN / LLPIN; ","")</f>
        <v/>
      </c>
    </row>
    <row r="174">
      <c r="A174" s="30" t="n"/>
      <c r="B174" s="31" t="n"/>
      <c r="C174" s="31" t="n"/>
      <c r="D174" s="31" t="n"/>
      <c r="E174" s="30" t="n"/>
      <c r="F174" s="30" t="n"/>
      <c r="G174" s="30" t="n"/>
      <c r="H174" s="30" t="n"/>
      <c r="I174" s="30" t="n"/>
      <c r="J174" s="32" t="n"/>
      <c r="K174" s="31" t="n"/>
      <c r="L174" s="30" t="n"/>
      <c r="M174" s="31" t="n"/>
      <c r="N174" s="31" t="n"/>
      <c r="O174" s="31" t="n"/>
      <c r="P174" s="30" t="n"/>
      <c r="Q174" s="31" t="n"/>
      <c r="R174" s="31" t="n"/>
      <c r="S174" s="31" t="n"/>
      <c r="T174" s="31" t="n"/>
      <c r="U174" s="30" t="n"/>
      <c r="V174" s="31" t="n"/>
      <c r="W174" s="31" t="n"/>
      <c r="X174" s="31" t="n"/>
      <c r="Y174" s="31" t="n"/>
      <c r="Z174" s="31" t="n"/>
      <c r="AA174" s="31" t="n"/>
      <c r="AB174" s="31" t="n"/>
      <c r="AC174" s="31" t="n"/>
      <c r="AD174" s="31" t="n"/>
      <c r="AE174" s="31" t="n"/>
      <c r="AF174" s="27">
        <f>IF(NOT(COUNTA(A174:AE174)&gt;0),"",IF(A174="","New client","Update"))</f>
        <v/>
      </c>
      <c r="AG174" s="27">
        <f>IF(AO174&lt;&gt;"",AO174,IF(LEN(AN174)=15,MID(AN174,3,10),""))</f>
        <v/>
      </c>
      <c r="AH174" s="27">
        <f>IF(AP174="","",AP174&amp;IF(D174="","  (guessed from PAN)",""))</f>
        <v/>
      </c>
      <c r="AI174" s="27">
        <f>IF(AN174="","",IFERROR(INDEX(Lists!$L$2:$L$38,MATCH(LEFT(AN174,2),Lists!$K$2:$K$38,0)),"Unknown code"))</f>
        <v/>
      </c>
      <c r="AJ174" s="27">
        <f>IF(AN174="","",IFERROR(IF(NOT(AND(LEN(AN174)=15,ISNUMBER(MATCH(LEFT(AN174,2),Lists!$K$2:$K$38,0)),SUMPRODUCT(--ISERROR(FIND(MID(MID(AN174,3,10),{1,2,3,4,5,10},1),"ABCDEFGHIJKLMNOPQRSTUVWXYZ")))=0,SUMPRODUCT(--ISERROR(FIND(MID(MID(AN174,3,10),{6,7,8,9},1),"0123456789")))=0,ISNUMBER(FIND(MID(AN174,13,1),"123456789ABCDEFGHIJKLMNOPQRSTUVWXYZ")),MID(AN174,14,1)="Z")),"Wrong format",IF(MID("0123456789ABCDEFGHIJKLMNOPQRSTUVWXYZ",MOD(36-MOD(SUMPRODUCT(INT((FIND(MID(AN174,{1,2,3,4,5,6,7,8,9,10,11,12,13,14},1),"0123456789ABCDEFGHIJKLMNOPQRSTUVWXYZ")-1)*{1,2,1,2,1,2,1,2,1,2,1,2,1,2}/36)+MOD((FIND(MID(AN174,{1,2,3,4,5,6,7,8,9,10,11,12,13,14},1),"0123456789ABCDEFGHIJKLMNOPQRSTUVWXYZ")-1)*{1,2,1,2,1,2,1,2,1,2,1,2,1,2},36)),36),36)+1,1)=MID(AN174,15,1),"OK","Typo? check digit wrong")),"Wrong format"))</f>
        <v/>
      </c>
      <c r="AK174" s="27">
        <f>IF(AO174="","",IF(AND(LEN(AO174)=10,SUMPRODUCT(--ISERROR(FIND(MID(AO174,{1,2,3,4,5,10},1),"ABCDEFGHIJKLMNOPQRSTUVWXYZ")))=0,SUMPRODUCT(--ISERROR(FIND(MID(AO174,{6,7,8,9},1),"0123456789")))=0),"OK","Wrong format"))</f>
        <v/>
      </c>
      <c r="AL174" s="27">
        <f>IF(TRIM(H174)="","",IF(AND(LEN(UPPER(TRIM(H174)))=10,SUMPRODUCT(--ISERROR(FIND(MID(UPPER(TRIM(H174)),{1,2,3,4,10},1),"ABCDEFGHIJKLMNOPQRSTUVWXYZ")))=0,SUMPRODUCT(--ISERROR(FIND(MID(UPPER(TRIM(H174)),{5,6,7,8,9},1),"0123456789")))=0),"OK","Wrong format"))</f>
        <v/>
      </c>
      <c r="AM174" s="28">
        <f>IF(NOT(COUNTA(A174:AE174)&gt;0),"",IF(AS174&lt;&gt;"","✖ "&amp;LEFT(AS174,LEN(AS174)-2),IF(AR174&gt;0,"✔ Ready — client + "&amp;AR174&amp;" service(s)","✔ Ready — client only")))</f>
        <v/>
      </c>
      <c r="AN174" s="29">
        <f>UPPER(SUBSTITUTE(TRIM(F174)," ",""))</f>
        <v/>
      </c>
      <c r="AO174" s="29">
        <f>UPPER(SUBSTITUTE(TRIM(E174)," ",""))</f>
        <v/>
      </c>
      <c r="AP174" s="29">
        <f>IF(D174&lt;&gt;"",D174,IFERROR(VLOOKUP(MID(AG174,4,1),Lists!$E$2:$F$8,2,FALSE),""))</f>
        <v/>
      </c>
      <c r="AQ174" s="29">
        <f>IFERROR(VLOOKUP(AP174,Lists!$A$2:$C$12,3,FALSE),"")</f>
        <v/>
      </c>
      <c r="AR174" s="29">
        <f>COUNTIF(W174:AC174,"Yes")</f>
        <v/>
      </c>
      <c r="AS174" s="29">
        <f>IF(TRIM(B174)="","Legal name missing; ","")&amp;IF(AND(AJ174&lt;&gt;"",AJ174&lt;&gt;"OK"),"GSTIN: "&amp;AJ174&amp;"; ","")&amp;IF(AND(AK174&lt;&gt;"",AK174&lt;&gt;"OK"),"PAN wrong format; ","")&amp;IF(AND(AO174&lt;&gt;"",LEN(AN174)=15,MID(AN174,3,10)&lt;&gt;AO174),"PAN does not match GSTIN; ","")&amp;IF(AND(AL174&lt;&gt;"",AL174&lt;&gt;"OK"),"TAN wrong format; ","")&amp;IF(AG174="","PAN missing; ","")&amp;IF(AP174="","Entity type missing; ","")&amp;IF(AND(AN174&lt;&gt;"",COUNTIF($AN$6:$AN$1005,AN174)&gt;1),"GSTIN repeated in this sheet; ","")&amp;IF(AND(AG174&lt;&gt;"",COUNTIF($AG$6:$AG$1005,AG174)&gt;1),"PAN repeated in this sheet (same client? put extra GSTINs in Other GSTINs); ","")&amp;IF(AND(AR174&gt;0,V174=""),"Financial year missing; ","")&amp;IF(AND(AR174=0,V174&lt;&gt;""),"Financial year given but no service is Yes; ","")&amp;IF(AND(W174="Yes",AN174=""),"GST needs a GSTIN; ","")&amp;IF(AND(W174="Yes",X174=""),"GST return frequency missing; ","")&amp;IF(AND(Y174="Yes",TRIM(H174)=""),"TDS needs a TAN; ","")&amp;IF(AND(AA174="Yes",AQ174&lt;&gt;"",AQ174&lt;&gt;"company",AQ174&lt;&gt;"llp"),"ROC is only for a company / LLP; ","")&amp;IF(AND(AA174="Yes",OR(AQ174="company",AQ174="llp"),TRIM(I174)=""),"ROC needs the CIN / LLPIN; ","")</f>
        <v/>
      </c>
    </row>
    <row r="175">
      <c r="A175" s="30" t="n"/>
      <c r="B175" s="31" t="n"/>
      <c r="C175" s="31" t="n"/>
      <c r="D175" s="31" t="n"/>
      <c r="E175" s="30" t="n"/>
      <c r="F175" s="30" t="n"/>
      <c r="G175" s="30" t="n"/>
      <c r="H175" s="30" t="n"/>
      <c r="I175" s="30" t="n"/>
      <c r="J175" s="32" t="n"/>
      <c r="K175" s="31" t="n"/>
      <c r="L175" s="30" t="n"/>
      <c r="M175" s="31" t="n"/>
      <c r="N175" s="31" t="n"/>
      <c r="O175" s="31" t="n"/>
      <c r="P175" s="30" t="n"/>
      <c r="Q175" s="31" t="n"/>
      <c r="R175" s="31" t="n"/>
      <c r="S175" s="31" t="n"/>
      <c r="T175" s="31" t="n"/>
      <c r="U175" s="30" t="n"/>
      <c r="V175" s="31" t="n"/>
      <c r="W175" s="31" t="n"/>
      <c r="X175" s="31" t="n"/>
      <c r="Y175" s="31" t="n"/>
      <c r="Z175" s="31" t="n"/>
      <c r="AA175" s="31" t="n"/>
      <c r="AB175" s="31" t="n"/>
      <c r="AC175" s="31" t="n"/>
      <c r="AD175" s="31" t="n"/>
      <c r="AE175" s="31" t="n"/>
      <c r="AF175" s="27">
        <f>IF(NOT(COUNTA(A175:AE175)&gt;0),"",IF(A175="","New client","Update"))</f>
        <v/>
      </c>
      <c r="AG175" s="27">
        <f>IF(AO175&lt;&gt;"",AO175,IF(LEN(AN175)=15,MID(AN175,3,10),""))</f>
        <v/>
      </c>
      <c r="AH175" s="27">
        <f>IF(AP175="","",AP175&amp;IF(D175="","  (guessed from PAN)",""))</f>
        <v/>
      </c>
      <c r="AI175" s="27">
        <f>IF(AN175="","",IFERROR(INDEX(Lists!$L$2:$L$38,MATCH(LEFT(AN175,2),Lists!$K$2:$K$38,0)),"Unknown code"))</f>
        <v/>
      </c>
      <c r="AJ175" s="27">
        <f>IF(AN175="","",IFERROR(IF(NOT(AND(LEN(AN175)=15,ISNUMBER(MATCH(LEFT(AN175,2),Lists!$K$2:$K$38,0)),SUMPRODUCT(--ISERROR(FIND(MID(MID(AN175,3,10),{1,2,3,4,5,10},1),"ABCDEFGHIJKLMNOPQRSTUVWXYZ")))=0,SUMPRODUCT(--ISERROR(FIND(MID(MID(AN175,3,10),{6,7,8,9},1),"0123456789")))=0,ISNUMBER(FIND(MID(AN175,13,1),"123456789ABCDEFGHIJKLMNOPQRSTUVWXYZ")),MID(AN175,14,1)="Z")),"Wrong format",IF(MID("0123456789ABCDEFGHIJKLMNOPQRSTUVWXYZ",MOD(36-MOD(SUMPRODUCT(INT((FIND(MID(AN175,{1,2,3,4,5,6,7,8,9,10,11,12,13,14},1),"0123456789ABCDEFGHIJKLMNOPQRSTUVWXYZ")-1)*{1,2,1,2,1,2,1,2,1,2,1,2,1,2}/36)+MOD((FIND(MID(AN175,{1,2,3,4,5,6,7,8,9,10,11,12,13,14},1),"0123456789ABCDEFGHIJKLMNOPQRSTUVWXYZ")-1)*{1,2,1,2,1,2,1,2,1,2,1,2,1,2},36)),36),36)+1,1)=MID(AN175,15,1),"OK","Typo? check digit wrong")),"Wrong format"))</f>
        <v/>
      </c>
      <c r="AK175" s="27">
        <f>IF(AO175="","",IF(AND(LEN(AO175)=10,SUMPRODUCT(--ISERROR(FIND(MID(AO175,{1,2,3,4,5,10},1),"ABCDEFGHIJKLMNOPQRSTUVWXYZ")))=0,SUMPRODUCT(--ISERROR(FIND(MID(AO175,{6,7,8,9},1),"0123456789")))=0),"OK","Wrong format"))</f>
        <v/>
      </c>
      <c r="AL175" s="27">
        <f>IF(TRIM(H175)="","",IF(AND(LEN(UPPER(TRIM(H175)))=10,SUMPRODUCT(--ISERROR(FIND(MID(UPPER(TRIM(H175)),{1,2,3,4,10},1),"ABCDEFGHIJKLMNOPQRSTUVWXYZ")))=0,SUMPRODUCT(--ISERROR(FIND(MID(UPPER(TRIM(H175)),{5,6,7,8,9},1),"0123456789")))=0),"OK","Wrong format"))</f>
        <v/>
      </c>
      <c r="AM175" s="28">
        <f>IF(NOT(COUNTA(A175:AE175)&gt;0),"",IF(AS175&lt;&gt;"","✖ "&amp;LEFT(AS175,LEN(AS175)-2),IF(AR175&gt;0,"✔ Ready — client + "&amp;AR175&amp;" service(s)","✔ Ready — client only")))</f>
        <v/>
      </c>
      <c r="AN175" s="29">
        <f>UPPER(SUBSTITUTE(TRIM(F175)," ",""))</f>
        <v/>
      </c>
      <c r="AO175" s="29">
        <f>UPPER(SUBSTITUTE(TRIM(E175)," ",""))</f>
        <v/>
      </c>
      <c r="AP175" s="29">
        <f>IF(D175&lt;&gt;"",D175,IFERROR(VLOOKUP(MID(AG175,4,1),Lists!$E$2:$F$8,2,FALSE),""))</f>
        <v/>
      </c>
      <c r="AQ175" s="29">
        <f>IFERROR(VLOOKUP(AP175,Lists!$A$2:$C$12,3,FALSE),"")</f>
        <v/>
      </c>
      <c r="AR175" s="29">
        <f>COUNTIF(W175:AC175,"Yes")</f>
        <v/>
      </c>
      <c r="AS175" s="29">
        <f>IF(TRIM(B175)="","Legal name missing; ","")&amp;IF(AND(AJ175&lt;&gt;"",AJ175&lt;&gt;"OK"),"GSTIN: "&amp;AJ175&amp;"; ","")&amp;IF(AND(AK175&lt;&gt;"",AK175&lt;&gt;"OK"),"PAN wrong format; ","")&amp;IF(AND(AO175&lt;&gt;"",LEN(AN175)=15,MID(AN175,3,10)&lt;&gt;AO175),"PAN does not match GSTIN; ","")&amp;IF(AND(AL175&lt;&gt;"",AL175&lt;&gt;"OK"),"TAN wrong format; ","")&amp;IF(AG175="","PAN missing; ","")&amp;IF(AP175="","Entity type missing; ","")&amp;IF(AND(AN175&lt;&gt;"",COUNTIF($AN$6:$AN$1005,AN175)&gt;1),"GSTIN repeated in this sheet; ","")&amp;IF(AND(AG175&lt;&gt;"",COUNTIF($AG$6:$AG$1005,AG175)&gt;1),"PAN repeated in this sheet (same client? put extra GSTINs in Other GSTINs); ","")&amp;IF(AND(AR175&gt;0,V175=""),"Financial year missing; ","")&amp;IF(AND(AR175=0,V175&lt;&gt;""),"Financial year given but no service is Yes; ","")&amp;IF(AND(W175="Yes",AN175=""),"GST needs a GSTIN; ","")&amp;IF(AND(W175="Yes",X175=""),"GST return frequency missing; ","")&amp;IF(AND(Y175="Yes",TRIM(H175)=""),"TDS needs a TAN; ","")&amp;IF(AND(AA175="Yes",AQ175&lt;&gt;"",AQ175&lt;&gt;"company",AQ175&lt;&gt;"llp"),"ROC is only for a company / LLP; ","")&amp;IF(AND(AA175="Yes",OR(AQ175="company",AQ175="llp"),TRIM(I175)=""),"ROC needs the CIN / LLPIN; ","")</f>
        <v/>
      </c>
    </row>
    <row r="176">
      <c r="A176" s="30" t="n"/>
      <c r="B176" s="31" t="n"/>
      <c r="C176" s="31" t="n"/>
      <c r="D176" s="31" t="n"/>
      <c r="E176" s="30" t="n"/>
      <c r="F176" s="30" t="n"/>
      <c r="G176" s="30" t="n"/>
      <c r="H176" s="30" t="n"/>
      <c r="I176" s="30" t="n"/>
      <c r="J176" s="32" t="n"/>
      <c r="K176" s="31" t="n"/>
      <c r="L176" s="30" t="n"/>
      <c r="M176" s="31" t="n"/>
      <c r="N176" s="31" t="n"/>
      <c r="O176" s="31" t="n"/>
      <c r="P176" s="30" t="n"/>
      <c r="Q176" s="31" t="n"/>
      <c r="R176" s="31" t="n"/>
      <c r="S176" s="31" t="n"/>
      <c r="T176" s="31" t="n"/>
      <c r="U176" s="30" t="n"/>
      <c r="V176" s="31" t="n"/>
      <c r="W176" s="31" t="n"/>
      <c r="X176" s="31" t="n"/>
      <c r="Y176" s="31" t="n"/>
      <c r="Z176" s="31" t="n"/>
      <c r="AA176" s="31" t="n"/>
      <c r="AB176" s="31" t="n"/>
      <c r="AC176" s="31" t="n"/>
      <c r="AD176" s="31" t="n"/>
      <c r="AE176" s="31" t="n"/>
      <c r="AF176" s="27">
        <f>IF(NOT(COUNTA(A176:AE176)&gt;0),"",IF(A176="","New client","Update"))</f>
        <v/>
      </c>
      <c r="AG176" s="27">
        <f>IF(AO176&lt;&gt;"",AO176,IF(LEN(AN176)=15,MID(AN176,3,10),""))</f>
        <v/>
      </c>
      <c r="AH176" s="27">
        <f>IF(AP176="","",AP176&amp;IF(D176="","  (guessed from PAN)",""))</f>
        <v/>
      </c>
      <c r="AI176" s="27">
        <f>IF(AN176="","",IFERROR(INDEX(Lists!$L$2:$L$38,MATCH(LEFT(AN176,2),Lists!$K$2:$K$38,0)),"Unknown code"))</f>
        <v/>
      </c>
      <c r="AJ176" s="27">
        <f>IF(AN176="","",IFERROR(IF(NOT(AND(LEN(AN176)=15,ISNUMBER(MATCH(LEFT(AN176,2),Lists!$K$2:$K$38,0)),SUMPRODUCT(--ISERROR(FIND(MID(MID(AN176,3,10),{1,2,3,4,5,10},1),"ABCDEFGHIJKLMNOPQRSTUVWXYZ")))=0,SUMPRODUCT(--ISERROR(FIND(MID(MID(AN176,3,10),{6,7,8,9},1),"0123456789")))=0,ISNUMBER(FIND(MID(AN176,13,1),"123456789ABCDEFGHIJKLMNOPQRSTUVWXYZ")),MID(AN176,14,1)="Z")),"Wrong format",IF(MID("0123456789ABCDEFGHIJKLMNOPQRSTUVWXYZ",MOD(36-MOD(SUMPRODUCT(INT((FIND(MID(AN176,{1,2,3,4,5,6,7,8,9,10,11,12,13,14},1),"0123456789ABCDEFGHIJKLMNOPQRSTUVWXYZ")-1)*{1,2,1,2,1,2,1,2,1,2,1,2,1,2}/36)+MOD((FIND(MID(AN176,{1,2,3,4,5,6,7,8,9,10,11,12,13,14},1),"0123456789ABCDEFGHIJKLMNOPQRSTUVWXYZ")-1)*{1,2,1,2,1,2,1,2,1,2,1,2,1,2},36)),36),36)+1,1)=MID(AN176,15,1),"OK","Typo? check digit wrong")),"Wrong format"))</f>
        <v/>
      </c>
      <c r="AK176" s="27">
        <f>IF(AO176="","",IF(AND(LEN(AO176)=10,SUMPRODUCT(--ISERROR(FIND(MID(AO176,{1,2,3,4,5,10},1),"ABCDEFGHIJKLMNOPQRSTUVWXYZ")))=0,SUMPRODUCT(--ISERROR(FIND(MID(AO176,{6,7,8,9},1),"0123456789")))=0),"OK","Wrong format"))</f>
        <v/>
      </c>
      <c r="AL176" s="27">
        <f>IF(TRIM(H176)="","",IF(AND(LEN(UPPER(TRIM(H176)))=10,SUMPRODUCT(--ISERROR(FIND(MID(UPPER(TRIM(H176)),{1,2,3,4,10},1),"ABCDEFGHIJKLMNOPQRSTUVWXYZ")))=0,SUMPRODUCT(--ISERROR(FIND(MID(UPPER(TRIM(H176)),{5,6,7,8,9},1),"0123456789")))=0),"OK","Wrong format"))</f>
        <v/>
      </c>
      <c r="AM176" s="28">
        <f>IF(NOT(COUNTA(A176:AE176)&gt;0),"",IF(AS176&lt;&gt;"","✖ "&amp;LEFT(AS176,LEN(AS176)-2),IF(AR176&gt;0,"✔ Ready — client + "&amp;AR176&amp;" service(s)","✔ Ready — client only")))</f>
        <v/>
      </c>
      <c r="AN176" s="29">
        <f>UPPER(SUBSTITUTE(TRIM(F176)," ",""))</f>
        <v/>
      </c>
      <c r="AO176" s="29">
        <f>UPPER(SUBSTITUTE(TRIM(E176)," ",""))</f>
        <v/>
      </c>
      <c r="AP176" s="29">
        <f>IF(D176&lt;&gt;"",D176,IFERROR(VLOOKUP(MID(AG176,4,1),Lists!$E$2:$F$8,2,FALSE),""))</f>
        <v/>
      </c>
      <c r="AQ176" s="29">
        <f>IFERROR(VLOOKUP(AP176,Lists!$A$2:$C$12,3,FALSE),"")</f>
        <v/>
      </c>
      <c r="AR176" s="29">
        <f>COUNTIF(W176:AC176,"Yes")</f>
        <v/>
      </c>
      <c r="AS176" s="29">
        <f>IF(TRIM(B176)="","Legal name missing; ","")&amp;IF(AND(AJ176&lt;&gt;"",AJ176&lt;&gt;"OK"),"GSTIN: "&amp;AJ176&amp;"; ","")&amp;IF(AND(AK176&lt;&gt;"",AK176&lt;&gt;"OK"),"PAN wrong format; ","")&amp;IF(AND(AO176&lt;&gt;"",LEN(AN176)=15,MID(AN176,3,10)&lt;&gt;AO176),"PAN does not match GSTIN; ","")&amp;IF(AND(AL176&lt;&gt;"",AL176&lt;&gt;"OK"),"TAN wrong format; ","")&amp;IF(AG176="","PAN missing; ","")&amp;IF(AP176="","Entity type missing; ","")&amp;IF(AND(AN176&lt;&gt;"",COUNTIF($AN$6:$AN$1005,AN176)&gt;1),"GSTIN repeated in this sheet; ","")&amp;IF(AND(AG176&lt;&gt;"",COUNTIF($AG$6:$AG$1005,AG176)&gt;1),"PAN repeated in this sheet (same client? put extra GSTINs in Other GSTINs); ","")&amp;IF(AND(AR176&gt;0,V176=""),"Financial year missing; ","")&amp;IF(AND(AR176=0,V176&lt;&gt;""),"Financial year given but no service is Yes; ","")&amp;IF(AND(W176="Yes",AN176=""),"GST needs a GSTIN; ","")&amp;IF(AND(W176="Yes",X176=""),"GST return frequency missing; ","")&amp;IF(AND(Y176="Yes",TRIM(H176)=""),"TDS needs a TAN; ","")&amp;IF(AND(AA176="Yes",AQ176&lt;&gt;"",AQ176&lt;&gt;"company",AQ176&lt;&gt;"llp"),"ROC is only for a company / LLP; ","")&amp;IF(AND(AA176="Yes",OR(AQ176="company",AQ176="llp"),TRIM(I176)=""),"ROC needs the CIN / LLPIN; ","")</f>
        <v/>
      </c>
    </row>
    <row r="177">
      <c r="A177" s="30" t="n"/>
      <c r="B177" s="31" t="n"/>
      <c r="C177" s="31" t="n"/>
      <c r="D177" s="31" t="n"/>
      <c r="E177" s="30" t="n"/>
      <c r="F177" s="30" t="n"/>
      <c r="G177" s="30" t="n"/>
      <c r="H177" s="30" t="n"/>
      <c r="I177" s="30" t="n"/>
      <c r="J177" s="32" t="n"/>
      <c r="K177" s="31" t="n"/>
      <c r="L177" s="30" t="n"/>
      <c r="M177" s="31" t="n"/>
      <c r="N177" s="31" t="n"/>
      <c r="O177" s="31" t="n"/>
      <c r="P177" s="30" t="n"/>
      <c r="Q177" s="31" t="n"/>
      <c r="R177" s="31" t="n"/>
      <c r="S177" s="31" t="n"/>
      <c r="T177" s="31" t="n"/>
      <c r="U177" s="30" t="n"/>
      <c r="V177" s="31" t="n"/>
      <c r="W177" s="31" t="n"/>
      <c r="X177" s="31" t="n"/>
      <c r="Y177" s="31" t="n"/>
      <c r="Z177" s="31" t="n"/>
      <c r="AA177" s="31" t="n"/>
      <c r="AB177" s="31" t="n"/>
      <c r="AC177" s="31" t="n"/>
      <c r="AD177" s="31" t="n"/>
      <c r="AE177" s="31" t="n"/>
      <c r="AF177" s="27">
        <f>IF(NOT(COUNTA(A177:AE177)&gt;0),"",IF(A177="","New client","Update"))</f>
        <v/>
      </c>
      <c r="AG177" s="27">
        <f>IF(AO177&lt;&gt;"",AO177,IF(LEN(AN177)=15,MID(AN177,3,10),""))</f>
        <v/>
      </c>
      <c r="AH177" s="27">
        <f>IF(AP177="","",AP177&amp;IF(D177="","  (guessed from PAN)",""))</f>
        <v/>
      </c>
      <c r="AI177" s="27">
        <f>IF(AN177="","",IFERROR(INDEX(Lists!$L$2:$L$38,MATCH(LEFT(AN177,2),Lists!$K$2:$K$38,0)),"Unknown code"))</f>
        <v/>
      </c>
      <c r="AJ177" s="27">
        <f>IF(AN177="","",IFERROR(IF(NOT(AND(LEN(AN177)=15,ISNUMBER(MATCH(LEFT(AN177,2),Lists!$K$2:$K$38,0)),SUMPRODUCT(--ISERROR(FIND(MID(MID(AN177,3,10),{1,2,3,4,5,10},1),"ABCDEFGHIJKLMNOPQRSTUVWXYZ")))=0,SUMPRODUCT(--ISERROR(FIND(MID(MID(AN177,3,10),{6,7,8,9},1),"0123456789")))=0,ISNUMBER(FIND(MID(AN177,13,1),"123456789ABCDEFGHIJKLMNOPQRSTUVWXYZ")),MID(AN177,14,1)="Z")),"Wrong format",IF(MID("0123456789ABCDEFGHIJKLMNOPQRSTUVWXYZ",MOD(36-MOD(SUMPRODUCT(INT((FIND(MID(AN177,{1,2,3,4,5,6,7,8,9,10,11,12,13,14},1),"0123456789ABCDEFGHIJKLMNOPQRSTUVWXYZ")-1)*{1,2,1,2,1,2,1,2,1,2,1,2,1,2}/36)+MOD((FIND(MID(AN177,{1,2,3,4,5,6,7,8,9,10,11,12,13,14},1),"0123456789ABCDEFGHIJKLMNOPQRSTUVWXYZ")-1)*{1,2,1,2,1,2,1,2,1,2,1,2,1,2},36)),36),36)+1,1)=MID(AN177,15,1),"OK","Typo? check digit wrong")),"Wrong format"))</f>
        <v/>
      </c>
      <c r="AK177" s="27">
        <f>IF(AO177="","",IF(AND(LEN(AO177)=10,SUMPRODUCT(--ISERROR(FIND(MID(AO177,{1,2,3,4,5,10},1),"ABCDEFGHIJKLMNOPQRSTUVWXYZ")))=0,SUMPRODUCT(--ISERROR(FIND(MID(AO177,{6,7,8,9},1),"0123456789")))=0),"OK","Wrong format"))</f>
        <v/>
      </c>
      <c r="AL177" s="27">
        <f>IF(TRIM(H177)="","",IF(AND(LEN(UPPER(TRIM(H177)))=10,SUMPRODUCT(--ISERROR(FIND(MID(UPPER(TRIM(H177)),{1,2,3,4,10},1),"ABCDEFGHIJKLMNOPQRSTUVWXYZ")))=0,SUMPRODUCT(--ISERROR(FIND(MID(UPPER(TRIM(H177)),{5,6,7,8,9},1),"0123456789")))=0),"OK","Wrong format"))</f>
        <v/>
      </c>
      <c r="AM177" s="28">
        <f>IF(NOT(COUNTA(A177:AE177)&gt;0),"",IF(AS177&lt;&gt;"","✖ "&amp;LEFT(AS177,LEN(AS177)-2),IF(AR177&gt;0,"✔ Ready — client + "&amp;AR177&amp;" service(s)","✔ Ready — client only")))</f>
        <v/>
      </c>
      <c r="AN177" s="29">
        <f>UPPER(SUBSTITUTE(TRIM(F177)," ",""))</f>
        <v/>
      </c>
      <c r="AO177" s="29">
        <f>UPPER(SUBSTITUTE(TRIM(E177)," ",""))</f>
        <v/>
      </c>
      <c r="AP177" s="29">
        <f>IF(D177&lt;&gt;"",D177,IFERROR(VLOOKUP(MID(AG177,4,1),Lists!$E$2:$F$8,2,FALSE),""))</f>
        <v/>
      </c>
      <c r="AQ177" s="29">
        <f>IFERROR(VLOOKUP(AP177,Lists!$A$2:$C$12,3,FALSE),"")</f>
        <v/>
      </c>
      <c r="AR177" s="29">
        <f>COUNTIF(W177:AC177,"Yes")</f>
        <v/>
      </c>
      <c r="AS177" s="29">
        <f>IF(TRIM(B177)="","Legal name missing; ","")&amp;IF(AND(AJ177&lt;&gt;"",AJ177&lt;&gt;"OK"),"GSTIN: "&amp;AJ177&amp;"; ","")&amp;IF(AND(AK177&lt;&gt;"",AK177&lt;&gt;"OK"),"PAN wrong format; ","")&amp;IF(AND(AO177&lt;&gt;"",LEN(AN177)=15,MID(AN177,3,10)&lt;&gt;AO177),"PAN does not match GSTIN; ","")&amp;IF(AND(AL177&lt;&gt;"",AL177&lt;&gt;"OK"),"TAN wrong format; ","")&amp;IF(AG177="","PAN missing; ","")&amp;IF(AP177="","Entity type missing; ","")&amp;IF(AND(AN177&lt;&gt;"",COUNTIF($AN$6:$AN$1005,AN177)&gt;1),"GSTIN repeated in this sheet; ","")&amp;IF(AND(AG177&lt;&gt;"",COUNTIF($AG$6:$AG$1005,AG177)&gt;1),"PAN repeated in this sheet (same client? put extra GSTINs in Other GSTINs); ","")&amp;IF(AND(AR177&gt;0,V177=""),"Financial year missing; ","")&amp;IF(AND(AR177=0,V177&lt;&gt;""),"Financial year given but no service is Yes; ","")&amp;IF(AND(W177="Yes",AN177=""),"GST needs a GSTIN; ","")&amp;IF(AND(W177="Yes",X177=""),"GST return frequency missing; ","")&amp;IF(AND(Y177="Yes",TRIM(H177)=""),"TDS needs a TAN; ","")&amp;IF(AND(AA177="Yes",AQ177&lt;&gt;"",AQ177&lt;&gt;"company",AQ177&lt;&gt;"llp"),"ROC is only for a company / LLP; ","")&amp;IF(AND(AA177="Yes",OR(AQ177="company",AQ177="llp"),TRIM(I177)=""),"ROC needs the CIN / LLPIN; ","")</f>
        <v/>
      </c>
    </row>
    <row r="178">
      <c r="A178" s="30" t="n"/>
      <c r="B178" s="31" t="n"/>
      <c r="C178" s="31" t="n"/>
      <c r="D178" s="31" t="n"/>
      <c r="E178" s="30" t="n"/>
      <c r="F178" s="30" t="n"/>
      <c r="G178" s="30" t="n"/>
      <c r="H178" s="30" t="n"/>
      <c r="I178" s="30" t="n"/>
      <c r="J178" s="32" t="n"/>
      <c r="K178" s="31" t="n"/>
      <c r="L178" s="30" t="n"/>
      <c r="M178" s="31" t="n"/>
      <c r="N178" s="31" t="n"/>
      <c r="O178" s="31" t="n"/>
      <c r="P178" s="30" t="n"/>
      <c r="Q178" s="31" t="n"/>
      <c r="R178" s="31" t="n"/>
      <c r="S178" s="31" t="n"/>
      <c r="T178" s="31" t="n"/>
      <c r="U178" s="30" t="n"/>
      <c r="V178" s="31" t="n"/>
      <c r="W178" s="31" t="n"/>
      <c r="X178" s="31" t="n"/>
      <c r="Y178" s="31" t="n"/>
      <c r="Z178" s="31" t="n"/>
      <c r="AA178" s="31" t="n"/>
      <c r="AB178" s="31" t="n"/>
      <c r="AC178" s="31" t="n"/>
      <c r="AD178" s="31" t="n"/>
      <c r="AE178" s="31" t="n"/>
      <c r="AF178" s="27">
        <f>IF(NOT(COUNTA(A178:AE178)&gt;0),"",IF(A178="","New client","Update"))</f>
        <v/>
      </c>
      <c r="AG178" s="27">
        <f>IF(AO178&lt;&gt;"",AO178,IF(LEN(AN178)=15,MID(AN178,3,10),""))</f>
        <v/>
      </c>
      <c r="AH178" s="27">
        <f>IF(AP178="","",AP178&amp;IF(D178="","  (guessed from PAN)",""))</f>
        <v/>
      </c>
      <c r="AI178" s="27">
        <f>IF(AN178="","",IFERROR(INDEX(Lists!$L$2:$L$38,MATCH(LEFT(AN178,2),Lists!$K$2:$K$38,0)),"Unknown code"))</f>
        <v/>
      </c>
      <c r="AJ178" s="27">
        <f>IF(AN178="","",IFERROR(IF(NOT(AND(LEN(AN178)=15,ISNUMBER(MATCH(LEFT(AN178,2),Lists!$K$2:$K$38,0)),SUMPRODUCT(--ISERROR(FIND(MID(MID(AN178,3,10),{1,2,3,4,5,10},1),"ABCDEFGHIJKLMNOPQRSTUVWXYZ")))=0,SUMPRODUCT(--ISERROR(FIND(MID(MID(AN178,3,10),{6,7,8,9},1),"0123456789")))=0,ISNUMBER(FIND(MID(AN178,13,1),"123456789ABCDEFGHIJKLMNOPQRSTUVWXYZ")),MID(AN178,14,1)="Z")),"Wrong format",IF(MID("0123456789ABCDEFGHIJKLMNOPQRSTUVWXYZ",MOD(36-MOD(SUMPRODUCT(INT((FIND(MID(AN178,{1,2,3,4,5,6,7,8,9,10,11,12,13,14},1),"0123456789ABCDEFGHIJKLMNOPQRSTUVWXYZ")-1)*{1,2,1,2,1,2,1,2,1,2,1,2,1,2}/36)+MOD((FIND(MID(AN178,{1,2,3,4,5,6,7,8,9,10,11,12,13,14},1),"0123456789ABCDEFGHIJKLMNOPQRSTUVWXYZ")-1)*{1,2,1,2,1,2,1,2,1,2,1,2,1,2},36)),36),36)+1,1)=MID(AN178,15,1),"OK","Typo? check digit wrong")),"Wrong format"))</f>
        <v/>
      </c>
      <c r="AK178" s="27">
        <f>IF(AO178="","",IF(AND(LEN(AO178)=10,SUMPRODUCT(--ISERROR(FIND(MID(AO178,{1,2,3,4,5,10},1),"ABCDEFGHIJKLMNOPQRSTUVWXYZ")))=0,SUMPRODUCT(--ISERROR(FIND(MID(AO178,{6,7,8,9},1),"0123456789")))=0),"OK","Wrong format"))</f>
        <v/>
      </c>
      <c r="AL178" s="27">
        <f>IF(TRIM(H178)="","",IF(AND(LEN(UPPER(TRIM(H178)))=10,SUMPRODUCT(--ISERROR(FIND(MID(UPPER(TRIM(H178)),{1,2,3,4,10},1),"ABCDEFGHIJKLMNOPQRSTUVWXYZ")))=0,SUMPRODUCT(--ISERROR(FIND(MID(UPPER(TRIM(H178)),{5,6,7,8,9},1),"0123456789")))=0),"OK","Wrong format"))</f>
        <v/>
      </c>
      <c r="AM178" s="28">
        <f>IF(NOT(COUNTA(A178:AE178)&gt;0),"",IF(AS178&lt;&gt;"","✖ "&amp;LEFT(AS178,LEN(AS178)-2),IF(AR178&gt;0,"✔ Ready — client + "&amp;AR178&amp;" service(s)","✔ Ready — client only")))</f>
        <v/>
      </c>
      <c r="AN178" s="29">
        <f>UPPER(SUBSTITUTE(TRIM(F178)," ",""))</f>
        <v/>
      </c>
      <c r="AO178" s="29">
        <f>UPPER(SUBSTITUTE(TRIM(E178)," ",""))</f>
        <v/>
      </c>
      <c r="AP178" s="29">
        <f>IF(D178&lt;&gt;"",D178,IFERROR(VLOOKUP(MID(AG178,4,1),Lists!$E$2:$F$8,2,FALSE),""))</f>
        <v/>
      </c>
      <c r="AQ178" s="29">
        <f>IFERROR(VLOOKUP(AP178,Lists!$A$2:$C$12,3,FALSE),"")</f>
        <v/>
      </c>
      <c r="AR178" s="29">
        <f>COUNTIF(W178:AC178,"Yes")</f>
        <v/>
      </c>
      <c r="AS178" s="29">
        <f>IF(TRIM(B178)="","Legal name missing; ","")&amp;IF(AND(AJ178&lt;&gt;"",AJ178&lt;&gt;"OK"),"GSTIN: "&amp;AJ178&amp;"; ","")&amp;IF(AND(AK178&lt;&gt;"",AK178&lt;&gt;"OK"),"PAN wrong format; ","")&amp;IF(AND(AO178&lt;&gt;"",LEN(AN178)=15,MID(AN178,3,10)&lt;&gt;AO178),"PAN does not match GSTIN; ","")&amp;IF(AND(AL178&lt;&gt;"",AL178&lt;&gt;"OK"),"TAN wrong format; ","")&amp;IF(AG178="","PAN missing; ","")&amp;IF(AP178="","Entity type missing; ","")&amp;IF(AND(AN178&lt;&gt;"",COUNTIF($AN$6:$AN$1005,AN178)&gt;1),"GSTIN repeated in this sheet; ","")&amp;IF(AND(AG178&lt;&gt;"",COUNTIF($AG$6:$AG$1005,AG178)&gt;1),"PAN repeated in this sheet (same client? put extra GSTINs in Other GSTINs); ","")&amp;IF(AND(AR178&gt;0,V178=""),"Financial year missing; ","")&amp;IF(AND(AR178=0,V178&lt;&gt;""),"Financial year given but no service is Yes; ","")&amp;IF(AND(W178="Yes",AN178=""),"GST needs a GSTIN; ","")&amp;IF(AND(W178="Yes",X178=""),"GST return frequency missing; ","")&amp;IF(AND(Y178="Yes",TRIM(H178)=""),"TDS needs a TAN; ","")&amp;IF(AND(AA178="Yes",AQ178&lt;&gt;"",AQ178&lt;&gt;"company",AQ178&lt;&gt;"llp"),"ROC is only for a company / LLP; ","")&amp;IF(AND(AA178="Yes",OR(AQ178="company",AQ178="llp"),TRIM(I178)=""),"ROC needs the CIN / LLPIN; ","")</f>
        <v/>
      </c>
    </row>
    <row r="179">
      <c r="A179" s="30" t="n"/>
      <c r="B179" s="31" t="n"/>
      <c r="C179" s="31" t="n"/>
      <c r="D179" s="31" t="n"/>
      <c r="E179" s="30" t="n"/>
      <c r="F179" s="30" t="n"/>
      <c r="G179" s="30" t="n"/>
      <c r="H179" s="30" t="n"/>
      <c r="I179" s="30" t="n"/>
      <c r="J179" s="32" t="n"/>
      <c r="K179" s="31" t="n"/>
      <c r="L179" s="30" t="n"/>
      <c r="M179" s="31" t="n"/>
      <c r="N179" s="31" t="n"/>
      <c r="O179" s="31" t="n"/>
      <c r="P179" s="30" t="n"/>
      <c r="Q179" s="31" t="n"/>
      <c r="R179" s="31" t="n"/>
      <c r="S179" s="31" t="n"/>
      <c r="T179" s="31" t="n"/>
      <c r="U179" s="30" t="n"/>
      <c r="V179" s="31" t="n"/>
      <c r="W179" s="31" t="n"/>
      <c r="X179" s="31" t="n"/>
      <c r="Y179" s="31" t="n"/>
      <c r="Z179" s="31" t="n"/>
      <c r="AA179" s="31" t="n"/>
      <c r="AB179" s="31" t="n"/>
      <c r="AC179" s="31" t="n"/>
      <c r="AD179" s="31" t="n"/>
      <c r="AE179" s="31" t="n"/>
      <c r="AF179" s="27">
        <f>IF(NOT(COUNTA(A179:AE179)&gt;0),"",IF(A179="","New client","Update"))</f>
        <v/>
      </c>
      <c r="AG179" s="27">
        <f>IF(AO179&lt;&gt;"",AO179,IF(LEN(AN179)=15,MID(AN179,3,10),""))</f>
        <v/>
      </c>
      <c r="AH179" s="27">
        <f>IF(AP179="","",AP179&amp;IF(D179="","  (guessed from PAN)",""))</f>
        <v/>
      </c>
      <c r="AI179" s="27">
        <f>IF(AN179="","",IFERROR(INDEX(Lists!$L$2:$L$38,MATCH(LEFT(AN179,2),Lists!$K$2:$K$38,0)),"Unknown code"))</f>
        <v/>
      </c>
      <c r="AJ179" s="27">
        <f>IF(AN179="","",IFERROR(IF(NOT(AND(LEN(AN179)=15,ISNUMBER(MATCH(LEFT(AN179,2),Lists!$K$2:$K$38,0)),SUMPRODUCT(--ISERROR(FIND(MID(MID(AN179,3,10),{1,2,3,4,5,10},1),"ABCDEFGHIJKLMNOPQRSTUVWXYZ")))=0,SUMPRODUCT(--ISERROR(FIND(MID(MID(AN179,3,10),{6,7,8,9},1),"0123456789")))=0,ISNUMBER(FIND(MID(AN179,13,1),"123456789ABCDEFGHIJKLMNOPQRSTUVWXYZ")),MID(AN179,14,1)="Z")),"Wrong format",IF(MID("0123456789ABCDEFGHIJKLMNOPQRSTUVWXYZ",MOD(36-MOD(SUMPRODUCT(INT((FIND(MID(AN179,{1,2,3,4,5,6,7,8,9,10,11,12,13,14},1),"0123456789ABCDEFGHIJKLMNOPQRSTUVWXYZ")-1)*{1,2,1,2,1,2,1,2,1,2,1,2,1,2}/36)+MOD((FIND(MID(AN179,{1,2,3,4,5,6,7,8,9,10,11,12,13,14},1),"0123456789ABCDEFGHIJKLMNOPQRSTUVWXYZ")-1)*{1,2,1,2,1,2,1,2,1,2,1,2,1,2},36)),36),36)+1,1)=MID(AN179,15,1),"OK","Typo? check digit wrong")),"Wrong format"))</f>
        <v/>
      </c>
      <c r="AK179" s="27">
        <f>IF(AO179="","",IF(AND(LEN(AO179)=10,SUMPRODUCT(--ISERROR(FIND(MID(AO179,{1,2,3,4,5,10},1),"ABCDEFGHIJKLMNOPQRSTUVWXYZ")))=0,SUMPRODUCT(--ISERROR(FIND(MID(AO179,{6,7,8,9},1),"0123456789")))=0),"OK","Wrong format"))</f>
        <v/>
      </c>
      <c r="AL179" s="27">
        <f>IF(TRIM(H179)="","",IF(AND(LEN(UPPER(TRIM(H179)))=10,SUMPRODUCT(--ISERROR(FIND(MID(UPPER(TRIM(H179)),{1,2,3,4,10},1),"ABCDEFGHIJKLMNOPQRSTUVWXYZ")))=0,SUMPRODUCT(--ISERROR(FIND(MID(UPPER(TRIM(H179)),{5,6,7,8,9},1),"0123456789")))=0),"OK","Wrong format"))</f>
        <v/>
      </c>
      <c r="AM179" s="28">
        <f>IF(NOT(COUNTA(A179:AE179)&gt;0),"",IF(AS179&lt;&gt;"","✖ "&amp;LEFT(AS179,LEN(AS179)-2),IF(AR179&gt;0,"✔ Ready — client + "&amp;AR179&amp;" service(s)","✔ Ready — client only")))</f>
        <v/>
      </c>
      <c r="AN179" s="29">
        <f>UPPER(SUBSTITUTE(TRIM(F179)," ",""))</f>
        <v/>
      </c>
      <c r="AO179" s="29">
        <f>UPPER(SUBSTITUTE(TRIM(E179)," ",""))</f>
        <v/>
      </c>
      <c r="AP179" s="29">
        <f>IF(D179&lt;&gt;"",D179,IFERROR(VLOOKUP(MID(AG179,4,1),Lists!$E$2:$F$8,2,FALSE),""))</f>
        <v/>
      </c>
      <c r="AQ179" s="29">
        <f>IFERROR(VLOOKUP(AP179,Lists!$A$2:$C$12,3,FALSE),"")</f>
        <v/>
      </c>
      <c r="AR179" s="29">
        <f>COUNTIF(W179:AC179,"Yes")</f>
        <v/>
      </c>
      <c r="AS179" s="29">
        <f>IF(TRIM(B179)="","Legal name missing; ","")&amp;IF(AND(AJ179&lt;&gt;"",AJ179&lt;&gt;"OK"),"GSTIN: "&amp;AJ179&amp;"; ","")&amp;IF(AND(AK179&lt;&gt;"",AK179&lt;&gt;"OK"),"PAN wrong format; ","")&amp;IF(AND(AO179&lt;&gt;"",LEN(AN179)=15,MID(AN179,3,10)&lt;&gt;AO179),"PAN does not match GSTIN; ","")&amp;IF(AND(AL179&lt;&gt;"",AL179&lt;&gt;"OK"),"TAN wrong format; ","")&amp;IF(AG179="","PAN missing; ","")&amp;IF(AP179="","Entity type missing; ","")&amp;IF(AND(AN179&lt;&gt;"",COUNTIF($AN$6:$AN$1005,AN179)&gt;1),"GSTIN repeated in this sheet; ","")&amp;IF(AND(AG179&lt;&gt;"",COUNTIF($AG$6:$AG$1005,AG179)&gt;1),"PAN repeated in this sheet (same client? put extra GSTINs in Other GSTINs); ","")&amp;IF(AND(AR179&gt;0,V179=""),"Financial year missing; ","")&amp;IF(AND(AR179=0,V179&lt;&gt;""),"Financial year given but no service is Yes; ","")&amp;IF(AND(W179="Yes",AN179=""),"GST needs a GSTIN; ","")&amp;IF(AND(W179="Yes",X179=""),"GST return frequency missing; ","")&amp;IF(AND(Y179="Yes",TRIM(H179)=""),"TDS needs a TAN; ","")&amp;IF(AND(AA179="Yes",AQ179&lt;&gt;"",AQ179&lt;&gt;"company",AQ179&lt;&gt;"llp"),"ROC is only for a company / LLP; ","")&amp;IF(AND(AA179="Yes",OR(AQ179="company",AQ179="llp"),TRIM(I179)=""),"ROC needs the CIN / LLPIN; ","")</f>
        <v/>
      </c>
    </row>
    <row r="180">
      <c r="A180" s="30" t="n"/>
      <c r="B180" s="31" t="n"/>
      <c r="C180" s="31" t="n"/>
      <c r="D180" s="31" t="n"/>
      <c r="E180" s="30" t="n"/>
      <c r="F180" s="30" t="n"/>
      <c r="G180" s="30" t="n"/>
      <c r="H180" s="30" t="n"/>
      <c r="I180" s="30" t="n"/>
      <c r="J180" s="32" t="n"/>
      <c r="K180" s="31" t="n"/>
      <c r="L180" s="30" t="n"/>
      <c r="M180" s="31" t="n"/>
      <c r="N180" s="31" t="n"/>
      <c r="O180" s="31" t="n"/>
      <c r="P180" s="30" t="n"/>
      <c r="Q180" s="31" t="n"/>
      <c r="R180" s="31" t="n"/>
      <c r="S180" s="31" t="n"/>
      <c r="T180" s="31" t="n"/>
      <c r="U180" s="30" t="n"/>
      <c r="V180" s="31" t="n"/>
      <c r="W180" s="31" t="n"/>
      <c r="X180" s="31" t="n"/>
      <c r="Y180" s="31" t="n"/>
      <c r="Z180" s="31" t="n"/>
      <c r="AA180" s="31" t="n"/>
      <c r="AB180" s="31" t="n"/>
      <c r="AC180" s="31" t="n"/>
      <c r="AD180" s="31" t="n"/>
      <c r="AE180" s="31" t="n"/>
      <c r="AF180" s="27">
        <f>IF(NOT(COUNTA(A180:AE180)&gt;0),"",IF(A180="","New client","Update"))</f>
        <v/>
      </c>
      <c r="AG180" s="27">
        <f>IF(AO180&lt;&gt;"",AO180,IF(LEN(AN180)=15,MID(AN180,3,10),""))</f>
        <v/>
      </c>
      <c r="AH180" s="27">
        <f>IF(AP180="","",AP180&amp;IF(D180="","  (guessed from PAN)",""))</f>
        <v/>
      </c>
      <c r="AI180" s="27">
        <f>IF(AN180="","",IFERROR(INDEX(Lists!$L$2:$L$38,MATCH(LEFT(AN180,2),Lists!$K$2:$K$38,0)),"Unknown code"))</f>
        <v/>
      </c>
      <c r="AJ180" s="27">
        <f>IF(AN180="","",IFERROR(IF(NOT(AND(LEN(AN180)=15,ISNUMBER(MATCH(LEFT(AN180,2),Lists!$K$2:$K$38,0)),SUMPRODUCT(--ISERROR(FIND(MID(MID(AN180,3,10),{1,2,3,4,5,10},1),"ABCDEFGHIJKLMNOPQRSTUVWXYZ")))=0,SUMPRODUCT(--ISERROR(FIND(MID(MID(AN180,3,10),{6,7,8,9},1),"0123456789")))=0,ISNUMBER(FIND(MID(AN180,13,1),"123456789ABCDEFGHIJKLMNOPQRSTUVWXYZ")),MID(AN180,14,1)="Z")),"Wrong format",IF(MID("0123456789ABCDEFGHIJKLMNOPQRSTUVWXYZ",MOD(36-MOD(SUMPRODUCT(INT((FIND(MID(AN180,{1,2,3,4,5,6,7,8,9,10,11,12,13,14},1),"0123456789ABCDEFGHIJKLMNOPQRSTUVWXYZ")-1)*{1,2,1,2,1,2,1,2,1,2,1,2,1,2}/36)+MOD((FIND(MID(AN180,{1,2,3,4,5,6,7,8,9,10,11,12,13,14},1),"0123456789ABCDEFGHIJKLMNOPQRSTUVWXYZ")-1)*{1,2,1,2,1,2,1,2,1,2,1,2,1,2},36)),36),36)+1,1)=MID(AN180,15,1),"OK","Typo? check digit wrong")),"Wrong format"))</f>
        <v/>
      </c>
      <c r="AK180" s="27">
        <f>IF(AO180="","",IF(AND(LEN(AO180)=10,SUMPRODUCT(--ISERROR(FIND(MID(AO180,{1,2,3,4,5,10},1),"ABCDEFGHIJKLMNOPQRSTUVWXYZ")))=0,SUMPRODUCT(--ISERROR(FIND(MID(AO180,{6,7,8,9},1),"0123456789")))=0),"OK","Wrong format"))</f>
        <v/>
      </c>
      <c r="AL180" s="27">
        <f>IF(TRIM(H180)="","",IF(AND(LEN(UPPER(TRIM(H180)))=10,SUMPRODUCT(--ISERROR(FIND(MID(UPPER(TRIM(H180)),{1,2,3,4,10},1),"ABCDEFGHIJKLMNOPQRSTUVWXYZ")))=0,SUMPRODUCT(--ISERROR(FIND(MID(UPPER(TRIM(H180)),{5,6,7,8,9},1),"0123456789")))=0),"OK","Wrong format"))</f>
        <v/>
      </c>
      <c r="AM180" s="28">
        <f>IF(NOT(COUNTA(A180:AE180)&gt;0),"",IF(AS180&lt;&gt;"","✖ "&amp;LEFT(AS180,LEN(AS180)-2),IF(AR180&gt;0,"✔ Ready — client + "&amp;AR180&amp;" service(s)","✔ Ready — client only")))</f>
        <v/>
      </c>
      <c r="AN180" s="29">
        <f>UPPER(SUBSTITUTE(TRIM(F180)," ",""))</f>
        <v/>
      </c>
      <c r="AO180" s="29">
        <f>UPPER(SUBSTITUTE(TRIM(E180)," ",""))</f>
        <v/>
      </c>
      <c r="AP180" s="29">
        <f>IF(D180&lt;&gt;"",D180,IFERROR(VLOOKUP(MID(AG180,4,1),Lists!$E$2:$F$8,2,FALSE),""))</f>
        <v/>
      </c>
      <c r="AQ180" s="29">
        <f>IFERROR(VLOOKUP(AP180,Lists!$A$2:$C$12,3,FALSE),"")</f>
        <v/>
      </c>
      <c r="AR180" s="29">
        <f>COUNTIF(W180:AC180,"Yes")</f>
        <v/>
      </c>
      <c r="AS180" s="29">
        <f>IF(TRIM(B180)="","Legal name missing; ","")&amp;IF(AND(AJ180&lt;&gt;"",AJ180&lt;&gt;"OK"),"GSTIN: "&amp;AJ180&amp;"; ","")&amp;IF(AND(AK180&lt;&gt;"",AK180&lt;&gt;"OK"),"PAN wrong format; ","")&amp;IF(AND(AO180&lt;&gt;"",LEN(AN180)=15,MID(AN180,3,10)&lt;&gt;AO180),"PAN does not match GSTIN; ","")&amp;IF(AND(AL180&lt;&gt;"",AL180&lt;&gt;"OK"),"TAN wrong format; ","")&amp;IF(AG180="","PAN missing; ","")&amp;IF(AP180="","Entity type missing; ","")&amp;IF(AND(AN180&lt;&gt;"",COUNTIF($AN$6:$AN$1005,AN180)&gt;1),"GSTIN repeated in this sheet; ","")&amp;IF(AND(AG180&lt;&gt;"",COUNTIF($AG$6:$AG$1005,AG180)&gt;1),"PAN repeated in this sheet (same client? put extra GSTINs in Other GSTINs); ","")&amp;IF(AND(AR180&gt;0,V180=""),"Financial year missing; ","")&amp;IF(AND(AR180=0,V180&lt;&gt;""),"Financial year given but no service is Yes; ","")&amp;IF(AND(W180="Yes",AN180=""),"GST needs a GSTIN; ","")&amp;IF(AND(W180="Yes",X180=""),"GST return frequency missing; ","")&amp;IF(AND(Y180="Yes",TRIM(H180)=""),"TDS needs a TAN; ","")&amp;IF(AND(AA180="Yes",AQ180&lt;&gt;"",AQ180&lt;&gt;"company",AQ180&lt;&gt;"llp"),"ROC is only for a company / LLP; ","")&amp;IF(AND(AA180="Yes",OR(AQ180="company",AQ180="llp"),TRIM(I180)=""),"ROC needs the CIN / LLPIN; ","")</f>
        <v/>
      </c>
    </row>
    <row r="181">
      <c r="A181" s="30" t="n"/>
      <c r="B181" s="31" t="n"/>
      <c r="C181" s="31" t="n"/>
      <c r="D181" s="31" t="n"/>
      <c r="E181" s="30" t="n"/>
      <c r="F181" s="30" t="n"/>
      <c r="G181" s="30" t="n"/>
      <c r="H181" s="30" t="n"/>
      <c r="I181" s="30" t="n"/>
      <c r="J181" s="32" t="n"/>
      <c r="K181" s="31" t="n"/>
      <c r="L181" s="30" t="n"/>
      <c r="M181" s="31" t="n"/>
      <c r="N181" s="31" t="n"/>
      <c r="O181" s="31" t="n"/>
      <c r="P181" s="30" t="n"/>
      <c r="Q181" s="31" t="n"/>
      <c r="R181" s="31" t="n"/>
      <c r="S181" s="31" t="n"/>
      <c r="T181" s="31" t="n"/>
      <c r="U181" s="30" t="n"/>
      <c r="V181" s="31" t="n"/>
      <c r="W181" s="31" t="n"/>
      <c r="X181" s="31" t="n"/>
      <c r="Y181" s="31" t="n"/>
      <c r="Z181" s="31" t="n"/>
      <c r="AA181" s="31" t="n"/>
      <c r="AB181" s="31" t="n"/>
      <c r="AC181" s="31" t="n"/>
      <c r="AD181" s="31" t="n"/>
      <c r="AE181" s="31" t="n"/>
      <c r="AF181" s="27">
        <f>IF(NOT(COUNTA(A181:AE181)&gt;0),"",IF(A181="","New client","Update"))</f>
        <v/>
      </c>
      <c r="AG181" s="27">
        <f>IF(AO181&lt;&gt;"",AO181,IF(LEN(AN181)=15,MID(AN181,3,10),""))</f>
        <v/>
      </c>
      <c r="AH181" s="27">
        <f>IF(AP181="","",AP181&amp;IF(D181="","  (guessed from PAN)",""))</f>
        <v/>
      </c>
      <c r="AI181" s="27">
        <f>IF(AN181="","",IFERROR(INDEX(Lists!$L$2:$L$38,MATCH(LEFT(AN181,2),Lists!$K$2:$K$38,0)),"Unknown code"))</f>
        <v/>
      </c>
      <c r="AJ181" s="27">
        <f>IF(AN181="","",IFERROR(IF(NOT(AND(LEN(AN181)=15,ISNUMBER(MATCH(LEFT(AN181,2),Lists!$K$2:$K$38,0)),SUMPRODUCT(--ISERROR(FIND(MID(MID(AN181,3,10),{1,2,3,4,5,10},1),"ABCDEFGHIJKLMNOPQRSTUVWXYZ")))=0,SUMPRODUCT(--ISERROR(FIND(MID(MID(AN181,3,10),{6,7,8,9},1),"0123456789")))=0,ISNUMBER(FIND(MID(AN181,13,1),"123456789ABCDEFGHIJKLMNOPQRSTUVWXYZ")),MID(AN181,14,1)="Z")),"Wrong format",IF(MID("0123456789ABCDEFGHIJKLMNOPQRSTUVWXYZ",MOD(36-MOD(SUMPRODUCT(INT((FIND(MID(AN181,{1,2,3,4,5,6,7,8,9,10,11,12,13,14},1),"0123456789ABCDEFGHIJKLMNOPQRSTUVWXYZ")-1)*{1,2,1,2,1,2,1,2,1,2,1,2,1,2}/36)+MOD((FIND(MID(AN181,{1,2,3,4,5,6,7,8,9,10,11,12,13,14},1),"0123456789ABCDEFGHIJKLMNOPQRSTUVWXYZ")-1)*{1,2,1,2,1,2,1,2,1,2,1,2,1,2},36)),36),36)+1,1)=MID(AN181,15,1),"OK","Typo? check digit wrong")),"Wrong format"))</f>
        <v/>
      </c>
      <c r="AK181" s="27">
        <f>IF(AO181="","",IF(AND(LEN(AO181)=10,SUMPRODUCT(--ISERROR(FIND(MID(AO181,{1,2,3,4,5,10},1),"ABCDEFGHIJKLMNOPQRSTUVWXYZ")))=0,SUMPRODUCT(--ISERROR(FIND(MID(AO181,{6,7,8,9},1),"0123456789")))=0),"OK","Wrong format"))</f>
        <v/>
      </c>
      <c r="AL181" s="27">
        <f>IF(TRIM(H181)="","",IF(AND(LEN(UPPER(TRIM(H181)))=10,SUMPRODUCT(--ISERROR(FIND(MID(UPPER(TRIM(H181)),{1,2,3,4,10},1),"ABCDEFGHIJKLMNOPQRSTUVWXYZ")))=0,SUMPRODUCT(--ISERROR(FIND(MID(UPPER(TRIM(H181)),{5,6,7,8,9},1),"0123456789")))=0),"OK","Wrong format"))</f>
        <v/>
      </c>
      <c r="AM181" s="28">
        <f>IF(NOT(COUNTA(A181:AE181)&gt;0),"",IF(AS181&lt;&gt;"","✖ "&amp;LEFT(AS181,LEN(AS181)-2),IF(AR181&gt;0,"✔ Ready — client + "&amp;AR181&amp;" service(s)","✔ Ready — client only")))</f>
        <v/>
      </c>
      <c r="AN181" s="29">
        <f>UPPER(SUBSTITUTE(TRIM(F181)," ",""))</f>
        <v/>
      </c>
      <c r="AO181" s="29">
        <f>UPPER(SUBSTITUTE(TRIM(E181)," ",""))</f>
        <v/>
      </c>
      <c r="AP181" s="29">
        <f>IF(D181&lt;&gt;"",D181,IFERROR(VLOOKUP(MID(AG181,4,1),Lists!$E$2:$F$8,2,FALSE),""))</f>
        <v/>
      </c>
      <c r="AQ181" s="29">
        <f>IFERROR(VLOOKUP(AP181,Lists!$A$2:$C$12,3,FALSE),"")</f>
        <v/>
      </c>
      <c r="AR181" s="29">
        <f>COUNTIF(W181:AC181,"Yes")</f>
        <v/>
      </c>
      <c r="AS181" s="29">
        <f>IF(TRIM(B181)="","Legal name missing; ","")&amp;IF(AND(AJ181&lt;&gt;"",AJ181&lt;&gt;"OK"),"GSTIN: "&amp;AJ181&amp;"; ","")&amp;IF(AND(AK181&lt;&gt;"",AK181&lt;&gt;"OK"),"PAN wrong format; ","")&amp;IF(AND(AO181&lt;&gt;"",LEN(AN181)=15,MID(AN181,3,10)&lt;&gt;AO181),"PAN does not match GSTIN; ","")&amp;IF(AND(AL181&lt;&gt;"",AL181&lt;&gt;"OK"),"TAN wrong format; ","")&amp;IF(AG181="","PAN missing; ","")&amp;IF(AP181="","Entity type missing; ","")&amp;IF(AND(AN181&lt;&gt;"",COUNTIF($AN$6:$AN$1005,AN181)&gt;1),"GSTIN repeated in this sheet; ","")&amp;IF(AND(AG181&lt;&gt;"",COUNTIF($AG$6:$AG$1005,AG181)&gt;1),"PAN repeated in this sheet (same client? put extra GSTINs in Other GSTINs); ","")&amp;IF(AND(AR181&gt;0,V181=""),"Financial year missing; ","")&amp;IF(AND(AR181=0,V181&lt;&gt;""),"Financial year given but no service is Yes; ","")&amp;IF(AND(W181="Yes",AN181=""),"GST needs a GSTIN; ","")&amp;IF(AND(W181="Yes",X181=""),"GST return frequency missing; ","")&amp;IF(AND(Y181="Yes",TRIM(H181)=""),"TDS needs a TAN; ","")&amp;IF(AND(AA181="Yes",AQ181&lt;&gt;"",AQ181&lt;&gt;"company",AQ181&lt;&gt;"llp"),"ROC is only for a company / LLP; ","")&amp;IF(AND(AA181="Yes",OR(AQ181="company",AQ181="llp"),TRIM(I181)=""),"ROC needs the CIN / LLPIN; ","")</f>
        <v/>
      </c>
    </row>
    <row r="182">
      <c r="A182" s="30" t="n"/>
      <c r="B182" s="31" t="n"/>
      <c r="C182" s="31" t="n"/>
      <c r="D182" s="31" t="n"/>
      <c r="E182" s="30" t="n"/>
      <c r="F182" s="30" t="n"/>
      <c r="G182" s="30" t="n"/>
      <c r="H182" s="30" t="n"/>
      <c r="I182" s="30" t="n"/>
      <c r="J182" s="32" t="n"/>
      <c r="K182" s="31" t="n"/>
      <c r="L182" s="30" t="n"/>
      <c r="M182" s="31" t="n"/>
      <c r="N182" s="31" t="n"/>
      <c r="O182" s="31" t="n"/>
      <c r="P182" s="30" t="n"/>
      <c r="Q182" s="31" t="n"/>
      <c r="R182" s="31" t="n"/>
      <c r="S182" s="31" t="n"/>
      <c r="T182" s="31" t="n"/>
      <c r="U182" s="30" t="n"/>
      <c r="V182" s="31" t="n"/>
      <c r="W182" s="31" t="n"/>
      <c r="X182" s="31" t="n"/>
      <c r="Y182" s="31" t="n"/>
      <c r="Z182" s="31" t="n"/>
      <c r="AA182" s="31" t="n"/>
      <c r="AB182" s="31" t="n"/>
      <c r="AC182" s="31" t="n"/>
      <c r="AD182" s="31" t="n"/>
      <c r="AE182" s="31" t="n"/>
      <c r="AF182" s="27">
        <f>IF(NOT(COUNTA(A182:AE182)&gt;0),"",IF(A182="","New client","Update"))</f>
        <v/>
      </c>
      <c r="AG182" s="27">
        <f>IF(AO182&lt;&gt;"",AO182,IF(LEN(AN182)=15,MID(AN182,3,10),""))</f>
        <v/>
      </c>
      <c r="AH182" s="27">
        <f>IF(AP182="","",AP182&amp;IF(D182="","  (guessed from PAN)",""))</f>
        <v/>
      </c>
      <c r="AI182" s="27">
        <f>IF(AN182="","",IFERROR(INDEX(Lists!$L$2:$L$38,MATCH(LEFT(AN182,2),Lists!$K$2:$K$38,0)),"Unknown code"))</f>
        <v/>
      </c>
      <c r="AJ182" s="27">
        <f>IF(AN182="","",IFERROR(IF(NOT(AND(LEN(AN182)=15,ISNUMBER(MATCH(LEFT(AN182,2),Lists!$K$2:$K$38,0)),SUMPRODUCT(--ISERROR(FIND(MID(MID(AN182,3,10),{1,2,3,4,5,10},1),"ABCDEFGHIJKLMNOPQRSTUVWXYZ")))=0,SUMPRODUCT(--ISERROR(FIND(MID(MID(AN182,3,10),{6,7,8,9},1),"0123456789")))=0,ISNUMBER(FIND(MID(AN182,13,1),"123456789ABCDEFGHIJKLMNOPQRSTUVWXYZ")),MID(AN182,14,1)="Z")),"Wrong format",IF(MID("0123456789ABCDEFGHIJKLMNOPQRSTUVWXYZ",MOD(36-MOD(SUMPRODUCT(INT((FIND(MID(AN182,{1,2,3,4,5,6,7,8,9,10,11,12,13,14},1),"0123456789ABCDEFGHIJKLMNOPQRSTUVWXYZ")-1)*{1,2,1,2,1,2,1,2,1,2,1,2,1,2}/36)+MOD((FIND(MID(AN182,{1,2,3,4,5,6,7,8,9,10,11,12,13,14},1),"0123456789ABCDEFGHIJKLMNOPQRSTUVWXYZ")-1)*{1,2,1,2,1,2,1,2,1,2,1,2,1,2},36)),36),36)+1,1)=MID(AN182,15,1),"OK","Typo? check digit wrong")),"Wrong format"))</f>
        <v/>
      </c>
      <c r="AK182" s="27">
        <f>IF(AO182="","",IF(AND(LEN(AO182)=10,SUMPRODUCT(--ISERROR(FIND(MID(AO182,{1,2,3,4,5,10},1),"ABCDEFGHIJKLMNOPQRSTUVWXYZ")))=0,SUMPRODUCT(--ISERROR(FIND(MID(AO182,{6,7,8,9},1),"0123456789")))=0),"OK","Wrong format"))</f>
        <v/>
      </c>
      <c r="AL182" s="27">
        <f>IF(TRIM(H182)="","",IF(AND(LEN(UPPER(TRIM(H182)))=10,SUMPRODUCT(--ISERROR(FIND(MID(UPPER(TRIM(H182)),{1,2,3,4,10},1),"ABCDEFGHIJKLMNOPQRSTUVWXYZ")))=0,SUMPRODUCT(--ISERROR(FIND(MID(UPPER(TRIM(H182)),{5,6,7,8,9},1),"0123456789")))=0),"OK","Wrong format"))</f>
        <v/>
      </c>
      <c r="AM182" s="28">
        <f>IF(NOT(COUNTA(A182:AE182)&gt;0),"",IF(AS182&lt;&gt;"","✖ "&amp;LEFT(AS182,LEN(AS182)-2),IF(AR182&gt;0,"✔ Ready — client + "&amp;AR182&amp;" service(s)","✔ Ready — client only")))</f>
        <v/>
      </c>
      <c r="AN182" s="29">
        <f>UPPER(SUBSTITUTE(TRIM(F182)," ",""))</f>
        <v/>
      </c>
      <c r="AO182" s="29">
        <f>UPPER(SUBSTITUTE(TRIM(E182)," ",""))</f>
        <v/>
      </c>
      <c r="AP182" s="29">
        <f>IF(D182&lt;&gt;"",D182,IFERROR(VLOOKUP(MID(AG182,4,1),Lists!$E$2:$F$8,2,FALSE),""))</f>
        <v/>
      </c>
      <c r="AQ182" s="29">
        <f>IFERROR(VLOOKUP(AP182,Lists!$A$2:$C$12,3,FALSE),"")</f>
        <v/>
      </c>
      <c r="AR182" s="29">
        <f>COUNTIF(W182:AC182,"Yes")</f>
        <v/>
      </c>
      <c r="AS182" s="29">
        <f>IF(TRIM(B182)="","Legal name missing; ","")&amp;IF(AND(AJ182&lt;&gt;"",AJ182&lt;&gt;"OK"),"GSTIN: "&amp;AJ182&amp;"; ","")&amp;IF(AND(AK182&lt;&gt;"",AK182&lt;&gt;"OK"),"PAN wrong format; ","")&amp;IF(AND(AO182&lt;&gt;"",LEN(AN182)=15,MID(AN182,3,10)&lt;&gt;AO182),"PAN does not match GSTIN; ","")&amp;IF(AND(AL182&lt;&gt;"",AL182&lt;&gt;"OK"),"TAN wrong format; ","")&amp;IF(AG182="","PAN missing; ","")&amp;IF(AP182="","Entity type missing; ","")&amp;IF(AND(AN182&lt;&gt;"",COUNTIF($AN$6:$AN$1005,AN182)&gt;1),"GSTIN repeated in this sheet; ","")&amp;IF(AND(AG182&lt;&gt;"",COUNTIF($AG$6:$AG$1005,AG182)&gt;1),"PAN repeated in this sheet (same client? put extra GSTINs in Other GSTINs); ","")&amp;IF(AND(AR182&gt;0,V182=""),"Financial year missing; ","")&amp;IF(AND(AR182=0,V182&lt;&gt;""),"Financial year given but no service is Yes; ","")&amp;IF(AND(W182="Yes",AN182=""),"GST needs a GSTIN; ","")&amp;IF(AND(W182="Yes",X182=""),"GST return frequency missing; ","")&amp;IF(AND(Y182="Yes",TRIM(H182)=""),"TDS needs a TAN; ","")&amp;IF(AND(AA182="Yes",AQ182&lt;&gt;"",AQ182&lt;&gt;"company",AQ182&lt;&gt;"llp"),"ROC is only for a company / LLP; ","")&amp;IF(AND(AA182="Yes",OR(AQ182="company",AQ182="llp"),TRIM(I182)=""),"ROC needs the CIN / LLPIN; ","")</f>
        <v/>
      </c>
    </row>
    <row r="183">
      <c r="A183" s="30" t="n"/>
      <c r="B183" s="31" t="n"/>
      <c r="C183" s="31" t="n"/>
      <c r="D183" s="31" t="n"/>
      <c r="E183" s="30" t="n"/>
      <c r="F183" s="30" t="n"/>
      <c r="G183" s="30" t="n"/>
      <c r="H183" s="30" t="n"/>
      <c r="I183" s="30" t="n"/>
      <c r="J183" s="32" t="n"/>
      <c r="K183" s="31" t="n"/>
      <c r="L183" s="30" t="n"/>
      <c r="M183" s="31" t="n"/>
      <c r="N183" s="31" t="n"/>
      <c r="O183" s="31" t="n"/>
      <c r="P183" s="30" t="n"/>
      <c r="Q183" s="31" t="n"/>
      <c r="R183" s="31" t="n"/>
      <c r="S183" s="31" t="n"/>
      <c r="T183" s="31" t="n"/>
      <c r="U183" s="30" t="n"/>
      <c r="V183" s="31" t="n"/>
      <c r="W183" s="31" t="n"/>
      <c r="X183" s="31" t="n"/>
      <c r="Y183" s="31" t="n"/>
      <c r="Z183" s="31" t="n"/>
      <c r="AA183" s="31" t="n"/>
      <c r="AB183" s="31" t="n"/>
      <c r="AC183" s="31" t="n"/>
      <c r="AD183" s="31" t="n"/>
      <c r="AE183" s="31" t="n"/>
      <c r="AF183" s="27">
        <f>IF(NOT(COUNTA(A183:AE183)&gt;0),"",IF(A183="","New client","Update"))</f>
        <v/>
      </c>
      <c r="AG183" s="27">
        <f>IF(AO183&lt;&gt;"",AO183,IF(LEN(AN183)=15,MID(AN183,3,10),""))</f>
        <v/>
      </c>
      <c r="AH183" s="27">
        <f>IF(AP183="","",AP183&amp;IF(D183="","  (guessed from PAN)",""))</f>
        <v/>
      </c>
      <c r="AI183" s="27">
        <f>IF(AN183="","",IFERROR(INDEX(Lists!$L$2:$L$38,MATCH(LEFT(AN183,2),Lists!$K$2:$K$38,0)),"Unknown code"))</f>
        <v/>
      </c>
      <c r="AJ183" s="27">
        <f>IF(AN183="","",IFERROR(IF(NOT(AND(LEN(AN183)=15,ISNUMBER(MATCH(LEFT(AN183,2),Lists!$K$2:$K$38,0)),SUMPRODUCT(--ISERROR(FIND(MID(MID(AN183,3,10),{1,2,3,4,5,10},1),"ABCDEFGHIJKLMNOPQRSTUVWXYZ")))=0,SUMPRODUCT(--ISERROR(FIND(MID(MID(AN183,3,10),{6,7,8,9},1),"0123456789")))=0,ISNUMBER(FIND(MID(AN183,13,1),"123456789ABCDEFGHIJKLMNOPQRSTUVWXYZ")),MID(AN183,14,1)="Z")),"Wrong format",IF(MID("0123456789ABCDEFGHIJKLMNOPQRSTUVWXYZ",MOD(36-MOD(SUMPRODUCT(INT((FIND(MID(AN183,{1,2,3,4,5,6,7,8,9,10,11,12,13,14},1),"0123456789ABCDEFGHIJKLMNOPQRSTUVWXYZ")-1)*{1,2,1,2,1,2,1,2,1,2,1,2,1,2}/36)+MOD((FIND(MID(AN183,{1,2,3,4,5,6,7,8,9,10,11,12,13,14},1),"0123456789ABCDEFGHIJKLMNOPQRSTUVWXYZ")-1)*{1,2,1,2,1,2,1,2,1,2,1,2,1,2},36)),36),36)+1,1)=MID(AN183,15,1),"OK","Typo? check digit wrong")),"Wrong format"))</f>
        <v/>
      </c>
      <c r="AK183" s="27">
        <f>IF(AO183="","",IF(AND(LEN(AO183)=10,SUMPRODUCT(--ISERROR(FIND(MID(AO183,{1,2,3,4,5,10},1),"ABCDEFGHIJKLMNOPQRSTUVWXYZ")))=0,SUMPRODUCT(--ISERROR(FIND(MID(AO183,{6,7,8,9},1),"0123456789")))=0),"OK","Wrong format"))</f>
        <v/>
      </c>
      <c r="AL183" s="27">
        <f>IF(TRIM(H183)="","",IF(AND(LEN(UPPER(TRIM(H183)))=10,SUMPRODUCT(--ISERROR(FIND(MID(UPPER(TRIM(H183)),{1,2,3,4,10},1),"ABCDEFGHIJKLMNOPQRSTUVWXYZ")))=0,SUMPRODUCT(--ISERROR(FIND(MID(UPPER(TRIM(H183)),{5,6,7,8,9},1),"0123456789")))=0),"OK","Wrong format"))</f>
        <v/>
      </c>
      <c r="AM183" s="28">
        <f>IF(NOT(COUNTA(A183:AE183)&gt;0),"",IF(AS183&lt;&gt;"","✖ "&amp;LEFT(AS183,LEN(AS183)-2),IF(AR183&gt;0,"✔ Ready — client + "&amp;AR183&amp;" service(s)","✔ Ready — client only")))</f>
        <v/>
      </c>
      <c r="AN183" s="29">
        <f>UPPER(SUBSTITUTE(TRIM(F183)," ",""))</f>
        <v/>
      </c>
      <c r="AO183" s="29">
        <f>UPPER(SUBSTITUTE(TRIM(E183)," ",""))</f>
        <v/>
      </c>
      <c r="AP183" s="29">
        <f>IF(D183&lt;&gt;"",D183,IFERROR(VLOOKUP(MID(AG183,4,1),Lists!$E$2:$F$8,2,FALSE),""))</f>
        <v/>
      </c>
      <c r="AQ183" s="29">
        <f>IFERROR(VLOOKUP(AP183,Lists!$A$2:$C$12,3,FALSE),"")</f>
        <v/>
      </c>
      <c r="AR183" s="29">
        <f>COUNTIF(W183:AC183,"Yes")</f>
        <v/>
      </c>
      <c r="AS183" s="29">
        <f>IF(TRIM(B183)="","Legal name missing; ","")&amp;IF(AND(AJ183&lt;&gt;"",AJ183&lt;&gt;"OK"),"GSTIN: "&amp;AJ183&amp;"; ","")&amp;IF(AND(AK183&lt;&gt;"",AK183&lt;&gt;"OK"),"PAN wrong format; ","")&amp;IF(AND(AO183&lt;&gt;"",LEN(AN183)=15,MID(AN183,3,10)&lt;&gt;AO183),"PAN does not match GSTIN; ","")&amp;IF(AND(AL183&lt;&gt;"",AL183&lt;&gt;"OK"),"TAN wrong format; ","")&amp;IF(AG183="","PAN missing; ","")&amp;IF(AP183="","Entity type missing; ","")&amp;IF(AND(AN183&lt;&gt;"",COUNTIF($AN$6:$AN$1005,AN183)&gt;1),"GSTIN repeated in this sheet; ","")&amp;IF(AND(AG183&lt;&gt;"",COUNTIF($AG$6:$AG$1005,AG183)&gt;1),"PAN repeated in this sheet (same client? put extra GSTINs in Other GSTINs); ","")&amp;IF(AND(AR183&gt;0,V183=""),"Financial year missing; ","")&amp;IF(AND(AR183=0,V183&lt;&gt;""),"Financial year given but no service is Yes; ","")&amp;IF(AND(W183="Yes",AN183=""),"GST needs a GSTIN; ","")&amp;IF(AND(W183="Yes",X183=""),"GST return frequency missing; ","")&amp;IF(AND(Y183="Yes",TRIM(H183)=""),"TDS needs a TAN; ","")&amp;IF(AND(AA183="Yes",AQ183&lt;&gt;"",AQ183&lt;&gt;"company",AQ183&lt;&gt;"llp"),"ROC is only for a company / LLP; ","")&amp;IF(AND(AA183="Yes",OR(AQ183="company",AQ183="llp"),TRIM(I183)=""),"ROC needs the CIN / LLPIN; ","")</f>
        <v/>
      </c>
    </row>
    <row r="184">
      <c r="A184" s="30" t="n"/>
      <c r="B184" s="31" t="n"/>
      <c r="C184" s="31" t="n"/>
      <c r="D184" s="31" t="n"/>
      <c r="E184" s="30" t="n"/>
      <c r="F184" s="30" t="n"/>
      <c r="G184" s="30" t="n"/>
      <c r="H184" s="30" t="n"/>
      <c r="I184" s="30" t="n"/>
      <c r="J184" s="32" t="n"/>
      <c r="K184" s="31" t="n"/>
      <c r="L184" s="30" t="n"/>
      <c r="M184" s="31" t="n"/>
      <c r="N184" s="31" t="n"/>
      <c r="O184" s="31" t="n"/>
      <c r="P184" s="30" t="n"/>
      <c r="Q184" s="31" t="n"/>
      <c r="R184" s="31" t="n"/>
      <c r="S184" s="31" t="n"/>
      <c r="T184" s="31" t="n"/>
      <c r="U184" s="30" t="n"/>
      <c r="V184" s="31" t="n"/>
      <c r="W184" s="31" t="n"/>
      <c r="X184" s="31" t="n"/>
      <c r="Y184" s="31" t="n"/>
      <c r="Z184" s="31" t="n"/>
      <c r="AA184" s="31" t="n"/>
      <c r="AB184" s="31" t="n"/>
      <c r="AC184" s="31" t="n"/>
      <c r="AD184" s="31" t="n"/>
      <c r="AE184" s="31" t="n"/>
      <c r="AF184" s="27">
        <f>IF(NOT(COUNTA(A184:AE184)&gt;0),"",IF(A184="","New client","Update"))</f>
        <v/>
      </c>
      <c r="AG184" s="27">
        <f>IF(AO184&lt;&gt;"",AO184,IF(LEN(AN184)=15,MID(AN184,3,10),""))</f>
        <v/>
      </c>
      <c r="AH184" s="27">
        <f>IF(AP184="","",AP184&amp;IF(D184="","  (guessed from PAN)",""))</f>
        <v/>
      </c>
      <c r="AI184" s="27">
        <f>IF(AN184="","",IFERROR(INDEX(Lists!$L$2:$L$38,MATCH(LEFT(AN184,2),Lists!$K$2:$K$38,0)),"Unknown code"))</f>
        <v/>
      </c>
      <c r="AJ184" s="27">
        <f>IF(AN184="","",IFERROR(IF(NOT(AND(LEN(AN184)=15,ISNUMBER(MATCH(LEFT(AN184,2),Lists!$K$2:$K$38,0)),SUMPRODUCT(--ISERROR(FIND(MID(MID(AN184,3,10),{1,2,3,4,5,10},1),"ABCDEFGHIJKLMNOPQRSTUVWXYZ")))=0,SUMPRODUCT(--ISERROR(FIND(MID(MID(AN184,3,10),{6,7,8,9},1),"0123456789")))=0,ISNUMBER(FIND(MID(AN184,13,1),"123456789ABCDEFGHIJKLMNOPQRSTUVWXYZ")),MID(AN184,14,1)="Z")),"Wrong format",IF(MID("0123456789ABCDEFGHIJKLMNOPQRSTUVWXYZ",MOD(36-MOD(SUMPRODUCT(INT((FIND(MID(AN184,{1,2,3,4,5,6,7,8,9,10,11,12,13,14},1),"0123456789ABCDEFGHIJKLMNOPQRSTUVWXYZ")-1)*{1,2,1,2,1,2,1,2,1,2,1,2,1,2}/36)+MOD((FIND(MID(AN184,{1,2,3,4,5,6,7,8,9,10,11,12,13,14},1),"0123456789ABCDEFGHIJKLMNOPQRSTUVWXYZ")-1)*{1,2,1,2,1,2,1,2,1,2,1,2,1,2},36)),36),36)+1,1)=MID(AN184,15,1),"OK","Typo? check digit wrong")),"Wrong format"))</f>
        <v/>
      </c>
      <c r="AK184" s="27">
        <f>IF(AO184="","",IF(AND(LEN(AO184)=10,SUMPRODUCT(--ISERROR(FIND(MID(AO184,{1,2,3,4,5,10},1),"ABCDEFGHIJKLMNOPQRSTUVWXYZ")))=0,SUMPRODUCT(--ISERROR(FIND(MID(AO184,{6,7,8,9},1),"0123456789")))=0),"OK","Wrong format"))</f>
        <v/>
      </c>
      <c r="AL184" s="27">
        <f>IF(TRIM(H184)="","",IF(AND(LEN(UPPER(TRIM(H184)))=10,SUMPRODUCT(--ISERROR(FIND(MID(UPPER(TRIM(H184)),{1,2,3,4,10},1),"ABCDEFGHIJKLMNOPQRSTUVWXYZ")))=0,SUMPRODUCT(--ISERROR(FIND(MID(UPPER(TRIM(H184)),{5,6,7,8,9},1),"0123456789")))=0),"OK","Wrong format"))</f>
        <v/>
      </c>
      <c r="AM184" s="28">
        <f>IF(NOT(COUNTA(A184:AE184)&gt;0),"",IF(AS184&lt;&gt;"","✖ "&amp;LEFT(AS184,LEN(AS184)-2),IF(AR184&gt;0,"✔ Ready — client + "&amp;AR184&amp;" service(s)","✔ Ready — client only")))</f>
        <v/>
      </c>
      <c r="AN184" s="29">
        <f>UPPER(SUBSTITUTE(TRIM(F184)," ",""))</f>
        <v/>
      </c>
      <c r="AO184" s="29">
        <f>UPPER(SUBSTITUTE(TRIM(E184)," ",""))</f>
        <v/>
      </c>
      <c r="AP184" s="29">
        <f>IF(D184&lt;&gt;"",D184,IFERROR(VLOOKUP(MID(AG184,4,1),Lists!$E$2:$F$8,2,FALSE),""))</f>
        <v/>
      </c>
      <c r="AQ184" s="29">
        <f>IFERROR(VLOOKUP(AP184,Lists!$A$2:$C$12,3,FALSE),"")</f>
        <v/>
      </c>
      <c r="AR184" s="29">
        <f>COUNTIF(W184:AC184,"Yes")</f>
        <v/>
      </c>
      <c r="AS184" s="29">
        <f>IF(TRIM(B184)="","Legal name missing; ","")&amp;IF(AND(AJ184&lt;&gt;"",AJ184&lt;&gt;"OK"),"GSTIN: "&amp;AJ184&amp;"; ","")&amp;IF(AND(AK184&lt;&gt;"",AK184&lt;&gt;"OK"),"PAN wrong format; ","")&amp;IF(AND(AO184&lt;&gt;"",LEN(AN184)=15,MID(AN184,3,10)&lt;&gt;AO184),"PAN does not match GSTIN; ","")&amp;IF(AND(AL184&lt;&gt;"",AL184&lt;&gt;"OK"),"TAN wrong format; ","")&amp;IF(AG184="","PAN missing; ","")&amp;IF(AP184="","Entity type missing; ","")&amp;IF(AND(AN184&lt;&gt;"",COUNTIF($AN$6:$AN$1005,AN184)&gt;1),"GSTIN repeated in this sheet; ","")&amp;IF(AND(AG184&lt;&gt;"",COUNTIF($AG$6:$AG$1005,AG184)&gt;1),"PAN repeated in this sheet (same client? put extra GSTINs in Other GSTINs); ","")&amp;IF(AND(AR184&gt;0,V184=""),"Financial year missing; ","")&amp;IF(AND(AR184=0,V184&lt;&gt;""),"Financial year given but no service is Yes; ","")&amp;IF(AND(W184="Yes",AN184=""),"GST needs a GSTIN; ","")&amp;IF(AND(W184="Yes",X184=""),"GST return frequency missing; ","")&amp;IF(AND(Y184="Yes",TRIM(H184)=""),"TDS needs a TAN; ","")&amp;IF(AND(AA184="Yes",AQ184&lt;&gt;"",AQ184&lt;&gt;"company",AQ184&lt;&gt;"llp"),"ROC is only for a company / LLP; ","")&amp;IF(AND(AA184="Yes",OR(AQ184="company",AQ184="llp"),TRIM(I184)=""),"ROC needs the CIN / LLPIN; ","")</f>
        <v/>
      </c>
    </row>
    <row r="185">
      <c r="A185" s="30" t="n"/>
      <c r="B185" s="31" t="n"/>
      <c r="C185" s="31" t="n"/>
      <c r="D185" s="31" t="n"/>
      <c r="E185" s="30" t="n"/>
      <c r="F185" s="30" t="n"/>
      <c r="G185" s="30" t="n"/>
      <c r="H185" s="30" t="n"/>
      <c r="I185" s="30" t="n"/>
      <c r="J185" s="32" t="n"/>
      <c r="K185" s="31" t="n"/>
      <c r="L185" s="30" t="n"/>
      <c r="M185" s="31" t="n"/>
      <c r="N185" s="31" t="n"/>
      <c r="O185" s="31" t="n"/>
      <c r="P185" s="30" t="n"/>
      <c r="Q185" s="31" t="n"/>
      <c r="R185" s="31" t="n"/>
      <c r="S185" s="31" t="n"/>
      <c r="T185" s="31" t="n"/>
      <c r="U185" s="30" t="n"/>
      <c r="V185" s="31" t="n"/>
      <c r="W185" s="31" t="n"/>
      <c r="X185" s="31" t="n"/>
      <c r="Y185" s="31" t="n"/>
      <c r="Z185" s="31" t="n"/>
      <c r="AA185" s="31" t="n"/>
      <c r="AB185" s="31" t="n"/>
      <c r="AC185" s="31" t="n"/>
      <c r="AD185" s="31" t="n"/>
      <c r="AE185" s="31" t="n"/>
      <c r="AF185" s="27">
        <f>IF(NOT(COUNTA(A185:AE185)&gt;0),"",IF(A185="","New client","Update"))</f>
        <v/>
      </c>
      <c r="AG185" s="27">
        <f>IF(AO185&lt;&gt;"",AO185,IF(LEN(AN185)=15,MID(AN185,3,10),""))</f>
        <v/>
      </c>
      <c r="AH185" s="27">
        <f>IF(AP185="","",AP185&amp;IF(D185="","  (guessed from PAN)",""))</f>
        <v/>
      </c>
      <c r="AI185" s="27">
        <f>IF(AN185="","",IFERROR(INDEX(Lists!$L$2:$L$38,MATCH(LEFT(AN185,2),Lists!$K$2:$K$38,0)),"Unknown code"))</f>
        <v/>
      </c>
      <c r="AJ185" s="27">
        <f>IF(AN185="","",IFERROR(IF(NOT(AND(LEN(AN185)=15,ISNUMBER(MATCH(LEFT(AN185,2),Lists!$K$2:$K$38,0)),SUMPRODUCT(--ISERROR(FIND(MID(MID(AN185,3,10),{1,2,3,4,5,10},1),"ABCDEFGHIJKLMNOPQRSTUVWXYZ")))=0,SUMPRODUCT(--ISERROR(FIND(MID(MID(AN185,3,10),{6,7,8,9},1),"0123456789")))=0,ISNUMBER(FIND(MID(AN185,13,1),"123456789ABCDEFGHIJKLMNOPQRSTUVWXYZ")),MID(AN185,14,1)="Z")),"Wrong format",IF(MID("0123456789ABCDEFGHIJKLMNOPQRSTUVWXYZ",MOD(36-MOD(SUMPRODUCT(INT((FIND(MID(AN185,{1,2,3,4,5,6,7,8,9,10,11,12,13,14},1),"0123456789ABCDEFGHIJKLMNOPQRSTUVWXYZ")-1)*{1,2,1,2,1,2,1,2,1,2,1,2,1,2}/36)+MOD((FIND(MID(AN185,{1,2,3,4,5,6,7,8,9,10,11,12,13,14},1),"0123456789ABCDEFGHIJKLMNOPQRSTUVWXYZ")-1)*{1,2,1,2,1,2,1,2,1,2,1,2,1,2},36)),36),36)+1,1)=MID(AN185,15,1),"OK","Typo? check digit wrong")),"Wrong format"))</f>
        <v/>
      </c>
      <c r="AK185" s="27">
        <f>IF(AO185="","",IF(AND(LEN(AO185)=10,SUMPRODUCT(--ISERROR(FIND(MID(AO185,{1,2,3,4,5,10},1),"ABCDEFGHIJKLMNOPQRSTUVWXYZ")))=0,SUMPRODUCT(--ISERROR(FIND(MID(AO185,{6,7,8,9},1),"0123456789")))=0),"OK","Wrong format"))</f>
        <v/>
      </c>
      <c r="AL185" s="27">
        <f>IF(TRIM(H185)="","",IF(AND(LEN(UPPER(TRIM(H185)))=10,SUMPRODUCT(--ISERROR(FIND(MID(UPPER(TRIM(H185)),{1,2,3,4,10},1),"ABCDEFGHIJKLMNOPQRSTUVWXYZ")))=0,SUMPRODUCT(--ISERROR(FIND(MID(UPPER(TRIM(H185)),{5,6,7,8,9},1),"0123456789")))=0),"OK","Wrong format"))</f>
        <v/>
      </c>
      <c r="AM185" s="28">
        <f>IF(NOT(COUNTA(A185:AE185)&gt;0),"",IF(AS185&lt;&gt;"","✖ "&amp;LEFT(AS185,LEN(AS185)-2),IF(AR185&gt;0,"✔ Ready — client + "&amp;AR185&amp;" service(s)","✔ Ready — client only")))</f>
        <v/>
      </c>
      <c r="AN185" s="29">
        <f>UPPER(SUBSTITUTE(TRIM(F185)," ",""))</f>
        <v/>
      </c>
      <c r="AO185" s="29">
        <f>UPPER(SUBSTITUTE(TRIM(E185)," ",""))</f>
        <v/>
      </c>
      <c r="AP185" s="29">
        <f>IF(D185&lt;&gt;"",D185,IFERROR(VLOOKUP(MID(AG185,4,1),Lists!$E$2:$F$8,2,FALSE),""))</f>
        <v/>
      </c>
      <c r="AQ185" s="29">
        <f>IFERROR(VLOOKUP(AP185,Lists!$A$2:$C$12,3,FALSE),"")</f>
        <v/>
      </c>
      <c r="AR185" s="29">
        <f>COUNTIF(W185:AC185,"Yes")</f>
        <v/>
      </c>
      <c r="AS185" s="29">
        <f>IF(TRIM(B185)="","Legal name missing; ","")&amp;IF(AND(AJ185&lt;&gt;"",AJ185&lt;&gt;"OK"),"GSTIN: "&amp;AJ185&amp;"; ","")&amp;IF(AND(AK185&lt;&gt;"",AK185&lt;&gt;"OK"),"PAN wrong format; ","")&amp;IF(AND(AO185&lt;&gt;"",LEN(AN185)=15,MID(AN185,3,10)&lt;&gt;AO185),"PAN does not match GSTIN; ","")&amp;IF(AND(AL185&lt;&gt;"",AL185&lt;&gt;"OK"),"TAN wrong format; ","")&amp;IF(AG185="","PAN missing; ","")&amp;IF(AP185="","Entity type missing; ","")&amp;IF(AND(AN185&lt;&gt;"",COUNTIF($AN$6:$AN$1005,AN185)&gt;1),"GSTIN repeated in this sheet; ","")&amp;IF(AND(AG185&lt;&gt;"",COUNTIF($AG$6:$AG$1005,AG185)&gt;1),"PAN repeated in this sheet (same client? put extra GSTINs in Other GSTINs); ","")&amp;IF(AND(AR185&gt;0,V185=""),"Financial year missing; ","")&amp;IF(AND(AR185=0,V185&lt;&gt;""),"Financial year given but no service is Yes; ","")&amp;IF(AND(W185="Yes",AN185=""),"GST needs a GSTIN; ","")&amp;IF(AND(W185="Yes",X185=""),"GST return frequency missing; ","")&amp;IF(AND(Y185="Yes",TRIM(H185)=""),"TDS needs a TAN; ","")&amp;IF(AND(AA185="Yes",AQ185&lt;&gt;"",AQ185&lt;&gt;"company",AQ185&lt;&gt;"llp"),"ROC is only for a company / LLP; ","")&amp;IF(AND(AA185="Yes",OR(AQ185="company",AQ185="llp"),TRIM(I185)=""),"ROC needs the CIN / LLPIN; ","")</f>
        <v/>
      </c>
    </row>
    <row r="186">
      <c r="A186" s="30" t="n"/>
      <c r="B186" s="31" t="n"/>
      <c r="C186" s="31" t="n"/>
      <c r="D186" s="31" t="n"/>
      <c r="E186" s="30" t="n"/>
      <c r="F186" s="30" t="n"/>
      <c r="G186" s="30" t="n"/>
      <c r="H186" s="30" t="n"/>
      <c r="I186" s="30" t="n"/>
      <c r="J186" s="32" t="n"/>
      <c r="K186" s="31" t="n"/>
      <c r="L186" s="30" t="n"/>
      <c r="M186" s="31" t="n"/>
      <c r="N186" s="31" t="n"/>
      <c r="O186" s="31" t="n"/>
      <c r="P186" s="30" t="n"/>
      <c r="Q186" s="31" t="n"/>
      <c r="R186" s="31" t="n"/>
      <c r="S186" s="31" t="n"/>
      <c r="T186" s="31" t="n"/>
      <c r="U186" s="30" t="n"/>
      <c r="V186" s="31" t="n"/>
      <c r="W186" s="31" t="n"/>
      <c r="X186" s="31" t="n"/>
      <c r="Y186" s="31" t="n"/>
      <c r="Z186" s="31" t="n"/>
      <c r="AA186" s="31" t="n"/>
      <c r="AB186" s="31" t="n"/>
      <c r="AC186" s="31" t="n"/>
      <c r="AD186" s="31" t="n"/>
      <c r="AE186" s="31" t="n"/>
      <c r="AF186" s="27">
        <f>IF(NOT(COUNTA(A186:AE186)&gt;0),"",IF(A186="","New client","Update"))</f>
        <v/>
      </c>
      <c r="AG186" s="27">
        <f>IF(AO186&lt;&gt;"",AO186,IF(LEN(AN186)=15,MID(AN186,3,10),""))</f>
        <v/>
      </c>
      <c r="AH186" s="27">
        <f>IF(AP186="","",AP186&amp;IF(D186="","  (guessed from PAN)",""))</f>
        <v/>
      </c>
      <c r="AI186" s="27">
        <f>IF(AN186="","",IFERROR(INDEX(Lists!$L$2:$L$38,MATCH(LEFT(AN186,2),Lists!$K$2:$K$38,0)),"Unknown code"))</f>
        <v/>
      </c>
      <c r="AJ186" s="27">
        <f>IF(AN186="","",IFERROR(IF(NOT(AND(LEN(AN186)=15,ISNUMBER(MATCH(LEFT(AN186,2),Lists!$K$2:$K$38,0)),SUMPRODUCT(--ISERROR(FIND(MID(MID(AN186,3,10),{1,2,3,4,5,10},1),"ABCDEFGHIJKLMNOPQRSTUVWXYZ")))=0,SUMPRODUCT(--ISERROR(FIND(MID(MID(AN186,3,10),{6,7,8,9},1),"0123456789")))=0,ISNUMBER(FIND(MID(AN186,13,1),"123456789ABCDEFGHIJKLMNOPQRSTUVWXYZ")),MID(AN186,14,1)="Z")),"Wrong format",IF(MID("0123456789ABCDEFGHIJKLMNOPQRSTUVWXYZ",MOD(36-MOD(SUMPRODUCT(INT((FIND(MID(AN186,{1,2,3,4,5,6,7,8,9,10,11,12,13,14},1),"0123456789ABCDEFGHIJKLMNOPQRSTUVWXYZ")-1)*{1,2,1,2,1,2,1,2,1,2,1,2,1,2}/36)+MOD((FIND(MID(AN186,{1,2,3,4,5,6,7,8,9,10,11,12,13,14},1),"0123456789ABCDEFGHIJKLMNOPQRSTUVWXYZ")-1)*{1,2,1,2,1,2,1,2,1,2,1,2,1,2},36)),36),36)+1,1)=MID(AN186,15,1),"OK","Typo? check digit wrong")),"Wrong format"))</f>
        <v/>
      </c>
      <c r="AK186" s="27">
        <f>IF(AO186="","",IF(AND(LEN(AO186)=10,SUMPRODUCT(--ISERROR(FIND(MID(AO186,{1,2,3,4,5,10},1),"ABCDEFGHIJKLMNOPQRSTUVWXYZ")))=0,SUMPRODUCT(--ISERROR(FIND(MID(AO186,{6,7,8,9},1),"0123456789")))=0),"OK","Wrong format"))</f>
        <v/>
      </c>
      <c r="AL186" s="27">
        <f>IF(TRIM(H186)="","",IF(AND(LEN(UPPER(TRIM(H186)))=10,SUMPRODUCT(--ISERROR(FIND(MID(UPPER(TRIM(H186)),{1,2,3,4,10},1),"ABCDEFGHIJKLMNOPQRSTUVWXYZ")))=0,SUMPRODUCT(--ISERROR(FIND(MID(UPPER(TRIM(H186)),{5,6,7,8,9},1),"0123456789")))=0),"OK","Wrong format"))</f>
        <v/>
      </c>
      <c r="AM186" s="28">
        <f>IF(NOT(COUNTA(A186:AE186)&gt;0),"",IF(AS186&lt;&gt;"","✖ "&amp;LEFT(AS186,LEN(AS186)-2),IF(AR186&gt;0,"✔ Ready — client + "&amp;AR186&amp;" service(s)","✔ Ready — client only")))</f>
        <v/>
      </c>
      <c r="AN186" s="29">
        <f>UPPER(SUBSTITUTE(TRIM(F186)," ",""))</f>
        <v/>
      </c>
      <c r="AO186" s="29">
        <f>UPPER(SUBSTITUTE(TRIM(E186)," ",""))</f>
        <v/>
      </c>
      <c r="AP186" s="29">
        <f>IF(D186&lt;&gt;"",D186,IFERROR(VLOOKUP(MID(AG186,4,1),Lists!$E$2:$F$8,2,FALSE),""))</f>
        <v/>
      </c>
      <c r="AQ186" s="29">
        <f>IFERROR(VLOOKUP(AP186,Lists!$A$2:$C$12,3,FALSE),"")</f>
        <v/>
      </c>
      <c r="AR186" s="29">
        <f>COUNTIF(W186:AC186,"Yes")</f>
        <v/>
      </c>
      <c r="AS186" s="29">
        <f>IF(TRIM(B186)="","Legal name missing; ","")&amp;IF(AND(AJ186&lt;&gt;"",AJ186&lt;&gt;"OK"),"GSTIN: "&amp;AJ186&amp;"; ","")&amp;IF(AND(AK186&lt;&gt;"",AK186&lt;&gt;"OK"),"PAN wrong format; ","")&amp;IF(AND(AO186&lt;&gt;"",LEN(AN186)=15,MID(AN186,3,10)&lt;&gt;AO186),"PAN does not match GSTIN; ","")&amp;IF(AND(AL186&lt;&gt;"",AL186&lt;&gt;"OK"),"TAN wrong format; ","")&amp;IF(AG186="","PAN missing; ","")&amp;IF(AP186="","Entity type missing; ","")&amp;IF(AND(AN186&lt;&gt;"",COUNTIF($AN$6:$AN$1005,AN186)&gt;1),"GSTIN repeated in this sheet; ","")&amp;IF(AND(AG186&lt;&gt;"",COUNTIF($AG$6:$AG$1005,AG186)&gt;1),"PAN repeated in this sheet (same client? put extra GSTINs in Other GSTINs); ","")&amp;IF(AND(AR186&gt;0,V186=""),"Financial year missing; ","")&amp;IF(AND(AR186=0,V186&lt;&gt;""),"Financial year given but no service is Yes; ","")&amp;IF(AND(W186="Yes",AN186=""),"GST needs a GSTIN; ","")&amp;IF(AND(W186="Yes",X186=""),"GST return frequency missing; ","")&amp;IF(AND(Y186="Yes",TRIM(H186)=""),"TDS needs a TAN; ","")&amp;IF(AND(AA186="Yes",AQ186&lt;&gt;"",AQ186&lt;&gt;"company",AQ186&lt;&gt;"llp"),"ROC is only for a company / LLP; ","")&amp;IF(AND(AA186="Yes",OR(AQ186="company",AQ186="llp"),TRIM(I186)=""),"ROC needs the CIN / LLPIN; ","")</f>
        <v/>
      </c>
    </row>
    <row r="187">
      <c r="A187" s="30" t="n"/>
      <c r="B187" s="31" t="n"/>
      <c r="C187" s="31" t="n"/>
      <c r="D187" s="31" t="n"/>
      <c r="E187" s="30" t="n"/>
      <c r="F187" s="30" t="n"/>
      <c r="G187" s="30" t="n"/>
      <c r="H187" s="30" t="n"/>
      <c r="I187" s="30" t="n"/>
      <c r="J187" s="32" t="n"/>
      <c r="K187" s="31" t="n"/>
      <c r="L187" s="30" t="n"/>
      <c r="M187" s="31" t="n"/>
      <c r="N187" s="31" t="n"/>
      <c r="O187" s="31" t="n"/>
      <c r="P187" s="30" t="n"/>
      <c r="Q187" s="31" t="n"/>
      <c r="R187" s="31" t="n"/>
      <c r="S187" s="31" t="n"/>
      <c r="T187" s="31" t="n"/>
      <c r="U187" s="30" t="n"/>
      <c r="V187" s="31" t="n"/>
      <c r="W187" s="31" t="n"/>
      <c r="X187" s="31" t="n"/>
      <c r="Y187" s="31" t="n"/>
      <c r="Z187" s="31" t="n"/>
      <c r="AA187" s="31" t="n"/>
      <c r="AB187" s="31" t="n"/>
      <c r="AC187" s="31" t="n"/>
      <c r="AD187" s="31" t="n"/>
      <c r="AE187" s="31" t="n"/>
      <c r="AF187" s="27">
        <f>IF(NOT(COUNTA(A187:AE187)&gt;0),"",IF(A187="","New client","Update"))</f>
        <v/>
      </c>
      <c r="AG187" s="27">
        <f>IF(AO187&lt;&gt;"",AO187,IF(LEN(AN187)=15,MID(AN187,3,10),""))</f>
        <v/>
      </c>
      <c r="AH187" s="27">
        <f>IF(AP187="","",AP187&amp;IF(D187="","  (guessed from PAN)",""))</f>
        <v/>
      </c>
      <c r="AI187" s="27">
        <f>IF(AN187="","",IFERROR(INDEX(Lists!$L$2:$L$38,MATCH(LEFT(AN187,2),Lists!$K$2:$K$38,0)),"Unknown code"))</f>
        <v/>
      </c>
      <c r="AJ187" s="27">
        <f>IF(AN187="","",IFERROR(IF(NOT(AND(LEN(AN187)=15,ISNUMBER(MATCH(LEFT(AN187,2),Lists!$K$2:$K$38,0)),SUMPRODUCT(--ISERROR(FIND(MID(MID(AN187,3,10),{1,2,3,4,5,10},1),"ABCDEFGHIJKLMNOPQRSTUVWXYZ")))=0,SUMPRODUCT(--ISERROR(FIND(MID(MID(AN187,3,10),{6,7,8,9},1),"0123456789")))=0,ISNUMBER(FIND(MID(AN187,13,1),"123456789ABCDEFGHIJKLMNOPQRSTUVWXYZ")),MID(AN187,14,1)="Z")),"Wrong format",IF(MID("0123456789ABCDEFGHIJKLMNOPQRSTUVWXYZ",MOD(36-MOD(SUMPRODUCT(INT((FIND(MID(AN187,{1,2,3,4,5,6,7,8,9,10,11,12,13,14},1),"0123456789ABCDEFGHIJKLMNOPQRSTUVWXYZ")-1)*{1,2,1,2,1,2,1,2,1,2,1,2,1,2}/36)+MOD((FIND(MID(AN187,{1,2,3,4,5,6,7,8,9,10,11,12,13,14},1),"0123456789ABCDEFGHIJKLMNOPQRSTUVWXYZ")-1)*{1,2,1,2,1,2,1,2,1,2,1,2,1,2},36)),36),36)+1,1)=MID(AN187,15,1),"OK","Typo? check digit wrong")),"Wrong format"))</f>
        <v/>
      </c>
      <c r="AK187" s="27">
        <f>IF(AO187="","",IF(AND(LEN(AO187)=10,SUMPRODUCT(--ISERROR(FIND(MID(AO187,{1,2,3,4,5,10},1),"ABCDEFGHIJKLMNOPQRSTUVWXYZ")))=0,SUMPRODUCT(--ISERROR(FIND(MID(AO187,{6,7,8,9},1),"0123456789")))=0),"OK","Wrong format"))</f>
        <v/>
      </c>
      <c r="AL187" s="27">
        <f>IF(TRIM(H187)="","",IF(AND(LEN(UPPER(TRIM(H187)))=10,SUMPRODUCT(--ISERROR(FIND(MID(UPPER(TRIM(H187)),{1,2,3,4,10},1),"ABCDEFGHIJKLMNOPQRSTUVWXYZ")))=0,SUMPRODUCT(--ISERROR(FIND(MID(UPPER(TRIM(H187)),{5,6,7,8,9},1),"0123456789")))=0),"OK","Wrong format"))</f>
        <v/>
      </c>
      <c r="AM187" s="28">
        <f>IF(NOT(COUNTA(A187:AE187)&gt;0),"",IF(AS187&lt;&gt;"","✖ "&amp;LEFT(AS187,LEN(AS187)-2),IF(AR187&gt;0,"✔ Ready — client + "&amp;AR187&amp;" service(s)","✔ Ready — client only")))</f>
        <v/>
      </c>
      <c r="AN187" s="29">
        <f>UPPER(SUBSTITUTE(TRIM(F187)," ",""))</f>
        <v/>
      </c>
      <c r="AO187" s="29">
        <f>UPPER(SUBSTITUTE(TRIM(E187)," ",""))</f>
        <v/>
      </c>
      <c r="AP187" s="29">
        <f>IF(D187&lt;&gt;"",D187,IFERROR(VLOOKUP(MID(AG187,4,1),Lists!$E$2:$F$8,2,FALSE),""))</f>
        <v/>
      </c>
      <c r="AQ187" s="29">
        <f>IFERROR(VLOOKUP(AP187,Lists!$A$2:$C$12,3,FALSE),"")</f>
        <v/>
      </c>
      <c r="AR187" s="29">
        <f>COUNTIF(W187:AC187,"Yes")</f>
        <v/>
      </c>
      <c r="AS187" s="29">
        <f>IF(TRIM(B187)="","Legal name missing; ","")&amp;IF(AND(AJ187&lt;&gt;"",AJ187&lt;&gt;"OK"),"GSTIN: "&amp;AJ187&amp;"; ","")&amp;IF(AND(AK187&lt;&gt;"",AK187&lt;&gt;"OK"),"PAN wrong format; ","")&amp;IF(AND(AO187&lt;&gt;"",LEN(AN187)=15,MID(AN187,3,10)&lt;&gt;AO187),"PAN does not match GSTIN; ","")&amp;IF(AND(AL187&lt;&gt;"",AL187&lt;&gt;"OK"),"TAN wrong format; ","")&amp;IF(AG187="","PAN missing; ","")&amp;IF(AP187="","Entity type missing; ","")&amp;IF(AND(AN187&lt;&gt;"",COUNTIF($AN$6:$AN$1005,AN187)&gt;1),"GSTIN repeated in this sheet; ","")&amp;IF(AND(AG187&lt;&gt;"",COUNTIF($AG$6:$AG$1005,AG187)&gt;1),"PAN repeated in this sheet (same client? put extra GSTINs in Other GSTINs); ","")&amp;IF(AND(AR187&gt;0,V187=""),"Financial year missing; ","")&amp;IF(AND(AR187=0,V187&lt;&gt;""),"Financial year given but no service is Yes; ","")&amp;IF(AND(W187="Yes",AN187=""),"GST needs a GSTIN; ","")&amp;IF(AND(W187="Yes",X187=""),"GST return frequency missing; ","")&amp;IF(AND(Y187="Yes",TRIM(H187)=""),"TDS needs a TAN; ","")&amp;IF(AND(AA187="Yes",AQ187&lt;&gt;"",AQ187&lt;&gt;"company",AQ187&lt;&gt;"llp"),"ROC is only for a company / LLP; ","")&amp;IF(AND(AA187="Yes",OR(AQ187="company",AQ187="llp"),TRIM(I187)=""),"ROC needs the CIN / LLPIN; ","")</f>
        <v/>
      </c>
    </row>
    <row r="188">
      <c r="A188" s="30" t="n"/>
      <c r="B188" s="31" t="n"/>
      <c r="C188" s="31" t="n"/>
      <c r="D188" s="31" t="n"/>
      <c r="E188" s="30" t="n"/>
      <c r="F188" s="30" t="n"/>
      <c r="G188" s="30" t="n"/>
      <c r="H188" s="30" t="n"/>
      <c r="I188" s="30" t="n"/>
      <c r="J188" s="32" t="n"/>
      <c r="K188" s="31" t="n"/>
      <c r="L188" s="30" t="n"/>
      <c r="M188" s="31" t="n"/>
      <c r="N188" s="31" t="n"/>
      <c r="O188" s="31" t="n"/>
      <c r="P188" s="30" t="n"/>
      <c r="Q188" s="31" t="n"/>
      <c r="R188" s="31" t="n"/>
      <c r="S188" s="31" t="n"/>
      <c r="T188" s="31" t="n"/>
      <c r="U188" s="30" t="n"/>
      <c r="V188" s="31" t="n"/>
      <c r="W188" s="31" t="n"/>
      <c r="X188" s="31" t="n"/>
      <c r="Y188" s="31" t="n"/>
      <c r="Z188" s="31" t="n"/>
      <c r="AA188" s="31" t="n"/>
      <c r="AB188" s="31" t="n"/>
      <c r="AC188" s="31" t="n"/>
      <c r="AD188" s="31" t="n"/>
      <c r="AE188" s="31" t="n"/>
      <c r="AF188" s="27">
        <f>IF(NOT(COUNTA(A188:AE188)&gt;0),"",IF(A188="","New client","Update"))</f>
        <v/>
      </c>
      <c r="AG188" s="27">
        <f>IF(AO188&lt;&gt;"",AO188,IF(LEN(AN188)=15,MID(AN188,3,10),""))</f>
        <v/>
      </c>
      <c r="AH188" s="27">
        <f>IF(AP188="","",AP188&amp;IF(D188="","  (guessed from PAN)",""))</f>
        <v/>
      </c>
      <c r="AI188" s="27">
        <f>IF(AN188="","",IFERROR(INDEX(Lists!$L$2:$L$38,MATCH(LEFT(AN188,2),Lists!$K$2:$K$38,0)),"Unknown code"))</f>
        <v/>
      </c>
      <c r="AJ188" s="27">
        <f>IF(AN188="","",IFERROR(IF(NOT(AND(LEN(AN188)=15,ISNUMBER(MATCH(LEFT(AN188,2),Lists!$K$2:$K$38,0)),SUMPRODUCT(--ISERROR(FIND(MID(MID(AN188,3,10),{1,2,3,4,5,10},1),"ABCDEFGHIJKLMNOPQRSTUVWXYZ")))=0,SUMPRODUCT(--ISERROR(FIND(MID(MID(AN188,3,10),{6,7,8,9},1),"0123456789")))=0,ISNUMBER(FIND(MID(AN188,13,1),"123456789ABCDEFGHIJKLMNOPQRSTUVWXYZ")),MID(AN188,14,1)="Z")),"Wrong format",IF(MID("0123456789ABCDEFGHIJKLMNOPQRSTUVWXYZ",MOD(36-MOD(SUMPRODUCT(INT((FIND(MID(AN188,{1,2,3,4,5,6,7,8,9,10,11,12,13,14},1),"0123456789ABCDEFGHIJKLMNOPQRSTUVWXYZ")-1)*{1,2,1,2,1,2,1,2,1,2,1,2,1,2}/36)+MOD((FIND(MID(AN188,{1,2,3,4,5,6,7,8,9,10,11,12,13,14},1),"0123456789ABCDEFGHIJKLMNOPQRSTUVWXYZ")-1)*{1,2,1,2,1,2,1,2,1,2,1,2,1,2},36)),36),36)+1,1)=MID(AN188,15,1),"OK","Typo? check digit wrong")),"Wrong format"))</f>
        <v/>
      </c>
      <c r="AK188" s="27">
        <f>IF(AO188="","",IF(AND(LEN(AO188)=10,SUMPRODUCT(--ISERROR(FIND(MID(AO188,{1,2,3,4,5,10},1),"ABCDEFGHIJKLMNOPQRSTUVWXYZ")))=0,SUMPRODUCT(--ISERROR(FIND(MID(AO188,{6,7,8,9},1),"0123456789")))=0),"OK","Wrong format"))</f>
        <v/>
      </c>
      <c r="AL188" s="27">
        <f>IF(TRIM(H188)="","",IF(AND(LEN(UPPER(TRIM(H188)))=10,SUMPRODUCT(--ISERROR(FIND(MID(UPPER(TRIM(H188)),{1,2,3,4,10},1),"ABCDEFGHIJKLMNOPQRSTUVWXYZ")))=0,SUMPRODUCT(--ISERROR(FIND(MID(UPPER(TRIM(H188)),{5,6,7,8,9},1),"0123456789")))=0),"OK","Wrong format"))</f>
        <v/>
      </c>
      <c r="AM188" s="28">
        <f>IF(NOT(COUNTA(A188:AE188)&gt;0),"",IF(AS188&lt;&gt;"","✖ "&amp;LEFT(AS188,LEN(AS188)-2),IF(AR188&gt;0,"✔ Ready — client + "&amp;AR188&amp;" service(s)","✔ Ready — client only")))</f>
        <v/>
      </c>
      <c r="AN188" s="29">
        <f>UPPER(SUBSTITUTE(TRIM(F188)," ",""))</f>
        <v/>
      </c>
      <c r="AO188" s="29">
        <f>UPPER(SUBSTITUTE(TRIM(E188)," ",""))</f>
        <v/>
      </c>
      <c r="AP188" s="29">
        <f>IF(D188&lt;&gt;"",D188,IFERROR(VLOOKUP(MID(AG188,4,1),Lists!$E$2:$F$8,2,FALSE),""))</f>
        <v/>
      </c>
      <c r="AQ188" s="29">
        <f>IFERROR(VLOOKUP(AP188,Lists!$A$2:$C$12,3,FALSE),"")</f>
        <v/>
      </c>
      <c r="AR188" s="29">
        <f>COUNTIF(W188:AC188,"Yes")</f>
        <v/>
      </c>
      <c r="AS188" s="29">
        <f>IF(TRIM(B188)="","Legal name missing; ","")&amp;IF(AND(AJ188&lt;&gt;"",AJ188&lt;&gt;"OK"),"GSTIN: "&amp;AJ188&amp;"; ","")&amp;IF(AND(AK188&lt;&gt;"",AK188&lt;&gt;"OK"),"PAN wrong format; ","")&amp;IF(AND(AO188&lt;&gt;"",LEN(AN188)=15,MID(AN188,3,10)&lt;&gt;AO188),"PAN does not match GSTIN; ","")&amp;IF(AND(AL188&lt;&gt;"",AL188&lt;&gt;"OK"),"TAN wrong format; ","")&amp;IF(AG188="","PAN missing; ","")&amp;IF(AP188="","Entity type missing; ","")&amp;IF(AND(AN188&lt;&gt;"",COUNTIF($AN$6:$AN$1005,AN188)&gt;1),"GSTIN repeated in this sheet; ","")&amp;IF(AND(AG188&lt;&gt;"",COUNTIF($AG$6:$AG$1005,AG188)&gt;1),"PAN repeated in this sheet (same client? put extra GSTINs in Other GSTINs); ","")&amp;IF(AND(AR188&gt;0,V188=""),"Financial year missing; ","")&amp;IF(AND(AR188=0,V188&lt;&gt;""),"Financial year given but no service is Yes; ","")&amp;IF(AND(W188="Yes",AN188=""),"GST needs a GSTIN; ","")&amp;IF(AND(W188="Yes",X188=""),"GST return frequency missing; ","")&amp;IF(AND(Y188="Yes",TRIM(H188)=""),"TDS needs a TAN; ","")&amp;IF(AND(AA188="Yes",AQ188&lt;&gt;"",AQ188&lt;&gt;"company",AQ188&lt;&gt;"llp"),"ROC is only for a company / LLP; ","")&amp;IF(AND(AA188="Yes",OR(AQ188="company",AQ188="llp"),TRIM(I188)=""),"ROC needs the CIN / LLPIN; ","")</f>
        <v/>
      </c>
    </row>
    <row r="189">
      <c r="A189" s="30" t="n"/>
      <c r="B189" s="31" t="n"/>
      <c r="C189" s="31" t="n"/>
      <c r="D189" s="31" t="n"/>
      <c r="E189" s="30" t="n"/>
      <c r="F189" s="30" t="n"/>
      <c r="G189" s="30" t="n"/>
      <c r="H189" s="30" t="n"/>
      <c r="I189" s="30" t="n"/>
      <c r="J189" s="32" t="n"/>
      <c r="K189" s="31" t="n"/>
      <c r="L189" s="30" t="n"/>
      <c r="M189" s="31" t="n"/>
      <c r="N189" s="31" t="n"/>
      <c r="O189" s="31" t="n"/>
      <c r="P189" s="30" t="n"/>
      <c r="Q189" s="31" t="n"/>
      <c r="R189" s="31" t="n"/>
      <c r="S189" s="31" t="n"/>
      <c r="T189" s="31" t="n"/>
      <c r="U189" s="30" t="n"/>
      <c r="V189" s="31" t="n"/>
      <c r="W189" s="31" t="n"/>
      <c r="X189" s="31" t="n"/>
      <c r="Y189" s="31" t="n"/>
      <c r="Z189" s="31" t="n"/>
      <c r="AA189" s="31" t="n"/>
      <c r="AB189" s="31" t="n"/>
      <c r="AC189" s="31" t="n"/>
      <c r="AD189" s="31" t="n"/>
      <c r="AE189" s="31" t="n"/>
      <c r="AF189" s="27">
        <f>IF(NOT(COUNTA(A189:AE189)&gt;0),"",IF(A189="","New client","Update"))</f>
        <v/>
      </c>
      <c r="AG189" s="27">
        <f>IF(AO189&lt;&gt;"",AO189,IF(LEN(AN189)=15,MID(AN189,3,10),""))</f>
        <v/>
      </c>
      <c r="AH189" s="27">
        <f>IF(AP189="","",AP189&amp;IF(D189="","  (guessed from PAN)",""))</f>
        <v/>
      </c>
      <c r="AI189" s="27">
        <f>IF(AN189="","",IFERROR(INDEX(Lists!$L$2:$L$38,MATCH(LEFT(AN189,2),Lists!$K$2:$K$38,0)),"Unknown code"))</f>
        <v/>
      </c>
      <c r="AJ189" s="27">
        <f>IF(AN189="","",IFERROR(IF(NOT(AND(LEN(AN189)=15,ISNUMBER(MATCH(LEFT(AN189,2),Lists!$K$2:$K$38,0)),SUMPRODUCT(--ISERROR(FIND(MID(MID(AN189,3,10),{1,2,3,4,5,10},1),"ABCDEFGHIJKLMNOPQRSTUVWXYZ")))=0,SUMPRODUCT(--ISERROR(FIND(MID(MID(AN189,3,10),{6,7,8,9},1),"0123456789")))=0,ISNUMBER(FIND(MID(AN189,13,1),"123456789ABCDEFGHIJKLMNOPQRSTUVWXYZ")),MID(AN189,14,1)="Z")),"Wrong format",IF(MID("0123456789ABCDEFGHIJKLMNOPQRSTUVWXYZ",MOD(36-MOD(SUMPRODUCT(INT((FIND(MID(AN189,{1,2,3,4,5,6,7,8,9,10,11,12,13,14},1),"0123456789ABCDEFGHIJKLMNOPQRSTUVWXYZ")-1)*{1,2,1,2,1,2,1,2,1,2,1,2,1,2}/36)+MOD((FIND(MID(AN189,{1,2,3,4,5,6,7,8,9,10,11,12,13,14},1),"0123456789ABCDEFGHIJKLMNOPQRSTUVWXYZ")-1)*{1,2,1,2,1,2,1,2,1,2,1,2,1,2},36)),36),36)+1,1)=MID(AN189,15,1),"OK","Typo? check digit wrong")),"Wrong format"))</f>
        <v/>
      </c>
      <c r="AK189" s="27">
        <f>IF(AO189="","",IF(AND(LEN(AO189)=10,SUMPRODUCT(--ISERROR(FIND(MID(AO189,{1,2,3,4,5,10},1),"ABCDEFGHIJKLMNOPQRSTUVWXYZ")))=0,SUMPRODUCT(--ISERROR(FIND(MID(AO189,{6,7,8,9},1),"0123456789")))=0),"OK","Wrong format"))</f>
        <v/>
      </c>
      <c r="AL189" s="27">
        <f>IF(TRIM(H189)="","",IF(AND(LEN(UPPER(TRIM(H189)))=10,SUMPRODUCT(--ISERROR(FIND(MID(UPPER(TRIM(H189)),{1,2,3,4,10},1),"ABCDEFGHIJKLMNOPQRSTUVWXYZ")))=0,SUMPRODUCT(--ISERROR(FIND(MID(UPPER(TRIM(H189)),{5,6,7,8,9},1),"0123456789")))=0),"OK","Wrong format"))</f>
        <v/>
      </c>
      <c r="AM189" s="28">
        <f>IF(NOT(COUNTA(A189:AE189)&gt;0),"",IF(AS189&lt;&gt;"","✖ "&amp;LEFT(AS189,LEN(AS189)-2),IF(AR189&gt;0,"✔ Ready — client + "&amp;AR189&amp;" service(s)","✔ Ready — client only")))</f>
        <v/>
      </c>
      <c r="AN189" s="29">
        <f>UPPER(SUBSTITUTE(TRIM(F189)," ",""))</f>
        <v/>
      </c>
      <c r="AO189" s="29">
        <f>UPPER(SUBSTITUTE(TRIM(E189)," ",""))</f>
        <v/>
      </c>
      <c r="AP189" s="29">
        <f>IF(D189&lt;&gt;"",D189,IFERROR(VLOOKUP(MID(AG189,4,1),Lists!$E$2:$F$8,2,FALSE),""))</f>
        <v/>
      </c>
      <c r="AQ189" s="29">
        <f>IFERROR(VLOOKUP(AP189,Lists!$A$2:$C$12,3,FALSE),"")</f>
        <v/>
      </c>
      <c r="AR189" s="29">
        <f>COUNTIF(W189:AC189,"Yes")</f>
        <v/>
      </c>
      <c r="AS189" s="29">
        <f>IF(TRIM(B189)="","Legal name missing; ","")&amp;IF(AND(AJ189&lt;&gt;"",AJ189&lt;&gt;"OK"),"GSTIN: "&amp;AJ189&amp;"; ","")&amp;IF(AND(AK189&lt;&gt;"",AK189&lt;&gt;"OK"),"PAN wrong format; ","")&amp;IF(AND(AO189&lt;&gt;"",LEN(AN189)=15,MID(AN189,3,10)&lt;&gt;AO189),"PAN does not match GSTIN; ","")&amp;IF(AND(AL189&lt;&gt;"",AL189&lt;&gt;"OK"),"TAN wrong format; ","")&amp;IF(AG189="","PAN missing; ","")&amp;IF(AP189="","Entity type missing; ","")&amp;IF(AND(AN189&lt;&gt;"",COUNTIF($AN$6:$AN$1005,AN189)&gt;1),"GSTIN repeated in this sheet; ","")&amp;IF(AND(AG189&lt;&gt;"",COUNTIF($AG$6:$AG$1005,AG189)&gt;1),"PAN repeated in this sheet (same client? put extra GSTINs in Other GSTINs); ","")&amp;IF(AND(AR189&gt;0,V189=""),"Financial year missing; ","")&amp;IF(AND(AR189=0,V189&lt;&gt;""),"Financial year given but no service is Yes; ","")&amp;IF(AND(W189="Yes",AN189=""),"GST needs a GSTIN; ","")&amp;IF(AND(W189="Yes",X189=""),"GST return frequency missing; ","")&amp;IF(AND(Y189="Yes",TRIM(H189)=""),"TDS needs a TAN; ","")&amp;IF(AND(AA189="Yes",AQ189&lt;&gt;"",AQ189&lt;&gt;"company",AQ189&lt;&gt;"llp"),"ROC is only for a company / LLP; ","")&amp;IF(AND(AA189="Yes",OR(AQ189="company",AQ189="llp"),TRIM(I189)=""),"ROC needs the CIN / LLPIN; ","")</f>
        <v/>
      </c>
    </row>
    <row r="190">
      <c r="A190" s="30" t="n"/>
      <c r="B190" s="31" t="n"/>
      <c r="C190" s="31" t="n"/>
      <c r="D190" s="31" t="n"/>
      <c r="E190" s="30" t="n"/>
      <c r="F190" s="30" t="n"/>
      <c r="G190" s="30" t="n"/>
      <c r="H190" s="30" t="n"/>
      <c r="I190" s="30" t="n"/>
      <c r="J190" s="32" t="n"/>
      <c r="K190" s="31" t="n"/>
      <c r="L190" s="30" t="n"/>
      <c r="M190" s="31" t="n"/>
      <c r="N190" s="31" t="n"/>
      <c r="O190" s="31" t="n"/>
      <c r="P190" s="30" t="n"/>
      <c r="Q190" s="31" t="n"/>
      <c r="R190" s="31" t="n"/>
      <c r="S190" s="31" t="n"/>
      <c r="T190" s="31" t="n"/>
      <c r="U190" s="30" t="n"/>
      <c r="V190" s="31" t="n"/>
      <c r="W190" s="31" t="n"/>
      <c r="X190" s="31" t="n"/>
      <c r="Y190" s="31" t="n"/>
      <c r="Z190" s="31" t="n"/>
      <c r="AA190" s="31" t="n"/>
      <c r="AB190" s="31" t="n"/>
      <c r="AC190" s="31" t="n"/>
      <c r="AD190" s="31" t="n"/>
      <c r="AE190" s="31" t="n"/>
      <c r="AF190" s="27">
        <f>IF(NOT(COUNTA(A190:AE190)&gt;0),"",IF(A190="","New client","Update"))</f>
        <v/>
      </c>
      <c r="AG190" s="27">
        <f>IF(AO190&lt;&gt;"",AO190,IF(LEN(AN190)=15,MID(AN190,3,10),""))</f>
        <v/>
      </c>
      <c r="AH190" s="27">
        <f>IF(AP190="","",AP190&amp;IF(D190="","  (guessed from PAN)",""))</f>
        <v/>
      </c>
      <c r="AI190" s="27">
        <f>IF(AN190="","",IFERROR(INDEX(Lists!$L$2:$L$38,MATCH(LEFT(AN190,2),Lists!$K$2:$K$38,0)),"Unknown code"))</f>
        <v/>
      </c>
      <c r="AJ190" s="27">
        <f>IF(AN190="","",IFERROR(IF(NOT(AND(LEN(AN190)=15,ISNUMBER(MATCH(LEFT(AN190,2),Lists!$K$2:$K$38,0)),SUMPRODUCT(--ISERROR(FIND(MID(MID(AN190,3,10),{1,2,3,4,5,10},1),"ABCDEFGHIJKLMNOPQRSTUVWXYZ")))=0,SUMPRODUCT(--ISERROR(FIND(MID(MID(AN190,3,10),{6,7,8,9},1),"0123456789")))=0,ISNUMBER(FIND(MID(AN190,13,1),"123456789ABCDEFGHIJKLMNOPQRSTUVWXYZ")),MID(AN190,14,1)="Z")),"Wrong format",IF(MID("0123456789ABCDEFGHIJKLMNOPQRSTUVWXYZ",MOD(36-MOD(SUMPRODUCT(INT((FIND(MID(AN190,{1,2,3,4,5,6,7,8,9,10,11,12,13,14},1),"0123456789ABCDEFGHIJKLMNOPQRSTUVWXYZ")-1)*{1,2,1,2,1,2,1,2,1,2,1,2,1,2}/36)+MOD((FIND(MID(AN190,{1,2,3,4,5,6,7,8,9,10,11,12,13,14},1),"0123456789ABCDEFGHIJKLMNOPQRSTUVWXYZ")-1)*{1,2,1,2,1,2,1,2,1,2,1,2,1,2},36)),36),36)+1,1)=MID(AN190,15,1),"OK","Typo? check digit wrong")),"Wrong format"))</f>
        <v/>
      </c>
      <c r="AK190" s="27">
        <f>IF(AO190="","",IF(AND(LEN(AO190)=10,SUMPRODUCT(--ISERROR(FIND(MID(AO190,{1,2,3,4,5,10},1),"ABCDEFGHIJKLMNOPQRSTUVWXYZ")))=0,SUMPRODUCT(--ISERROR(FIND(MID(AO190,{6,7,8,9},1),"0123456789")))=0),"OK","Wrong format"))</f>
        <v/>
      </c>
      <c r="AL190" s="27">
        <f>IF(TRIM(H190)="","",IF(AND(LEN(UPPER(TRIM(H190)))=10,SUMPRODUCT(--ISERROR(FIND(MID(UPPER(TRIM(H190)),{1,2,3,4,10},1),"ABCDEFGHIJKLMNOPQRSTUVWXYZ")))=0,SUMPRODUCT(--ISERROR(FIND(MID(UPPER(TRIM(H190)),{5,6,7,8,9},1),"0123456789")))=0),"OK","Wrong format"))</f>
        <v/>
      </c>
      <c r="AM190" s="28">
        <f>IF(NOT(COUNTA(A190:AE190)&gt;0),"",IF(AS190&lt;&gt;"","✖ "&amp;LEFT(AS190,LEN(AS190)-2),IF(AR190&gt;0,"✔ Ready — client + "&amp;AR190&amp;" service(s)","✔ Ready — client only")))</f>
        <v/>
      </c>
      <c r="AN190" s="29">
        <f>UPPER(SUBSTITUTE(TRIM(F190)," ",""))</f>
        <v/>
      </c>
      <c r="AO190" s="29">
        <f>UPPER(SUBSTITUTE(TRIM(E190)," ",""))</f>
        <v/>
      </c>
      <c r="AP190" s="29">
        <f>IF(D190&lt;&gt;"",D190,IFERROR(VLOOKUP(MID(AG190,4,1),Lists!$E$2:$F$8,2,FALSE),""))</f>
        <v/>
      </c>
      <c r="AQ190" s="29">
        <f>IFERROR(VLOOKUP(AP190,Lists!$A$2:$C$12,3,FALSE),"")</f>
        <v/>
      </c>
      <c r="AR190" s="29">
        <f>COUNTIF(W190:AC190,"Yes")</f>
        <v/>
      </c>
      <c r="AS190" s="29">
        <f>IF(TRIM(B190)="","Legal name missing; ","")&amp;IF(AND(AJ190&lt;&gt;"",AJ190&lt;&gt;"OK"),"GSTIN: "&amp;AJ190&amp;"; ","")&amp;IF(AND(AK190&lt;&gt;"",AK190&lt;&gt;"OK"),"PAN wrong format; ","")&amp;IF(AND(AO190&lt;&gt;"",LEN(AN190)=15,MID(AN190,3,10)&lt;&gt;AO190),"PAN does not match GSTIN; ","")&amp;IF(AND(AL190&lt;&gt;"",AL190&lt;&gt;"OK"),"TAN wrong format; ","")&amp;IF(AG190="","PAN missing; ","")&amp;IF(AP190="","Entity type missing; ","")&amp;IF(AND(AN190&lt;&gt;"",COUNTIF($AN$6:$AN$1005,AN190)&gt;1),"GSTIN repeated in this sheet; ","")&amp;IF(AND(AG190&lt;&gt;"",COUNTIF($AG$6:$AG$1005,AG190)&gt;1),"PAN repeated in this sheet (same client? put extra GSTINs in Other GSTINs); ","")&amp;IF(AND(AR190&gt;0,V190=""),"Financial year missing; ","")&amp;IF(AND(AR190=0,V190&lt;&gt;""),"Financial year given but no service is Yes; ","")&amp;IF(AND(W190="Yes",AN190=""),"GST needs a GSTIN; ","")&amp;IF(AND(W190="Yes",X190=""),"GST return frequency missing; ","")&amp;IF(AND(Y190="Yes",TRIM(H190)=""),"TDS needs a TAN; ","")&amp;IF(AND(AA190="Yes",AQ190&lt;&gt;"",AQ190&lt;&gt;"company",AQ190&lt;&gt;"llp"),"ROC is only for a company / LLP; ","")&amp;IF(AND(AA190="Yes",OR(AQ190="company",AQ190="llp"),TRIM(I190)=""),"ROC needs the CIN / LLPIN; ","")</f>
        <v/>
      </c>
    </row>
    <row r="191">
      <c r="A191" s="30" t="n"/>
      <c r="B191" s="31" t="n"/>
      <c r="C191" s="31" t="n"/>
      <c r="D191" s="31" t="n"/>
      <c r="E191" s="30" t="n"/>
      <c r="F191" s="30" t="n"/>
      <c r="G191" s="30" t="n"/>
      <c r="H191" s="30" t="n"/>
      <c r="I191" s="30" t="n"/>
      <c r="J191" s="32" t="n"/>
      <c r="K191" s="31" t="n"/>
      <c r="L191" s="30" t="n"/>
      <c r="M191" s="31" t="n"/>
      <c r="N191" s="31" t="n"/>
      <c r="O191" s="31" t="n"/>
      <c r="P191" s="30" t="n"/>
      <c r="Q191" s="31" t="n"/>
      <c r="R191" s="31" t="n"/>
      <c r="S191" s="31" t="n"/>
      <c r="T191" s="31" t="n"/>
      <c r="U191" s="30" t="n"/>
      <c r="V191" s="31" t="n"/>
      <c r="W191" s="31" t="n"/>
      <c r="X191" s="31" t="n"/>
      <c r="Y191" s="31" t="n"/>
      <c r="Z191" s="31" t="n"/>
      <c r="AA191" s="31" t="n"/>
      <c r="AB191" s="31" t="n"/>
      <c r="AC191" s="31" t="n"/>
      <c r="AD191" s="31" t="n"/>
      <c r="AE191" s="31" t="n"/>
      <c r="AF191" s="27">
        <f>IF(NOT(COUNTA(A191:AE191)&gt;0),"",IF(A191="","New client","Update"))</f>
        <v/>
      </c>
      <c r="AG191" s="27">
        <f>IF(AO191&lt;&gt;"",AO191,IF(LEN(AN191)=15,MID(AN191,3,10),""))</f>
        <v/>
      </c>
      <c r="AH191" s="27">
        <f>IF(AP191="","",AP191&amp;IF(D191="","  (guessed from PAN)",""))</f>
        <v/>
      </c>
      <c r="AI191" s="27">
        <f>IF(AN191="","",IFERROR(INDEX(Lists!$L$2:$L$38,MATCH(LEFT(AN191,2),Lists!$K$2:$K$38,0)),"Unknown code"))</f>
        <v/>
      </c>
      <c r="AJ191" s="27">
        <f>IF(AN191="","",IFERROR(IF(NOT(AND(LEN(AN191)=15,ISNUMBER(MATCH(LEFT(AN191,2),Lists!$K$2:$K$38,0)),SUMPRODUCT(--ISERROR(FIND(MID(MID(AN191,3,10),{1,2,3,4,5,10},1),"ABCDEFGHIJKLMNOPQRSTUVWXYZ")))=0,SUMPRODUCT(--ISERROR(FIND(MID(MID(AN191,3,10),{6,7,8,9},1),"0123456789")))=0,ISNUMBER(FIND(MID(AN191,13,1),"123456789ABCDEFGHIJKLMNOPQRSTUVWXYZ")),MID(AN191,14,1)="Z")),"Wrong format",IF(MID("0123456789ABCDEFGHIJKLMNOPQRSTUVWXYZ",MOD(36-MOD(SUMPRODUCT(INT((FIND(MID(AN191,{1,2,3,4,5,6,7,8,9,10,11,12,13,14},1),"0123456789ABCDEFGHIJKLMNOPQRSTUVWXYZ")-1)*{1,2,1,2,1,2,1,2,1,2,1,2,1,2}/36)+MOD((FIND(MID(AN191,{1,2,3,4,5,6,7,8,9,10,11,12,13,14},1),"0123456789ABCDEFGHIJKLMNOPQRSTUVWXYZ")-1)*{1,2,1,2,1,2,1,2,1,2,1,2,1,2},36)),36),36)+1,1)=MID(AN191,15,1),"OK","Typo? check digit wrong")),"Wrong format"))</f>
        <v/>
      </c>
      <c r="AK191" s="27">
        <f>IF(AO191="","",IF(AND(LEN(AO191)=10,SUMPRODUCT(--ISERROR(FIND(MID(AO191,{1,2,3,4,5,10},1),"ABCDEFGHIJKLMNOPQRSTUVWXYZ")))=0,SUMPRODUCT(--ISERROR(FIND(MID(AO191,{6,7,8,9},1),"0123456789")))=0),"OK","Wrong format"))</f>
        <v/>
      </c>
      <c r="AL191" s="27">
        <f>IF(TRIM(H191)="","",IF(AND(LEN(UPPER(TRIM(H191)))=10,SUMPRODUCT(--ISERROR(FIND(MID(UPPER(TRIM(H191)),{1,2,3,4,10},1),"ABCDEFGHIJKLMNOPQRSTUVWXYZ")))=0,SUMPRODUCT(--ISERROR(FIND(MID(UPPER(TRIM(H191)),{5,6,7,8,9},1),"0123456789")))=0),"OK","Wrong format"))</f>
        <v/>
      </c>
      <c r="AM191" s="28">
        <f>IF(NOT(COUNTA(A191:AE191)&gt;0),"",IF(AS191&lt;&gt;"","✖ "&amp;LEFT(AS191,LEN(AS191)-2),IF(AR191&gt;0,"✔ Ready — client + "&amp;AR191&amp;" service(s)","✔ Ready — client only")))</f>
        <v/>
      </c>
      <c r="AN191" s="29">
        <f>UPPER(SUBSTITUTE(TRIM(F191)," ",""))</f>
        <v/>
      </c>
      <c r="AO191" s="29">
        <f>UPPER(SUBSTITUTE(TRIM(E191)," ",""))</f>
        <v/>
      </c>
      <c r="AP191" s="29">
        <f>IF(D191&lt;&gt;"",D191,IFERROR(VLOOKUP(MID(AG191,4,1),Lists!$E$2:$F$8,2,FALSE),""))</f>
        <v/>
      </c>
      <c r="AQ191" s="29">
        <f>IFERROR(VLOOKUP(AP191,Lists!$A$2:$C$12,3,FALSE),"")</f>
        <v/>
      </c>
      <c r="AR191" s="29">
        <f>COUNTIF(W191:AC191,"Yes")</f>
        <v/>
      </c>
      <c r="AS191" s="29">
        <f>IF(TRIM(B191)="","Legal name missing; ","")&amp;IF(AND(AJ191&lt;&gt;"",AJ191&lt;&gt;"OK"),"GSTIN: "&amp;AJ191&amp;"; ","")&amp;IF(AND(AK191&lt;&gt;"",AK191&lt;&gt;"OK"),"PAN wrong format; ","")&amp;IF(AND(AO191&lt;&gt;"",LEN(AN191)=15,MID(AN191,3,10)&lt;&gt;AO191),"PAN does not match GSTIN; ","")&amp;IF(AND(AL191&lt;&gt;"",AL191&lt;&gt;"OK"),"TAN wrong format; ","")&amp;IF(AG191="","PAN missing; ","")&amp;IF(AP191="","Entity type missing; ","")&amp;IF(AND(AN191&lt;&gt;"",COUNTIF($AN$6:$AN$1005,AN191)&gt;1),"GSTIN repeated in this sheet; ","")&amp;IF(AND(AG191&lt;&gt;"",COUNTIF($AG$6:$AG$1005,AG191)&gt;1),"PAN repeated in this sheet (same client? put extra GSTINs in Other GSTINs); ","")&amp;IF(AND(AR191&gt;0,V191=""),"Financial year missing; ","")&amp;IF(AND(AR191=0,V191&lt;&gt;""),"Financial year given but no service is Yes; ","")&amp;IF(AND(W191="Yes",AN191=""),"GST needs a GSTIN; ","")&amp;IF(AND(W191="Yes",X191=""),"GST return frequency missing; ","")&amp;IF(AND(Y191="Yes",TRIM(H191)=""),"TDS needs a TAN; ","")&amp;IF(AND(AA191="Yes",AQ191&lt;&gt;"",AQ191&lt;&gt;"company",AQ191&lt;&gt;"llp"),"ROC is only for a company / LLP; ","")&amp;IF(AND(AA191="Yes",OR(AQ191="company",AQ191="llp"),TRIM(I191)=""),"ROC needs the CIN / LLPIN; ","")</f>
        <v/>
      </c>
    </row>
    <row r="192">
      <c r="A192" s="30" t="n"/>
      <c r="B192" s="31" t="n"/>
      <c r="C192" s="31" t="n"/>
      <c r="D192" s="31" t="n"/>
      <c r="E192" s="30" t="n"/>
      <c r="F192" s="30" t="n"/>
      <c r="G192" s="30" t="n"/>
      <c r="H192" s="30" t="n"/>
      <c r="I192" s="30" t="n"/>
      <c r="J192" s="32" t="n"/>
      <c r="K192" s="31" t="n"/>
      <c r="L192" s="30" t="n"/>
      <c r="M192" s="31" t="n"/>
      <c r="N192" s="31" t="n"/>
      <c r="O192" s="31" t="n"/>
      <c r="P192" s="30" t="n"/>
      <c r="Q192" s="31" t="n"/>
      <c r="R192" s="31" t="n"/>
      <c r="S192" s="31" t="n"/>
      <c r="T192" s="31" t="n"/>
      <c r="U192" s="30" t="n"/>
      <c r="V192" s="31" t="n"/>
      <c r="W192" s="31" t="n"/>
      <c r="X192" s="31" t="n"/>
      <c r="Y192" s="31" t="n"/>
      <c r="Z192" s="31" t="n"/>
      <c r="AA192" s="31" t="n"/>
      <c r="AB192" s="31" t="n"/>
      <c r="AC192" s="31" t="n"/>
      <c r="AD192" s="31" t="n"/>
      <c r="AE192" s="31" t="n"/>
      <c r="AF192" s="27">
        <f>IF(NOT(COUNTA(A192:AE192)&gt;0),"",IF(A192="","New client","Update"))</f>
        <v/>
      </c>
      <c r="AG192" s="27">
        <f>IF(AO192&lt;&gt;"",AO192,IF(LEN(AN192)=15,MID(AN192,3,10),""))</f>
        <v/>
      </c>
      <c r="AH192" s="27">
        <f>IF(AP192="","",AP192&amp;IF(D192="","  (guessed from PAN)",""))</f>
        <v/>
      </c>
      <c r="AI192" s="27">
        <f>IF(AN192="","",IFERROR(INDEX(Lists!$L$2:$L$38,MATCH(LEFT(AN192,2),Lists!$K$2:$K$38,0)),"Unknown code"))</f>
        <v/>
      </c>
      <c r="AJ192" s="27">
        <f>IF(AN192="","",IFERROR(IF(NOT(AND(LEN(AN192)=15,ISNUMBER(MATCH(LEFT(AN192,2),Lists!$K$2:$K$38,0)),SUMPRODUCT(--ISERROR(FIND(MID(MID(AN192,3,10),{1,2,3,4,5,10},1),"ABCDEFGHIJKLMNOPQRSTUVWXYZ")))=0,SUMPRODUCT(--ISERROR(FIND(MID(MID(AN192,3,10),{6,7,8,9},1),"0123456789")))=0,ISNUMBER(FIND(MID(AN192,13,1),"123456789ABCDEFGHIJKLMNOPQRSTUVWXYZ")),MID(AN192,14,1)="Z")),"Wrong format",IF(MID("0123456789ABCDEFGHIJKLMNOPQRSTUVWXYZ",MOD(36-MOD(SUMPRODUCT(INT((FIND(MID(AN192,{1,2,3,4,5,6,7,8,9,10,11,12,13,14},1),"0123456789ABCDEFGHIJKLMNOPQRSTUVWXYZ")-1)*{1,2,1,2,1,2,1,2,1,2,1,2,1,2}/36)+MOD((FIND(MID(AN192,{1,2,3,4,5,6,7,8,9,10,11,12,13,14},1),"0123456789ABCDEFGHIJKLMNOPQRSTUVWXYZ")-1)*{1,2,1,2,1,2,1,2,1,2,1,2,1,2},36)),36),36)+1,1)=MID(AN192,15,1),"OK","Typo? check digit wrong")),"Wrong format"))</f>
        <v/>
      </c>
      <c r="AK192" s="27">
        <f>IF(AO192="","",IF(AND(LEN(AO192)=10,SUMPRODUCT(--ISERROR(FIND(MID(AO192,{1,2,3,4,5,10},1),"ABCDEFGHIJKLMNOPQRSTUVWXYZ")))=0,SUMPRODUCT(--ISERROR(FIND(MID(AO192,{6,7,8,9},1),"0123456789")))=0),"OK","Wrong format"))</f>
        <v/>
      </c>
      <c r="AL192" s="27">
        <f>IF(TRIM(H192)="","",IF(AND(LEN(UPPER(TRIM(H192)))=10,SUMPRODUCT(--ISERROR(FIND(MID(UPPER(TRIM(H192)),{1,2,3,4,10},1),"ABCDEFGHIJKLMNOPQRSTUVWXYZ")))=0,SUMPRODUCT(--ISERROR(FIND(MID(UPPER(TRIM(H192)),{5,6,7,8,9},1),"0123456789")))=0),"OK","Wrong format"))</f>
        <v/>
      </c>
      <c r="AM192" s="28">
        <f>IF(NOT(COUNTA(A192:AE192)&gt;0),"",IF(AS192&lt;&gt;"","✖ "&amp;LEFT(AS192,LEN(AS192)-2),IF(AR192&gt;0,"✔ Ready — client + "&amp;AR192&amp;" service(s)","✔ Ready — client only")))</f>
        <v/>
      </c>
      <c r="AN192" s="29">
        <f>UPPER(SUBSTITUTE(TRIM(F192)," ",""))</f>
        <v/>
      </c>
      <c r="AO192" s="29">
        <f>UPPER(SUBSTITUTE(TRIM(E192)," ",""))</f>
        <v/>
      </c>
      <c r="AP192" s="29">
        <f>IF(D192&lt;&gt;"",D192,IFERROR(VLOOKUP(MID(AG192,4,1),Lists!$E$2:$F$8,2,FALSE),""))</f>
        <v/>
      </c>
      <c r="AQ192" s="29">
        <f>IFERROR(VLOOKUP(AP192,Lists!$A$2:$C$12,3,FALSE),"")</f>
        <v/>
      </c>
      <c r="AR192" s="29">
        <f>COUNTIF(W192:AC192,"Yes")</f>
        <v/>
      </c>
      <c r="AS192" s="29">
        <f>IF(TRIM(B192)="","Legal name missing; ","")&amp;IF(AND(AJ192&lt;&gt;"",AJ192&lt;&gt;"OK"),"GSTIN: "&amp;AJ192&amp;"; ","")&amp;IF(AND(AK192&lt;&gt;"",AK192&lt;&gt;"OK"),"PAN wrong format; ","")&amp;IF(AND(AO192&lt;&gt;"",LEN(AN192)=15,MID(AN192,3,10)&lt;&gt;AO192),"PAN does not match GSTIN; ","")&amp;IF(AND(AL192&lt;&gt;"",AL192&lt;&gt;"OK"),"TAN wrong format; ","")&amp;IF(AG192="","PAN missing; ","")&amp;IF(AP192="","Entity type missing; ","")&amp;IF(AND(AN192&lt;&gt;"",COUNTIF($AN$6:$AN$1005,AN192)&gt;1),"GSTIN repeated in this sheet; ","")&amp;IF(AND(AG192&lt;&gt;"",COUNTIF($AG$6:$AG$1005,AG192)&gt;1),"PAN repeated in this sheet (same client? put extra GSTINs in Other GSTINs); ","")&amp;IF(AND(AR192&gt;0,V192=""),"Financial year missing; ","")&amp;IF(AND(AR192=0,V192&lt;&gt;""),"Financial year given but no service is Yes; ","")&amp;IF(AND(W192="Yes",AN192=""),"GST needs a GSTIN; ","")&amp;IF(AND(W192="Yes",X192=""),"GST return frequency missing; ","")&amp;IF(AND(Y192="Yes",TRIM(H192)=""),"TDS needs a TAN; ","")&amp;IF(AND(AA192="Yes",AQ192&lt;&gt;"",AQ192&lt;&gt;"company",AQ192&lt;&gt;"llp"),"ROC is only for a company / LLP; ","")&amp;IF(AND(AA192="Yes",OR(AQ192="company",AQ192="llp"),TRIM(I192)=""),"ROC needs the CIN / LLPIN; ","")</f>
        <v/>
      </c>
    </row>
    <row r="193">
      <c r="A193" s="30" t="n"/>
      <c r="B193" s="31" t="n"/>
      <c r="C193" s="31" t="n"/>
      <c r="D193" s="31" t="n"/>
      <c r="E193" s="30" t="n"/>
      <c r="F193" s="30" t="n"/>
      <c r="G193" s="30" t="n"/>
      <c r="H193" s="30" t="n"/>
      <c r="I193" s="30" t="n"/>
      <c r="J193" s="32" t="n"/>
      <c r="K193" s="31" t="n"/>
      <c r="L193" s="30" t="n"/>
      <c r="M193" s="31" t="n"/>
      <c r="N193" s="31" t="n"/>
      <c r="O193" s="31" t="n"/>
      <c r="P193" s="30" t="n"/>
      <c r="Q193" s="31" t="n"/>
      <c r="R193" s="31" t="n"/>
      <c r="S193" s="31" t="n"/>
      <c r="T193" s="31" t="n"/>
      <c r="U193" s="30" t="n"/>
      <c r="V193" s="31" t="n"/>
      <c r="W193" s="31" t="n"/>
      <c r="X193" s="31" t="n"/>
      <c r="Y193" s="31" t="n"/>
      <c r="Z193" s="31" t="n"/>
      <c r="AA193" s="31" t="n"/>
      <c r="AB193" s="31" t="n"/>
      <c r="AC193" s="31" t="n"/>
      <c r="AD193" s="31" t="n"/>
      <c r="AE193" s="31" t="n"/>
      <c r="AF193" s="27">
        <f>IF(NOT(COUNTA(A193:AE193)&gt;0),"",IF(A193="","New client","Update"))</f>
        <v/>
      </c>
      <c r="AG193" s="27">
        <f>IF(AO193&lt;&gt;"",AO193,IF(LEN(AN193)=15,MID(AN193,3,10),""))</f>
        <v/>
      </c>
      <c r="AH193" s="27">
        <f>IF(AP193="","",AP193&amp;IF(D193="","  (guessed from PAN)",""))</f>
        <v/>
      </c>
      <c r="AI193" s="27">
        <f>IF(AN193="","",IFERROR(INDEX(Lists!$L$2:$L$38,MATCH(LEFT(AN193,2),Lists!$K$2:$K$38,0)),"Unknown code"))</f>
        <v/>
      </c>
      <c r="AJ193" s="27">
        <f>IF(AN193="","",IFERROR(IF(NOT(AND(LEN(AN193)=15,ISNUMBER(MATCH(LEFT(AN193,2),Lists!$K$2:$K$38,0)),SUMPRODUCT(--ISERROR(FIND(MID(MID(AN193,3,10),{1,2,3,4,5,10},1),"ABCDEFGHIJKLMNOPQRSTUVWXYZ")))=0,SUMPRODUCT(--ISERROR(FIND(MID(MID(AN193,3,10),{6,7,8,9},1),"0123456789")))=0,ISNUMBER(FIND(MID(AN193,13,1),"123456789ABCDEFGHIJKLMNOPQRSTUVWXYZ")),MID(AN193,14,1)="Z")),"Wrong format",IF(MID("0123456789ABCDEFGHIJKLMNOPQRSTUVWXYZ",MOD(36-MOD(SUMPRODUCT(INT((FIND(MID(AN193,{1,2,3,4,5,6,7,8,9,10,11,12,13,14},1),"0123456789ABCDEFGHIJKLMNOPQRSTUVWXYZ")-1)*{1,2,1,2,1,2,1,2,1,2,1,2,1,2}/36)+MOD((FIND(MID(AN193,{1,2,3,4,5,6,7,8,9,10,11,12,13,14},1),"0123456789ABCDEFGHIJKLMNOPQRSTUVWXYZ")-1)*{1,2,1,2,1,2,1,2,1,2,1,2,1,2},36)),36),36)+1,1)=MID(AN193,15,1),"OK","Typo? check digit wrong")),"Wrong format"))</f>
        <v/>
      </c>
      <c r="AK193" s="27">
        <f>IF(AO193="","",IF(AND(LEN(AO193)=10,SUMPRODUCT(--ISERROR(FIND(MID(AO193,{1,2,3,4,5,10},1),"ABCDEFGHIJKLMNOPQRSTUVWXYZ")))=0,SUMPRODUCT(--ISERROR(FIND(MID(AO193,{6,7,8,9},1),"0123456789")))=0),"OK","Wrong format"))</f>
        <v/>
      </c>
      <c r="AL193" s="27">
        <f>IF(TRIM(H193)="","",IF(AND(LEN(UPPER(TRIM(H193)))=10,SUMPRODUCT(--ISERROR(FIND(MID(UPPER(TRIM(H193)),{1,2,3,4,10},1),"ABCDEFGHIJKLMNOPQRSTUVWXYZ")))=0,SUMPRODUCT(--ISERROR(FIND(MID(UPPER(TRIM(H193)),{5,6,7,8,9},1),"0123456789")))=0),"OK","Wrong format"))</f>
        <v/>
      </c>
      <c r="AM193" s="28">
        <f>IF(NOT(COUNTA(A193:AE193)&gt;0),"",IF(AS193&lt;&gt;"","✖ "&amp;LEFT(AS193,LEN(AS193)-2),IF(AR193&gt;0,"✔ Ready — client + "&amp;AR193&amp;" service(s)","✔ Ready — client only")))</f>
        <v/>
      </c>
      <c r="AN193" s="29">
        <f>UPPER(SUBSTITUTE(TRIM(F193)," ",""))</f>
        <v/>
      </c>
      <c r="AO193" s="29">
        <f>UPPER(SUBSTITUTE(TRIM(E193)," ",""))</f>
        <v/>
      </c>
      <c r="AP193" s="29">
        <f>IF(D193&lt;&gt;"",D193,IFERROR(VLOOKUP(MID(AG193,4,1),Lists!$E$2:$F$8,2,FALSE),""))</f>
        <v/>
      </c>
      <c r="AQ193" s="29">
        <f>IFERROR(VLOOKUP(AP193,Lists!$A$2:$C$12,3,FALSE),"")</f>
        <v/>
      </c>
      <c r="AR193" s="29">
        <f>COUNTIF(W193:AC193,"Yes")</f>
        <v/>
      </c>
      <c r="AS193" s="29">
        <f>IF(TRIM(B193)="","Legal name missing; ","")&amp;IF(AND(AJ193&lt;&gt;"",AJ193&lt;&gt;"OK"),"GSTIN: "&amp;AJ193&amp;"; ","")&amp;IF(AND(AK193&lt;&gt;"",AK193&lt;&gt;"OK"),"PAN wrong format; ","")&amp;IF(AND(AO193&lt;&gt;"",LEN(AN193)=15,MID(AN193,3,10)&lt;&gt;AO193),"PAN does not match GSTIN; ","")&amp;IF(AND(AL193&lt;&gt;"",AL193&lt;&gt;"OK"),"TAN wrong format; ","")&amp;IF(AG193="","PAN missing; ","")&amp;IF(AP193="","Entity type missing; ","")&amp;IF(AND(AN193&lt;&gt;"",COUNTIF($AN$6:$AN$1005,AN193)&gt;1),"GSTIN repeated in this sheet; ","")&amp;IF(AND(AG193&lt;&gt;"",COUNTIF($AG$6:$AG$1005,AG193)&gt;1),"PAN repeated in this sheet (same client? put extra GSTINs in Other GSTINs); ","")&amp;IF(AND(AR193&gt;0,V193=""),"Financial year missing; ","")&amp;IF(AND(AR193=0,V193&lt;&gt;""),"Financial year given but no service is Yes; ","")&amp;IF(AND(W193="Yes",AN193=""),"GST needs a GSTIN; ","")&amp;IF(AND(W193="Yes",X193=""),"GST return frequency missing; ","")&amp;IF(AND(Y193="Yes",TRIM(H193)=""),"TDS needs a TAN; ","")&amp;IF(AND(AA193="Yes",AQ193&lt;&gt;"",AQ193&lt;&gt;"company",AQ193&lt;&gt;"llp"),"ROC is only for a company / LLP; ","")&amp;IF(AND(AA193="Yes",OR(AQ193="company",AQ193="llp"),TRIM(I193)=""),"ROC needs the CIN / LLPIN; ","")</f>
        <v/>
      </c>
    </row>
    <row r="194">
      <c r="A194" s="30" t="n"/>
      <c r="B194" s="31" t="n"/>
      <c r="C194" s="31" t="n"/>
      <c r="D194" s="31" t="n"/>
      <c r="E194" s="30" t="n"/>
      <c r="F194" s="30" t="n"/>
      <c r="G194" s="30" t="n"/>
      <c r="H194" s="30" t="n"/>
      <c r="I194" s="30" t="n"/>
      <c r="J194" s="32" t="n"/>
      <c r="K194" s="31" t="n"/>
      <c r="L194" s="30" t="n"/>
      <c r="M194" s="31" t="n"/>
      <c r="N194" s="31" t="n"/>
      <c r="O194" s="31" t="n"/>
      <c r="P194" s="30" t="n"/>
      <c r="Q194" s="31" t="n"/>
      <c r="R194" s="31" t="n"/>
      <c r="S194" s="31" t="n"/>
      <c r="T194" s="31" t="n"/>
      <c r="U194" s="30" t="n"/>
      <c r="V194" s="31" t="n"/>
      <c r="W194" s="31" t="n"/>
      <c r="X194" s="31" t="n"/>
      <c r="Y194" s="31" t="n"/>
      <c r="Z194" s="31" t="n"/>
      <c r="AA194" s="31" t="n"/>
      <c r="AB194" s="31" t="n"/>
      <c r="AC194" s="31" t="n"/>
      <c r="AD194" s="31" t="n"/>
      <c r="AE194" s="31" t="n"/>
      <c r="AF194" s="27">
        <f>IF(NOT(COUNTA(A194:AE194)&gt;0),"",IF(A194="","New client","Update"))</f>
        <v/>
      </c>
      <c r="AG194" s="27">
        <f>IF(AO194&lt;&gt;"",AO194,IF(LEN(AN194)=15,MID(AN194,3,10),""))</f>
        <v/>
      </c>
      <c r="AH194" s="27">
        <f>IF(AP194="","",AP194&amp;IF(D194="","  (guessed from PAN)",""))</f>
        <v/>
      </c>
      <c r="AI194" s="27">
        <f>IF(AN194="","",IFERROR(INDEX(Lists!$L$2:$L$38,MATCH(LEFT(AN194,2),Lists!$K$2:$K$38,0)),"Unknown code"))</f>
        <v/>
      </c>
      <c r="AJ194" s="27">
        <f>IF(AN194="","",IFERROR(IF(NOT(AND(LEN(AN194)=15,ISNUMBER(MATCH(LEFT(AN194,2),Lists!$K$2:$K$38,0)),SUMPRODUCT(--ISERROR(FIND(MID(MID(AN194,3,10),{1,2,3,4,5,10},1),"ABCDEFGHIJKLMNOPQRSTUVWXYZ")))=0,SUMPRODUCT(--ISERROR(FIND(MID(MID(AN194,3,10),{6,7,8,9},1),"0123456789")))=0,ISNUMBER(FIND(MID(AN194,13,1),"123456789ABCDEFGHIJKLMNOPQRSTUVWXYZ")),MID(AN194,14,1)="Z")),"Wrong format",IF(MID("0123456789ABCDEFGHIJKLMNOPQRSTUVWXYZ",MOD(36-MOD(SUMPRODUCT(INT((FIND(MID(AN194,{1,2,3,4,5,6,7,8,9,10,11,12,13,14},1),"0123456789ABCDEFGHIJKLMNOPQRSTUVWXYZ")-1)*{1,2,1,2,1,2,1,2,1,2,1,2,1,2}/36)+MOD((FIND(MID(AN194,{1,2,3,4,5,6,7,8,9,10,11,12,13,14},1),"0123456789ABCDEFGHIJKLMNOPQRSTUVWXYZ")-1)*{1,2,1,2,1,2,1,2,1,2,1,2,1,2},36)),36),36)+1,1)=MID(AN194,15,1),"OK","Typo? check digit wrong")),"Wrong format"))</f>
        <v/>
      </c>
      <c r="AK194" s="27">
        <f>IF(AO194="","",IF(AND(LEN(AO194)=10,SUMPRODUCT(--ISERROR(FIND(MID(AO194,{1,2,3,4,5,10},1),"ABCDEFGHIJKLMNOPQRSTUVWXYZ")))=0,SUMPRODUCT(--ISERROR(FIND(MID(AO194,{6,7,8,9},1),"0123456789")))=0),"OK","Wrong format"))</f>
        <v/>
      </c>
      <c r="AL194" s="27">
        <f>IF(TRIM(H194)="","",IF(AND(LEN(UPPER(TRIM(H194)))=10,SUMPRODUCT(--ISERROR(FIND(MID(UPPER(TRIM(H194)),{1,2,3,4,10},1),"ABCDEFGHIJKLMNOPQRSTUVWXYZ")))=0,SUMPRODUCT(--ISERROR(FIND(MID(UPPER(TRIM(H194)),{5,6,7,8,9},1),"0123456789")))=0),"OK","Wrong format"))</f>
        <v/>
      </c>
      <c r="AM194" s="28">
        <f>IF(NOT(COUNTA(A194:AE194)&gt;0),"",IF(AS194&lt;&gt;"","✖ "&amp;LEFT(AS194,LEN(AS194)-2),IF(AR194&gt;0,"✔ Ready — client + "&amp;AR194&amp;" service(s)","✔ Ready — client only")))</f>
        <v/>
      </c>
      <c r="AN194" s="29">
        <f>UPPER(SUBSTITUTE(TRIM(F194)," ",""))</f>
        <v/>
      </c>
      <c r="AO194" s="29">
        <f>UPPER(SUBSTITUTE(TRIM(E194)," ",""))</f>
        <v/>
      </c>
      <c r="AP194" s="29">
        <f>IF(D194&lt;&gt;"",D194,IFERROR(VLOOKUP(MID(AG194,4,1),Lists!$E$2:$F$8,2,FALSE),""))</f>
        <v/>
      </c>
      <c r="AQ194" s="29">
        <f>IFERROR(VLOOKUP(AP194,Lists!$A$2:$C$12,3,FALSE),"")</f>
        <v/>
      </c>
      <c r="AR194" s="29">
        <f>COUNTIF(W194:AC194,"Yes")</f>
        <v/>
      </c>
      <c r="AS194" s="29">
        <f>IF(TRIM(B194)="","Legal name missing; ","")&amp;IF(AND(AJ194&lt;&gt;"",AJ194&lt;&gt;"OK"),"GSTIN: "&amp;AJ194&amp;"; ","")&amp;IF(AND(AK194&lt;&gt;"",AK194&lt;&gt;"OK"),"PAN wrong format; ","")&amp;IF(AND(AO194&lt;&gt;"",LEN(AN194)=15,MID(AN194,3,10)&lt;&gt;AO194),"PAN does not match GSTIN; ","")&amp;IF(AND(AL194&lt;&gt;"",AL194&lt;&gt;"OK"),"TAN wrong format; ","")&amp;IF(AG194="","PAN missing; ","")&amp;IF(AP194="","Entity type missing; ","")&amp;IF(AND(AN194&lt;&gt;"",COUNTIF($AN$6:$AN$1005,AN194)&gt;1),"GSTIN repeated in this sheet; ","")&amp;IF(AND(AG194&lt;&gt;"",COUNTIF($AG$6:$AG$1005,AG194)&gt;1),"PAN repeated in this sheet (same client? put extra GSTINs in Other GSTINs); ","")&amp;IF(AND(AR194&gt;0,V194=""),"Financial year missing; ","")&amp;IF(AND(AR194=0,V194&lt;&gt;""),"Financial year given but no service is Yes; ","")&amp;IF(AND(W194="Yes",AN194=""),"GST needs a GSTIN; ","")&amp;IF(AND(W194="Yes",X194=""),"GST return frequency missing; ","")&amp;IF(AND(Y194="Yes",TRIM(H194)=""),"TDS needs a TAN; ","")&amp;IF(AND(AA194="Yes",AQ194&lt;&gt;"",AQ194&lt;&gt;"company",AQ194&lt;&gt;"llp"),"ROC is only for a company / LLP; ","")&amp;IF(AND(AA194="Yes",OR(AQ194="company",AQ194="llp"),TRIM(I194)=""),"ROC needs the CIN / LLPIN; ","")</f>
        <v/>
      </c>
    </row>
    <row r="195">
      <c r="A195" s="30" t="n"/>
      <c r="B195" s="31" t="n"/>
      <c r="C195" s="31" t="n"/>
      <c r="D195" s="31" t="n"/>
      <c r="E195" s="30" t="n"/>
      <c r="F195" s="30" t="n"/>
      <c r="G195" s="30" t="n"/>
      <c r="H195" s="30" t="n"/>
      <c r="I195" s="30" t="n"/>
      <c r="J195" s="32" t="n"/>
      <c r="K195" s="31" t="n"/>
      <c r="L195" s="30" t="n"/>
      <c r="M195" s="31" t="n"/>
      <c r="N195" s="31" t="n"/>
      <c r="O195" s="31" t="n"/>
      <c r="P195" s="30" t="n"/>
      <c r="Q195" s="31" t="n"/>
      <c r="R195" s="31" t="n"/>
      <c r="S195" s="31" t="n"/>
      <c r="T195" s="31" t="n"/>
      <c r="U195" s="30" t="n"/>
      <c r="V195" s="31" t="n"/>
      <c r="W195" s="31" t="n"/>
      <c r="X195" s="31" t="n"/>
      <c r="Y195" s="31" t="n"/>
      <c r="Z195" s="31" t="n"/>
      <c r="AA195" s="31" t="n"/>
      <c r="AB195" s="31" t="n"/>
      <c r="AC195" s="31" t="n"/>
      <c r="AD195" s="31" t="n"/>
      <c r="AE195" s="31" t="n"/>
      <c r="AF195" s="27">
        <f>IF(NOT(COUNTA(A195:AE195)&gt;0),"",IF(A195="","New client","Update"))</f>
        <v/>
      </c>
      <c r="AG195" s="27">
        <f>IF(AO195&lt;&gt;"",AO195,IF(LEN(AN195)=15,MID(AN195,3,10),""))</f>
        <v/>
      </c>
      <c r="AH195" s="27">
        <f>IF(AP195="","",AP195&amp;IF(D195="","  (guessed from PAN)",""))</f>
        <v/>
      </c>
      <c r="AI195" s="27">
        <f>IF(AN195="","",IFERROR(INDEX(Lists!$L$2:$L$38,MATCH(LEFT(AN195,2),Lists!$K$2:$K$38,0)),"Unknown code"))</f>
        <v/>
      </c>
      <c r="AJ195" s="27">
        <f>IF(AN195="","",IFERROR(IF(NOT(AND(LEN(AN195)=15,ISNUMBER(MATCH(LEFT(AN195,2),Lists!$K$2:$K$38,0)),SUMPRODUCT(--ISERROR(FIND(MID(MID(AN195,3,10),{1,2,3,4,5,10},1),"ABCDEFGHIJKLMNOPQRSTUVWXYZ")))=0,SUMPRODUCT(--ISERROR(FIND(MID(MID(AN195,3,10),{6,7,8,9},1),"0123456789")))=0,ISNUMBER(FIND(MID(AN195,13,1),"123456789ABCDEFGHIJKLMNOPQRSTUVWXYZ")),MID(AN195,14,1)="Z")),"Wrong format",IF(MID("0123456789ABCDEFGHIJKLMNOPQRSTUVWXYZ",MOD(36-MOD(SUMPRODUCT(INT((FIND(MID(AN195,{1,2,3,4,5,6,7,8,9,10,11,12,13,14},1),"0123456789ABCDEFGHIJKLMNOPQRSTUVWXYZ")-1)*{1,2,1,2,1,2,1,2,1,2,1,2,1,2}/36)+MOD((FIND(MID(AN195,{1,2,3,4,5,6,7,8,9,10,11,12,13,14},1),"0123456789ABCDEFGHIJKLMNOPQRSTUVWXYZ")-1)*{1,2,1,2,1,2,1,2,1,2,1,2,1,2},36)),36),36)+1,1)=MID(AN195,15,1),"OK","Typo? check digit wrong")),"Wrong format"))</f>
        <v/>
      </c>
      <c r="AK195" s="27">
        <f>IF(AO195="","",IF(AND(LEN(AO195)=10,SUMPRODUCT(--ISERROR(FIND(MID(AO195,{1,2,3,4,5,10},1),"ABCDEFGHIJKLMNOPQRSTUVWXYZ")))=0,SUMPRODUCT(--ISERROR(FIND(MID(AO195,{6,7,8,9},1),"0123456789")))=0),"OK","Wrong format"))</f>
        <v/>
      </c>
      <c r="AL195" s="27">
        <f>IF(TRIM(H195)="","",IF(AND(LEN(UPPER(TRIM(H195)))=10,SUMPRODUCT(--ISERROR(FIND(MID(UPPER(TRIM(H195)),{1,2,3,4,10},1),"ABCDEFGHIJKLMNOPQRSTUVWXYZ")))=0,SUMPRODUCT(--ISERROR(FIND(MID(UPPER(TRIM(H195)),{5,6,7,8,9},1),"0123456789")))=0),"OK","Wrong format"))</f>
        <v/>
      </c>
      <c r="AM195" s="28">
        <f>IF(NOT(COUNTA(A195:AE195)&gt;0),"",IF(AS195&lt;&gt;"","✖ "&amp;LEFT(AS195,LEN(AS195)-2),IF(AR195&gt;0,"✔ Ready — client + "&amp;AR195&amp;" service(s)","✔ Ready — client only")))</f>
        <v/>
      </c>
      <c r="AN195" s="29">
        <f>UPPER(SUBSTITUTE(TRIM(F195)," ",""))</f>
        <v/>
      </c>
      <c r="AO195" s="29">
        <f>UPPER(SUBSTITUTE(TRIM(E195)," ",""))</f>
        <v/>
      </c>
      <c r="AP195" s="29">
        <f>IF(D195&lt;&gt;"",D195,IFERROR(VLOOKUP(MID(AG195,4,1),Lists!$E$2:$F$8,2,FALSE),""))</f>
        <v/>
      </c>
      <c r="AQ195" s="29">
        <f>IFERROR(VLOOKUP(AP195,Lists!$A$2:$C$12,3,FALSE),"")</f>
        <v/>
      </c>
      <c r="AR195" s="29">
        <f>COUNTIF(W195:AC195,"Yes")</f>
        <v/>
      </c>
      <c r="AS195" s="29">
        <f>IF(TRIM(B195)="","Legal name missing; ","")&amp;IF(AND(AJ195&lt;&gt;"",AJ195&lt;&gt;"OK"),"GSTIN: "&amp;AJ195&amp;"; ","")&amp;IF(AND(AK195&lt;&gt;"",AK195&lt;&gt;"OK"),"PAN wrong format; ","")&amp;IF(AND(AO195&lt;&gt;"",LEN(AN195)=15,MID(AN195,3,10)&lt;&gt;AO195),"PAN does not match GSTIN; ","")&amp;IF(AND(AL195&lt;&gt;"",AL195&lt;&gt;"OK"),"TAN wrong format; ","")&amp;IF(AG195="","PAN missing; ","")&amp;IF(AP195="","Entity type missing; ","")&amp;IF(AND(AN195&lt;&gt;"",COUNTIF($AN$6:$AN$1005,AN195)&gt;1),"GSTIN repeated in this sheet; ","")&amp;IF(AND(AG195&lt;&gt;"",COUNTIF($AG$6:$AG$1005,AG195)&gt;1),"PAN repeated in this sheet (same client? put extra GSTINs in Other GSTINs); ","")&amp;IF(AND(AR195&gt;0,V195=""),"Financial year missing; ","")&amp;IF(AND(AR195=0,V195&lt;&gt;""),"Financial year given but no service is Yes; ","")&amp;IF(AND(W195="Yes",AN195=""),"GST needs a GSTIN; ","")&amp;IF(AND(W195="Yes",X195=""),"GST return frequency missing; ","")&amp;IF(AND(Y195="Yes",TRIM(H195)=""),"TDS needs a TAN; ","")&amp;IF(AND(AA195="Yes",AQ195&lt;&gt;"",AQ195&lt;&gt;"company",AQ195&lt;&gt;"llp"),"ROC is only for a company / LLP; ","")&amp;IF(AND(AA195="Yes",OR(AQ195="company",AQ195="llp"),TRIM(I195)=""),"ROC needs the CIN / LLPIN; ","")</f>
        <v/>
      </c>
    </row>
    <row r="196">
      <c r="A196" s="30" t="n"/>
      <c r="B196" s="31" t="n"/>
      <c r="C196" s="31" t="n"/>
      <c r="D196" s="31" t="n"/>
      <c r="E196" s="30" t="n"/>
      <c r="F196" s="30" t="n"/>
      <c r="G196" s="30" t="n"/>
      <c r="H196" s="30" t="n"/>
      <c r="I196" s="30" t="n"/>
      <c r="J196" s="32" t="n"/>
      <c r="K196" s="31" t="n"/>
      <c r="L196" s="30" t="n"/>
      <c r="M196" s="31" t="n"/>
      <c r="N196" s="31" t="n"/>
      <c r="O196" s="31" t="n"/>
      <c r="P196" s="30" t="n"/>
      <c r="Q196" s="31" t="n"/>
      <c r="R196" s="31" t="n"/>
      <c r="S196" s="31" t="n"/>
      <c r="T196" s="31" t="n"/>
      <c r="U196" s="30" t="n"/>
      <c r="V196" s="31" t="n"/>
      <c r="W196" s="31" t="n"/>
      <c r="X196" s="31" t="n"/>
      <c r="Y196" s="31" t="n"/>
      <c r="Z196" s="31" t="n"/>
      <c r="AA196" s="31" t="n"/>
      <c r="AB196" s="31" t="n"/>
      <c r="AC196" s="31" t="n"/>
      <c r="AD196" s="31" t="n"/>
      <c r="AE196" s="31" t="n"/>
      <c r="AF196" s="27">
        <f>IF(NOT(COUNTA(A196:AE196)&gt;0),"",IF(A196="","New client","Update"))</f>
        <v/>
      </c>
      <c r="AG196" s="27">
        <f>IF(AO196&lt;&gt;"",AO196,IF(LEN(AN196)=15,MID(AN196,3,10),""))</f>
        <v/>
      </c>
      <c r="AH196" s="27">
        <f>IF(AP196="","",AP196&amp;IF(D196="","  (guessed from PAN)",""))</f>
        <v/>
      </c>
      <c r="AI196" s="27">
        <f>IF(AN196="","",IFERROR(INDEX(Lists!$L$2:$L$38,MATCH(LEFT(AN196,2),Lists!$K$2:$K$38,0)),"Unknown code"))</f>
        <v/>
      </c>
      <c r="AJ196" s="27">
        <f>IF(AN196="","",IFERROR(IF(NOT(AND(LEN(AN196)=15,ISNUMBER(MATCH(LEFT(AN196,2),Lists!$K$2:$K$38,0)),SUMPRODUCT(--ISERROR(FIND(MID(MID(AN196,3,10),{1,2,3,4,5,10},1),"ABCDEFGHIJKLMNOPQRSTUVWXYZ")))=0,SUMPRODUCT(--ISERROR(FIND(MID(MID(AN196,3,10),{6,7,8,9},1),"0123456789")))=0,ISNUMBER(FIND(MID(AN196,13,1),"123456789ABCDEFGHIJKLMNOPQRSTUVWXYZ")),MID(AN196,14,1)="Z")),"Wrong format",IF(MID("0123456789ABCDEFGHIJKLMNOPQRSTUVWXYZ",MOD(36-MOD(SUMPRODUCT(INT((FIND(MID(AN196,{1,2,3,4,5,6,7,8,9,10,11,12,13,14},1),"0123456789ABCDEFGHIJKLMNOPQRSTUVWXYZ")-1)*{1,2,1,2,1,2,1,2,1,2,1,2,1,2}/36)+MOD((FIND(MID(AN196,{1,2,3,4,5,6,7,8,9,10,11,12,13,14},1),"0123456789ABCDEFGHIJKLMNOPQRSTUVWXYZ")-1)*{1,2,1,2,1,2,1,2,1,2,1,2,1,2},36)),36),36)+1,1)=MID(AN196,15,1),"OK","Typo? check digit wrong")),"Wrong format"))</f>
        <v/>
      </c>
      <c r="AK196" s="27">
        <f>IF(AO196="","",IF(AND(LEN(AO196)=10,SUMPRODUCT(--ISERROR(FIND(MID(AO196,{1,2,3,4,5,10},1),"ABCDEFGHIJKLMNOPQRSTUVWXYZ")))=0,SUMPRODUCT(--ISERROR(FIND(MID(AO196,{6,7,8,9},1),"0123456789")))=0),"OK","Wrong format"))</f>
        <v/>
      </c>
      <c r="AL196" s="27">
        <f>IF(TRIM(H196)="","",IF(AND(LEN(UPPER(TRIM(H196)))=10,SUMPRODUCT(--ISERROR(FIND(MID(UPPER(TRIM(H196)),{1,2,3,4,10},1),"ABCDEFGHIJKLMNOPQRSTUVWXYZ")))=0,SUMPRODUCT(--ISERROR(FIND(MID(UPPER(TRIM(H196)),{5,6,7,8,9},1),"0123456789")))=0),"OK","Wrong format"))</f>
        <v/>
      </c>
      <c r="AM196" s="28">
        <f>IF(NOT(COUNTA(A196:AE196)&gt;0),"",IF(AS196&lt;&gt;"","✖ "&amp;LEFT(AS196,LEN(AS196)-2),IF(AR196&gt;0,"✔ Ready — client + "&amp;AR196&amp;" service(s)","✔ Ready — client only")))</f>
        <v/>
      </c>
      <c r="AN196" s="29">
        <f>UPPER(SUBSTITUTE(TRIM(F196)," ",""))</f>
        <v/>
      </c>
      <c r="AO196" s="29">
        <f>UPPER(SUBSTITUTE(TRIM(E196)," ",""))</f>
        <v/>
      </c>
      <c r="AP196" s="29">
        <f>IF(D196&lt;&gt;"",D196,IFERROR(VLOOKUP(MID(AG196,4,1),Lists!$E$2:$F$8,2,FALSE),""))</f>
        <v/>
      </c>
      <c r="AQ196" s="29">
        <f>IFERROR(VLOOKUP(AP196,Lists!$A$2:$C$12,3,FALSE),"")</f>
        <v/>
      </c>
      <c r="AR196" s="29">
        <f>COUNTIF(W196:AC196,"Yes")</f>
        <v/>
      </c>
      <c r="AS196" s="29">
        <f>IF(TRIM(B196)="","Legal name missing; ","")&amp;IF(AND(AJ196&lt;&gt;"",AJ196&lt;&gt;"OK"),"GSTIN: "&amp;AJ196&amp;"; ","")&amp;IF(AND(AK196&lt;&gt;"",AK196&lt;&gt;"OK"),"PAN wrong format; ","")&amp;IF(AND(AO196&lt;&gt;"",LEN(AN196)=15,MID(AN196,3,10)&lt;&gt;AO196),"PAN does not match GSTIN; ","")&amp;IF(AND(AL196&lt;&gt;"",AL196&lt;&gt;"OK"),"TAN wrong format; ","")&amp;IF(AG196="","PAN missing; ","")&amp;IF(AP196="","Entity type missing; ","")&amp;IF(AND(AN196&lt;&gt;"",COUNTIF($AN$6:$AN$1005,AN196)&gt;1),"GSTIN repeated in this sheet; ","")&amp;IF(AND(AG196&lt;&gt;"",COUNTIF($AG$6:$AG$1005,AG196)&gt;1),"PAN repeated in this sheet (same client? put extra GSTINs in Other GSTINs); ","")&amp;IF(AND(AR196&gt;0,V196=""),"Financial year missing; ","")&amp;IF(AND(AR196=0,V196&lt;&gt;""),"Financial year given but no service is Yes; ","")&amp;IF(AND(W196="Yes",AN196=""),"GST needs a GSTIN; ","")&amp;IF(AND(W196="Yes",X196=""),"GST return frequency missing; ","")&amp;IF(AND(Y196="Yes",TRIM(H196)=""),"TDS needs a TAN; ","")&amp;IF(AND(AA196="Yes",AQ196&lt;&gt;"",AQ196&lt;&gt;"company",AQ196&lt;&gt;"llp"),"ROC is only for a company / LLP; ","")&amp;IF(AND(AA196="Yes",OR(AQ196="company",AQ196="llp"),TRIM(I196)=""),"ROC needs the CIN / LLPIN; ","")</f>
        <v/>
      </c>
    </row>
    <row r="197">
      <c r="A197" s="30" t="n"/>
      <c r="B197" s="31" t="n"/>
      <c r="C197" s="31" t="n"/>
      <c r="D197" s="31" t="n"/>
      <c r="E197" s="30" t="n"/>
      <c r="F197" s="30" t="n"/>
      <c r="G197" s="30" t="n"/>
      <c r="H197" s="30" t="n"/>
      <c r="I197" s="30" t="n"/>
      <c r="J197" s="32" t="n"/>
      <c r="K197" s="31" t="n"/>
      <c r="L197" s="30" t="n"/>
      <c r="M197" s="31" t="n"/>
      <c r="N197" s="31" t="n"/>
      <c r="O197" s="31" t="n"/>
      <c r="P197" s="30" t="n"/>
      <c r="Q197" s="31" t="n"/>
      <c r="R197" s="31" t="n"/>
      <c r="S197" s="31" t="n"/>
      <c r="T197" s="31" t="n"/>
      <c r="U197" s="30" t="n"/>
      <c r="V197" s="31" t="n"/>
      <c r="W197" s="31" t="n"/>
      <c r="X197" s="31" t="n"/>
      <c r="Y197" s="31" t="n"/>
      <c r="Z197" s="31" t="n"/>
      <c r="AA197" s="31" t="n"/>
      <c r="AB197" s="31" t="n"/>
      <c r="AC197" s="31" t="n"/>
      <c r="AD197" s="31" t="n"/>
      <c r="AE197" s="31" t="n"/>
      <c r="AF197" s="27">
        <f>IF(NOT(COUNTA(A197:AE197)&gt;0),"",IF(A197="","New client","Update"))</f>
        <v/>
      </c>
      <c r="AG197" s="27">
        <f>IF(AO197&lt;&gt;"",AO197,IF(LEN(AN197)=15,MID(AN197,3,10),""))</f>
        <v/>
      </c>
      <c r="AH197" s="27">
        <f>IF(AP197="","",AP197&amp;IF(D197="","  (guessed from PAN)",""))</f>
        <v/>
      </c>
      <c r="AI197" s="27">
        <f>IF(AN197="","",IFERROR(INDEX(Lists!$L$2:$L$38,MATCH(LEFT(AN197,2),Lists!$K$2:$K$38,0)),"Unknown code"))</f>
        <v/>
      </c>
      <c r="AJ197" s="27">
        <f>IF(AN197="","",IFERROR(IF(NOT(AND(LEN(AN197)=15,ISNUMBER(MATCH(LEFT(AN197,2),Lists!$K$2:$K$38,0)),SUMPRODUCT(--ISERROR(FIND(MID(MID(AN197,3,10),{1,2,3,4,5,10},1),"ABCDEFGHIJKLMNOPQRSTUVWXYZ")))=0,SUMPRODUCT(--ISERROR(FIND(MID(MID(AN197,3,10),{6,7,8,9},1),"0123456789")))=0,ISNUMBER(FIND(MID(AN197,13,1),"123456789ABCDEFGHIJKLMNOPQRSTUVWXYZ")),MID(AN197,14,1)="Z")),"Wrong format",IF(MID("0123456789ABCDEFGHIJKLMNOPQRSTUVWXYZ",MOD(36-MOD(SUMPRODUCT(INT((FIND(MID(AN197,{1,2,3,4,5,6,7,8,9,10,11,12,13,14},1),"0123456789ABCDEFGHIJKLMNOPQRSTUVWXYZ")-1)*{1,2,1,2,1,2,1,2,1,2,1,2,1,2}/36)+MOD((FIND(MID(AN197,{1,2,3,4,5,6,7,8,9,10,11,12,13,14},1),"0123456789ABCDEFGHIJKLMNOPQRSTUVWXYZ")-1)*{1,2,1,2,1,2,1,2,1,2,1,2,1,2},36)),36),36)+1,1)=MID(AN197,15,1),"OK","Typo? check digit wrong")),"Wrong format"))</f>
        <v/>
      </c>
      <c r="AK197" s="27">
        <f>IF(AO197="","",IF(AND(LEN(AO197)=10,SUMPRODUCT(--ISERROR(FIND(MID(AO197,{1,2,3,4,5,10},1),"ABCDEFGHIJKLMNOPQRSTUVWXYZ")))=0,SUMPRODUCT(--ISERROR(FIND(MID(AO197,{6,7,8,9},1),"0123456789")))=0),"OK","Wrong format"))</f>
        <v/>
      </c>
      <c r="AL197" s="27">
        <f>IF(TRIM(H197)="","",IF(AND(LEN(UPPER(TRIM(H197)))=10,SUMPRODUCT(--ISERROR(FIND(MID(UPPER(TRIM(H197)),{1,2,3,4,10},1),"ABCDEFGHIJKLMNOPQRSTUVWXYZ")))=0,SUMPRODUCT(--ISERROR(FIND(MID(UPPER(TRIM(H197)),{5,6,7,8,9},1),"0123456789")))=0),"OK","Wrong format"))</f>
        <v/>
      </c>
      <c r="AM197" s="28">
        <f>IF(NOT(COUNTA(A197:AE197)&gt;0),"",IF(AS197&lt;&gt;"","✖ "&amp;LEFT(AS197,LEN(AS197)-2),IF(AR197&gt;0,"✔ Ready — client + "&amp;AR197&amp;" service(s)","✔ Ready — client only")))</f>
        <v/>
      </c>
      <c r="AN197" s="29">
        <f>UPPER(SUBSTITUTE(TRIM(F197)," ",""))</f>
        <v/>
      </c>
      <c r="AO197" s="29">
        <f>UPPER(SUBSTITUTE(TRIM(E197)," ",""))</f>
        <v/>
      </c>
      <c r="AP197" s="29">
        <f>IF(D197&lt;&gt;"",D197,IFERROR(VLOOKUP(MID(AG197,4,1),Lists!$E$2:$F$8,2,FALSE),""))</f>
        <v/>
      </c>
      <c r="AQ197" s="29">
        <f>IFERROR(VLOOKUP(AP197,Lists!$A$2:$C$12,3,FALSE),"")</f>
        <v/>
      </c>
      <c r="AR197" s="29">
        <f>COUNTIF(W197:AC197,"Yes")</f>
        <v/>
      </c>
      <c r="AS197" s="29">
        <f>IF(TRIM(B197)="","Legal name missing; ","")&amp;IF(AND(AJ197&lt;&gt;"",AJ197&lt;&gt;"OK"),"GSTIN: "&amp;AJ197&amp;"; ","")&amp;IF(AND(AK197&lt;&gt;"",AK197&lt;&gt;"OK"),"PAN wrong format; ","")&amp;IF(AND(AO197&lt;&gt;"",LEN(AN197)=15,MID(AN197,3,10)&lt;&gt;AO197),"PAN does not match GSTIN; ","")&amp;IF(AND(AL197&lt;&gt;"",AL197&lt;&gt;"OK"),"TAN wrong format; ","")&amp;IF(AG197="","PAN missing; ","")&amp;IF(AP197="","Entity type missing; ","")&amp;IF(AND(AN197&lt;&gt;"",COUNTIF($AN$6:$AN$1005,AN197)&gt;1),"GSTIN repeated in this sheet; ","")&amp;IF(AND(AG197&lt;&gt;"",COUNTIF($AG$6:$AG$1005,AG197)&gt;1),"PAN repeated in this sheet (same client? put extra GSTINs in Other GSTINs); ","")&amp;IF(AND(AR197&gt;0,V197=""),"Financial year missing; ","")&amp;IF(AND(AR197=0,V197&lt;&gt;""),"Financial year given but no service is Yes; ","")&amp;IF(AND(W197="Yes",AN197=""),"GST needs a GSTIN; ","")&amp;IF(AND(W197="Yes",X197=""),"GST return frequency missing; ","")&amp;IF(AND(Y197="Yes",TRIM(H197)=""),"TDS needs a TAN; ","")&amp;IF(AND(AA197="Yes",AQ197&lt;&gt;"",AQ197&lt;&gt;"company",AQ197&lt;&gt;"llp"),"ROC is only for a company / LLP; ","")&amp;IF(AND(AA197="Yes",OR(AQ197="company",AQ197="llp"),TRIM(I197)=""),"ROC needs the CIN / LLPIN; ","")</f>
        <v/>
      </c>
    </row>
    <row r="198">
      <c r="A198" s="30" t="n"/>
      <c r="B198" s="31" t="n"/>
      <c r="C198" s="31" t="n"/>
      <c r="D198" s="31" t="n"/>
      <c r="E198" s="30" t="n"/>
      <c r="F198" s="30" t="n"/>
      <c r="G198" s="30" t="n"/>
      <c r="H198" s="30" t="n"/>
      <c r="I198" s="30" t="n"/>
      <c r="J198" s="32" t="n"/>
      <c r="K198" s="31" t="n"/>
      <c r="L198" s="30" t="n"/>
      <c r="M198" s="31" t="n"/>
      <c r="N198" s="31" t="n"/>
      <c r="O198" s="31" t="n"/>
      <c r="P198" s="30" t="n"/>
      <c r="Q198" s="31" t="n"/>
      <c r="R198" s="31" t="n"/>
      <c r="S198" s="31" t="n"/>
      <c r="T198" s="31" t="n"/>
      <c r="U198" s="30" t="n"/>
      <c r="V198" s="31" t="n"/>
      <c r="W198" s="31" t="n"/>
      <c r="X198" s="31" t="n"/>
      <c r="Y198" s="31" t="n"/>
      <c r="Z198" s="31" t="n"/>
      <c r="AA198" s="31" t="n"/>
      <c r="AB198" s="31" t="n"/>
      <c r="AC198" s="31" t="n"/>
      <c r="AD198" s="31" t="n"/>
      <c r="AE198" s="31" t="n"/>
      <c r="AF198" s="27">
        <f>IF(NOT(COUNTA(A198:AE198)&gt;0),"",IF(A198="","New client","Update"))</f>
        <v/>
      </c>
      <c r="AG198" s="27">
        <f>IF(AO198&lt;&gt;"",AO198,IF(LEN(AN198)=15,MID(AN198,3,10),""))</f>
        <v/>
      </c>
      <c r="AH198" s="27">
        <f>IF(AP198="","",AP198&amp;IF(D198="","  (guessed from PAN)",""))</f>
        <v/>
      </c>
      <c r="AI198" s="27">
        <f>IF(AN198="","",IFERROR(INDEX(Lists!$L$2:$L$38,MATCH(LEFT(AN198,2),Lists!$K$2:$K$38,0)),"Unknown code"))</f>
        <v/>
      </c>
      <c r="AJ198" s="27">
        <f>IF(AN198="","",IFERROR(IF(NOT(AND(LEN(AN198)=15,ISNUMBER(MATCH(LEFT(AN198,2),Lists!$K$2:$K$38,0)),SUMPRODUCT(--ISERROR(FIND(MID(MID(AN198,3,10),{1,2,3,4,5,10},1),"ABCDEFGHIJKLMNOPQRSTUVWXYZ")))=0,SUMPRODUCT(--ISERROR(FIND(MID(MID(AN198,3,10),{6,7,8,9},1),"0123456789")))=0,ISNUMBER(FIND(MID(AN198,13,1),"123456789ABCDEFGHIJKLMNOPQRSTUVWXYZ")),MID(AN198,14,1)="Z")),"Wrong format",IF(MID("0123456789ABCDEFGHIJKLMNOPQRSTUVWXYZ",MOD(36-MOD(SUMPRODUCT(INT((FIND(MID(AN198,{1,2,3,4,5,6,7,8,9,10,11,12,13,14},1),"0123456789ABCDEFGHIJKLMNOPQRSTUVWXYZ")-1)*{1,2,1,2,1,2,1,2,1,2,1,2,1,2}/36)+MOD((FIND(MID(AN198,{1,2,3,4,5,6,7,8,9,10,11,12,13,14},1),"0123456789ABCDEFGHIJKLMNOPQRSTUVWXYZ")-1)*{1,2,1,2,1,2,1,2,1,2,1,2,1,2},36)),36),36)+1,1)=MID(AN198,15,1),"OK","Typo? check digit wrong")),"Wrong format"))</f>
        <v/>
      </c>
      <c r="AK198" s="27">
        <f>IF(AO198="","",IF(AND(LEN(AO198)=10,SUMPRODUCT(--ISERROR(FIND(MID(AO198,{1,2,3,4,5,10},1),"ABCDEFGHIJKLMNOPQRSTUVWXYZ")))=0,SUMPRODUCT(--ISERROR(FIND(MID(AO198,{6,7,8,9},1),"0123456789")))=0),"OK","Wrong format"))</f>
        <v/>
      </c>
      <c r="AL198" s="27">
        <f>IF(TRIM(H198)="","",IF(AND(LEN(UPPER(TRIM(H198)))=10,SUMPRODUCT(--ISERROR(FIND(MID(UPPER(TRIM(H198)),{1,2,3,4,10},1),"ABCDEFGHIJKLMNOPQRSTUVWXYZ")))=0,SUMPRODUCT(--ISERROR(FIND(MID(UPPER(TRIM(H198)),{5,6,7,8,9},1),"0123456789")))=0),"OK","Wrong format"))</f>
        <v/>
      </c>
      <c r="AM198" s="28">
        <f>IF(NOT(COUNTA(A198:AE198)&gt;0),"",IF(AS198&lt;&gt;"","✖ "&amp;LEFT(AS198,LEN(AS198)-2),IF(AR198&gt;0,"✔ Ready — client + "&amp;AR198&amp;" service(s)","✔ Ready — client only")))</f>
        <v/>
      </c>
      <c r="AN198" s="29">
        <f>UPPER(SUBSTITUTE(TRIM(F198)," ",""))</f>
        <v/>
      </c>
      <c r="AO198" s="29">
        <f>UPPER(SUBSTITUTE(TRIM(E198)," ",""))</f>
        <v/>
      </c>
      <c r="AP198" s="29">
        <f>IF(D198&lt;&gt;"",D198,IFERROR(VLOOKUP(MID(AG198,4,1),Lists!$E$2:$F$8,2,FALSE),""))</f>
        <v/>
      </c>
      <c r="AQ198" s="29">
        <f>IFERROR(VLOOKUP(AP198,Lists!$A$2:$C$12,3,FALSE),"")</f>
        <v/>
      </c>
      <c r="AR198" s="29">
        <f>COUNTIF(W198:AC198,"Yes")</f>
        <v/>
      </c>
      <c r="AS198" s="29">
        <f>IF(TRIM(B198)="","Legal name missing; ","")&amp;IF(AND(AJ198&lt;&gt;"",AJ198&lt;&gt;"OK"),"GSTIN: "&amp;AJ198&amp;"; ","")&amp;IF(AND(AK198&lt;&gt;"",AK198&lt;&gt;"OK"),"PAN wrong format; ","")&amp;IF(AND(AO198&lt;&gt;"",LEN(AN198)=15,MID(AN198,3,10)&lt;&gt;AO198),"PAN does not match GSTIN; ","")&amp;IF(AND(AL198&lt;&gt;"",AL198&lt;&gt;"OK"),"TAN wrong format; ","")&amp;IF(AG198="","PAN missing; ","")&amp;IF(AP198="","Entity type missing; ","")&amp;IF(AND(AN198&lt;&gt;"",COUNTIF($AN$6:$AN$1005,AN198)&gt;1),"GSTIN repeated in this sheet; ","")&amp;IF(AND(AG198&lt;&gt;"",COUNTIF($AG$6:$AG$1005,AG198)&gt;1),"PAN repeated in this sheet (same client? put extra GSTINs in Other GSTINs); ","")&amp;IF(AND(AR198&gt;0,V198=""),"Financial year missing; ","")&amp;IF(AND(AR198=0,V198&lt;&gt;""),"Financial year given but no service is Yes; ","")&amp;IF(AND(W198="Yes",AN198=""),"GST needs a GSTIN; ","")&amp;IF(AND(W198="Yes",X198=""),"GST return frequency missing; ","")&amp;IF(AND(Y198="Yes",TRIM(H198)=""),"TDS needs a TAN; ","")&amp;IF(AND(AA198="Yes",AQ198&lt;&gt;"",AQ198&lt;&gt;"company",AQ198&lt;&gt;"llp"),"ROC is only for a company / LLP; ","")&amp;IF(AND(AA198="Yes",OR(AQ198="company",AQ198="llp"),TRIM(I198)=""),"ROC needs the CIN / LLPIN; ","")</f>
        <v/>
      </c>
    </row>
    <row r="199">
      <c r="A199" s="30" t="n"/>
      <c r="B199" s="31" t="n"/>
      <c r="C199" s="31" t="n"/>
      <c r="D199" s="31" t="n"/>
      <c r="E199" s="30" t="n"/>
      <c r="F199" s="30" t="n"/>
      <c r="G199" s="30" t="n"/>
      <c r="H199" s="30" t="n"/>
      <c r="I199" s="30" t="n"/>
      <c r="J199" s="32" t="n"/>
      <c r="K199" s="31" t="n"/>
      <c r="L199" s="30" t="n"/>
      <c r="M199" s="31" t="n"/>
      <c r="N199" s="31" t="n"/>
      <c r="O199" s="31" t="n"/>
      <c r="P199" s="30" t="n"/>
      <c r="Q199" s="31" t="n"/>
      <c r="R199" s="31" t="n"/>
      <c r="S199" s="31" t="n"/>
      <c r="T199" s="31" t="n"/>
      <c r="U199" s="30" t="n"/>
      <c r="V199" s="31" t="n"/>
      <c r="W199" s="31" t="n"/>
      <c r="X199" s="31" t="n"/>
      <c r="Y199" s="31" t="n"/>
      <c r="Z199" s="31" t="n"/>
      <c r="AA199" s="31" t="n"/>
      <c r="AB199" s="31" t="n"/>
      <c r="AC199" s="31" t="n"/>
      <c r="AD199" s="31" t="n"/>
      <c r="AE199" s="31" t="n"/>
      <c r="AF199" s="27">
        <f>IF(NOT(COUNTA(A199:AE199)&gt;0),"",IF(A199="","New client","Update"))</f>
        <v/>
      </c>
      <c r="AG199" s="27">
        <f>IF(AO199&lt;&gt;"",AO199,IF(LEN(AN199)=15,MID(AN199,3,10),""))</f>
        <v/>
      </c>
      <c r="AH199" s="27">
        <f>IF(AP199="","",AP199&amp;IF(D199="","  (guessed from PAN)",""))</f>
        <v/>
      </c>
      <c r="AI199" s="27">
        <f>IF(AN199="","",IFERROR(INDEX(Lists!$L$2:$L$38,MATCH(LEFT(AN199,2),Lists!$K$2:$K$38,0)),"Unknown code"))</f>
        <v/>
      </c>
      <c r="AJ199" s="27">
        <f>IF(AN199="","",IFERROR(IF(NOT(AND(LEN(AN199)=15,ISNUMBER(MATCH(LEFT(AN199,2),Lists!$K$2:$K$38,0)),SUMPRODUCT(--ISERROR(FIND(MID(MID(AN199,3,10),{1,2,3,4,5,10},1),"ABCDEFGHIJKLMNOPQRSTUVWXYZ")))=0,SUMPRODUCT(--ISERROR(FIND(MID(MID(AN199,3,10),{6,7,8,9},1),"0123456789")))=0,ISNUMBER(FIND(MID(AN199,13,1),"123456789ABCDEFGHIJKLMNOPQRSTUVWXYZ")),MID(AN199,14,1)="Z")),"Wrong format",IF(MID("0123456789ABCDEFGHIJKLMNOPQRSTUVWXYZ",MOD(36-MOD(SUMPRODUCT(INT((FIND(MID(AN199,{1,2,3,4,5,6,7,8,9,10,11,12,13,14},1),"0123456789ABCDEFGHIJKLMNOPQRSTUVWXYZ")-1)*{1,2,1,2,1,2,1,2,1,2,1,2,1,2}/36)+MOD((FIND(MID(AN199,{1,2,3,4,5,6,7,8,9,10,11,12,13,14},1),"0123456789ABCDEFGHIJKLMNOPQRSTUVWXYZ")-1)*{1,2,1,2,1,2,1,2,1,2,1,2,1,2},36)),36),36)+1,1)=MID(AN199,15,1),"OK","Typo? check digit wrong")),"Wrong format"))</f>
        <v/>
      </c>
      <c r="AK199" s="27">
        <f>IF(AO199="","",IF(AND(LEN(AO199)=10,SUMPRODUCT(--ISERROR(FIND(MID(AO199,{1,2,3,4,5,10},1),"ABCDEFGHIJKLMNOPQRSTUVWXYZ")))=0,SUMPRODUCT(--ISERROR(FIND(MID(AO199,{6,7,8,9},1),"0123456789")))=0),"OK","Wrong format"))</f>
        <v/>
      </c>
      <c r="AL199" s="27">
        <f>IF(TRIM(H199)="","",IF(AND(LEN(UPPER(TRIM(H199)))=10,SUMPRODUCT(--ISERROR(FIND(MID(UPPER(TRIM(H199)),{1,2,3,4,10},1),"ABCDEFGHIJKLMNOPQRSTUVWXYZ")))=0,SUMPRODUCT(--ISERROR(FIND(MID(UPPER(TRIM(H199)),{5,6,7,8,9},1),"0123456789")))=0),"OK","Wrong format"))</f>
        <v/>
      </c>
      <c r="AM199" s="28">
        <f>IF(NOT(COUNTA(A199:AE199)&gt;0),"",IF(AS199&lt;&gt;"","✖ "&amp;LEFT(AS199,LEN(AS199)-2),IF(AR199&gt;0,"✔ Ready — client + "&amp;AR199&amp;" service(s)","✔ Ready — client only")))</f>
        <v/>
      </c>
      <c r="AN199" s="29">
        <f>UPPER(SUBSTITUTE(TRIM(F199)," ",""))</f>
        <v/>
      </c>
      <c r="AO199" s="29">
        <f>UPPER(SUBSTITUTE(TRIM(E199)," ",""))</f>
        <v/>
      </c>
      <c r="AP199" s="29">
        <f>IF(D199&lt;&gt;"",D199,IFERROR(VLOOKUP(MID(AG199,4,1),Lists!$E$2:$F$8,2,FALSE),""))</f>
        <v/>
      </c>
      <c r="AQ199" s="29">
        <f>IFERROR(VLOOKUP(AP199,Lists!$A$2:$C$12,3,FALSE),"")</f>
        <v/>
      </c>
      <c r="AR199" s="29">
        <f>COUNTIF(W199:AC199,"Yes")</f>
        <v/>
      </c>
      <c r="AS199" s="29">
        <f>IF(TRIM(B199)="","Legal name missing; ","")&amp;IF(AND(AJ199&lt;&gt;"",AJ199&lt;&gt;"OK"),"GSTIN: "&amp;AJ199&amp;"; ","")&amp;IF(AND(AK199&lt;&gt;"",AK199&lt;&gt;"OK"),"PAN wrong format; ","")&amp;IF(AND(AO199&lt;&gt;"",LEN(AN199)=15,MID(AN199,3,10)&lt;&gt;AO199),"PAN does not match GSTIN; ","")&amp;IF(AND(AL199&lt;&gt;"",AL199&lt;&gt;"OK"),"TAN wrong format; ","")&amp;IF(AG199="","PAN missing; ","")&amp;IF(AP199="","Entity type missing; ","")&amp;IF(AND(AN199&lt;&gt;"",COUNTIF($AN$6:$AN$1005,AN199)&gt;1),"GSTIN repeated in this sheet; ","")&amp;IF(AND(AG199&lt;&gt;"",COUNTIF($AG$6:$AG$1005,AG199)&gt;1),"PAN repeated in this sheet (same client? put extra GSTINs in Other GSTINs); ","")&amp;IF(AND(AR199&gt;0,V199=""),"Financial year missing; ","")&amp;IF(AND(AR199=0,V199&lt;&gt;""),"Financial year given but no service is Yes; ","")&amp;IF(AND(W199="Yes",AN199=""),"GST needs a GSTIN; ","")&amp;IF(AND(W199="Yes",X199=""),"GST return frequency missing; ","")&amp;IF(AND(Y199="Yes",TRIM(H199)=""),"TDS needs a TAN; ","")&amp;IF(AND(AA199="Yes",AQ199&lt;&gt;"",AQ199&lt;&gt;"company",AQ199&lt;&gt;"llp"),"ROC is only for a company / LLP; ","")&amp;IF(AND(AA199="Yes",OR(AQ199="company",AQ199="llp"),TRIM(I199)=""),"ROC needs the CIN / LLPIN; ","")</f>
        <v/>
      </c>
    </row>
    <row r="200">
      <c r="A200" s="30" t="n"/>
      <c r="B200" s="31" t="n"/>
      <c r="C200" s="31" t="n"/>
      <c r="D200" s="31" t="n"/>
      <c r="E200" s="30" t="n"/>
      <c r="F200" s="30" t="n"/>
      <c r="G200" s="30" t="n"/>
      <c r="H200" s="30" t="n"/>
      <c r="I200" s="30" t="n"/>
      <c r="J200" s="32" t="n"/>
      <c r="K200" s="31" t="n"/>
      <c r="L200" s="30" t="n"/>
      <c r="M200" s="31" t="n"/>
      <c r="N200" s="31" t="n"/>
      <c r="O200" s="31" t="n"/>
      <c r="P200" s="30" t="n"/>
      <c r="Q200" s="31" t="n"/>
      <c r="R200" s="31" t="n"/>
      <c r="S200" s="31" t="n"/>
      <c r="T200" s="31" t="n"/>
      <c r="U200" s="30" t="n"/>
      <c r="V200" s="31" t="n"/>
      <c r="W200" s="31" t="n"/>
      <c r="X200" s="31" t="n"/>
      <c r="Y200" s="31" t="n"/>
      <c r="Z200" s="31" t="n"/>
      <c r="AA200" s="31" t="n"/>
      <c r="AB200" s="31" t="n"/>
      <c r="AC200" s="31" t="n"/>
      <c r="AD200" s="31" t="n"/>
      <c r="AE200" s="31" t="n"/>
      <c r="AF200" s="27">
        <f>IF(NOT(COUNTA(A200:AE200)&gt;0),"",IF(A200="","New client","Update"))</f>
        <v/>
      </c>
      <c r="AG200" s="27">
        <f>IF(AO200&lt;&gt;"",AO200,IF(LEN(AN200)=15,MID(AN200,3,10),""))</f>
        <v/>
      </c>
      <c r="AH200" s="27">
        <f>IF(AP200="","",AP200&amp;IF(D200="","  (guessed from PAN)",""))</f>
        <v/>
      </c>
      <c r="AI200" s="27">
        <f>IF(AN200="","",IFERROR(INDEX(Lists!$L$2:$L$38,MATCH(LEFT(AN200,2),Lists!$K$2:$K$38,0)),"Unknown code"))</f>
        <v/>
      </c>
      <c r="AJ200" s="27">
        <f>IF(AN200="","",IFERROR(IF(NOT(AND(LEN(AN200)=15,ISNUMBER(MATCH(LEFT(AN200,2),Lists!$K$2:$K$38,0)),SUMPRODUCT(--ISERROR(FIND(MID(MID(AN200,3,10),{1,2,3,4,5,10},1),"ABCDEFGHIJKLMNOPQRSTUVWXYZ")))=0,SUMPRODUCT(--ISERROR(FIND(MID(MID(AN200,3,10),{6,7,8,9},1),"0123456789")))=0,ISNUMBER(FIND(MID(AN200,13,1),"123456789ABCDEFGHIJKLMNOPQRSTUVWXYZ")),MID(AN200,14,1)="Z")),"Wrong format",IF(MID("0123456789ABCDEFGHIJKLMNOPQRSTUVWXYZ",MOD(36-MOD(SUMPRODUCT(INT((FIND(MID(AN200,{1,2,3,4,5,6,7,8,9,10,11,12,13,14},1),"0123456789ABCDEFGHIJKLMNOPQRSTUVWXYZ")-1)*{1,2,1,2,1,2,1,2,1,2,1,2,1,2}/36)+MOD((FIND(MID(AN200,{1,2,3,4,5,6,7,8,9,10,11,12,13,14},1),"0123456789ABCDEFGHIJKLMNOPQRSTUVWXYZ")-1)*{1,2,1,2,1,2,1,2,1,2,1,2,1,2},36)),36),36)+1,1)=MID(AN200,15,1),"OK","Typo? check digit wrong")),"Wrong format"))</f>
        <v/>
      </c>
      <c r="AK200" s="27">
        <f>IF(AO200="","",IF(AND(LEN(AO200)=10,SUMPRODUCT(--ISERROR(FIND(MID(AO200,{1,2,3,4,5,10},1),"ABCDEFGHIJKLMNOPQRSTUVWXYZ")))=0,SUMPRODUCT(--ISERROR(FIND(MID(AO200,{6,7,8,9},1),"0123456789")))=0),"OK","Wrong format"))</f>
        <v/>
      </c>
      <c r="AL200" s="27">
        <f>IF(TRIM(H200)="","",IF(AND(LEN(UPPER(TRIM(H200)))=10,SUMPRODUCT(--ISERROR(FIND(MID(UPPER(TRIM(H200)),{1,2,3,4,10},1),"ABCDEFGHIJKLMNOPQRSTUVWXYZ")))=0,SUMPRODUCT(--ISERROR(FIND(MID(UPPER(TRIM(H200)),{5,6,7,8,9},1),"0123456789")))=0),"OK","Wrong format"))</f>
        <v/>
      </c>
      <c r="AM200" s="28">
        <f>IF(NOT(COUNTA(A200:AE200)&gt;0),"",IF(AS200&lt;&gt;"","✖ "&amp;LEFT(AS200,LEN(AS200)-2),IF(AR200&gt;0,"✔ Ready — client + "&amp;AR200&amp;" service(s)","✔ Ready — client only")))</f>
        <v/>
      </c>
      <c r="AN200" s="29">
        <f>UPPER(SUBSTITUTE(TRIM(F200)," ",""))</f>
        <v/>
      </c>
      <c r="AO200" s="29">
        <f>UPPER(SUBSTITUTE(TRIM(E200)," ",""))</f>
        <v/>
      </c>
      <c r="AP200" s="29">
        <f>IF(D200&lt;&gt;"",D200,IFERROR(VLOOKUP(MID(AG200,4,1),Lists!$E$2:$F$8,2,FALSE),""))</f>
        <v/>
      </c>
      <c r="AQ200" s="29">
        <f>IFERROR(VLOOKUP(AP200,Lists!$A$2:$C$12,3,FALSE),"")</f>
        <v/>
      </c>
      <c r="AR200" s="29">
        <f>COUNTIF(W200:AC200,"Yes")</f>
        <v/>
      </c>
      <c r="AS200" s="29">
        <f>IF(TRIM(B200)="","Legal name missing; ","")&amp;IF(AND(AJ200&lt;&gt;"",AJ200&lt;&gt;"OK"),"GSTIN: "&amp;AJ200&amp;"; ","")&amp;IF(AND(AK200&lt;&gt;"",AK200&lt;&gt;"OK"),"PAN wrong format; ","")&amp;IF(AND(AO200&lt;&gt;"",LEN(AN200)=15,MID(AN200,3,10)&lt;&gt;AO200),"PAN does not match GSTIN; ","")&amp;IF(AND(AL200&lt;&gt;"",AL200&lt;&gt;"OK"),"TAN wrong format; ","")&amp;IF(AG200="","PAN missing; ","")&amp;IF(AP200="","Entity type missing; ","")&amp;IF(AND(AN200&lt;&gt;"",COUNTIF($AN$6:$AN$1005,AN200)&gt;1),"GSTIN repeated in this sheet; ","")&amp;IF(AND(AG200&lt;&gt;"",COUNTIF($AG$6:$AG$1005,AG200)&gt;1),"PAN repeated in this sheet (same client? put extra GSTINs in Other GSTINs); ","")&amp;IF(AND(AR200&gt;0,V200=""),"Financial year missing; ","")&amp;IF(AND(AR200=0,V200&lt;&gt;""),"Financial year given but no service is Yes; ","")&amp;IF(AND(W200="Yes",AN200=""),"GST needs a GSTIN; ","")&amp;IF(AND(W200="Yes",X200=""),"GST return frequency missing; ","")&amp;IF(AND(Y200="Yes",TRIM(H200)=""),"TDS needs a TAN; ","")&amp;IF(AND(AA200="Yes",AQ200&lt;&gt;"",AQ200&lt;&gt;"company",AQ200&lt;&gt;"llp"),"ROC is only for a company / LLP; ","")&amp;IF(AND(AA200="Yes",OR(AQ200="company",AQ200="llp"),TRIM(I200)=""),"ROC needs the CIN / LLPIN; ","")</f>
        <v/>
      </c>
    </row>
    <row r="201">
      <c r="A201" s="30" t="n"/>
      <c r="B201" s="31" t="n"/>
      <c r="C201" s="31" t="n"/>
      <c r="D201" s="31" t="n"/>
      <c r="E201" s="30" t="n"/>
      <c r="F201" s="30" t="n"/>
      <c r="G201" s="30" t="n"/>
      <c r="H201" s="30" t="n"/>
      <c r="I201" s="30" t="n"/>
      <c r="J201" s="32" t="n"/>
      <c r="K201" s="31" t="n"/>
      <c r="L201" s="30" t="n"/>
      <c r="M201" s="31" t="n"/>
      <c r="N201" s="31" t="n"/>
      <c r="O201" s="31" t="n"/>
      <c r="P201" s="30" t="n"/>
      <c r="Q201" s="31" t="n"/>
      <c r="R201" s="31" t="n"/>
      <c r="S201" s="31" t="n"/>
      <c r="T201" s="31" t="n"/>
      <c r="U201" s="30" t="n"/>
      <c r="V201" s="31" t="n"/>
      <c r="W201" s="31" t="n"/>
      <c r="X201" s="31" t="n"/>
      <c r="Y201" s="31" t="n"/>
      <c r="Z201" s="31" t="n"/>
      <c r="AA201" s="31" t="n"/>
      <c r="AB201" s="31" t="n"/>
      <c r="AC201" s="31" t="n"/>
      <c r="AD201" s="31" t="n"/>
      <c r="AE201" s="31" t="n"/>
      <c r="AF201" s="27">
        <f>IF(NOT(COUNTA(A201:AE201)&gt;0),"",IF(A201="","New client","Update"))</f>
        <v/>
      </c>
      <c r="AG201" s="27">
        <f>IF(AO201&lt;&gt;"",AO201,IF(LEN(AN201)=15,MID(AN201,3,10),""))</f>
        <v/>
      </c>
      <c r="AH201" s="27">
        <f>IF(AP201="","",AP201&amp;IF(D201="","  (guessed from PAN)",""))</f>
        <v/>
      </c>
      <c r="AI201" s="27">
        <f>IF(AN201="","",IFERROR(INDEX(Lists!$L$2:$L$38,MATCH(LEFT(AN201,2),Lists!$K$2:$K$38,0)),"Unknown code"))</f>
        <v/>
      </c>
      <c r="AJ201" s="27">
        <f>IF(AN201="","",IFERROR(IF(NOT(AND(LEN(AN201)=15,ISNUMBER(MATCH(LEFT(AN201,2),Lists!$K$2:$K$38,0)),SUMPRODUCT(--ISERROR(FIND(MID(MID(AN201,3,10),{1,2,3,4,5,10},1),"ABCDEFGHIJKLMNOPQRSTUVWXYZ")))=0,SUMPRODUCT(--ISERROR(FIND(MID(MID(AN201,3,10),{6,7,8,9},1),"0123456789")))=0,ISNUMBER(FIND(MID(AN201,13,1),"123456789ABCDEFGHIJKLMNOPQRSTUVWXYZ")),MID(AN201,14,1)="Z")),"Wrong format",IF(MID("0123456789ABCDEFGHIJKLMNOPQRSTUVWXYZ",MOD(36-MOD(SUMPRODUCT(INT((FIND(MID(AN201,{1,2,3,4,5,6,7,8,9,10,11,12,13,14},1),"0123456789ABCDEFGHIJKLMNOPQRSTUVWXYZ")-1)*{1,2,1,2,1,2,1,2,1,2,1,2,1,2}/36)+MOD((FIND(MID(AN201,{1,2,3,4,5,6,7,8,9,10,11,12,13,14},1),"0123456789ABCDEFGHIJKLMNOPQRSTUVWXYZ")-1)*{1,2,1,2,1,2,1,2,1,2,1,2,1,2},36)),36),36)+1,1)=MID(AN201,15,1),"OK","Typo? check digit wrong")),"Wrong format"))</f>
        <v/>
      </c>
      <c r="AK201" s="27">
        <f>IF(AO201="","",IF(AND(LEN(AO201)=10,SUMPRODUCT(--ISERROR(FIND(MID(AO201,{1,2,3,4,5,10},1),"ABCDEFGHIJKLMNOPQRSTUVWXYZ")))=0,SUMPRODUCT(--ISERROR(FIND(MID(AO201,{6,7,8,9},1),"0123456789")))=0),"OK","Wrong format"))</f>
        <v/>
      </c>
      <c r="AL201" s="27">
        <f>IF(TRIM(H201)="","",IF(AND(LEN(UPPER(TRIM(H201)))=10,SUMPRODUCT(--ISERROR(FIND(MID(UPPER(TRIM(H201)),{1,2,3,4,10},1),"ABCDEFGHIJKLMNOPQRSTUVWXYZ")))=0,SUMPRODUCT(--ISERROR(FIND(MID(UPPER(TRIM(H201)),{5,6,7,8,9},1),"0123456789")))=0),"OK","Wrong format"))</f>
        <v/>
      </c>
      <c r="AM201" s="28">
        <f>IF(NOT(COUNTA(A201:AE201)&gt;0),"",IF(AS201&lt;&gt;"","✖ "&amp;LEFT(AS201,LEN(AS201)-2),IF(AR201&gt;0,"✔ Ready — client + "&amp;AR201&amp;" service(s)","✔ Ready — client only")))</f>
        <v/>
      </c>
      <c r="AN201" s="29">
        <f>UPPER(SUBSTITUTE(TRIM(F201)," ",""))</f>
        <v/>
      </c>
      <c r="AO201" s="29">
        <f>UPPER(SUBSTITUTE(TRIM(E201)," ",""))</f>
        <v/>
      </c>
      <c r="AP201" s="29">
        <f>IF(D201&lt;&gt;"",D201,IFERROR(VLOOKUP(MID(AG201,4,1),Lists!$E$2:$F$8,2,FALSE),""))</f>
        <v/>
      </c>
      <c r="AQ201" s="29">
        <f>IFERROR(VLOOKUP(AP201,Lists!$A$2:$C$12,3,FALSE),"")</f>
        <v/>
      </c>
      <c r="AR201" s="29">
        <f>COUNTIF(W201:AC201,"Yes")</f>
        <v/>
      </c>
      <c r="AS201" s="29">
        <f>IF(TRIM(B201)="","Legal name missing; ","")&amp;IF(AND(AJ201&lt;&gt;"",AJ201&lt;&gt;"OK"),"GSTIN: "&amp;AJ201&amp;"; ","")&amp;IF(AND(AK201&lt;&gt;"",AK201&lt;&gt;"OK"),"PAN wrong format; ","")&amp;IF(AND(AO201&lt;&gt;"",LEN(AN201)=15,MID(AN201,3,10)&lt;&gt;AO201),"PAN does not match GSTIN; ","")&amp;IF(AND(AL201&lt;&gt;"",AL201&lt;&gt;"OK"),"TAN wrong format; ","")&amp;IF(AG201="","PAN missing; ","")&amp;IF(AP201="","Entity type missing; ","")&amp;IF(AND(AN201&lt;&gt;"",COUNTIF($AN$6:$AN$1005,AN201)&gt;1),"GSTIN repeated in this sheet; ","")&amp;IF(AND(AG201&lt;&gt;"",COUNTIF($AG$6:$AG$1005,AG201)&gt;1),"PAN repeated in this sheet (same client? put extra GSTINs in Other GSTINs); ","")&amp;IF(AND(AR201&gt;0,V201=""),"Financial year missing; ","")&amp;IF(AND(AR201=0,V201&lt;&gt;""),"Financial year given but no service is Yes; ","")&amp;IF(AND(W201="Yes",AN201=""),"GST needs a GSTIN; ","")&amp;IF(AND(W201="Yes",X201=""),"GST return frequency missing; ","")&amp;IF(AND(Y201="Yes",TRIM(H201)=""),"TDS needs a TAN; ","")&amp;IF(AND(AA201="Yes",AQ201&lt;&gt;"",AQ201&lt;&gt;"company",AQ201&lt;&gt;"llp"),"ROC is only for a company / LLP; ","")&amp;IF(AND(AA201="Yes",OR(AQ201="company",AQ201="llp"),TRIM(I201)=""),"ROC needs the CIN / LLPIN; ","")</f>
        <v/>
      </c>
    </row>
    <row r="202">
      <c r="A202" s="30" t="n"/>
      <c r="B202" s="31" t="n"/>
      <c r="C202" s="31" t="n"/>
      <c r="D202" s="31" t="n"/>
      <c r="E202" s="30" t="n"/>
      <c r="F202" s="30" t="n"/>
      <c r="G202" s="30" t="n"/>
      <c r="H202" s="30" t="n"/>
      <c r="I202" s="30" t="n"/>
      <c r="J202" s="32" t="n"/>
      <c r="K202" s="31" t="n"/>
      <c r="L202" s="30" t="n"/>
      <c r="M202" s="31" t="n"/>
      <c r="N202" s="31" t="n"/>
      <c r="O202" s="31" t="n"/>
      <c r="P202" s="30" t="n"/>
      <c r="Q202" s="31" t="n"/>
      <c r="R202" s="31" t="n"/>
      <c r="S202" s="31" t="n"/>
      <c r="T202" s="31" t="n"/>
      <c r="U202" s="30" t="n"/>
      <c r="V202" s="31" t="n"/>
      <c r="W202" s="31" t="n"/>
      <c r="X202" s="31" t="n"/>
      <c r="Y202" s="31" t="n"/>
      <c r="Z202" s="31" t="n"/>
      <c r="AA202" s="31" t="n"/>
      <c r="AB202" s="31" t="n"/>
      <c r="AC202" s="31" t="n"/>
      <c r="AD202" s="31" t="n"/>
      <c r="AE202" s="31" t="n"/>
      <c r="AF202" s="27">
        <f>IF(NOT(COUNTA(A202:AE202)&gt;0),"",IF(A202="","New client","Update"))</f>
        <v/>
      </c>
      <c r="AG202" s="27">
        <f>IF(AO202&lt;&gt;"",AO202,IF(LEN(AN202)=15,MID(AN202,3,10),""))</f>
        <v/>
      </c>
      <c r="AH202" s="27">
        <f>IF(AP202="","",AP202&amp;IF(D202="","  (guessed from PAN)",""))</f>
        <v/>
      </c>
      <c r="AI202" s="27">
        <f>IF(AN202="","",IFERROR(INDEX(Lists!$L$2:$L$38,MATCH(LEFT(AN202,2),Lists!$K$2:$K$38,0)),"Unknown code"))</f>
        <v/>
      </c>
      <c r="AJ202" s="27">
        <f>IF(AN202="","",IFERROR(IF(NOT(AND(LEN(AN202)=15,ISNUMBER(MATCH(LEFT(AN202,2),Lists!$K$2:$K$38,0)),SUMPRODUCT(--ISERROR(FIND(MID(MID(AN202,3,10),{1,2,3,4,5,10},1),"ABCDEFGHIJKLMNOPQRSTUVWXYZ")))=0,SUMPRODUCT(--ISERROR(FIND(MID(MID(AN202,3,10),{6,7,8,9},1),"0123456789")))=0,ISNUMBER(FIND(MID(AN202,13,1),"123456789ABCDEFGHIJKLMNOPQRSTUVWXYZ")),MID(AN202,14,1)="Z")),"Wrong format",IF(MID("0123456789ABCDEFGHIJKLMNOPQRSTUVWXYZ",MOD(36-MOD(SUMPRODUCT(INT((FIND(MID(AN202,{1,2,3,4,5,6,7,8,9,10,11,12,13,14},1),"0123456789ABCDEFGHIJKLMNOPQRSTUVWXYZ")-1)*{1,2,1,2,1,2,1,2,1,2,1,2,1,2}/36)+MOD((FIND(MID(AN202,{1,2,3,4,5,6,7,8,9,10,11,12,13,14},1),"0123456789ABCDEFGHIJKLMNOPQRSTUVWXYZ")-1)*{1,2,1,2,1,2,1,2,1,2,1,2,1,2},36)),36),36)+1,1)=MID(AN202,15,1),"OK","Typo? check digit wrong")),"Wrong format"))</f>
        <v/>
      </c>
      <c r="AK202" s="27">
        <f>IF(AO202="","",IF(AND(LEN(AO202)=10,SUMPRODUCT(--ISERROR(FIND(MID(AO202,{1,2,3,4,5,10},1),"ABCDEFGHIJKLMNOPQRSTUVWXYZ")))=0,SUMPRODUCT(--ISERROR(FIND(MID(AO202,{6,7,8,9},1),"0123456789")))=0),"OK","Wrong format"))</f>
        <v/>
      </c>
      <c r="AL202" s="27">
        <f>IF(TRIM(H202)="","",IF(AND(LEN(UPPER(TRIM(H202)))=10,SUMPRODUCT(--ISERROR(FIND(MID(UPPER(TRIM(H202)),{1,2,3,4,10},1),"ABCDEFGHIJKLMNOPQRSTUVWXYZ")))=0,SUMPRODUCT(--ISERROR(FIND(MID(UPPER(TRIM(H202)),{5,6,7,8,9},1),"0123456789")))=0),"OK","Wrong format"))</f>
        <v/>
      </c>
      <c r="AM202" s="28">
        <f>IF(NOT(COUNTA(A202:AE202)&gt;0),"",IF(AS202&lt;&gt;"","✖ "&amp;LEFT(AS202,LEN(AS202)-2),IF(AR202&gt;0,"✔ Ready — client + "&amp;AR202&amp;" service(s)","✔ Ready — client only")))</f>
        <v/>
      </c>
      <c r="AN202" s="29">
        <f>UPPER(SUBSTITUTE(TRIM(F202)," ",""))</f>
        <v/>
      </c>
      <c r="AO202" s="29">
        <f>UPPER(SUBSTITUTE(TRIM(E202)," ",""))</f>
        <v/>
      </c>
      <c r="AP202" s="29">
        <f>IF(D202&lt;&gt;"",D202,IFERROR(VLOOKUP(MID(AG202,4,1),Lists!$E$2:$F$8,2,FALSE),""))</f>
        <v/>
      </c>
      <c r="AQ202" s="29">
        <f>IFERROR(VLOOKUP(AP202,Lists!$A$2:$C$12,3,FALSE),"")</f>
        <v/>
      </c>
      <c r="AR202" s="29">
        <f>COUNTIF(W202:AC202,"Yes")</f>
        <v/>
      </c>
      <c r="AS202" s="29">
        <f>IF(TRIM(B202)="","Legal name missing; ","")&amp;IF(AND(AJ202&lt;&gt;"",AJ202&lt;&gt;"OK"),"GSTIN: "&amp;AJ202&amp;"; ","")&amp;IF(AND(AK202&lt;&gt;"",AK202&lt;&gt;"OK"),"PAN wrong format; ","")&amp;IF(AND(AO202&lt;&gt;"",LEN(AN202)=15,MID(AN202,3,10)&lt;&gt;AO202),"PAN does not match GSTIN; ","")&amp;IF(AND(AL202&lt;&gt;"",AL202&lt;&gt;"OK"),"TAN wrong format; ","")&amp;IF(AG202="","PAN missing; ","")&amp;IF(AP202="","Entity type missing; ","")&amp;IF(AND(AN202&lt;&gt;"",COUNTIF($AN$6:$AN$1005,AN202)&gt;1),"GSTIN repeated in this sheet; ","")&amp;IF(AND(AG202&lt;&gt;"",COUNTIF($AG$6:$AG$1005,AG202)&gt;1),"PAN repeated in this sheet (same client? put extra GSTINs in Other GSTINs); ","")&amp;IF(AND(AR202&gt;0,V202=""),"Financial year missing; ","")&amp;IF(AND(AR202=0,V202&lt;&gt;""),"Financial year given but no service is Yes; ","")&amp;IF(AND(W202="Yes",AN202=""),"GST needs a GSTIN; ","")&amp;IF(AND(W202="Yes",X202=""),"GST return frequency missing; ","")&amp;IF(AND(Y202="Yes",TRIM(H202)=""),"TDS needs a TAN; ","")&amp;IF(AND(AA202="Yes",AQ202&lt;&gt;"",AQ202&lt;&gt;"company",AQ202&lt;&gt;"llp"),"ROC is only for a company / LLP; ","")&amp;IF(AND(AA202="Yes",OR(AQ202="company",AQ202="llp"),TRIM(I202)=""),"ROC needs the CIN / LLPIN; ","")</f>
        <v/>
      </c>
    </row>
    <row r="203">
      <c r="A203" s="30" t="n"/>
      <c r="B203" s="31" t="n"/>
      <c r="C203" s="31" t="n"/>
      <c r="D203" s="31" t="n"/>
      <c r="E203" s="30" t="n"/>
      <c r="F203" s="30" t="n"/>
      <c r="G203" s="30" t="n"/>
      <c r="H203" s="30" t="n"/>
      <c r="I203" s="30" t="n"/>
      <c r="J203" s="32" t="n"/>
      <c r="K203" s="31" t="n"/>
      <c r="L203" s="30" t="n"/>
      <c r="M203" s="31" t="n"/>
      <c r="N203" s="31" t="n"/>
      <c r="O203" s="31" t="n"/>
      <c r="P203" s="30" t="n"/>
      <c r="Q203" s="31" t="n"/>
      <c r="R203" s="31" t="n"/>
      <c r="S203" s="31" t="n"/>
      <c r="T203" s="31" t="n"/>
      <c r="U203" s="30" t="n"/>
      <c r="V203" s="31" t="n"/>
      <c r="W203" s="31" t="n"/>
      <c r="X203" s="31" t="n"/>
      <c r="Y203" s="31" t="n"/>
      <c r="Z203" s="31" t="n"/>
      <c r="AA203" s="31" t="n"/>
      <c r="AB203" s="31" t="n"/>
      <c r="AC203" s="31" t="n"/>
      <c r="AD203" s="31" t="n"/>
      <c r="AE203" s="31" t="n"/>
      <c r="AF203" s="27">
        <f>IF(NOT(COUNTA(A203:AE203)&gt;0),"",IF(A203="","New client","Update"))</f>
        <v/>
      </c>
      <c r="AG203" s="27">
        <f>IF(AO203&lt;&gt;"",AO203,IF(LEN(AN203)=15,MID(AN203,3,10),""))</f>
        <v/>
      </c>
      <c r="AH203" s="27">
        <f>IF(AP203="","",AP203&amp;IF(D203="","  (guessed from PAN)",""))</f>
        <v/>
      </c>
      <c r="AI203" s="27">
        <f>IF(AN203="","",IFERROR(INDEX(Lists!$L$2:$L$38,MATCH(LEFT(AN203,2),Lists!$K$2:$K$38,0)),"Unknown code"))</f>
        <v/>
      </c>
      <c r="AJ203" s="27">
        <f>IF(AN203="","",IFERROR(IF(NOT(AND(LEN(AN203)=15,ISNUMBER(MATCH(LEFT(AN203,2),Lists!$K$2:$K$38,0)),SUMPRODUCT(--ISERROR(FIND(MID(MID(AN203,3,10),{1,2,3,4,5,10},1),"ABCDEFGHIJKLMNOPQRSTUVWXYZ")))=0,SUMPRODUCT(--ISERROR(FIND(MID(MID(AN203,3,10),{6,7,8,9},1),"0123456789")))=0,ISNUMBER(FIND(MID(AN203,13,1),"123456789ABCDEFGHIJKLMNOPQRSTUVWXYZ")),MID(AN203,14,1)="Z")),"Wrong format",IF(MID("0123456789ABCDEFGHIJKLMNOPQRSTUVWXYZ",MOD(36-MOD(SUMPRODUCT(INT((FIND(MID(AN203,{1,2,3,4,5,6,7,8,9,10,11,12,13,14},1),"0123456789ABCDEFGHIJKLMNOPQRSTUVWXYZ")-1)*{1,2,1,2,1,2,1,2,1,2,1,2,1,2}/36)+MOD((FIND(MID(AN203,{1,2,3,4,5,6,7,8,9,10,11,12,13,14},1),"0123456789ABCDEFGHIJKLMNOPQRSTUVWXYZ")-1)*{1,2,1,2,1,2,1,2,1,2,1,2,1,2},36)),36),36)+1,1)=MID(AN203,15,1),"OK","Typo? check digit wrong")),"Wrong format"))</f>
        <v/>
      </c>
      <c r="AK203" s="27">
        <f>IF(AO203="","",IF(AND(LEN(AO203)=10,SUMPRODUCT(--ISERROR(FIND(MID(AO203,{1,2,3,4,5,10},1),"ABCDEFGHIJKLMNOPQRSTUVWXYZ")))=0,SUMPRODUCT(--ISERROR(FIND(MID(AO203,{6,7,8,9},1),"0123456789")))=0),"OK","Wrong format"))</f>
        <v/>
      </c>
      <c r="AL203" s="27">
        <f>IF(TRIM(H203)="","",IF(AND(LEN(UPPER(TRIM(H203)))=10,SUMPRODUCT(--ISERROR(FIND(MID(UPPER(TRIM(H203)),{1,2,3,4,10},1),"ABCDEFGHIJKLMNOPQRSTUVWXYZ")))=0,SUMPRODUCT(--ISERROR(FIND(MID(UPPER(TRIM(H203)),{5,6,7,8,9},1),"0123456789")))=0),"OK","Wrong format"))</f>
        <v/>
      </c>
      <c r="AM203" s="28">
        <f>IF(NOT(COUNTA(A203:AE203)&gt;0),"",IF(AS203&lt;&gt;"","✖ "&amp;LEFT(AS203,LEN(AS203)-2),IF(AR203&gt;0,"✔ Ready — client + "&amp;AR203&amp;" service(s)","✔ Ready — client only")))</f>
        <v/>
      </c>
      <c r="AN203" s="29">
        <f>UPPER(SUBSTITUTE(TRIM(F203)," ",""))</f>
        <v/>
      </c>
      <c r="AO203" s="29">
        <f>UPPER(SUBSTITUTE(TRIM(E203)," ",""))</f>
        <v/>
      </c>
      <c r="AP203" s="29">
        <f>IF(D203&lt;&gt;"",D203,IFERROR(VLOOKUP(MID(AG203,4,1),Lists!$E$2:$F$8,2,FALSE),""))</f>
        <v/>
      </c>
      <c r="AQ203" s="29">
        <f>IFERROR(VLOOKUP(AP203,Lists!$A$2:$C$12,3,FALSE),"")</f>
        <v/>
      </c>
      <c r="AR203" s="29">
        <f>COUNTIF(W203:AC203,"Yes")</f>
        <v/>
      </c>
      <c r="AS203" s="29">
        <f>IF(TRIM(B203)="","Legal name missing; ","")&amp;IF(AND(AJ203&lt;&gt;"",AJ203&lt;&gt;"OK"),"GSTIN: "&amp;AJ203&amp;"; ","")&amp;IF(AND(AK203&lt;&gt;"",AK203&lt;&gt;"OK"),"PAN wrong format; ","")&amp;IF(AND(AO203&lt;&gt;"",LEN(AN203)=15,MID(AN203,3,10)&lt;&gt;AO203),"PAN does not match GSTIN; ","")&amp;IF(AND(AL203&lt;&gt;"",AL203&lt;&gt;"OK"),"TAN wrong format; ","")&amp;IF(AG203="","PAN missing; ","")&amp;IF(AP203="","Entity type missing; ","")&amp;IF(AND(AN203&lt;&gt;"",COUNTIF($AN$6:$AN$1005,AN203)&gt;1),"GSTIN repeated in this sheet; ","")&amp;IF(AND(AG203&lt;&gt;"",COUNTIF($AG$6:$AG$1005,AG203)&gt;1),"PAN repeated in this sheet (same client? put extra GSTINs in Other GSTINs); ","")&amp;IF(AND(AR203&gt;0,V203=""),"Financial year missing; ","")&amp;IF(AND(AR203=0,V203&lt;&gt;""),"Financial year given but no service is Yes; ","")&amp;IF(AND(W203="Yes",AN203=""),"GST needs a GSTIN; ","")&amp;IF(AND(W203="Yes",X203=""),"GST return frequency missing; ","")&amp;IF(AND(Y203="Yes",TRIM(H203)=""),"TDS needs a TAN; ","")&amp;IF(AND(AA203="Yes",AQ203&lt;&gt;"",AQ203&lt;&gt;"company",AQ203&lt;&gt;"llp"),"ROC is only for a company / LLP; ","")&amp;IF(AND(AA203="Yes",OR(AQ203="company",AQ203="llp"),TRIM(I203)=""),"ROC needs the CIN / LLPIN; ","")</f>
        <v/>
      </c>
    </row>
    <row r="204">
      <c r="A204" s="30" t="n"/>
      <c r="B204" s="31" t="n"/>
      <c r="C204" s="31" t="n"/>
      <c r="D204" s="31" t="n"/>
      <c r="E204" s="30" t="n"/>
      <c r="F204" s="30" t="n"/>
      <c r="G204" s="30" t="n"/>
      <c r="H204" s="30" t="n"/>
      <c r="I204" s="30" t="n"/>
      <c r="J204" s="32" t="n"/>
      <c r="K204" s="31" t="n"/>
      <c r="L204" s="30" t="n"/>
      <c r="M204" s="31" t="n"/>
      <c r="N204" s="31" t="n"/>
      <c r="O204" s="31" t="n"/>
      <c r="P204" s="30" t="n"/>
      <c r="Q204" s="31" t="n"/>
      <c r="R204" s="31" t="n"/>
      <c r="S204" s="31" t="n"/>
      <c r="T204" s="31" t="n"/>
      <c r="U204" s="30" t="n"/>
      <c r="V204" s="31" t="n"/>
      <c r="W204" s="31" t="n"/>
      <c r="X204" s="31" t="n"/>
      <c r="Y204" s="31" t="n"/>
      <c r="Z204" s="31" t="n"/>
      <c r="AA204" s="31" t="n"/>
      <c r="AB204" s="31" t="n"/>
      <c r="AC204" s="31" t="n"/>
      <c r="AD204" s="31" t="n"/>
      <c r="AE204" s="31" t="n"/>
      <c r="AF204" s="27">
        <f>IF(NOT(COUNTA(A204:AE204)&gt;0),"",IF(A204="","New client","Update"))</f>
        <v/>
      </c>
      <c r="AG204" s="27">
        <f>IF(AO204&lt;&gt;"",AO204,IF(LEN(AN204)=15,MID(AN204,3,10),""))</f>
        <v/>
      </c>
      <c r="AH204" s="27">
        <f>IF(AP204="","",AP204&amp;IF(D204="","  (guessed from PAN)",""))</f>
        <v/>
      </c>
      <c r="AI204" s="27">
        <f>IF(AN204="","",IFERROR(INDEX(Lists!$L$2:$L$38,MATCH(LEFT(AN204,2),Lists!$K$2:$K$38,0)),"Unknown code"))</f>
        <v/>
      </c>
      <c r="AJ204" s="27">
        <f>IF(AN204="","",IFERROR(IF(NOT(AND(LEN(AN204)=15,ISNUMBER(MATCH(LEFT(AN204,2),Lists!$K$2:$K$38,0)),SUMPRODUCT(--ISERROR(FIND(MID(MID(AN204,3,10),{1,2,3,4,5,10},1),"ABCDEFGHIJKLMNOPQRSTUVWXYZ")))=0,SUMPRODUCT(--ISERROR(FIND(MID(MID(AN204,3,10),{6,7,8,9},1),"0123456789")))=0,ISNUMBER(FIND(MID(AN204,13,1),"123456789ABCDEFGHIJKLMNOPQRSTUVWXYZ")),MID(AN204,14,1)="Z")),"Wrong format",IF(MID("0123456789ABCDEFGHIJKLMNOPQRSTUVWXYZ",MOD(36-MOD(SUMPRODUCT(INT((FIND(MID(AN204,{1,2,3,4,5,6,7,8,9,10,11,12,13,14},1),"0123456789ABCDEFGHIJKLMNOPQRSTUVWXYZ")-1)*{1,2,1,2,1,2,1,2,1,2,1,2,1,2}/36)+MOD((FIND(MID(AN204,{1,2,3,4,5,6,7,8,9,10,11,12,13,14},1),"0123456789ABCDEFGHIJKLMNOPQRSTUVWXYZ")-1)*{1,2,1,2,1,2,1,2,1,2,1,2,1,2},36)),36),36)+1,1)=MID(AN204,15,1),"OK","Typo? check digit wrong")),"Wrong format"))</f>
        <v/>
      </c>
      <c r="AK204" s="27">
        <f>IF(AO204="","",IF(AND(LEN(AO204)=10,SUMPRODUCT(--ISERROR(FIND(MID(AO204,{1,2,3,4,5,10},1),"ABCDEFGHIJKLMNOPQRSTUVWXYZ")))=0,SUMPRODUCT(--ISERROR(FIND(MID(AO204,{6,7,8,9},1),"0123456789")))=0),"OK","Wrong format"))</f>
        <v/>
      </c>
      <c r="AL204" s="27">
        <f>IF(TRIM(H204)="","",IF(AND(LEN(UPPER(TRIM(H204)))=10,SUMPRODUCT(--ISERROR(FIND(MID(UPPER(TRIM(H204)),{1,2,3,4,10},1),"ABCDEFGHIJKLMNOPQRSTUVWXYZ")))=0,SUMPRODUCT(--ISERROR(FIND(MID(UPPER(TRIM(H204)),{5,6,7,8,9},1),"0123456789")))=0),"OK","Wrong format"))</f>
        <v/>
      </c>
      <c r="AM204" s="28">
        <f>IF(NOT(COUNTA(A204:AE204)&gt;0),"",IF(AS204&lt;&gt;"","✖ "&amp;LEFT(AS204,LEN(AS204)-2),IF(AR204&gt;0,"✔ Ready — client + "&amp;AR204&amp;" service(s)","✔ Ready — client only")))</f>
        <v/>
      </c>
      <c r="AN204" s="29">
        <f>UPPER(SUBSTITUTE(TRIM(F204)," ",""))</f>
        <v/>
      </c>
      <c r="AO204" s="29">
        <f>UPPER(SUBSTITUTE(TRIM(E204)," ",""))</f>
        <v/>
      </c>
      <c r="AP204" s="29">
        <f>IF(D204&lt;&gt;"",D204,IFERROR(VLOOKUP(MID(AG204,4,1),Lists!$E$2:$F$8,2,FALSE),""))</f>
        <v/>
      </c>
      <c r="AQ204" s="29">
        <f>IFERROR(VLOOKUP(AP204,Lists!$A$2:$C$12,3,FALSE),"")</f>
        <v/>
      </c>
      <c r="AR204" s="29">
        <f>COUNTIF(W204:AC204,"Yes")</f>
        <v/>
      </c>
      <c r="AS204" s="29">
        <f>IF(TRIM(B204)="","Legal name missing; ","")&amp;IF(AND(AJ204&lt;&gt;"",AJ204&lt;&gt;"OK"),"GSTIN: "&amp;AJ204&amp;"; ","")&amp;IF(AND(AK204&lt;&gt;"",AK204&lt;&gt;"OK"),"PAN wrong format; ","")&amp;IF(AND(AO204&lt;&gt;"",LEN(AN204)=15,MID(AN204,3,10)&lt;&gt;AO204),"PAN does not match GSTIN; ","")&amp;IF(AND(AL204&lt;&gt;"",AL204&lt;&gt;"OK"),"TAN wrong format; ","")&amp;IF(AG204="","PAN missing; ","")&amp;IF(AP204="","Entity type missing; ","")&amp;IF(AND(AN204&lt;&gt;"",COUNTIF($AN$6:$AN$1005,AN204)&gt;1),"GSTIN repeated in this sheet; ","")&amp;IF(AND(AG204&lt;&gt;"",COUNTIF($AG$6:$AG$1005,AG204)&gt;1),"PAN repeated in this sheet (same client? put extra GSTINs in Other GSTINs); ","")&amp;IF(AND(AR204&gt;0,V204=""),"Financial year missing; ","")&amp;IF(AND(AR204=0,V204&lt;&gt;""),"Financial year given but no service is Yes; ","")&amp;IF(AND(W204="Yes",AN204=""),"GST needs a GSTIN; ","")&amp;IF(AND(W204="Yes",X204=""),"GST return frequency missing; ","")&amp;IF(AND(Y204="Yes",TRIM(H204)=""),"TDS needs a TAN; ","")&amp;IF(AND(AA204="Yes",AQ204&lt;&gt;"",AQ204&lt;&gt;"company",AQ204&lt;&gt;"llp"),"ROC is only for a company / LLP; ","")&amp;IF(AND(AA204="Yes",OR(AQ204="company",AQ204="llp"),TRIM(I204)=""),"ROC needs the CIN / LLPIN; ","")</f>
        <v/>
      </c>
    </row>
    <row r="205">
      <c r="A205" s="30" t="n"/>
      <c r="B205" s="31" t="n"/>
      <c r="C205" s="31" t="n"/>
      <c r="D205" s="31" t="n"/>
      <c r="E205" s="30" t="n"/>
      <c r="F205" s="30" t="n"/>
      <c r="G205" s="30" t="n"/>
      <c r="H205" s="30" t="n"/>
      <c r="I205" s="30" t="n"/>
      <c r="J205" s="32" t="n"/>
      <c r="K205" s="31" t="n"/>
      <c r="L205" s="30" t="n"/>
      <c r="M205" s="31" t="n"/>
      <c r="N205" s="31" t="n"/>
      <c r="O205" s="31" t="n"/>
      <c r="P205" s="30" t="n"/>
      <c r="Q205" s="31" t="n"/>
      <c r="R205" s="31" t="n"/>
      <c r="S205" s="31" t="n"/>
      <c r="T205" s="31" t="n"/>
      <c r="U205" s="30" t="n"/>
      <c r="V205" s="31" t="n"/>
      <c r="W205" s="31" t="n"/>
      <c r="X205" s="31" t="n"/>
      <c r="Y205" s="31" t="n"/>
      <c r="Z205" s="31" t="n"/>
      <c r="AA205" s="31" t="n"/>
      <c r="AB205" s="31" t="n"/>
      <c r="AC205" s="31" t="n"/>
      <c r="AD205" s="31" t="n"/>
      <c r="AE205" s="31" t="n"/>
      <c r="AF205" s="27">
        <f>IF(NOT(COUNTA(A205:AE205)&gt;0),"",IF(A205="","New client","Update"))</f>
        <v/>
      </c>
      <c r="AG205" s="27">
        <f>IF(AO205&lt;&gt;"",AO205,IF(LEN(AN205)=15,MID(AN205,3,10),""))</f>
        <v/>
      </c>
      <c r="AH205" s="27">
        <f>IF(AP205="","",AP205&amp;IF(D205="","  (guessed from PAN)",""))</f>
        <v/>
      </c>
      <c r="AI205" s="27">
        <f>IF(AN205="","",IFERROR(INDEX(Lists!$L$2:$L$38,MATCH(LEFT(AN205,2),Lists!$K$2:$K$38,0)),"Unknown code"))</f>
        <v/>
      </c>
      <c r="AJ205" s="27">
        <f>IF(AN205="","",IFERROR(IF(NOT(AND(LEN(AN205)=15,ISNUMBER(MATCH(LEFT(AN205,2),Lists!$K$2:$K$38,0)),SUMPRODUCT(--ISERROR(FIND(MID(MID(AN205,3,10),{1,2,3,4,5,10},1),"ABCDEFGHIJKLMNOPQRSTUVWXYZ")))=0,SUMPRODUCT(--ISERROR(FIND(MID(MID(AN205,3,10),{6,7,8,9},1),"0123456789")))=0,ISNUMBER(FIND(MID(AN205,13,1),"123456789ABCDEFGHIJKLMNOPQRSTUVWXYZ")),MID(AN205,14,1)="Z")),"Wrong format",IF(MID("0123456789ABCDEFGHIJKLMNOPQRSTUVWXYZ",MOD(36-MOD(SUMPRODUCT(INT((FIND(MID(AN205,{1,2,3,4,5,6,7,8,9,10,11,12,13,14},1),"0123456789ABCDEFGHIJKLMNOPQRSTUVWXYZ")-1)*{1,2,1,2,1,2,1,2,1,2,1,2,1,2}/36)+MOD((FIND(MID(AN205,{1,2,3,4,5,6,7,8,9,10,11,12,13,14},1),"0123456789ABCDEFGHIJKLMNOPQRSTUVWXYZ")-1)*{1,2,1,2,1,2,1,2,1,2,1,2,1,2},36)),36),36)+1,1)=MID(AN205,15,1),"OK","Typo? check digit wrong")),"Wrong format"))</f>
        <v/>
      </c>
      <c r="AK205" s="27">
        <f>IF(AO205="","",IF(AND(LEN(AO205)=10,SUMPRODUCT(--ISERROR(FIND(MID(AO205,{1,2,3,4,5,10},1),"ABCDEFGHIJKLMNOPQRSTUVWXYZ")))=0,SUMPRODUCT(--ISERROR(FIND(MID(AO205,{6,7,8,9},1),"0123456789")))=0),"OK","Wrong format"))</f>
        <v/>
      </c>
      <c r="AL205" s="27">
        <f>IF(TRIM(H205)="","",IF(AND(LEN(UPPER(TRIM(H205)))=10,SUMPRODUCT(--ISERROR(FIND(MID(UPPER(TRIM(H205)),{1,2,3,4,10},1),"ABCDEFGHIJKLMNOPQRSTUVWXYZ")))=0,SUMPRODUCT(--ISERROR(FIND(MID(UPPER(TRIM(H205)),{5,6,7,8,9},1),"0123456789")))=0),"OK","Wrong format"))</f>
        <v/>
      </c>
      <c r="AM205" s="28">
        <f>IF(NOT(COUNTA(A205:AE205)&gt;0),"",IF(AS205&lt;&gt;"","✖ "&amp;LEFT(AS205,LEN(AS205)-2),IF(AR205&gt;0,"✔ Ready — client + "&amp;AR205&amp;" service(s)","✔ Ready — client only")))</f>
        <v/>
      </c>
      <c r="AN205" s="29">
        <f>UPPER(SUBSTITUTE(TRIM(F205)," ",""))</f>
        <v/>
      </c>
      <c r="AO205" s="29">
        <f>UPPER(SUBSTITUTE(TRIM(E205)," ",""))</f>
        <v/>
      </c>
      <c r="AP205" s="29">
        <f>IF(D205&lt;&gt;"",D205,IFERROR(VLOOKUP(MID(AG205,4,1),Lists!$E$2:$F$8,2,FALSE),""))</f>
        <v/>
      </c>
      <c r="AQ205" s="29">
        <f>IFERROR(VLOOKUP(AP205,Lists!$A$2:$C$12,3,FALSE),"")</f>
        <v/>
      </c>
      <c r="AR205" s="29">
        <f>COUNTIF(W205:AC205,"Yes")</f>
        <v/>
      </c>
      <c r="AS205" s="29">
        <f>IF(TRIM(B205)="","Legal name missing; ","")&amp;IF(AND(AJ205&lt;&gt;"",AJ205&lt;&gt;"OK"),"GSTIN: "&amp;AJ205&amp;"; ","")&amp;IF(AND(AK205&lt;&gt;"",AK205&lt;&gt;"OK"),"PAN wrong format; ","")&amp;IF(AND(AO205&lt;&gt;"",LEN(AN205)=15,MID(AN205,3,10)&lt;&gt;AO205),"PAN does not match GSTIN; ","")&amp;IF(AND(AL205&lt;&gt;"",AL205&lt;&gt;"OK"),"TAN wrong format; ","")&amp;IF(AG205="","PAN missing; ","")&amp;IF(AP205="","Entity type missing; ","")&amp;IF(AND(AN205&lt;&gt;"",COUNTIF($AN$6:$AN$1005,AN205)&gt;1),"GSTIN repeated in this sheet; ","")&amp;IF(AND(AG205&lt;&gt;"",COUNTIF($AG$6:$AG$1005,AG205)&gt;1),"PAN repeated in this sheet (same client? put extra GSTINs in Other GSTINs); ","")&amp;IF(AND(AR205&gt;0,V205=""),"Financial year missing; ","")&amp;IF(AND(AR205=0,V205&lt;&gt;""),"Financial year given but no service is Yes; ","")&amp;IF(AND(W205="Yes",AN205=""),"GST needs a GSTIN; ","")&amp;IF(AND(W205="Yes",X205=""),"GST return frequency missing; ","")&amp;IF(AND(Y205="Yes",TRIM(H205)=""),"TDS needs a TAN; ","")&amp;IF(AND(AA205="Yes",AQ205&lt;&gt;"",AQ205&lt;&gt;"company",AQ205&lt;&gt;"llp"),"ROC is only for a company / LLP; ","")&amp;IF(AND(AA205="Yes",OR(AQ205="company",AQ205="llp"),TRIM(I205)=""),"ROC needs the CIN / LLPIN; ","")</f>
        <v/>
      </c>
    </row>
    <row r="206">
      <c r="A206" s="30" t="n"/>
      <c r="B206" s="31" t="n"/>
      <c r="C206" s="31" t="n"/>
      <c r="D206" s="31" t="n"/>
      <c r="E206" s="30" t="n"/>
      <c r="F206" s="30" t="n"/>
      <c r="G206" s="30" t="n"/>
      <c r="H206" s="30" t="n"/>
      <c r="I206" s="30" t="n"/>
      <c r="J206" s="32" t="n"/>
      <c r="K206" s="31" t="n"/>
      <c r="L206" s="30" t="n"/>
      <c r="M206" s="31" t="n"/>
      <c r="N206" s="31" t="n"/>
      <c r="O206" s="31" t="n"/>
      <c r="P206" s="30" t="n"/>
      <c r="Q206" s="31" t="n"/>
      <c r="R206" s="31" t="n"/>
      <c r="S206" s="31" t="n"/>
      <c r="T206" s="31" t="n"/>
      <c r="U206" s="30" t="n"/>
      <c r="V206" s="31" t="n"/>
      <c r="W206" s="31" t="n"/>
      <c r="X206" s="31" t="n"/>
      <c r="Y206" s="31" t="n"/>
      <c r="Z206" s="31" t="n"/>
      <c r="AA206" s="31" t="n"/>
      <c r="AB206" s="31" t="n"/>
      <c r="AC206" s="31" t="n"/>
      <c r="AD206" s="31" t="n"/>
      <c r="AE206" s="31" t="n"/>
      <c r="AF206" s="27">
        <f>IF(NOT(COUNTA(A206:AE206)&gt;0),"",IF(A206="","New client","Update"))</f>
        <v/>
      </c>
      <c r="AG206" s="27">
        <f>IF(AO206&lt;&gt;"",AO206,IF(LEN(AN206)=15,MID(AN206,3,10),""))</f>
        <v/>
      </c>
      <c r="AH206" s="27">
        <f>IF(AP206="","",AP206&amp;IF(D206="","  (guessed from PAN)",""))</f>
        <v/>
      </c>
      <c r="AI206" s="27">
        <f>IF(AN206="","",IFERROR(INDEX(Lists!$L$2:$L$38,MATCH(LEFT(AN206,2),Lists!$K$2:$K$38,0)),"Unknown code"))</f>
        <v/>
      </c>
      <c r="AJ206" s="27">
        <f>IF(AN206="","",IFERROR(IF(NOT(AND(LEN(AN206)=15,ISNUMBER(MATCH(LEFT(AN206,2),Lists!$K$2:$K$38,0)),SUMPRODUCT(--ISERROR(FIND(MID(MID(AN206,3,10),{1,2,3,4,5,10},1),"ABCDEFGHIJKLMNOPQRSTUVWXYZ")))=0,SUMPRODUCT(--ISERROR(FIND(MID(MID(AN206,3,10),{6,7,8,9},1),"0123456789")))=0,ISNUMBER(FIND(MID(AN206,13,1),"123456789ABCDEFGHIJKLMNOPQRSTUVWXYZ")),MID(AN206,14,1)="Z")),"Wrong format",IF(MID("0123456789ABCDEFGHIJKLMNOPQRSTUVWXYZ",MOD(36-MOD(SUMPRODUCT(INT((FIND(MID(AN206,{1,2,3,4,5,6,7,8,9,10,11,12,13,14},1),"0123456789ABCDEFGHIJKLMNOPQRSTUVWXYZ")-1)*{1,2,1,2,1,2,1,2,1,2,1,2,1,2}/36)+MOD((FIND(MID(AN206,{1,2,3,4,5,6,7,8,9,10,11,12,13,14},1),"0123456789ABCDEFGHIJKLMNOPQRSTUVWXYZ")-1)*{1,2,1,2,1,2,1,2,1,2,1,2,1,2},36)),36),36)+1,1)=MID(AN206,15,1),"OK","Typo? check digit wrong")),"Wrong format"))</f>
        <v/>
      </c>
      <c r="AK206" s="27">
        <f>IF(AO206="","",IF(AND(LEN(AO206)=10,SUMPRODUCT(--ISERROR(FIND(MID(AO206,{1,2,3,4,5,10},1),"ABCDEFGHIJKLMNOPQRSTUVWXYZ")))=0,SUMPRODUCT(--ISERROR(FIND(MID(AO206,{6,7,8,9},1),"0123456789")))=0),"OK","Wrong format"))</f>
        <v/>
      </c>
      <c r="AL206" s="27">
        <f>IF(TRIM(H206)="","",IF(AND(LEN(UPPER(TRIM(H206)))=10,SUMPRODUCT(--ISERROR(FIND(MID(UPPER(TRIM(H206)),{1,2,3,4,10},1),"ABCDEFGHIJKLMNOPQRSTUVWXYZ")))=0,SUMPRODUCT(--ISERROR(FIND(MID(UPPER(TRIM(H206)),{5,6,7,8,9},1),"0123456789")))=0),"OK","Wrong format"))</f>
        <v/>
      </c>
      <c r="AM206" s="28">
        <f>IF(NOT(COUNTA(A206:AE206)&gt;0),"",IF(AS206&lt;&gt;"","✖ "&amp;LEFT(AS206,LEN(AS206)-2),IF(AR206&gt;0,"✔ Ready — client + "&amp;AR206&amp;" service(s)","✔ Ready — client only")))</f>
        <v/>
      </c>
      <c r="AN206" s="29">
        <f>UPPER(SUBSTITUTE(TRIM(F206)," ",""))</f>
        <v/>
      </c>
      <c r="AO206" s="29">
        <f>UPPER(SUBSTITUTE(TRIM(E206)," ",""))</f>
        <v/>
      </c>
      <c r="AP206" s="29">
        <f>IF(D206&lt;&gt;"",D206,IFERROR(VLOOKUP(MID(AG206,4,1),Lists!$E$2:$F$8,2,FALSE),""))</f>
        <v/>
      </c>
      <c r="AQ206" s="29">
        <f>IFERROR(VLOOKUP(AP206,Lists!$A$2:$C$12,3,FALSE),"")</f>
        <v/>
      </c>
      <c r="AR206" s="29">
        <f>COUNTIF(W206:AC206,"Yes")</f>
        <v/>
      </c>
      <c r="AS206" s="29">
        <f>IF(TRIM(B206)="","Legal name missing; ","")&amp;IF(AND(AJ206&lt;&gt;"",AJ206&lt;&gt;"OK"),"GSTIN: "&amp;AJ206&amp;"; ","")&amp;IF(AND(AK206&lt;&gt;"",AK206&lt;&gt;"OK"),"PAN wrong format; ","")&amp;IF(AND(AO206&lt;&gt;"",LEN(AN206)=15,MID(AN206,3,10)&lt;&gt;AO206),"PAN does not match GSTIN; ","")&amp;IF(AND(AL206&lt;&gt;"",AL206&lt;&gt;"OK"),"TAN wrong format; ","")&amp;IF(AG206="","PAN missing; ","")&amp;IF(AP206="","Entity type missing; ","")&amp;IF(AND(AN206&lt;&gt;"",COUNTIF($AN$6:$AN$1005,AN206)&gt;1),"GSTIN repeated in this sheet; ","")&amp;IF(AND(AG206&lt;&gt;"",COUNTIF($AG$6:$AG$1005,AG206)&gt;1),"PAN repeated in this sheet (same client? put extra GSTINs in Other GSTINs); ","")&amp;IF(AND(AR206&gt;0,V206=""),"Financial year missing; ","")&amp;IF(AND(AR206=0,V206&lt;&gt;""),"Financial year given but no service is Yes; ","")&amp;IF(AND(W206="Yes",AN206=""),"GST needs a GSTIN; ","")&amp;IF(AND(W206="Yes",X206=""),"GST return frequency missing; ","")&amp;IF(AND(Y206="Yes",TRIM(H206)=""),"TDS needs a TAN; ","")&amp;IF(AND(AA206="Yes",AQ206&lt;&gt;"",AQ206&lt;&gt;"company",AQ206&lt;&gt;"llp"),"ROC is only for a company / LLP; ","")&amp;IF(AND(AA206="Yes",OR(AQ206="company",AQ206="llp"),TRIM(I206)=""),"ROC needs the CIN / LLPIN; ","")</f>
        <v/>
      </c>
    </row>
    <row r="207">
      <c r="A207" s="30" t="n"/>
      <c r="B207" s="31" t="n"/>
      <c r="C207" s="31" t="n"/>
      <c r="D207" s="31" t="n"/>
      <c r="E207" s="30" t="n"/>
      <c r="F207" s="30" t="n"/>
      <c r="G207" s="30" t="n"/>
      <c r="H207" s="30" t="n"/>
      <c r="I207" s="30" t="n"/>
      <c r="J207" s="32" t="n"/>
      <c r="K207" s="31" t="n"/>
      <c r="L207" s="30" t="n"/>
      <c r="M207" s="31" t="n"/>
      <c r="N207" s="31" t="n"/>
      <c r="O207" s="31" t="n"/>
      <c r="P207" s="30" t="n"/>
      <c r="Q207" s="31" t="n"/>
      <c r="R207" s="31" t="n"/>
      <c r="S207" s="31" t="n"/>
      <c r="T207" s="31" t="n"/>
      <c r="U207" s="30" t="n"/>
      <c r="V207" s="31" t="n"/>
      <c r="W207" s="31" t="n"/>
      <c r="X207" s="31" t="n"/>
      <c r="Y207" s="31" t="n"/>
      <c r="Z207" s="31" t="n"/>
      <c r="AA207" s="31" t="n"/>
      <c r="AB207" s="31" t="n"/>
      <c r="AC207" s="31" t="n"/>
      <c r="AD207" s="31" t="n"/>
      <c r="AE207" s="31" t="n"/>
      <c r="AF207" s="27">
        <f>IF(NOT(COUNTA(A207:AE207)&gt;0),"",IF(A207="","New client","Update"))</f>
        <v/>
      </c>
      <c r="AG207" s="27">
        <f>IF(AO207&lt;&gt;"",AO207,IF(LEN(AN207)=15,MID(AN207,3,10),""))</f>
        <v/>
      </c>
      <c r="AH207" s="27">
        <f>IF(AP207="","",AP207&amp;IF(D207="","  (guessed from PAN)",""))</f>
        <v/>
      </c>
      <c r="AI207" s="27">
        <f>IF(AN207="","",IFERROR(INDEX(Lists!$L$2:$L$38,MATCH(LEFT(AN207,2),Lists!$K$2:$K$38,0)),"Unknown code"))</f>
        <v/>
      </c>
      <c r="AJ207" s="27">
        <f>IF(AN207="","",IFERROR(IF(NOT(AND(LEN(AN207)=15,ISNUMBER(MATCH(LEFT(AN207,2),Lists!$K$2:$K$38,0)),SUMPRODUCT(--ISERROR(FIND(MID(MID(AN207,3,10),{1,2,3,4,5,10},1),"ABCDEFGHIJKLMNOPQRSTUVWXYZ")))=0,SUMPRODUCT(--ISERROR(FIND(MID(MID(AN207,3,10),{6,7,8,9},1),"0123456789")))=0,ISNUMBER(FIND(MID(AN207,13,1),"123456789ABCDEFGHIJKLMNOPQRSTUVWXYZ")),MID(AN207,14,1)="Z")),"Wrong format",IF(MID("0123456789ABCDEFGHIJKLMNOPQRSTUVWXYZ",MOD(36-MOD(SUMPRODUCT(INT((FIND(MID(AN207,{1,2,3,4,5,6,7,8,9,10,11,12,13,14},1),"0123456789ABCDEFGHIJKLMNOPQRSTUVWXYZ")-1)*{1,2,1,2,1,2,1,2,1,2,1,2,1,2}/36)+MOD((FIND(MID(AN207,{1,2,3,4,5,6,7,8,9,10,11,12,13,14},1),"0123456789ABCDEFGHIJKLMNOPQRSTUVWXYZ")-1)*{1,2,1,2,1,2,1,2,1,2,1,2,1,2},36)),36),36)+1,1)=MID(AN207,15,1),"OK","Typo? check digit wrong")),"Wrong format"))</f>
        <v/>
      </c>
      <c r="AK207" s="27">
        <f>IF(AO207="","",IF(AND(LEN(AO207)=10,SUMPRODUCT(--ISERROR(FIND(MID(AO207,{1,2,3,4,5,10},1),"ABCDEFGHIJKLMNOPQRSTUVWXYZ")))=0,SUMPRODUCT(--ISERROR(FIND(MID(AO207,{6,7,8,9},1),"0123456789")))=0),"OK","Wrong format"))</f>
        <v/>
      </c>
      <c r="AL207" s="27">
        <f>IF(TRIM(H207)="","",IF(AND(LEN(UPPER(TRIM(H207)))=10,SUMPRODUCT(--ISERROR(FIND(MID(UPPER(TRIM(H207)),{1,2,3,4,10},1),"ABCDEFGHIJKLMNOPQRSTUVWXYZ")))=0,SUMPRODUCT(--ISERROR(FIND(MID(UPPER(TRIM(H207)),{5,6,7,8,9},1),"0123456789")))=0),"OK","Wrong format"))</f>
        <v/>
      </c>
      <c r="AM207" s="28">
        <f>IF(NOT(COUNTA(A207:AE207)&gt;0),"",IF(AS207&lt;&gt;"","✖ "&amp;LEFT(AS207,LEN(AS207)-2),IF(AR207&gt;0,"✔ Ready — client + "&amp;AR207&amp;" service(s)","✔ Ready — client only")))</f>
        <v/>
      </c>
      <c r="AN207" s="29">
        <f>UPPER(SUBSTITUTE(TRIM(F207)," ",""))</f>
        <v/>
      </c>
      <c r="AO207" s="29">
        <f>UPPER(SUBSTITUTE(TRIM(E207)," ",""))</f>
        <v/>
      </c>
      <c r="AP207" s="29">
        <f>IF(D207&lt;&gt;"",D207,IFERROR(VLOOKUP(MID(AG207,4,1),Lists!$E$2:$F$8,2,FALSE),""))</f>
        <v/>
      </c>
      <c r="AQ207" s="29">
        <f>IFERROR(VLOOKUP(AP207,Lists!$A$2:$C$12,3,FALSE),"")</f>
        <v/>
      </c>
      <c r="AR207" s="29">
        <f>COUNTIF(W207:AC207,"Yes")</f>
        <v/>
      </c>
      <c r="AS207" s="29">
        <f>IF(TRIM(B207)="","Legal name missing; ","")&amp;IF(AND(AJ207&lt;&gt;"",AJ207&lt;&gt;"OK"),"GSTIN: "&amp;AJ207&amp;"; ","")&amp;IF(AND(AK207&lt;&gt;"",AK207&lt;&gt;"OK"),"PAN wrong format; ","")&amp;IF(AND(AO207&lt;&gt;"",LEN(AN207)=15,MID(AN207,3,10)&lt;&gt;AO207),"PAN does not match GSTIN; ","")&amp;IF(AND(AL207&lt;&gt;"",AL207&lt;&gt;"OK"),"TAN wrong format; ","")&amp;IF(AG207="","PAN missing; ","")&amp;IF(AP207="","Entity type missing; ","")&amp;IF(AND(AN207&lt;&gt;"",COUNTIF($AN$6:$AN$1005,AN207)&gt;1),"GSTIN repeated in this sheet; ","")&amp;IF(AND(AG207&lt;&gt;"",COUNTIF($AG$6:$AG$1005,AG207)&gt;1),"PAN repeated in this sheet (same client? put extra GSTINs in Other GSTINs); ","")&amp;IF(AND(AR207&gt;0,V207=""),"Financial year missing; ","")&amp;IF(AND(AR207=0,V207&lt;&gt;""),"Financial year given but no service is Yes; ","")&amp;IF(AND(W207="Yes",AN207=""),"GST needs a GSTIN; ","")&amp;IF(AND(W207="Yes",X207=""),"GST return frequency missing; ","")&amp;IF(AND(Y207="Yes",TRIM(H207)=""),"TDS needs a TAN; ","")&amp;IF(AND(AA207="Yes",AQ207&lt;&gt;"",AQ207&lt;&gt;"company",AQ207&lt;&gt;"llp"),"ROC is only for a company / LLP; ","")&amp;IF(AND(AA207="Yes",OR(AQ207="company",AQ207="llp"),TRIM(I207)=""),"ROC needs the CIN / LLPIN; ","")</f>
        <v/>
      </c>
    </row>
    <row r="208">
      <c r="A208" s="30" t="n"/>
      <c r="B208" s="31" t="n"/>
      <c r="C208" s="31" t="n"/>
      <c r="D208" s="31" t="n"/>
      <c r="E208" s="30" t="n"/>
      <c r="F208" s="30" t="n"/>
      <c r="G208" s="30" t="n"/>
      <c r="H208" s="30" t="n"/>
      <c r="I208" s="30" t="n"/>
      <c r="J208" s="32" t="n"/>
      <c r="K208" s="31" t="n"/>
      <c r="L208" s="30" t="n"/>
      <c r="M208" s="31" t="n"/>
      <c r="N208" s="31" t="n"/>
      <c r="O208" s="31" t="n"/>
      <c r="P208" s="30" t="n"/>
      <c r="Q208" s="31" t="n"/>
      <c r="R208" s="31" t="n"/>
      <c r="S208" s="31" t="n"/>
      <c r="T208" s="31" t="n"/>
      <c r="U208" s="30" t="n"/>
      <c r="V208" s="31" t="n"/>
      <c r="W208" s="31" t="n"/>
      <c r="X208" s="31" t="n"/>
      <c r="Y208" s="31" t="n"/>
      <c r="Z208" s="31" t="n"/>
      <c r="AA208" s="31" t="n"/>
      <c r="AB208" s="31" t="n"/>
      <c r="AC208" s="31" t="n"/>
      <c r="AD208" s="31" t="n"/>
      <c r="AE208" s="31" t="n"/>
      <c r="AF208" s="27">
        <f>IF(NOT(COUNTA(A208:AE208)&gt;0),"",IF(A208="","New client","Update"))</f>
        <v/>
      </c>
      <c r="AG208" s="27">
        <f>IF(AO208&lt;&gt;"",AO208,IF(LEN(AN208)=15,MID(AN208,3,10),""))</f>
        <v/>
      </c>
      <c r="AH208" s="27">
        <f>IF(AP208="","",AP208&amp;IF(D208="","  (guessed from PAN)",""))</f>
        <v/>
      </c>
      <c r="AI208" s="27">
        <f>IF(AN208="","",IFERROR(INDEX(Lists!$L$2:$L$38,MATCH(LEFT(AN208,2),Lists!$K$2:$K$38,0)),"Unknown code"))</f>
        <v/>
      </c>
      <c r="AJ208" s="27">
        <f>IF(AN208="","",IFERROR(IF(NOT(AND(LEN(AN208)=15,ISNUMBER(MATCH(LEFT(AN208,2),Lists!$K$2:$K$38,0)),SUMPRODUCT(--ISERROR(FIND(MID(MID(AN208,3,10),{1,2,3,4,5,10},1),"ABCDEFGHIJKLMNOPQRSTUVWXYZ")))=0,SUMPRODUCT(--ISERROR(FIND(MID(MID(AN208,3,10),{6,7,8,9},1),"0123456789")))=0,ISNUMBER(FIND(MID(AN208,13,1),"123456789ABCDEFGHIJKLMNOPQRSTUVWXYZ")),MID(AN208,14,1)="Z")),"Wrong format",IF(MID("0123456789ABCDEFGHIJKLMNOPQRSTUVWXYZ",MOD(36-MOD(SUMPRODUCT(INT((FIND(MID(AN208,{1,2,3,4,5,6,7,8,9,10,11,12,13,14},1),"0123456789ABCDEFGHIJKLMNOPQRSTUVWXYZ")-1)*{1,2,1,2,1,2,1,2,1,2,1,2,1,2}/36)+MOD((FIND(MID(AN208,{1,2,3,4,5,6,7,8,9,10,11,12,13,14},1),"0123456789ABCDEFGHIJKLMNOPQRSTUVWXYZ")-1)*{1,2,1,2,1,2,1,2,1,2,1,2,1,2},36)),36),36)+1,1)=MID(AN208,15,1),"OK","Typo? check digit wrong")),"Wrong format"))</f>
        <v/>
      </c>
      <c r="AK208" s="27">
        <f>IF(AO208="","",IF(AND(LEN(AO208)=10,SUMPRODUCT(--ISERROR(FIND(MID(AO208,{1,2,3,4,5,10},1),"ABCDEFGHIJKLMNOPQRSTUVWXYZ")))=0,SUMPRODUCT(--ISERROR(FIND(MID(AO208,{6,7,8,9},1),"0123456789")))=0),"OK","Wrong format"))</f>
        <v/>
      </c>
      <c r="AL208" s="27">
        <f>IF(TRIM(H208)="","",IF(AND(LEN(UPPER(TRIM(H208)))=10,SUMPRODUCT(--ISERROR(FIND(MID(UPPER(TRIM(H208)),{1,2,3,4,10},1),"ABCDEFGHIJKLMNOPQRSTUVWXYZ")))=0,SUMPRODUCT(--ISERROR(FIND(MID(UPPER(TRIM(H208)),{5,6,7,8,9},1),"0123456789")))=0),"OK","Wrong format"))</f>
        <v/>
      </c>
      <c r="AM208" s="28">
        <f>IF(NOT(COUNTA(A208:AE208)&gt;0),"",IF(AS208&lt;&gt;"","✖ "&amp;LEFT(AS208,LEN(AS208)-2),IF(AR208&gt;0,"✔ Ready — client + "&amp;AR208&amp;" service(s)","✔ Ready — client only")))</f>
        <v/>
      </c>
      <c r="AN208" s="29">
        <f>UPPER(SUBSTITUTE(TRIM(F208)," ",""))</f>
        <v/>
      </c>
      <c r="AO208" s="29">
        <f>UPPER(SUBSTITUTE(TRIM(E208)," ",""))</f>
        <v/>
      </c>
      <c r="AP208" s="29">
        <f>IF(D208&lt;&gt;"",D208,IFERROR(VLOOKUP(MID(AG208,4,1),Lists!$E$2:$F$8,2,FALSE),""))</f>
        <v/>
      </c>
      <c r="AQ208" s="29">
        <f>IFERROR(VLOOKUP(AP208,Lists!$A$2:$C$12,3,FALSE),"")</f>
        <v/>
      </c>
      <c r="AR208" s="29">
        <f>COUNTIF(W208:AC208,"Yes")</f>
        <v/>
      </c>
      <c r="AS208" s="29">
        <f>IF(TRIM(B208)="","Legal name missing; ","")&amp;IF(AND(AJ208&lt;&gt;"",AJ208&lt;&gt;"OK"),"GSTIN: "&amp;AJ208&amp;"; ","")&amp;IF(AND(AK208&lt;&gt;"",AK208&lt;&gt;"OK"),"PAN wrong format; ","")&amp;IF(AND(AO208&lt;&gt;"",LEN(AN208)=15,MID(AN208,3,10)&lt;&gt;AO208),"PAN does not match GSTIN; ","")&amp;IF(AND(AL208&lt;&gt;"",AL208&lt;&gt;"OK"),"TAN wrong format; ","")&amp;IF(AG208="","PAN missing; ","")&amp;IF(AP208="","Entity type missing; ","")&amp;IF(AND(AN208&lt;&gt;"",COUNTIF($AN$6:$AN$1005,AN208)&gt;1),"GSTIN repeated in this sheet; ","")&amp;IF(AND(AG208&lt;&gt;"",COUNTIF($AG$6:$AG$1005,AG208)&gt;1),"PAN repeated in this sheet (same client? put extra GSTINs in Other GSTINs); ","")&amp;IF(AND(AR208&gt;0,V208=""),"Financial year missing; ","")&amp;IF(AND(AR208=0,V208&lt;&gt;""),"Financial year given but no service is Yes; ","")&amp;IF(AND(W208="Yes",AN208=""),"GST needs a GSTIN; ","")&amp;IF(AND(W208="Yes",X208=""),"GST return frequency missing; ","")&amp;IF(AND(Y208="Yes",TRIM(H208)=""),"TDS needs a TAN; ","")&amp;IF(AND(AA208="Yes",AQ208&lt;&gt;"",AQ208&lt;&gt;"company",AQ208&lt;&gt;"llp"),"ROC is only for a company / LLP; ","")&amp;IF(AND(AA208="Yes",OR(AQ208="company",AQ208="llp"),TRIM(I208)=""),"ROC needs the CIN / LLPIN; ","")</f>
        <v/>
      </c>
    </row>
    <row r="209">
      <c r="A209" s="30" t="n"/>
      <c r="B209" s="31" t="n"/>
      <c r="C209" s="31" t="n"/>
      <c r="D209" s="31" t="n"/>
      <c r="E209" s="30" t="n"/>
      <c r="F209" s="30" t="n"/>
      <c r="G209" s="30" t="n"/>
      <c r="H209" s="30" t="n"/>
      <c r="I209" s="30" t="n"/>
      <c r="J209" s="32" t="n"/>
      <c r="K209" s="31" t="n"/>
      <c r="L209" s="30" t="n"/>
      <c r="M209" s="31" t="n"/>
      <c r="N209" s="31" t="n"/>
      <c r="O209" s="31" t="n"/>
      <c r="P209" s="30" t="n"/>
      <c r="Q209" s="31" t="n"/>
      <c r="R209" s="31" t="n"/>
      <c r="S209" s="31" t="n"/>
      <c r="T209" s="31" t="n"/>
      <c r="U209" s="30" t="n"/>
      <c r="V209" s="31" t="n"/>
      <c r="W209" s="31" t="n"/>
      <c r="X209" s="31" t="n"/>
      <c r="Y209" s="31" t="n"/>
      <c r="Z209" s="31" t="n"/>
      <c r="AA209" s="31" t="n"/>
      <c r="AB209" s="31" t="n"/>
      <c r="AC209" s="31" t="n"/>
      <c r="AD209" s="31" t="n"/>
      <c r="AE209" s="31" t="n"/>
      <c r="AF209" s="27">
        <f>IF(NOT(COUNTA(A209:AE209)&gt;0),"",IF(A209="","New client","Update"))</f>
        <v/>
      </c>
      <c r="AG209" s="27">
        <f>IF(AO209&lt;&gt;"",AO209,IF(LEN(AN209)=15,MID(AN209,3,10),""))</f>
        <v/>
      </c>
      <c r="AH209" s="27">
        <f>IF(AP209="","",AP209&amp;IF(D209="","  (guessed from PAN)",""))</f>
        <v/>
      </c>
      <c r="AI209" s="27">
        <f>IF(AN209="","",IFERROR(INDEX(Lists!$L$2:$L$38,MATCH(LEFT(AN209,2),Lists!$K$2:$K$38,0)),"Unknown code"))</f>
        <v/>
      </c>
      <c r="AJ209" s="27">
        <f>IF(AN209="","",IFERROR(IF(NOT(AND(LEN(AN209)=15,ISNUMBER(MATCH(LEFT(AN209,2),Lists!$K$2:$K$38,0)),SUMPRODUCT(--ISERROR(FIND(MID(MID(AN209,3,10),{1,2,3,4,5,10},1),"ABCDEFGHIJKLMNOPQRSTUVWXYZ")))=0,SUMPRODUCT(--ISERROR(FIND(MID(MID(AN209,3,10),{6,7,8,9},1),"0123456789")))=0,ISNUMBER(FIND(MID(AN209,13,1),"123456789ABCDEFGHIJKLMNOPQRSTUVWXYZ")),MID(AN209,14,1)="Z")),"Wrong format",IF(MID("0123456789ABCDEFGHIJKLMNOPQRSTUVWXYZ",MOD(36-MOD(SUMPRODUCT(INT((FIND(MID(AN209,{1,2,3,4,5,6,7,8,9,10,11,12,13,14},1),"0123456789ABCDEFGHIJKLMNOPQRSTUVWXYZ")-1)*{1,2,1,2,1,2,1,2,1,2,1,2,1,2}/36)+MOD((FIND(MID(AN209,{1,2,3,4,5,6,7,8,9,10,11,12,13,14},1),"0123456789ABCDEFGHIJKLMNOPQRSTUVWXYZ")-1)*{1,2,1,2,1,2,1,2,1,2,1,2,1,2},36)),36),36)+1,1)=MID(AN209,15,1),"OK","Typo? check digit wrong")),"Wrong format"))</f>
        <v/>
      </c>
      <c r="AK209" s="27">
        <f>IF(AO209="","",IF(AND(LEN(AO209)=10,SUMPRODUCT(--ISERROR(FIND(MID(AO209,{1,2,3,4,5,10},1),"ABCDEFGHIJKLMNOPQRSTUVWXYZ")))=0,SUMPRODUCT(--ISERROR(FIND(MID(AO209,{6,7,8,9},1),"0123456789")))=0),"OK","Wrong format"))</f>
        <v/>
      </c>
      <c r="AL209" s="27">
        <f>IF(TRIM(H209)="","",IF(AND(LEN(UPPER(TRIM(H209)))=10,SUMPRODUCT(--ISERROR(FIND(MID(UPPER(TRIM(H209)),{1,2,3,4,10},1),"ABCDEFGHIJKLMNOPQRSTUVWXYZ")))=0,SUMPRODUCT(--ISERROR(FIND(MID(UPPER(TRIM(H209)),{5,6,7,8,9},1),"0123456789")))=0),"OK","Wrong format"))</f>
        <v/>
      </c>
      <c r="AM209" s="28">
        <f>IF(NOT(COUNTA(A209:AE209)&gt;0),"",IF(AS209&lt;&gt;"","✖ "&amp;LEFT(AS209,LEN(AS209)-2),IF(AR209&gt;0,"✔ Ready — client + "&amp;AR209&amp;" service(s)","✔ Ready — client only")))</f>
        <v/>
      </c>
      <c r="AN209" s="29">
        <f>UPPER(SUBSTITUTE(TRIM(F209)," ",""))</f>
        <v/>
      </c>
      <c r="AO209" s="29">
        <f>UPPER(SUBSTITUTE(TRIM(E209)," ",""))</f>
        <v/>
      </c>
      <c r="AP209" s="29">
        <f>IF(D209&lt;&gt;"",D209,IFERROR(VLOOKUP(MID(AG209,4,1),Lists!$E$2:$F$8,2,FALSE),""))</f>
        <v/>
      </c>
      <c r="AQ209" s="29">
        <f>IFERROR(VLOOKUP(AP209,Lists!$A$2:$C$12,3,FALSE),"")</f>
        <v/>
      </c>
      <c r="AR209" s="29">
        <f>COUNTIF(W209:AC209,"Yes")</f>
        <v/>
      </c>
      <c r="AS209" s="29">
        <f>IF(TRIM(B209)="","Legal name missing; ","")&amp;IF(AND(AJ209&lt;&gt;"",AJ209&lt;&gt;"OK"),"GSTIN: "&amp;AJ209&amp;"; ","")&amp;IF(AND(AK209&lt;&gt;"",AK209&lt;&gt;"OK"),"PAN wrong format; ","")&amp;IF(AND(AO209&lt;&gt;"",LEN(AN209)=15,MID(AN209,3,10)&lt;&gt;AO209),"PAN does not match GSTIN; ","")&amp;IF(AND(AL209&lt;&gt;"",AL209&lt;&gt;"OK"),"TAN wrong format; ","")&amp;IF(AG209="","PAN missing; ","")&amp;IF(AP209="","Entity type missing; ","")&amp;IF(AND(AN209&lt;&gt;"",COUNTIF($AN$6:$AN$1005,AN209)&gt;1),"GSTIN repeated in this sheet; ","")&amp;IF(AND(AG209&lt;&gt;"",COUNTIF($AG$6:$AG$1005,AG209)&gt;1),"PAN repeated in this sheet (same client? put extra GSTINs in Other GSTINs); ","")&amp;IF(AND(AR209&gt;0,V209=""),"Financial year missing; ","")&amp;IF(AND(AR209=0,V209&lt;&gt;""),"Financial year given but no service is Yes; ","")&amp;IF(AND(W209="Yes",AN209=""),"GST needs a GSTIN; ","")&amp;IF(AND(W209="Yes",X209=""),"GST return frequency missing; ","")&amp;IF(AND(Y209="Yes",TRIM(H209)=""),"TDS needs a TAN; ","")&amp;IF(AND(AA209="Yes",AQ209&lt;&gt;"",AQ209&lt;&gt;"company",AQ209&lt;&gt;"llp"),"ROC is only for a company / LLP; ","")&amp;IF(AND(AA209="Yes",OR(AQ209="company",AQ209="llp"),TRIM(I209)=""),"ROC needs the CIN / LLPIN; ","")</f>
        <v/>
      </c>
    </row>
    <row r="210">
      <c r="A210" s="30" t="n"/>
      <c r="B210" s="31" t="n"/>
      <c r="C210" s="31" t="n"/>
      <c r="D210" s="31" t="n"/>
      <c r="E210" s="30" t="n"/>
      <c r="F210" s="30" t="n"/>
      <c r="G210" s="30" t="n"/>
      <c r="H210" s="30" t="n"/>
      <c r="I210" s="30" t="n"/>
      <c r="J210" s="32" t="n"/>
      <c r="K210" s="31" t="n"/>
      <c r="L210" s="30" t="n"/>
      <c r="M210" s="31" t="n"/>
      <c r="N210" s="31" t="n"/>
      <c r="O210" s="31" t="n"/>
      <c r="P210" s="30" t="n"/>
      <c r="Q210" s="31" t="n"/>
      <c r="R210" s="31" t="n"/>
      <c r="S210" s="31" t="n"/>
      <c r="T210" s="31" t="n"/>
      <c r="U210" s="30" t="n"/>
      <c r="V210" s="31" t="n"/>
      <c r="W210" s="31" t="n"/>
      <c r="X210" s="31" t="n"/>
      <c r="Y210" s="31" t="n"/>
      <c r="Z210" s="31" t="n"/>
      <c r="AA210" s="31" t="n"/>
      <c r="AB210" s="31" t="n"/>
      <c r="AC210" s="31" t="n"/>
      <c r="AD210" s="31" t="n"/>
      <c r="AE210" s="31" t="n"/>
      <c r="AF210" s="27">
        <f>IF(NOT(COUNTA(A210:AE210)&gt;0),"",IF(A210="","New client","Update"))</f>
        <v/>
      </c>
      <c r="AG210" s="27">
        <f>IF(AO210&lt;&gt;"",AO210,IF(LEN(AN210)=15,MID(AN210,3,10),""))</f>
        <v/>
      </c>
      <c r="AH210" s="27">
        <f>IF(AP210="","",AP210&amp;IF(D210="","  (guessed from PAN)",""))</f>
        <v/>
      </c>
      <c r="AI210" s="27">
        <f>IF(AN210="","",IFERROR(INDEX(Lists!$L$2:$L$38,MATCH(LEFT(AN210,2),Lists!$K$2:$K$38,0)),"Unknown code"))</f>
        <v/>
      </c>
      <c r="AJ210" s="27">
        <f>IF(AN210="","",IFERROR(IF(NOT(AND(LEN(AN210)=15,ISNUMBER(MATCH(LEFT(AN210,2),Lists!$K$2:$K$38,0)),SUMPRODUCT(--ISERROR(FIND(MID(MID(AN210,3,10),{1,2,3,4,5,10},1),"ABCDEFGHIJKLMNOPQRSTUVWXYZ")))=0,SUMPRODUCT(--ISERROR(FIND(MID(MID(AN210,3,10),{6,7,8,9},1),"0123456789")))=0,ISNUMBER(FIND(MID(AN210,13,1),"123456789ABCDEFGHIJKLMNOPQRSTUVWXYZ")),MID(AN210,14,1)="Z")),"Wrong format",IF(MID("0123456789ABCDEFGHIJKLMNOPQRSTUVWXYZ",MOD(36-MOD(SUMPRODUCT(INT((FIND(MID(AN210,{1,2,3,4,5,6,7,8,9,10,11,12,13,14},1),"0123456789ABCDEFGHIJKLMNOPQRSTUVWXYZ")-1)*{1,2,1,2,1,2,1,2,1,2,1,2,1,2}/36)+MOD((FIND(MID(AN210,{1,2,3,4,5,6,7,8,9,10,11,12,13,14},1),"0123456789ABCDEFGHIJKLMNOPQRSTUVWXYZ")-1)*{1,2,1,2,1,2,1,2,1,2,1,2,1,2},36)),36),36)+1,1)=MID(AN210,15,1),"OK","Typo? check digit wrong")),"Wrong format"))</f>
        <v/>
      </c>
      <c r="AK210" s="27">
        <f>IF(AO210="","",IF(AND(LEN(AO210)=10,SUMPRODUCT(--ISERROR(FIND(MID(AO210,{1,2,3,4,5,10},1),"ABCDEFGHIJKLMNOPQRSTUVWXYZ")))=0,SUMPRODUCT(--ISERROR(FIND(MID(AO210,{6,7,8,9},1),"0123456789")))=0),"OK","Wrong format"))</f>
        <v/>
      </c>
      <c r="AL210" s="27">
        <f>IF(TRIM(H210)="","",IF(AND(LEN(UPPER(TRIM(H210)))=10,SUMPRODUCT(--ISERROR(FIND(MID(UPPER(TRIM(H210)),{1,2,3,4,10},1),"ABCDEFGHIJKLMNOPQRSTUVWXYZ")))=0,SUMPRODUCT(--ISERROR(FIND(MID(UPPER(TRIM(H210)),{5,6,7,8,9},1),"0123456789")))=0),"OK","Wrong format"))</f>
        <v/>
      </c>
      <c r="AM210" s="28">
        <f>IF(NOT(COUNTA(A210:AE210)&gt;0),"",IF(AS210&lt;&gt;"","✖ "&amp;LEFT(AS210,LEN(AS210)-2),IF(AR210&gt;0,"✔ Ready — client + "&amp;AR210&amp;" service(s)","✔ Ready — client only")))</f>
        <v/>
      </c>
      <c r="AN210" s="29">
        <f>UPPER(SUBSTITUTE(TRIM(F210)," ",""))</f>
        <v/>
      </c>
      <c r="AO210" s="29">
        <f>UPPER(SUBSTITUTE(TRIM(E210)," ",""))</f>
        <v/>
      </c>
      <c r="AP210" s="29">
        <f>IF(D210&lt;&gt;"",D210,IFERROR(VLOOKUP(MID(AG210,4,1),Lists!$E$2:$F$8,2,FALSE),""))</f>
        <v/>
      </c>
      <c r="AQ210" s="29">
        <f>IFERROR(VLOOKUP(AP210,Lists!$A$2:$C$12,3,FALSE),"")</f>
        <v/>
      </c>
      <c r="AR210" s="29">
        <f>COUNTIF(W210:AC210,"Yes")</f>
        <v/>
      </c>
      <c r="AS210" s="29">
        <f>IF(TRIM(B210)="","Legal name missing; ","")&amp;IF(AND(AJ210&lt;&gt;"",AJ210&lt;&gt;"OK"),"GSTIN: "&amp;AJ210&amp;"; ","")&amp;IF(AND(AK210&lt;&gt;"",AK210&lt;&gt;"OK"),"PAN wrong format; ","")&amp;IF(AND(AO210&lt;&gt;"",LEN(AN210)=15,MID(AN210,3,10)&lt;&gt;AO210),"PAN does not match GSTIN; ","")&amp;IF(AND(AL210&lt;&gt;"",AL210&lt;&gt;"OK"),"TAN wrong format; ","")&amp;IF(AG210="","PAN missing; ","")&amp;IF(AP210="","Entity type missing; ","")&amp;IF(AND(AN210&lt;&gt;"",COUNTIF($AN$6:$AN$1005,AN210)&gt;1),"GSTIN repeated in this sheet; ","")&amp;IF(AND(AG210&lt;&gt;"",COUNTIF($AG$6:$AG$1005,AG210)&gt;1),"PAN repeated in this sheet (same client? put extra GSTINs in Other GSTINs); ","")&amp;IF(AND(AR210&gt;0,V210=""),"Financial year missing; ","")&amp;IF(AND(AR210=0,V210&lt;&gt;""),"Financial year given but no service is Yes; ","")&amp;IF(AND(W210="Yes",AN210=""),"GST needs a GSTIN; ","")&amp;IF(AND(W210="Yes",X210=""),"GST return frequency missing; ","")&amp;IF(AND(Y210="Yes",TRIM(H210)=""),"TDS needs a TAN; ","")&amp;IF(AND(AA210="Yes",AQ210&lt;&gt;"",AQ210&lt;&gt;"company",AQ210&lt;&gt;"llp"),"ROC is only for a company / LLP; ","")&amp;IF(AND(AA210="Yes",OR(AQ210="company",AQ210="llp"),TRIM(I210)=""),"ROC needs the CIN / LLPIN; ","")</f>
        <v/>
      </c>
    </row>
    <row r="211">
      <c r="A211" s="30" t="n"/>
      <c r="B211" s="31" t="n"/>
      <c r="C211" s="31" t="n"/>
      <c r="D211" s="31" t="n"/>
      <c r="E211" s="30" t="n"/>
      <c r="F211" s="30" t="n"/>
      <c r="G211" s="30" t="n"/>
      <c r="H211" s="30" t="n"/>
      <c r="I211" s="30" t="n"/>
      <c r="J211" s="32" t="n"/>
      <c r="K211" s="31" t="n"/>
      <c r="L211" s="30" t="n"/>
      <c r="M211" s="31" t="n"/>
      <c r="N211" s="31" t="n"/>
      <c r="O211" s="31" t="n"/>
      <c r="P211" s="30" t="n"/>
      <c r="Q211" s="31" t="n"/>
      <c r="R211" s="31" t="n"/>
      <c r="S211" s="31" t="n"/>
      <c r="T211" s="31" t="n"/>
      <c r="U211" s="30" t="n"/>
      <c r="V211" s="31" t="n"/>
      <c r="W211" s="31" t="n"/>
      <c r="X211" s="31" t="n"/>
      <c r="Y211" s="31" t="n"/>
      <c r="Z211" s="31" t="n"/>
      <c r="AA211" s="31" t="n"/>
      <c r="AB211" s="31" t="n"/>
      <c r="AC211" s="31" t="n"/>
      <c r="AD211" s="31" t="n"/>
      <c r="AE211" s="31" t="n"/>
      <c r="AF211" s="27">
        <f>IF(NOT(COUNTA(A211:AE211)&gt;0),"",IF(A211="","New client","Update"))</f>
        <v/>
      </c>
      <c r="AG211" s="27">
        <f>IF(AO211&lt;&gt;"",AO211,IF(LEN(AN211)=15,MID(AN211,3,10),""))</f>
        <v/>
      </c>
      <c r="AH211" s="27">
        <f>IF(AP211="","",AP211&amp;IF(D211="","  (guessed from PAN)",""))</f>
        <v/>
      </c>
      <c r="AI211" s="27">
        <f>IF(AN211="","",IFERROR(INDEX(Lists!$L$2:$L$38,MATCH(LEFT(AN211,2),Lists!$K$2:$K$38,0)),"Unknown code"))</f>
        <v/>
      </c>
      <c r="AJ211" s="27">
        <f>IF(AN211="","",IFERROR(IF(NOT(AND(LEN(AN211)=15,ISNUMBER(MATCH(LEFT(AN211,2),Lists!$K$2:$K$38,0)),SUMPRODUCT(--ISERROR(FIND(MID(MID(AN211,3,10),{1,2,3,4,5,10},1),"ABCDEFGHIJKLMNOPQRSTUVWXYZ")))=0,SUMPRODUCT(--ISERROR(FIND(MID(MID(AN211,3,10),{6,7,8,9},1),"0123456789")))=0,ISNUMBER(FIND(MID(AN211,13,1),"123456789ABCDEFGHIJKLMNOPQRSTUVWXYZ")),MID(AN211,14,1)="Z")),"Wrong format",IF(MID("0123456789ABCDEFGHIJKLMNOPQRSTUVWXYZ",MOD(36-MOD(SUMPRODUCT(INT((FIND(MID(AN211,{1,2,3,4,5,6,7,8,9,10,11,12,13,14},1),"0123456789ABCDEFGHIJKLMNOPQRSTUVWXYZ")-1)*{1,2,1,2,1,2,1,2,1,2,1,2,1,2}/36)+MOD((FIND(MID(AN211,{1,2,3,4,5,6,7,8,9,10,11,12,13,14},1),"0123456789ABCDEFGHIJKLMNOPQRSTUVWXYZ")-1)*{1,2,1,2,1,2,1,2,1,2,1,2,1,2},36)),36),36)+1,1)=MID(AN211,15,1),"OK","Typo? check digit wrong")),"Wrong format"))</f>
        <v/>
      </c>
      <c r="AK211" s="27">
        <f>IF(AO211="","",IF(AND(LEN(AO211)=10,SUMPRODUCT(--ISERROR(FIND(MID(AO211,{1,2,3,4,5,10},1),"ABCDEFGHIJKLMNOPQRSTUVWXYZ")))=0,SUMPRODUCT(--ISERROR(FIND(MID(AO211,{6,7,8,9},1),"0123456789")))=0),"OK","Wrong format"))</f>
        <v/>
      </c>
      <c r="AL211" s="27">
        <f>IF(TRIM(H211)="","",IF(AND(LEN(UPPER(TRIM(H211)))=10,SUMPRODUCT(--ISERROR(FIND(MID(UPPER(TRIM(H211)),{1,2,3,4,10},1),"ABCDEFGHIJKLMNOPQRSTUVWXYZ")))=0,SUMPRODUCT(--ISERROR(FIND(MID(UPPER(TRIM(H211)),{5,6,7,8,9},1),"0123456789")))=0),"OK","Wrong format"))</f>
        <v/>
      </c>
      <c r="AM211" s="28">
        <f>IF(NOT(COUNTA(A211:AE211)&gt;0),"",IF(AS211&lt;&gt;"","✖ "&amp;LEFT(AS211,LEN(AS211)-2),IF(AR211&gt;0,"✔ Ready — client + "&amp;AR211&amp;" service(s)","✔ Ready — client only")))</f>
        <v/>
      </c>
      <c r="AN211" s="29">
        <f>UPPER(SUBSTITUTE(TRIM(F211)," ",""))</f>
        <v/>
      </c>
      <c r="AO211" s="29">
        <f>UPPER(SUBSTITUTE(TRIM(E211)," ",""))</f>
        <v/>
      </c>
      <c r="AP211" s="29">
        <f>IF(D211&lt;&gt;"",D211,IFERROR(VLOOKUP(MID(AG211,4,1),Lists!$E$2:$F$8,2,FALSE),""))</f>
        <v/>
      </c>
      <c r="AQ211" s="29">
        <f>IFERROR(VLOOKUP(AP211,Lists!$A$2:$C$12,3,FALSE),"")</f>
        <v/>
      </c>
      <c r="AR211" s="29">
        <f>COUNTIF(W211:AC211,"Yes")</f>
        <v/>
      </c>
      <c r="AS211" s="29">
        <f>IF(TRIM(B211)="","Legal name missing; ","")&amp;IF(AND(AJ211&lt;&gt;"",AJ211&lt;&gt;"OK"),"GSTIN: "&amp;AJ211&amp;"; ","")&amp;IF(AND(AK211&lt;&gt;"",AK211&lt;&gt;"OK"),"PAN wrong format; ","")&amp;IF(AND(AO211&lt;&gt;"",LEN(AN211)=15,MID(AN211,3,10)&lt;&gt;AO211),"PAN does not match GSTIN; ","")&amp;IF(AND(AL211&lt;&gt;"",AL211&lt;&gt;"OK"),"TAN wrong format; ","")&amp;IF(AG211="","PAN missing; ","")&amp;IF(AP211="","Entity type missing; ","")&amp;IF(AND(AN211&lt;&gt;"",COUNTIF($AN$6:$AN$1005,AN211)&gt;1),"GSTIN repeated in this sheet; ","")&amp;IF(AND(AG211&lt;&gt;"",COUNTIF($AG$6:$AG$1005,AG211)&gt;1),"PAN repeated in this sheet (same client? put extra GSTINs in Other GSTINs); ","")&amp;IF(AND(AR211&gt;0,V211=""),"Financial year missing; ","")&amp;IF(AND(AR211=0,V211&lt;&gt;""),"Financial year given but no service is Yes; ","")&amp;IF(AND(W211="Yes",AN211=""),"GST needs a GSTIN; ","")&amp;IF(AND(W211="Yes",X211=""),"GST return frequency missing; ","")&amp;IF(AND(Y211="Yes",TRIM(H211)=""),"TDS needs a TAN; ","")&amp;IF(AND(AA211="Yes",AQ211&lt;&gt;"",AQ211&lt;&gt;"company",AQ211&lt;&gt;"llp"),"ROC is only for a company / LLP; ","")&amp;IF(AND(AA211="Yes",OR(AQ211="company",AQ211="llp"),TRIM(I211)=""),"ROC needs the CIN / LLPIN; ","")</f>
        <v/>
      </c>
    </row>
    <row r="212">
      <c r="A212" s="30" t="n"/>
      <c r="B212" s="31" t="n"/>
      <c r="C212" s="31" t="n"/>
      <c r="D212" s="31" t="n"/>
      <c r="E212" s="30" t="n"/>
      <c r="F212" s="30" t="n"/>
      <c r="G212" s="30" t="n"/>
      <c r="H212" s="30" t="n"/>
      <c r="I212" s="30" t="n"/>
      <c r="J212" s="32" t="n"/>
      <c r="K212" s="31" t="n"/>
      <c r="L212" s="30" t="n"/>
      <c r="M212" s="31" t="n"/>
      <c r="N212" s="31" t="n"/>
      <c r="O212" s="31" t="n"/>
      <c r="P212" s="30" t="n"/>
      <c r="Q212" s="31" t="n"/>
      <c r="R212" s="31" t="n"/>
      <c r="S212" s="31" t="n"/>
      <c r="T212" s="31" t="n"/>
      <c r="U212" s="30" t="n"/>
      <c r="V212" s="31" t="n"/>
      <c r="W212" s="31" t="n"/>
      <c r="X212" s="31" t="n"/>
      <c r="Y212" s="31" t="n"/>
      <c r="Z212" s="31" t="n"/>
      <c r="AA212" s="31" t="n"/>
      <c r="AB212" s="31" t="n"/>
      <c r="AC212" s="31" t="n"/>
      <c r="AD212" s="31" t="n"/>
      <c r="AE212" s="31" t="n"/>
      <c r="AF212" s="27">
        <f>IF(NOT(COUNTA(A212:AE212)&gt;0),"",IF(A212="","New client","Update"))</f>
        <v/>
      </c>
      <c r="AG212" s="27">
        <f>IF(AO212&lt;&gt;"",AO212,IF(LEN(AN212)=15,MID(AN212,3,10),""))</f>
        <v/>
      </c>
      <c r="AH212" s="27">
        <f>IF(AP212="","",AP212&amp;IF(D212="","  (guessed from PAN)",""))</f>
        <v/>
      </c>
      <c r="AI212" s="27">
        <f>IF(AN212="","",IFERROR(INDEX(Lists!$L$2:$L$38,MATCH(LEFT(AN212,2),Lists!$K$2:$K$38,0)),"Unknown code"))</f>
        <v/>
      </c>
      <c r="AJ212" s="27">
        <f>IF(AN212="","",IFERROR(IF(NOT(AND(LEN(AN212)=15,ISNUMBER(MATCH(LEFT(AN212,2),Lists!$K$2:$K$38,0)),SUMPRODUCT(--ISERROR(FIND(MID(MID(AN212,3,10),{1,2,3,4,5,10},1),"ABCDEFGHIJKLMNOPQRSTUVWXYZ")))=0,SUMPRODUCT(--ISERROR(FIND(MID(MID(AN212,3,10),{6,7,8,9},1),"0123456789")))=0,ISNUMBER(FIND(MID(AN212,13,1),"123456789ABCDEFGHIJKLMNOPQRSTUVWXYZ")),MID(AN212,14,1)="Z")),"Wrong format",IF(MID("0123456789ABCDEFGHIJKLMNOPQRSTUVWXYZ",MOD(36-MOD(SUMPRODUCT(INT((FIND(MID(AN212,{1,2,3,4,5,6,7,8,9,10,11,12,13,14},1),"0123456789ABCDEFGHIJKLMNOPQRSTUVWXYZ")-1)*{1,2,1,2,1,2,1,2,1,2,1,2,1,2}/36)+MOD((FIND(MID(AN212,{1,2,3,4,5,6,7,8,9,10,11,12,13,14},1),"0123456789ABCDEFGHIJKLMNOPQRSTUVWXYZ")-1)*{1,2,1,2,1,2,1,2,1,2,1,2,1,2},36)),36),36)+1,1)=MID(AN212,15,1),"OK","Typo? check digit wrong")),"Wrong format"))</f>
        <v/>
      </c>
      <c r="AK212" s="27">
        <f>IF(AO212="","",IF(AND(LEN(AO212)=10,SUMPRODUCT(--ISERROR(FIND(MID(AO212,{1,2,3,4,5,10},1),"ABCDEFGHIJKLMNOPQRSTUVWXYZ")))=0,SUMPRODUCT(--ISERROR(FIND(MID(AO212,{6,7,8,9},1),"0123456789")))=0),"OK","Wrong format"))</f>
        <v/>
      </c>
      <c r="AL212" s="27">
        <f>IF(TRIM(H212)="","",IF(AND(LEN(UPPER(TRIM(H212)))=10,SUMPRODUCT(--ISERROR(FIND(MID(UPPER(TRIM(H212)),{1,2,3,4,10},1),"ABCDEFGHIJKLMNOPQRSTUVWXYZ")))=0,SUMPRODUCT(--ISERROR(FIND(MID(UPPER(TRIM(H212)),{5,6,7,8,9},1),"0123456789")))=0),"OK","Wrong format"))</f>
        <v/>
      </c>
      <c r="AM212" s="28">
        <f>IF(NOT(COUNTA(A212:AE212)&gt;0),"",IF(AS212&lt;&gt;"","✖ "&amp;LEFT(AS212,LEN(AS212)-2),IF(AR212&gt;0,"✔ Ready — client + "&amp;AR212&amp;" service(s)","✔ Ready — client only")))</f>
        <v/>
      </c>
      <c r="AN212" s="29">
        <f>UPPER(SUBSTITUTE(TRIM(F212)," ",""))</f>
        <v/>
      </c>
      <c r="AO212" s="29">
        <f>UPPER(SUBSTITUTE(TRIM(E212)," ",""))</f>
        <v/>
      </c>
      <c r="AP212" s="29">
        <f>IF(D212&lt;&gt;"",D212,IFERROR(VLOOKUP(MID(AG212,4,1),Lists!$E$2:$F$8,2,FALSE),""))</f>
        <v/>
      </c>
      <c r="AQ212" s="29">
        <f>IFERROR(VLOOKUP(AP212,Lists!$A$2:$C$12,3,FALSE),"")</f>
        <v/>
      </c>
      <c r="AR212" s="29">
        <f>COUNTIF(W212:AC212,"Yes")</f>
        <v/>
      </c>
      <c r="AS212" s="29">
        <f>IF(TRIM(B212)="","Legal name missing; ","")&amp;IF(AND(AJ212&lt;&gt;"",AJ212&lt;&gt;"OK"),"GSTIN: "&amp;AJ212&amp;"; ","")&amp;IF(AND(AK212&lt;&gt;"",AK212&lt;&gt;"OK"),"PAN wrong format; ","")&amp;IF(AND(AO212&lt;&gt;"",LEN(AN212)=15,MID(AN212,3,10)&lt;&gt;AO212),"PAN does not match GSTIN; ","")&amp;IF(AND(AL212&lt;&gt;"",AL212&lt;&gt;"OK"),"TAN wrong format; ","")&amp;IF(AG212="","PAN missing; ","")&amp;IF(AP212="","Entity type missing; ","")&amp;IF(AND(AN212&lt;&gt;"",COUNTIF($AN$6:$AN$1005,AN212)&gt;1),"GSTIN repeated in this sheet; ","")&amp;IF(AND(AG212&lt;&gt;"",COUNTIF($AG$6:$AG$1005,AG212)&gt;1),"PAN repeated in this sheet (same client? put extra GSTINs in Other GSTINs); ","")&amp;IF(AND(AR212&gt;0,V212=""),"Financial year missing; ","")&amp;IF(AND(AR212=0,V212&lt;&gt;""),"Financial year given but no service is Yes; ","")&amp;IF(AND(W212="Yes",AN212=""),"GST needs a GSTIN; ","")&amp;IF(AND(W212="Yes",X212=""),"GST return frequency missing; ","")&amp;IF(AND(Y212="Yes",TRIM(H212)=""),"TDS needs a TAN; ","")&amp;IF(AND(AA212="Yes",AQ212&lt;&gt;"",AQ212&lt;&gt;"company",AQ212&lt;&gt;"llp"),"ROC is only for a company / LLP; ","")&amp;IF(AND(AA212="Yes",OR(AQ212="company",AQ212="llp"),TRIM(I212)=""),"ROC needs the CIN / LLPIN; ","")</f>
        <v/>
      </c>
    </row>
    <row r="213">
      <c r="A213" s="30" t="n"/>
      <c r="B213" s="31" t="n"/>
      <c r="C213" s="31" t="n"/>
      <c r="D213" s="31" t="n"/>
      <c r="E213" s="30" t="n"/>
      <c r="F213" s="30" t="n"/>
      <c r="G213" s="30" t="n"/>
      <c r="H213" s="30" t="n"/>
      <c r="I213" s="30" t="n"/>
      <c r="J213" s="32" t="n"/>
      <c r="K213" s="31" t="n"/>
      <c r="L213" s="30" t="n"/>
      <c r="M213" s="31" t="n"/>
      <c r="N213" s="31" t="n"/>
      <c r="O213" s="31" t="n"/>
      <c r="P213" s="30" t="n"/>
      <c r="Q213" s="31" t="n"/>
      <c r="R213" s="31" t="n"/>
      <c r="S213" s="31" t="n"/>
      <c r="T213" s="31" t="n"/>
      <c r="U213" s="30" t="n"/>
      <c r="V213" s="31" t="n"/>
      <c r="W213" s="31" t="n"/>
      <c r="X213" s="31" t="n"/>
      <c r="Y213" s="31" t="n"/>
      <c r="Z213" s="31" t="n"/>
      <c r="AA213" s="31" t="n"/>
      <c r="AB213" s="31" t="n"/>
      <c r="AC213" s="31" t="n"/>
      <c r="AD213" s="31" t="n"/>
      <c r="AE213" s="31" t="n"/>
      <c r="AF213" s="27">
        <f>IF(NOT(COUNTA(A213:AE213)&gt;0),"",IF(A213="","New client","Update"))</f>
        <v/>
      </c>
      <c r="AG213" s="27">
        <f>IF(AO213&lt;&gt;"",AO213,IF(LEN(AN213)=15,MID(AN213,3,10),""))</f>
        <v/>
      </c>
      <c r="AH213" s="27">
        <f>IF(AP213="","",AP213&amp;IF(D213="","  (guessed from PAN)",""))</f>
        <v/>
      </c>
      <c r="AI213" s="27">
        <f>IF(AN213="","",IFERROR(INDEX(Lists!$L$2:$L$38,MATCH(LEFT(AN213,2),Lists!$K$2:$K$38,0)),"Unknown code"))</f>
        <v/>
      </c>
      <c r="AJ213" s="27">
        <f>IF(AN213="","",IFERROR(IF(NOT(AND(LEN(AN213)=15,ISNUMBER(MATCH(LEFT(AN213,2),Lists!$K$2:$K$38,0)),SUMPRODUCT(--ISERROR(FIND(MID(MID(AN213,3,10),{1,2,3,4,5,10},1),"ABCDEFGHIJKLMNOPQRSTUVWXYZ")))=0,SUMPRODUCT(--ISERROR(FIND(MID(MID(AN213,3,10),{6,7,8,9},1),"0123456789")))=0,ISNUMBER(FIND(MID(AN213,13,1),"123456789ABCDEFGHIJKLMNOPQRSTUVWXYZ")),MID(AN213,14,1)="Z")),"Wrong format",IF(MID("0123456789ABCDEFGHIJKLMNOPQRSTUVWXYZ",MOD(36-MOD(SUMPRODUCT(INT((FIND(MID(AN213,{1,2,3,4,5,6,7,8,9,10,11,12,13,14},1),"0123456789ABCDEFGHIJKLMNOPQRSTUVWXYZ")-1)*{1,2,1,2,1,2,1,2,1,2,1,2,1,2}/36)+MOD((FIND(MID(AN213,{1,2,3,4,5,6,7,8,9,10,11,12,13,14},1),"0123456789ABCDEFGHIJKLMNOPQRSTUVWXYZ")-1)*{1,2,1,2,1,2,1,2,1,2,1,2,1,2},36)),36),36)+1,1)=MID(AN213,15,1),"OK","Typo? check digit wrong")),"Wrong format"))</f>
        <v/>
      </c>
      <c r="AK213" s="27">
        <f>IF(AO213="","",IF(AND(LEN(AO213)=10,SUMPRODUCT(--ISERROR(FIND(MID(AO213,{1,2,3,4,5,10},1),"ABCDEFGHIJKLMNOPQRSTUVWXYZ")))=0,SUMPRODUCT(--ISERROR(FIND(MID(AO213,{6,7,8,9},1),"0123456789")))=0),"OK","Wrong format"))</f>
        <v/>
      </c>
      <c r="AL213" s="27">
        <f>IF(TRIM(H213)="","",IF(AND(LEN(UPPER(TRIM(H213)))=10,SUMPRODUCT(--ISERROR(FIND(MID(UPPER(TRIM(H213)),{1,2,3,4,10},1),"ABCDEFGHIJKLMNOPQRSTUVWXYZ")))=0,SUMPRODUCT(--ISERROR(FIND(MID(UPPER(TRIM(H213)),{5,6,7,8,9},1),"0123456789")))=0),"OK","Wrong format"))</f>
        <v/>
      </c>
      <c r="AM213" s="28">
        <f>IF(NOT(COUNTA(A213:AE213)&gt;0),"",IF(AS213&lt;&gt;"","✖ "&amp;LEFT(AS213,LEN(AS213)-2),IF(AR213&gt;0,"✔ Ready — client + "&amp;AR213&amp;" service(s)","✔ Ready — client only")))</f>
        <v/>
      </c>
      <c r="AN213" s="29">
        <f>UPPER(SUBSTITUTE(TRIM(F213)," ",""))</f>
        <v/>
      </c>
      <c r="AO213" s="29">
        <f>UPPER(SUBSTITUTE(TRIM(E213)," ",""))</f>
        <v/>
      </c>
      <c r="AP213" s="29">
        <f>IF(D213&lt;&gt;"",D213,IFERROR(VLOOKUP(MID(AG213,4,1),Lists!$E$2:$F$8,2,FALSE),""))</f>
        <v/>
      </c>
      <c r="AQ213" s="29">
        <f>IFERROR(VLOOKUP(AP213,Lists!$A$2:$C$12,3,FALSE),"")</f>
        <v/>
      </c>
      <c r="AR213" s="29">
        <f>COUNTIF(W213:AC213,"Yes")</f>
        <v/>
      </c>
      <c r="AS213" s="29">
        <f>IF(TRIM(B213)="","Legal name missing; ","")&amp;IF(AND(AJ213&lt;&gt;"",AJ213&lt;&gt;"OK"),"GSTIN: "&amp;AJ213&amp;"; ","")&amp;IF(AND(AK213&lt;&gt;"",AK213&lt;&gt;"OK"),"PAN wrong format; ","")&amp;IF(AND(AO213&lt;&gt;"",LEN(AN213)=15,MID(AN213,3,10)&lt;&gt;AO213),"PAN does not match GSTIN; ","")&amp;IF(AND(AL213&lt;&gt;"",AL213&lt;&gt;"OK"),"TAN wrong format; ","")&amp;IF(AG213="","PAN missing; ","")&amp;IF(AP213="","Entity type missing; ","")&amp;IF(AND(AN213&lt;&gt;"",COUNTIF($AN$6:$AN$1005,AN213)&gt;1),"GSTIN repeated in this sheet; ","")&amp;IF(AND(AG213&lt;&gt;"",COUNTIF($AG$6:$AG$1005,AG213)&gt;1),"PAN repeated in this sheet (same client? put extra GSTINs in Other GSTINs); ","")&amp;IF(AND(AR213&gt;0,V213=""),"Financial year missing; ","")&amp;IF(AND(AR213=0,V213&lt;&gt;""),"Financial year given but no service is Yes; ","")&amp;IF(AND(W213="Yes",AN213=""),"GST needs a GSTIN; ","")&amp;IF(AND(W213="Yes",X213=""),"GST return frequency missing; ","")&amp;IF(AND(Y213="Yes",TRIM(H213)=""),"TDS needs a TAN; ","")&amp;IF(AND(AA213="Yes",AQ213&lt;&gt;"",AQ213&lt;&gt;"company",AQ213&lt;&gt;"llp"),"ROC is only for a company / LLP; ","")&amp;IF(AND(AA213="Yes",OR(AQ213="company",AQ213="llp"),TRIM(I213)=""),"ROC needs the CIN / LLPIN; ","")</f>
        <v/>
      </c>
    </row>
    <row r="214">
      <c r="A214" s="30" t="n"/>
      <c r="B214" s="31" t="n"/>
      <c r="C214" s="31" t="n"/>
      <c r="D214" s="31" t="n"/>
      <c r="E214" s="30" t="n"/>
      <c r="F214" s="30" t="n"/>
      <c r="G214" s="30" t="n"/>
      <c r="H214" s="30" t="n"/>
      <c r="I214" s="30" t="n"/>
      <c r="J214" s="32" t="n"/>
      <c r="K214" s="31" t="n"/>
      <c r="L214" s="30" t="n"/>
      <c r="M214" s="31" t="n"/>
      <c r="N214" s="31" t="n"/>
      <c r="O214" s="31" t="n"/>
      <c r="P214" s="30" t="n"/>
      <c r="Q214" s="31" t="n"/>
      <c r="R214" s="31" t="n"/>
      <c r="S214" s="31" t="n"/>
      <c r="T214" s="31" t="n"/>
      <c r="U214" s="30" t="n"/>
      <c r="V214" s="31" t="n"/>
      <c r="W214" s="31" t="n"/>
      <c r="X214" s="31" t="n"/>
      <c r="Y214" s="31" t="n"/>
      <c r="Z214" s="31" t="n"/>
      <c r="AA214" s="31" t="n"/>
      <c r="AB214" s="31" t="n"/>
      <c r="AC214" s="31" t="n"/>
      <c r="AD214" s="31" t="n"/>
      <c r="AE214" s="31" t="n"/>
      <c r="AF214" s="27">
        <f>IF(NOT(COUNTA(A214:AE214)&gt;0),"",IF(A214="","New client","Update"))</f>
        <v/>
      </c>
      <c r="AG214" s="27">
        <f>IF(AO214&lt;&gt;"",AO214,IF(LEN(AN214)=15,MID(AN214,3,10),""))</f>
        <v/>
      </c>
      <c r="AH214" s="27">
        <f>IF(AP214="","",AP214&amp;IF(D214="","  (guessed from PAN)",""))</f>
        <v/>
      </c>
      <c r="AI214" s="27">
        <f>IF(AN214="","",IFERROR(INDEX(Lists!$L$2:$L$38,MATCH(LEFT(AN214,2),Lists!$K$2:$K$38,0)),"Unknown code"))</f>
        <v/>
      </c>
      <c r="AJ214" s="27">
        <f>IF(AN214="","",IFERROR(IF(NOT(AND(LEN(AN214)=15,ISNUMBER(MATCH(LEFT(AN214,2),Lists!$K$2:$K$38,0)),SUMPRODUCT(--ISERROR(FIND(MID(MID(AN214,3,10),{1,2,3,4,5,10},1),"ABCDEFGHIJKLMNOPQRSTUVWXYZ")))=0,SUMPRODUCT(--ISERROR(FIND(MID(MID(AN214,3,10),{6,7,8,9},1),"0123456789")))=0,ISNUMBER(FIND(MID(AN214,13,1),"123456789ABCDEFGHIJKLMNOPQRSTUVWXYZ")),MID(AN214,14,1)="Z")),"Wrong format",IF(MID("0123456789ABCDEFGHIJKLMNOPQRSTUVWXYZ",MOD(36-MOD(SUMPRODUCT(INT((FIND(MID(AN214,{1,2,3,4,5,6,7,8,9,10,11,12,13,14},1),"0123456789ABCDEFGHIJKLMNOPQRSTUVWXYZ")-1)*{1,2,1,2,1,2,1,2,1,2,1,2,1,2}/36)+MOD((FIND(MID(AN214,{1,2,3,4,5,6,7,8,9,10,11,12,13,14},1),"0123456789ABCDEFGHIJKLMNOPQRSTUVWXYZ")-1)*{1,2,1,2,1,2,1,2,1,2,1,2,1,2},36)),36),36)+1,1)=MID(AN214,15,1),"OK","Typo? check digit wrong")),"Wrong format"))</f>
        <v/>
      </c>
      <c r="AK214" s="27">
        <f>IF(AO214="","",IF(AND(LEN(AO214)=10,SUMPRODUCT(--ISERROR(FIND(MID(AO214,{1,2,3,4,5,10},1),"ABCDEFGHIJKLMNOPQRSTUVWXYZ")))=0,SUMPRODUCT(--ISERROR(FIND(MID(AO214,{6,7,8,9},1),"0123456789")))=0),"OK","Wrong format"))</f>
        <v/>
      </c>
      <c r="AL214" s="27">
        <f>IF(TRIM(H214)="","",IF(AND(LEN(UPPER(TRIM(H214)))=10,SUMPRODUCT(--ISERROR(FIND(MID(UPPER(TRIM(H214)),{1,2,3,4,10},1),"ABCDEFGHIJKLMNOPQRSTUVWXYZ")))=0,SUMPRODUCT(--ISERROR(FIND(MID(UPPER(TRIM(H214)),{5,6,7,8,9},1),"0123456789")))=0),"OK","Wrong format"))</f>
        <v/>
      </c>
      <c r="AM214" s="28">
        <f>IF(NOT(COUNTA(A214:AE214)&gt;0),"",IF(AS214&lt;&gt;"","✖ "&amp;LEFT(AS214,LEN(AS214)-2),IF(AR214&gt;0,"✔ Ready — client + "&amp;AR214&amp;" service(s)","✔ Ready — client only")))</f>
        <v/>
      </c>
      <c r="AN214" s="29">
        <f>UPPER(SUBSTITUTE(TRIM(F214)," ",""))</f>
        <v/>
      </c>
      <c r="AO214" s="29">
        <f>UPPER(SUBSTITUTE(TRIM(E214)," ",""))</f>
        <v/>
      </c>
      <c r="AP214" s="29">
        <f>IF(D214&lt;&gt;"",D214,IFERROR(VLOOKUP(MID(AG214,4,1),Lists!$E$2:$F$8,2,FALSE),""))</f>
        <v/>
      </c>
      <c r="AQ214" s="29">
        <f>IFERROR(VLOOKUP(AP214,Lists!$A$2:$C$12,3,FALSE),"")</f>
        <v/>
      </c>
      <c r="AR214" s="29">
        <f>COUNTIF(W214:AC214,"Yes")</f>
        <v/>
      </c>
      <c r="AS214" s="29">
        <f>IF(TRIM(B214)="","Legal name missing; ","")&amp;IF(AND(AJ214&lt;&gt;"",AJ214&lt;&gt;"OK"),"GSTIN: "&amp;AJ214&amp;"; ","")&amp;IF(AND(AK214&lt;&gt;"",AK214&lt;&gt;"OK"),"PAN wrong format; ","")&amp;IF(AND(AO214&lt;&gt;"",LEN(AN214)=15,MID(AN214,3,10)&lt;&gt;AO214),"PAN does not match GSTIN; ","")&amp;IF(AND(AL214&lt;&gt;"",AL214&lt;&gt;"OK"),"TAN wrong format; ","")&amp;IF(AG214="","PAN missing; ","")&amp;IF(AP214="","Entity type missing; ","")&amp;IF(AND(AN214&lt;&gt;"",COUNTIF($AN$6:$AN$1005,AN214)&gt;1),"GSTIN repeated in this sheet; ","")&amp;IF(AND(AG214&lt;&gt;"",COUNTIF($AG$6:$AG$1005,AG214)&gt;1),"PAN repeated in this sheet (same client? put extra GSTINs in Other GSTINs); ","")&amp;IF(AND(AR214&gt;0,V214=""),"Financial year missing; ","")&amp;IF(AND(AR214=0,V214&lt;&gt;""),"Financial year given but no service is Yes; ","")&amp;IF(AND(W214="Yes",AN214=""),"GST needs a GSTIN; ","")&amp;IF(AND(W214="Yes",X214=""),"GST return frequency missing; ","")&amp;IF(AND(Y214="Yes",TRIM(H214)=""),"TDS needs a TAN; ","")&amp;IF(AND(AA214="Yes",AQ214&lt;&gt;"",AQ214&lt;&gt;"company",AQ214&lt;&gt;"llp"),"ROC is only for a company / LLP; ","")&amp;IF(AND(AA214="Yes",OR(AQ214="company",AQ214="llp"),TRIM(I214)=""),"ROC needs the CIN / LLPIN; ","")</f>
        <v/>
      </c>
    </row>
    <row r="215">
      <c r="A215" s="30" t="n"/>
      <c r="B215" s="31" t="n"/>
      <c r="C215" s="31" t="n"/>
      <c r="D215" s="31" t="n"/>
      <c r="E215" s="30" t="n"/>
      <c r="F215" s="30" t="n"/>
      <c r="G215" s="30" t="n"/>
      <c r="H215" s="30" t="n"/>
      <c r="I215" s="30" t="n"/>
      <c r="J215" s="32" t="n"/>
      <c r="K215" s="31" t="n"/>
      <c r="L215" s="30" t="n"/>
      <c r="M215" s="31" t="n"/>
      <c r="N215" s="31" t="n"/>
      <c r="O215" s="31" t="n"/>
      <c r="P215" s="30" t="n"/>
      <c r="Q215" s="31" t="n"/>
      <c r="R215" s="31" t="n"/>
      <c r="S215" s="31" t="n"/>
      <c r="T215" s="31" t="n"/>
      <c r="U215" s="30" t="n"/>
      <c r="V215" s="31" t="n"/>
      <c r="W215" s="31" t="n"/>
      <c r="X215" s="31" t="n"/>
      <c r="Y215" s="31" t="n"/>
      <c r="Z215" s="31" t="n"/>
      <c r="AA215" s="31" t="n"/>
      <c r="AB215" s="31" t="n"/>
      <c r="AC215" s="31" t="n"/>
      <c r="AD215" s="31" t="n"/>
      <c r="AE215" s="31" t="n"/>
      <c r="AF215" s="27">
        <f>IF(NOT(COUNTA(A215:AE215)&gt;0),"",IF(A215="","New client","Update"))</f>
        <v/>
      </c>
      <c r="AG215" s="27">
        <f>IF(AO215&lt;&gt;"",AO215,IF(LEN(AN215)=15,MID(AN215,3,10),""))</f>
        <v/>
      </c>
      <c r="AH215" s="27">
        <f>IF(AP215="","",AP215&amp;IF(D215="","  (guessed from PAN)",""))</f>
        <v/>
      </c>
      <c r="AI215" s="27">
        <f>IF(AN215="","",IFERROR(INDEX(Lists!$L$2:$L$38,MATCH(LEFT(AN215,2),Lists!$K$2:$K$38,0)),"Unknown code"))</f>
        <v/>
      </c>
      <c r="AJ215" s="27">
        <f>IF(AN215="","",IFERROR(IF(NOT(AND(LEN(AN215)=15,ISNUMBER(MATCH(LEFT(AN215,2),Lists!$K$2:$K$38,0)),SUMPRODUCT(--ISERROR(FIND(MID(MID(AN215,3,10),{1,2,3,4,5,10},1),"ABCDEFGHIJKLMNOPQRSTUVWXYZ")))=0,SUMPRODUCT(--ISERROR(FIND(MID(MID(AN215,3,10),{6,7,8,9},1),"0123456789")))=0,ISNUMBER(FIND(MID(AN215,13,1),"123456789ABCDEFGHIJKLMNOPQRSTUVWXYZ")),MID(AN215,14,1)="Z")),"Wrong format",IF(MID("0123456789ABCDEFGHIJKLMNOPQRSTUVWXYZ",MOD(36-MOD(SUMPRODUCT(INT((FIND(MID(AN215,{1,2,3,4,5,6,7,8,9,10,11,12,13,14},1),"0123456789ABCDEFGHIJKLMNOPQRSTUVWXYZ")-1)*{1,2,1,2,1,2,1,2,1,2,1,2,1,2}/36)+MOD((FIND(MID(AN215,{1,2,3,4,5,6,7,8,9,10,11,12,13,14},1),"0123456789ABCDEFGHIJKLMNOPQRSTUVWXYZ")-1)*{1,2,1,2,1,2,1,2,1,2,1,2,1,2},36)),36),36)+1,1)=MID(AN215,15,1),"OK","Typo? check digit wrong")),"Wrong format"))</f>
        <v/>
      </c>
      <c r="AK215" s="27">
        <f>IF(AO215="","",IF(AND(LEN(AO215)=10,SUMPRODUCT(--ISERROR(FIND(MID(AO215,{1,2,3,4,5,10},1),"ABCDEFGHIJKLMNOPQRSTUVWXYZ")))=0,SUMPRODUCT(--ISERROR(FIND(MID(AO215,{6,7,8,9},1),"0123456789")))=0),"OK","Wrong format"))</f>
        <v/>
      </c>
      <c r="AL215" s="27">
        <f>IF(TRIM(H215)="","",IF(AND(LEN(UPPER(TRIM(H215)))=10,SUMPRODUCT(--ISERROR(FIND(MID(UPPER(TRIM(H215)),{1,2,3,4,10},1),"ABCDEFGHIJKLMNOPQRSTUVWXYZ")))=0,SUMPRODUCT(--ISERROR(FIND(MID(UPPER(TRIM(H215)),{5,6,7,8,9},1),"0123456789")))=0),"OK","Wrong format"))</f>
        <v/>
      </c>
      <c r="AM215" s="28">
        <f>IF(NOT(COUNTA(A215:AE215)&gt;0),"",IF(AS215&lt;&gt;"","✖ "&amp;LEFT(AS215,LEN(AS215)-2),IF(AR215&gt;0,"✔ Ready — client + "&amp;AR215&amp;" service(s)","✔ Ready — client only")))</f>
        <v/>
      </c>
      <c r="AN215" s="29">
        <f>UPPER(SUBSTITUTE(TRIM(F215)," ",""))</f>
        <v/>
      </c>
      <c r="AO215" s="29">
        <f>UPPER(SUBSTITUTE(TRIM(E215)," ",""))</f>
        <v/>
      </c>
      <c r="AP215" s="29">
        <f>IF(D215&lt;&gt;"",D215,IFERROR(VLOOKUP(MID(AG215,4,1),Lists!$E$2:$F$8,2,FALSE),""))</f>
        <v/>
      </c>
      <c r="AQ215" s="29">
        <f>IFERROR(VLOOKUP(AP215,Lists!$A$2:$C$12,3,FALSE),"")</f>
        <v/>
      </c>
      <c r="AR215" s="29">
        <f>COUNTIF(W215:AC215,"Yes")</f>
        <v/>
      </c>
      <c r="AS215" s="29">
        <f>IF(TRIM(B215)="","Legal name missing; ","")&amp;IF(AND(AJ215&lt;&gt;"",AJ215&lt;&gt;"OK"),"GSTIN: "&amp;AJ215&amp;"; ","")&amp;IF(AND(AK215&lt;&gt;"",AK215&lt;&gt;"OK"),"PAN wrong format; ","")&amp;IF(AND(AO215&lt;&gt;"",LEN(AN215)=15,MID(AN215,3,10)&lt;&gt;AO215),"PAN does not match GSTIN; ","")&amp;IF(AND(AL215&lt;&gt;"",AL215&lt;&gt;"OK"),"TAN wrong format; ","")&amp;IF(AG215="","PAN missing; ","")&amp;IF(AP215="","Entity type missing; ","")&amp;IF(AND(AN215&lt;&gt;"",COUNTIF($AN$6:$AN$1005,AN215)&gt;1),"GSTIN repeated in this sheet; ","")&amp;IF(AND(AG215&lt;&gt;"",COUNTIF($AG$6:$AG$1005,AG215)&gt;1),"PAN repeated in this sheet (same client? put extra GSTINs in Other GSTINs); ","")&amp;IF(AND(AR215&gt;0,V215=""),"Financial year missing; ","")&amp;IF(AND(AR215=0,V215&lt;&gt;""),"Financial year given but no service is Yes; ","")&amp;IF(AND(W215="Yes",AN215=""),"GST needs a GSTIN; ","")&amp;IF(AND(W215="Yes",X215=""),"GST return frequency missing; ","")&amp;IF(AND(Y215="Yes",TRIM(H215)=""),"TDS needs a TAN; ","")&amp;IF(AND(AA215="Yes",AQ215&lt;&gt;"",AQ215&lt;&gt;"company",AQ215&lt;&gt;"llp"),"ROC is only for a company / LLP; ","")&amp;IF(AND(AA215="Yes",OR(AQ215="company",AQ215="llp"),TRIM(I215)=""),"ROC needs the CIN / LLPIN; ","")</f>
        <v/>
      </c>
    </row>
    <row r="216">
      <c r="A216" s="30" t="n"/>
      <c r="B216" s="31" t="n"/>
      <c r="C216" s="31" t="n"/>
      <c r="D216" s="31" t="n"/>
      <c r="E216" s="30" t="n"/>
      <c r="F216" s="30" t="n"/>
      <c r="G216" s="30" t="n"/>
      <c r="H216" s="30" t="n"/>
      <c r="I216" s="30" t="n"/>
      <c r="J216" s="32" t="n"/>
      <c r="K216" s="31" t="n"/>
      <c r="L216" s="30" t="n"/>
      <c r="M216" s="31" t="n"/>
      <c r="N216" s="31" t="n"/>
      <c r="O216" s="31" t="n"/>
      <c r="P216" s="30" t="n"/>
      <c r="Q216" s="31" t="n"/>
      <c r="R216" s="31" t="n"/>
      <c r="S216" s="31" t="n"/>
      <c r="T216" s="31" t="n"/>
      <c r="U216" s="30" t="n"/>
      <c r="V216" s="31" t="n"/>
      <c r="W216" s="31" t="n"/>
      <c r="X216" s="31" t="n"/>
      <c r="Y216" s="31" t="n"/>
      <c r="Z216" s="31" t="n"/>
      <c r="AA216" s="31" t="n"/>
      <c r="AB216" s="31" t="n"/>
      <c r="AC216" s="31" t="n"/>
      <c r="AD216" s="31" t="n"/>
      <c r="AE216" s="31" t="n"/>
      <c r="AF216" s="27">
        <f>IF(NOT(COUNTA(A216:AE216)&gt;0),"",IF(A216="","New client","Update"))</f>
        <v/>
      </c>
      <c r="AG216" s="27">
        <f>IF(AO216&lt;&gt;"",AO216,IF(LEN(AN216)=15,MID(AN216,3,10),""))</f>
        <v/>
      </c>
      <c r="AH216" s="27">
        <f>IF(AP216="","",AP216&amp;IF(D216="","  (guessed from PAN)",""))</f>
        <v/>
      </c>
      <c r="AI216" s="27">
        <f>IF(AN216="","",IFERROR(INDEX(Lists!$L$2:$L$38,MATCH(LEFT(AN216,2),Lists!$K$2:$K$38,0)),"Unknown code"))</f>
        <v/>
      </c>
      <c r="AJ216" s="27">
        <f>IF(AN216="","",IFERROR(IF(NOT(AND(LEN(AN216)=15,ISNUMBER(MATCH(LEFT(AN216,2),Lists!$K$2:$K$38,0)),SUMPRODUCT(--ISERROR(FIND(MID(MID(AN216,3,10),{1,2,3,4,5,10},1),"ABCDEFGHIJKLMNOPQRSTUVWXYZ")))=0,SUMPRODUCT(--ISERROR(FIND(MID(MID(AN216,3,10),{6,7,8,9},1),"0123456789")))=0,ISNUMBER(FIND(MID(AN216,13,1),"123456789ABCDEFGHIJKLMNOPQRSTUVWXYZ")),MID(AN216,14,1)="Z")),"Wrong format",IF(MID("0123456789ABCDEFGHIJKLMNOPQRSTUVWXYZ",MOD(36-MOD(SUMPRODUCT(INT((FIND(MID(AN216,{1,2,3,4,5,6,7,8,9,10,11,12,13,14},1),"0123456789ABCDEFGHIJKLMNOPQRSTUVWXYZ")-1)*{1,2,1,2,1,2,1,2,1,2,1,2,1,2}/36)+MOD((FIND(MID(AN216,{1,2,3,4,5,6,7,8,9,10,11,12,13,14},1),"0123456789ABCDEFGHIJKLMNOPQRSTUVWXYZ")-1)*{1,2,1,2,1,2,1,2,1,2,1,2,1,2},36)),36),36)+1,1)=MID(AN216,15,1),"OK","Typo? check digit wrong")),"Wrong format"))</f>
        <v/>
      </c>
      <c r="AK216" s="27">
        <f>IF(AO216="","",IF(AND(LEN(AO216)=10,SUMPRODUCT(--ISERROR(FIND(MID(AO216,{1,2,3,4,5,10},1),"ABCDEFGHIJKLMNOPQRSTUVWXYZ")))=0,SUMPRODUCT(--ISERROR(FIND(MID(AO216,{6,7,8,9},1),"0123456789")))=0),"OK","Wrong format"))</f>
        <v/>
      </c>
      <c r="AL216" s="27">
        <f>IF(TRIM(H216)="","",IF(AND(LEN(UPPER(TRIM(H216)))=10,SUMPRODUCT(--ISERROR(FIND(MID(UPPER(TRIM(H216)),{1,2,3,4,10},1),"ABCDEFGHIJKLMNOPQRSTUVWXYZ")))=0,SUMPRODUCT(--ISERROR(FIND(MID(UPPER(TRIM(H216)),{5,6,7,8,9},1),"0123456789")))=0),"OK","Wrong format"))</f>
        <v/>
      </c>
      <c r="AM216" s="28">
        <f>IF(NOT(COUNTA(A216:AE216)&gt;0),"",IF(AS216&lt;&gt;"","✖ "&amp;LEFT(AS216,LEN(AS216)-2),IF(AR216&gt;0,"✔ Ready — client + "&amp;AR216&amp;" service(s)","✔ Ready — client only")))</f>
        <v/>
      </c>
      <c r="AN216" s="29">
        <f>UPPER(SUBSTITUTE(TRIM(F216)," ",""))</f>
        <v/>
      </c>
      <c r="AO216" s="29">
        <f>UPPER(SUBSTITUTE(TRIM(E216)," ",""))</f>
        <v/>
      </c>
      <c r="AP216" s="29">
        <f>IF(D216&lt;&gt;"",D216,IFERROR(VLOOKUP(MID(AG216,4,1),Lists!$E$2:$F$8,2,FALSE),""))</f>
        <v/>
      </c>
      <c r="AQ216" s="29">
        <f>IFERROR(VLOOKUP(AP216,Lists!$A$2:$C$12,3,FALSE),"")</f>
        <v/>
      </c>
      <c r="AR216" s="29">
        <f>COUNTIF(W216:AC216,"Yes")</f>
        <v/>
      </c>
      <c r="AS216" s="29">
        <f>IF(TRIM(B216)="","Legal name missing; ","")&amp;IF(AND(AJ216&lt;&gt;"",AJ216&lt;&gt;"OK"),"GSTIN: "&amp;AJ216&amp;"; ","")&amp;IF(AND(AK216&lt;&gt;"",AK216&lt;&gt;"OK"),"PAN wrong format; ","")&amp;IF(AND(AO216&lt;&gt;"",LEN(AN216)=15,MID(AN216,3,10)&lt;&gt;AO216),"PAN does not match GSTIN; ","")&amp;IF(AND(AL216&lt;&gt;"",AL216&lt;&gt;"OK"),"TAN wrong format; ","")&amp;IF(AG216="","PAN missing; ","")&amp;IF(AP216="","Entity type missing; ","")&amp;IF(AND(AN216&lt;&gt;"",COUNTIF($AN$6:$AN$1005,AN216)&gt;1),"GSTIN repeated in this sheet; ","")&amp;IF(AND(AG216&lt;&gt;"",COUNTIF($AG$6:$AG$1005,AG216)&gt;1),"PAN repeated in this sheet (same client? put extra GSTINs in Other GSTINs); ","")&amp;IF(AND(AR216&gt;0,V216=""),"Financial year missing; ","")&amp;IF(AND(AR216=0,V216&lt;&gt;""),"Financial year given but no service is Yes; ","")&amp;IF(AND(W216="Yes",AN216=""),"GST needs a GSTIN; ","")&amp;IF(AND(W216="Yes",X216=""),"GST return frequency missing; ","")&amp;IF(AND(Y216="Yes",TRIM(H216)=""),"TDS needs a TAN; ","")&amp;IF(AND(AA216="Yes",AQ216&lt;&gt;"",AQ216&lt;&gt;"company",AQ216&lt;&gt;"llp"),"ROC is only for a company / LLP; ","")&amp;IF(AND(AA216="Yes",OR(AQ216="company",AQ216="llp"),TRIM(I216)=""),"ROC needs the CIN / LLPIN; ","")</f>
        <v/>
      </c>
    </row>
    <row r="217">
      <c r="A217" s="30" t="n"/>
      <c r="B217" s="31" t="n"/>
      <c r="C217" s="31" t="n"/>
      <c r="D217" s="31" t="n"/>
      <c r="E217" s="30" t="n"/>
      <c r="F217" s="30" t="n"/>
      <c r="G217" s="30" t="n"/>
      <c r="H217" s="30" t="n"/>
      <c r="I217" s="30" t="n"/>
      <c r="J217" s="32" t="n"/>
      <c r="K217" s="31" t="n"/>
      <c r="L217" s="30" t="n"/>
      <c r="M217" s="31" t="n"/>
      <c r="N217" s="31" t="n"/>
      <c r="O217" s="31" t="n"/>
      <c r="P217" s="30" t="n"/>
      <c r="Q217" s="31" t="n"/>
      <c r="R217" s="31" t="n"/>
      <c r="S217" s="31" t="n"/>
      <c r="T217" s="31" t="n"/>
      <c r="U217" s="30" t="n"/>
      <c r="V217" s="31" t="n"/>
      <c r="W217" s="31" t="n"/>
      <c r="X217" s="31" t="n"/>
      <c r="Y217" s="31" t="n"/>
      <c r="Z217" s="31" t="n"/>
      <c r="AA217" s="31" t="n"/>
      <c r="AB217" s="31" t="n"/>
      <c r="AC217" s="31" t="n"/>
      <c r="AD217" s="31" t="n"/>
      <c r="AE217" s="31" t="n"/>
      <c r="AF217" s="27">
        <f>IF(NOT(COUNTA(A217:AE217)&gt;0),"",IF(A217="","New client","Update"))</f>
        <v/>
      </c>
      <c r="AG217" s="27">
        <f>IF(AO217&lt;&gt;"",AO217,IF(LEN(AN217)=15,MID(AN217,3,10),""))</f>
        <v/>
      </c>
      <c r="AH217" s="27">
        <f>IF(AP217="","",AP217&amp;IF(D217="","  (guessed from PAN)",""))</f>
        <v/>
      </c>
      <c r="AI217" s="27">
        <f>IF(AN217="","",IFERROR(INDEX(Lists!$L$2:$L$38,MATCH(LEFT(AN217,2),Lists!$K$2:$K$38,0)),"Unknown code"))</f>
        <v/>
      </c>
      <c r="AJ217" s="27">
        <f>IF(AN217="","",IFERROR(IF(NOT(AND(LEN(AN217)=15,ISNUMBER(MATCH(LEFT(AN217,2),Lists!$K$2:$K$38,0)),SUMPRODUCT(--ISERROR(FIND(MID(MID(AN217,3,10),{1,2,3,4,5,10},1),"ABCDEFGHIJKLMNOPQRSTUVWXYZ")))=0,SUMPRODUCT(--ISERROR(FIND(MID(MID(AN217,3,10),{6,7,8,9},1),"0123456789")))=0,ISNUMBER(FIND(MID(AN217,13,1),"123456789ABCDEFGHIJKLMNOPQRSTUVWXYZ")),MID(AN217,14,1)="Z")),"Wrong format",IF(MID("0123456789ABCDEFGHIJKLMNOPQRSTUVWXYZ",MOD(36-MOD(SUMPRODUCT(INT((FIND(MID(AN217,{1,2,3,4,5,6,7,8,9,10,11,12,13,14},1),"0123456789ABCDEFGHIJKLMNOPQRSTUVWXYZ")-1)*{1,2,1,2,1,2,1,2,1,2,1,2,1,2}/36)+MOD((FIND(MID(AN217,{1,2,3,4,5,6,7,8,9,10,11,12,13,14},1),"0123456789ABCDEFGHIJKLMNOPQRSTUVWXYZ")-1)*{1,2,1,2,1,2,1,2,1,2,1,2,1,2},36)),36),36)+1,1)=MID(AN217,15,1),"OK","Typo? check digit wrong")),"Wrong format"))</f>
        <v/>
      </c>
      <c r="AK217" s="27">
        <f>IF(AO217="","",IF(AND(LEN(AO217)=10,SUMPRODUCT(--ISERROR(FIND(MID(AO217,{1,2,3,4,5,10},1),"ABCDEFGHIJKLMNOPQRSTUVWXYZ")))=0,SUMPRODUCT(--ISERROR(FIND(MID(AO217,{6,7,8,9},1),"0123456789")))=0),"OK","Wrong format"))</f>
        <v/>
      </c>
      <c r="AL217" s="27">
        <f>IF(TRIM(H217)="","",IF(AND(LEN(UPPER(TRIM(H217)))=10,SUMPRODUCT(--ISERROR(FIND(MID(UPPER(TRIM(H217)),{1,2,3,4,10},1),"ABCDEFGHIJKLMNOPQRSTUVWXYZ")))=0,SUMPRODUCT(--ISERROR(FIND(MID(UPPER(TRIM(H217)),{5,6,7,8,9},1),"0123456789")))=0),"OK","Wrong format"))</f>
        <v/>
      </c>
      <c r="AM217" s="28">
        <f>IF(NOT(COUNTA(A217:AE217)&gt;0),"",IF(AS217&lt;&gt;"","✖ "&amp;LEFT(AS217,LEN(AS217)-2),IF(AR217&gt;0,"✔ Ready — client + "&amp;AR217&amp;" service(s)","✔ Ready — client only")))</f>
        <v/>
      </c>
      <c r="AN217" s="29">
        <f>UPPER(SUBSTITUTE(TRIM(F217)," ",""))</f>
        <v/>
      </c>
      <c r="AO217" s="29">
        <f>UPPER(SUBSTITUTE(TRIM(E217)," ",""))</f>
        <v/>
      </c>
      <c r="AP217" s="29">
        <f>IF(D217&lt;&gt;"",D217,IFERROR(VLOOKUP(MID(AG217,4,1),Lists!$E$2:$F$8,2,FALSE),""))</f>
        <v/>
      </c>
      <c r="AQ217" s="29">
        <f>IFERROR(VLOOKUP(AP217,Lists!$A$2:$C$12,3,FALSE),"")</f>
        <v/>
      </c>
      <c r="AR217" s="29">
        <f>COUNTIF(W217:AC217,"Yes")</f>
        <v/>
      </c>
      <c r="AS217" s="29">
        <f>IF(TRIM(B217)="","Legal name missing; ","")&amp;IF(AND(AJ217&lt;&gt;"",AJ217&lt;&gt;"OK"),"GSTIN: "&amp;AJ217&amp;"; ","")&amp;IF(AND(AK217&lt;&gt;"",AK217&lt;&gt;"OK"),"PAN wrong format; ","")&amp;IF(AND(AO217&lt;&gt;"",LEN(AN217)=15,MID(AN217,3,10)&lt;&gt;AO217),"PAN does not match GSTIN; ","")&amp;IF(AND(AL217&lt;&gt;"",AL217&lt;&gt;"OK"),"TAN wrong format; ","")&amp;IF(AG217="","PAN missing; ","")&amp;IF(AP217="","Entity type missing; ","")&amp;IF(AND(AN217&lt;&gt;"",COUNTIF($AN$6:$AN$1005,AN217)&gt;1),"GSTIN repeated in this sheet; ","")&amp;IF(AND(AG217&lt;&gt;"",COUNTIF($AG$6:$AG$1005,AG217)&gt;1),"PAN repeated in this sheet (same client? put extra GSTINs in Other GSTINs); ","")&amp;IF(AND(AR217&gt;0,V217=""),"Financial year missing; ","")&amp;IF(AND(AR217=0,V217&lt;&gt;""),"Financial year given but no service is Yes; ","")&amp;IF(AND(W217="Yes",AN217=""),"GST needs a GSTIN; ","")&amp;IF(AND(W217="Yes",X217=""),"GST return frequency missing; ","")&amp;IF(AND(Y217="Yes",TRIM(H217)=""),"TDS needs a TAN; ","")&amp;IF(AND(AA217="Yes",AQ217&lt;&gt;"",AQ217&lt;&gt;"company",AQ217&lt;&gt;"llp"),"ROC is only for a company / LLP; ","")&amp;IF(AND(AA217="Yes",OR(AQ217="company",AQ217="llp"),TRIM(I217)=""),"ROC needs the CIN / LLPIN; ","")</f>
        <v/>
      </c>
    </row>
    <row r="218">
      <c r="A218" s="30" t="n"/>
      <c r="B218" s="31" t="n"/>
      <c r="C218" s="31" t="n"/>
      <c r="D218" s="31" t="n"/>
      <c r="E218" s="30" t="n"/>
      <c r="F218" s="30" t="n"/>
      <c r="G218" s="30" t="n"/>
      <c r="H218" s="30" t="n"/>
      <c r="I218" s="30" t="n"/>
      <c r="J218" s="32" t="n"/>
      <c r="K218" s="31" t="n"/>
      <c r="L218" s="30" t="n"/>
      <c r="M218" s="31" t="n"/>
      <c r="N218" s="31" t="n"/>
      <c r="O218" s="31" t="n"/>
      <c r="P218" s="30" t="n"/>
      <c r="Q218" s="31" t="n"/>
      <c r="R218" s="31" t="n"/>
      <c r="S218" s="31" t="n"/>
      <c r="T218" s="31" t="n"/>
      <c r="U218" s="30" t="n"/>
      <c r="V218" s="31" t="n"/>
      <c r="W218" s="31" t="n"/>
      <c r="X218" s="31" t="n"/>
      <c r="Y218" s="31" t="n"/>
      <c r="Z218" s="31" t="n"/>
      <c r="AA218" s="31" t="n"/>
      <c r="AB218" s="31" t="n"/>
      <c r="AC218" s="31" t="n"/>
      <c r="AD218" s="31" t="n"/>
      <c r="AE218" s="31" t="n"/>
      <c r="AF218" s="27">
        <f>IF(NOT(COUNTA(A218:AE218)&gt;0),"",IF(A218="","New client","Update"))</f>
        <v/>
      </c>
      <c r="AG218" s="27">
        <f>IF(AO218&lt;&gt;"",AO218,IF(LEN(AN218)=15,MID(AN218,3,10),""))</f>
        <v/>
      </c>
      <c r="AH218" s="27">
        <f>IF(AP218="","",AP218&amp;IF(D218="","  (guessed from PAN)",""))</f>
        <v/>
      </c>
      <c r="AI218" s="27">
        <f>IF(AN218="","",IFERROR(INDEX(Lists!$L$2:$L$38,MATCH(LEFT(AN218,2),Lists!$K$2:$K$38,0)),"Unknown code"))</f>
        <v/>
      </c>
      <c r="AJ218" s="27">
        <f>IF(AN218="","",IFERROR(IF(NOT(AND(LEN(AN218)=15,ISNUMBER(MATCH(LEFT(AN218,2),Lists!$K$2:$K$38,0)),SUMPRODUCT(--ISERROR(FIND(MID(MID(AN218,3,10),{1,2,3,4,5,10},1),"ABCDEFGHIJKLMNOPQRSTUVWXYZ")))=0,SUMPRODUCT(--ISERROR(FIND(MID(MID(AN218,3,10),{6,7,8,9},1),"0123456789")))=0,ISNUMBER(FIND(MID(AN218,13,1),"123456789ABCDEFGHIJKLMNOPQRSTUVWXYZ")),MID(AN218,14,1)="Z")),"Wrong format",IF(MID("0123456789ABCDEFGHIJKLMNOPQRSTUVWXYZ",MOD(36-MOD(SUMPRODUCT(INT((FIND(MID(AN218,{1,2,3,4,5,6,7,8,9,10,11,12,13,14},1),"0123456789ABCDEFGHIJKLMNOPQRSTUVWXYZ")-1)*{1,2,1,2,1,2,1,2,1,2,1,2,1,2}/36)+MOD((FIND(MID(AN218,{1,2,3,4,5,6,7,8,9,10,11,12,13,14},1),"0123456789ABCDEFGHIJKLMNOPQRSTUVWXYZ")-1)*{1,2,1,2,1,2,1,2,1,2,1,2,1,2},36)),36),36)+1,1)=MID(AN218,15,1),"OK","Typo? check digit wrong")),"Wrong format"))</f>
        <v/>
      </c>
      <c r="AK218" s="27">
        <f>IF(AO218="","",IF(AND(LEN(AO218)=10,SUMPRODUCT(--ISERROR(FIND(MID(AO218,{1,2,3,4,5,10},1),"ABCDEFGHIJKLMNOPQRSTUVWXYZ")))=0,SUMPRODUCT(--ISERROR(FIND(MID(AO218,{6,7,8,9},1),"0123456789")))=0),"OK","Wrong format"))</f>
        <v/>
      </c>
      <c r="AL218" s="27">
        <f>IF(TRIM(H218)="","",IF(AND(LEN(UPPER(TRIM(H218)))=10,SUMPRODUCT(--ISERROR(FIND(MID(UPPER(TRIM(H218)),{1,2,3,4,10},1),"ABCDEFGHIJKLMNOPQRSTUVWXYZ")))=0,SUMPRODUCT(--ISERROR(FIND(MID(UPPER(TRIM(H218)),{5,6,7,8,9},1),"0123456789")))=0),"OK","Wrong format"))</f>
        <v/>
      </c>
      <c r="AM218" s="28">
        <f>IF(NOT(COUNTA(A218:AE218)&gt;0),"",IF(AS218&lt;&gt;"","✖ "&amp;LEFT(AS218,LEN(AS218)-2),IF(AR218&gt;0,"✔ Ready — client + "&amp;AR218&amp;" service(s)","✔ Ready — client only")))</f>
        <v/>
      </c>
      <c r="AN218" s="29">
        <f>UPPER(SUBSTITUTE(TRIM(F218)," ",""))</f>
        <v/>
      </c>
      <c r="AO218" s="29">
        <f>UPPER(SUBSTITUTE(TRIM(E218)," ",""))</f>
        <v/>
      </c>
      <c r="AP218" s="29">
        <f>IF(D218&lt;&gt;"",D218,IFERROR(VLOOKUP(MID(AG218,4,1),Lists!$E$2:$F$8,2,FALSE),""))</f>
        <v/>
      </c>
      <c r="AQ218" s="29">
        <f>IFERROR(VLOOKUP(AP218,Lists!$A$2:$C$12,3,FALSE),"")</f>
        <v/>
      </c>
      <c r="AR218" s="29">
        <f>COUNTIF(W218:AC218,"Yes")</f>
        <v/>
      </c>
      <c r="AS218" s="29">
        <f>IF(TRIM(B218)="","Legal name missing; ","")&amp;IF(AND(AJ218&lt;&gt;"",AJ218&lt;&gt;"OK"),"GSTIN: "&amp;AJ218&amp;"; ","")&amp;IF(AND(AK218&lt;&gt;"",AK218&lt;&gt;"OK"),"PAN wrong format; ","")&amp;IF(AND(AO218&lt;&gt;"",LEN(AN218)=15,MID(AN218,3,10)&lt;&gt;AO218),"PAN does not match GSTIN; ","")&amp;IF(AND(AL218&lt;&gt;"",AL218&lt;&gt;"OK"),"TAN wrong format; ","")&amp;IF(AG218="","PAN missing; ","")&amp;IF(AP218="","Entity type missing; ","")&amp;IF(AND(AN218&lt;&gt;"",COUNTIF($AN$6:$AN$1005,AN218)&gt;1),"GSTIN repeated in this sheet; ","")&amp;IF(AND(AG218&lt;&gt;"",COUNTIF($AG$6:$AG$1005,AG218)&gt;1),"PAN repeated in this sheet (same client? put extra GSTINs in Other GSTINs); ","")&amp;IF(AND(AR218&gt;0,V218=""),"Financial year missing; ","")&amp;IF(AND(AR218=0,V218&lt;&gt;""),"Financial year given but no service is Yes; ","")&amp;IF(AND(W218="Yes",AN218=""),"GST needs a GSTIN; ","")&amp;IF(AND(W218="Yes",X218=""),"GST return frequency missing; ","")&amp;IF(AND(Y218="Yes",TRIM(H218)=""),"TDS needs a TAN; ","")&amp;IF(AND(AA218="Yes",AQ218&lt;&gt;"",AQ218&lt;&gt;"company",AQ218&lt;&gt;"llp"),"ROC is only for a company / LLP; ","")&amp;IF(AND(AA218="Yes",OR(AQ218="company",AQ218="llp"),TRIM(I218)=""),"ROC needs the CIN / LLPIN; ","")</f>
        <v/>
      </c>
    </row>
    <row r="219">
      <c r="A219" s="30" t="n"/>
      <c r="B219" s="31" t="n"/>
      <c r="C219" s="31" t="n"/>
      <c r="D219" s="31" t="n"/>
      <c r="E219" s="30" t="n"/>
      <c r="F219" s="30" t="n"/>
      <c r="G219" s="30" t="n"/>
      <c r="H219" s="30" t="n"/>
      <c r="I219" s="30" t="n"/>
      <c r="J219" s="32" t="n"/>
      <c r="K219" s="31" t="n"/>
      <c r="L219" s="30" t="n"/>
      <c r="M219" s="31" t="n"/>
      <c r="N219" s="31" t="n"/>
      <c r="O219" s="31" t="n"/>
      <c r="P219" s="30" t="n"/>
      <c r="Q219" s="31" t="n"/>
      <c r="R219" s="31" t="n"/>
      <c r="S219" s="31" t="n"/>
      <c r="T219" s="31" t="n"/>
      <c r="U219" s="30" t="n"/>
      <c r="V219" s="31" t="n"/>
      <c r="W219" s="31" t="n"/>
      <c r="X219" s="31" t="n"/>
      <c r="Y219" s="31" t="n"/>
      <c r="Z219" s="31" t="n"/>
      <c r="AA219" s="31" t="n"/>
      <c r="AB219" s="31" t="n"/>
      <c r="AC219" s="31" t="n"/>
      <c r="AD219" s="31" t="n"/>
      <c r="AE219" s="31" t="n"/>
      <c r="AF219" s="27">
        <f>IF(NOT(COUNTA(A219:AE219)&gt;0),"",IF(A219="","New client","Update"))</f>
        <v/>
      </c>
      <c r="AG219" s="27">
        <f>IF(AO219&lt;&gt;"",AO219,IF(LEN(AN219)=15,MID(AN219,3,10),""))</f>
        <v/>
      </c>
      <c r="AH219" s="27">
        <f>IF(AP219="","",AP219&amp;IF(D219="","  (guessed from PAN)",""))</f>
        <v/>
      </c>
      <c r="AI219" s="27">
        <f>IF(AN219="","",IFERROR(INDEX(Lists!$L$2:$L$38,MATCH(LEFT(AN219,2),Lists!$K$2:$K$38,0)),"Unknown code"))</f>
        <v/>
      </c>
      <c r="AJ219" s="27">
        <f>IF(AN219="","",IFERROR(IF(NOT(AND(LEN(AN219)=15,ISNUMBER(MATCH(LEFT(AN219,2),Lists!$K$2:$K$38,0)),SUMPRODUCT(--ISERROR(FIND(MID(MID(AN219,3,10),{1,2,3,4,5,10},1),"ABCDEFGHIJKLMNOPQRSTUVWXYZ")))=0,SUMPRODUCT(--ISERROR(FIND(MID(MID(AN219,3,10),{6,7,8,9},1),"0123456789")))=0,ISNUMBER(FIND(MID(AN219,13,1),"123456789ABCDEFGHIJKLMNOPQRSTUVWXYZ")),MID(AN219,14,1)="Z")),"Wrong format",IF(MID("0123456789ABCDEFGHIJKLMNOPQRSTUVWXYZ",MOD(36-MOD(SUMPRODUCT(INT((FIND(MID(AN219,{1,2,3,4,5,6,7,8,9,10,11,12,13,14},1),"0123456789ABCDEFGHIJKLMNOPQRSTUVWXYZ")-1)*{1,2,1,2,1,2,1,2,1,2,1,2,1,2}/36)+MOD((FIND(MID(AN219,{1,2,3,4,5,6,7,8,9,10,11,12,13,14},1),"0123456789ABCDEFGHIJKLMNOPQRSTUVWXYZ")-1)*{1,2,1,2,1,2,1,2,1,2,1,2,1,2},36)),36),36)+1,1)=MID(AN219,15,1),"OK","Typo? check digit wrong")),"Wrong format"))</f>
        <v/>
      </c>
      <c r="AK219" s="27">
        <f>IF(AO219="","",IF(AND(LEN(AO219)=10,SUMPRODUCT(--ISERROR(FIND(MID(AO219,{1,2,3,4,5,10},1),"ABCDEFGHIJKLMNOPQRSTUVWXYZ")))=0,SUMPRODUCT(--ISERROR(FIND(MID(AO219,{6,7,8,9},1),"0123456789")))=0),"OK","Wrong format"))</f>
        <v/>
      </c>
      <c r="AL219" s="27">
        <f>IF(TRIM(H219)="","",IF(AND(LEN(UPPER(TRIM(H219)))=10,SUMPRODUCT(--ISERROR(FIND(MID(UPPER(TRIM(H219)),{1,2,3,4,10},1),"ABCDEFGHIJKLMNOPQRSTUVWXYZ")))=0,SUMPRODUCT(--ISERROR(FIND(MID(UPPER(TRIM(H219)),{5,6,7,8,9},1),"0123456789")))=0),"OK","Wrong format"))</f>
        <v/>
      </c>
      <c r="AM219" s="28">
        <f>IF(NOT(COUNTA(A219:AE219)&gt;0),"",IF(AS219&lt;&gt;"","✖ "&amp;LEFT(AS219,LEN(AS219)-2),IF(AR219&gt;0,"✔ Ready — client + "&amp;AR219&amp;" service(s)","✔ Ready — client only")))</f>
        <v/>
      </c>
      <c r="AN219" s="29">
        <f>UPPER(SUBSTITUTE(TRIM(F219)," ",""))</f>
        <v/>
      </c>
      <c r="AO219" s="29">
        <f>UPPER(SUBSTITUTE(TRIM(E219)," ",""))</f>
        <v/>
      </c>
      <c r="AP219" s="29">
        <f>IF(D219&lt;&gt;"",D219,IFERROR(VLOOKUP(MID(AG219,4,1),Lists!$E$2:$F$8,2,FALSE),""))</f>
        <v/>
      </c>
      <c r="AQ219" s="29">
        <f>IFERROR(VLOOKUP(AP219,Lists!$A$2:$C$12,3,FALSE),"")</f>
        <v/>
      </c>
      <c r="AR219" s="29">
        <f>COUNTIF(W219:AC219,"Yes")</f>
        <v/>
      </c>
      <c r="AS219" s="29">
        <f>IF(TRIM(B219)="","Legal name missing; ","")&amp;IF(AND(AJ219&lt;&gt;"",AJ219&lt;&gt;"OK"),"GSTIN: "&amp;AJ219&amp;"; ","")&amp;IF(AND(AK219&lt;&gt;"",AK219&lt;&gt;"OK"),"PAN wrong format; ","")&amp;IF(AND(AO219&lt;&gt;"",LEN(AN219)=15,MID(AN219,3,10)&lt;&gt;AO219),"PAN does not match GSTIN; ","")&amp;IF(AND(AL219&lt;&gt;"",AL219&lt;&gt;"OK"),"TAN wrong format; ","")&amp;IF(AG219="","PAN missing; ","")&amp;IF(AP219="","Entity type missing; ","")&amp;IF(AND(AN219&lt;&gt;"",COUNTIF($AN$6:$AN$1005,AN219)&gt;1),"GSTIN repeated in this sheet; ","")&amp;IF(AND(AG219&lt;&gt;"",COUNTIF($AG$6:$AG$1005,AG219)&gt;1),"PAN repeated in this sheet (same client? put extra GSTINs in Other GSTINs); ","")&amp;IF(AND(AR219&gt;0,V219=""),"Financial year missing; ","")&amp;IF(AND(AR219=0,V219&lt;&gt;""),"Financial year given but no service is Yes; ","")&amp;IF(AND(W219="Yes",AN219=""),"GST needs a GSTIN; ","")&amp;IF(AND(W219="Yes",X219=""),"GST return frequency missing; ","")&amp;IF(AND(Y219="Yes",TRIM(H219)=""),"TDS needs a TAN; ","")&amp;IF(AND(AA219="Yes",AQ219&lt;&gt;"",AQ219&lt;&gt;"company",AQ219&lt;&gt;"llp"),"ROC is only for a company / LLP; ","")&amp;IF(AND(AA219="Yes",OR(AQ219="company",AQ219="llp"),TRIM(I219)=""),"ROC needs the CIN / LLPIN; ","")</f>
        <v/>
      </c>
    </row>
    <row r="220">
      <c r="A220" s="30" t="n"/>
      <c r="B220" s="31" t="n"/>
      <c r="C220" s="31" t="n"/>
      <c r="D220" s="31" t="n"/>
      <c r="E220" s="30" t="n"/>
      <c r="F220" s="30" t="n"/>
      <c r="G220" s="30" t="n"/>
      <c r="H220" s="30" t="n"/>
      <c r="I220" s="30" t="n"/>
      <c r="J220" s="32" t="n"/>
      <c r="K220" s="31" t="n"/>
      <c r="L220" s="30" t="n"/>
      <c r="M220" s="31" t="n"/>
      <c r="N220" s="31" t="n"/>
      <c r="O220" s="31" t="n"/>
      <c r="P220" s="30" t="n"/>
      <c r="Q220" s="31" t="n"/>
      <c r="R220" s="31" t="n"/>
      <c r="S220" s="31" t="n"/>
      <c r="T220" s="31" t="n"/>
      <c r="U220" s="30" t="n"/>
      <c r="V220" s="31" t="n"/>
      <c r="W220" s="31" t="n"/>
      <c r="X220" s="31" t="n"/>
      <c r="Y220" s="31" t="n"/>
      <c r="Z220" s="31" t="n"/>
      <c r="AA220" s="31" t="n"/>
      <c r="AB220" s="31" t="n"/>
      <c r="AC220" s="31" t="n"/>
      <c r="AD220" s="31" t="n"/>
      <c r="AE220" s="31" t="n"/>
      <c r="AF220" s="27">
        <f>IF(NOT(COUNTA(A220:AE220)&gt;0),"",IF(A220="","New client","Update"))</f>
        <v/>
      </c>
      <c r="AG220" s="27">
        <f>IF(AO220&lt;&gt;"",AO220,IF(LEN(AN220)=15,MID(AN220,3,10),""))</f>
        <v/>
      </c>
      <c r="AH220" s="27">
        <f>IF(AP220="","",AP220&amp;IF(D220="","  (guessed from PAN)",""))</f>
        <v/>
      </c>
      <c r="AI220" s="27">
        <f>IF(AN220="","",IFERROR(INDEX(Lists!$L$2:$L$38,MATCH(LEFT(AN220,2),Lists!$K$2:$K$38,0)),"Unknown code"))</f>
        <v/>
      </c>
      <c r="AJ220" s="27">
        <f>IF(AN220="","",IFERROR(IF(NOT(AND(LEN(AN220)=15,ISNUMBER(MATCH(LEFT(AN220,2),Lists!$K$2:$K$38,0)),SUMPRODUCT(--ISERROR(FIND(MID(MID(AN220,3,10),{1,2,3,4,5,10},1),"ABCDEFGHIJKLMNOPQRSTUVWXYZ")))=0,SUMPRODUCT(--ISERROR(FIND(MID(MID(AN220,3,10),{6,7,8,9},1),"0123456789")))=0,ISNUMBER(FIND(MID(AN220,13,1),"123456789ABCDEFGHIJKLMNOPQRSTUVWXYZ")),MID(AN220,14,1)="Z")),"Wrong format",IF(MID("0123456789ABCDEFGHIJKLMNOPQRSTUVWXYZ",MOD(36-MOD(SUMPRODUCT(INT((FIND(MID(AN220,{1,2,3,4,5,6,7,8,9,10,11,12,13,14},1),"0123456789ABCDEFGHIJKLMNOPQRSTUVWXYZ")-1)*{1,2,1,2,1,2,1,2,1,2,1,2,1,2}/36)+MOD((FIND(MID(AN220,{1,2,3,4,5,6,7,8,9,10,11,12,13,14},1),"0123456789ABCDEFGHIJKLMNOPQRSTUVWXYZ")-1)*{1,2,1,2,1,2,1,2,1,2,1,2,1,2},36)),36),36)+1,1)=MID(AN220,15,1),"OK","Typo? check digit wrong")),"Wrong format"))</f>
        <v/>
      </c>
      <c r="AK220" s="27">
        <f>IF(AO220="","",IF(AND(LEN(AO220)=10,SUMPRODUCT(--ISERROR(FIND(MID(AO220,{1,2,3,4,5,10},1),"ABCDEFGHIJKLMNOPQRSTUVWXYZ")))=0,SUMPRODUCT(--ISERROR(FIND(MID(AO220,{6,7,8,9},1),"0123456789")))=0),"OK","Wrong format"))</f>
        <v/>
      </c>
      <c r="AL220" s="27">
        <f>IF(TRIM(H220)="","",IF(AND(LEN(UPPER(TRIM(H220)))=10,SUMPRODUCT(--ISERROR(FIND(MID(UPPER(TRIM(H220)),{1,2,3,4,10},1),"ABCDEFGHIJKLMNOPQRSTUVWXYZ")))=0,SUMPRODUCT(--ISERROR(FIND(MID(UPPER(TRIM(H220)),{5,6,7,8,9},1),"0123456789")))=0),"OK","Wrong format"))</f>
        <v/>
      </c>
      <c r="AM220" s="28">
        <f>IF(NOT(COUNTA(A220:AE220)&gt;0),"",IF(AS220&lt;&gt;"","✖ "&amp;LEFT(AS220,LEN(AS220)-2),IF(AR220&gt;0,"✔ Ready — client + "&amp;AR220&amp;" service(s)","✔ Ready — client only")))</f>
        <v/>
      </c>
      <c r="AN220" s="29">
        <f>UPPER(SUBSTITUTE(TRIM(F220)," ",""))</f>
        <v/>
      </c>
      <c r="AO220" s="29">
        <f>UPPER(SUBSTITUTE(TRIM(E220)," ",""))</f>
        <v/>
      </c>
      <c r="AP220" s="29">
        <f>IF(D220&lt;&gt;"",D220,IFERROR(VLOOKUP(MID(AG220,4,1),Lists!$E$2:$F$8,2,FALSE),""))</f>
        <v/>
      </c>
      <c r="AQ220" s="29">
        <f>IFERROR(VLOOKUP(AP220,Lists!$A$2:$C$12,3,FALSE),"")</f>
        <v/>
      </c>
      <c r="AR220" s="29">
        <f>COUNTIF(W220:AC220,"Yes")</f>
        <v/>
      </c>
      <c r="AS220" s="29">
        <f>IF(TRIM(B220)="","Legal name missing; ","")&amp;IF(AND(AJ220&lt;&gt;"",AJ220&lt;&gt;"OK"),"GSTIN: "&amp;AJ220&amp;"; ","")&amp;IF(AND(AK220&lt;&gt;"",AK220&lt;&gt;"OK"),"PAN wrong format; ","")&amp;IF(AND(AO220&lt;&gt;"",LEN(AN220)=15,MID(AN220,3,10)&lt;&gt;AO220),"PAN does not match GSTIN; ","")&amp;IF(AND(AL220&lt;&gt;"",AL220&lt;&gt;"OK"),"TAN wrong format; ","")&amp;IF(AG220="","PAN missing; ","")&amp;IF(AP220="","Entity type missing; ","")&amp;IF(AND(AN220&lt;&gt;"",COUNTIF($AN$6:$AN$1005,AN220)&gt;1),"GSTIN repeated in this sheet; ","")&amp;IF(AND(AG220&lt;&gt;"",COUNTIF($AG$6:$AG$1005,AG220)&gt;1),"PAN repeated in this sheet (same client? put extra GSTINs in Other GSTINs); ","")&amp;IF(AND(AR220&gt;0,V220=""),"Financial year missing; ","")&amp;IF(AND(AR220=0,V220&lt;&gt;""),"Financial year given but no service is Yes; ","")&amp;IF(AND(W220="Yes",AN220=""),"GST needs a GSTIN; ","")&amp;IF(AND(W220="Yes",X220=""),"GST return frequency missing; ","")&amp;IF(AND(Y220="Yes",TRIM(H220)=""),"TDS needs a TAN; ","")&amp;IF(AND(AA220="Yes",AQ220&lt;&gt;"",AQ220&lt;&gt;"company",AQ220&lt;&gt;"llp"),"ROC is only for a company / LLP; ","")&amp;IF(AND(AA220="Yes",OR(AQ220="company",AQ220="llp"),TRIM(I220)=""),"ROC needs the CIN / LLPIN; ","")</f>
        <v/>
      </c>
    </row>
    <row r="221">
      <c r="A221" s="30" t="n"/>
      <c r="B221" s="31" t="n"/>
      <c r="C221" s="31" t="n"/>
      <c r="D221" s="31" t="n"/>
      <c r="E221" s="30" t="n"/>
      <c r="F221" s="30" t="n"/>
      <c r="G221" s="30" t="n"/>
      <c r="H221" s="30" t="n"/>
      <c r="I221" s="30" t="n"/>
      <c r="J221" s="32" t="n"/>
      <c r="K221" s="31" t="n"/>
      <c r="L221" s="30" t="n"/>
      <c r="M221" s="31" t="n"/>
      <c r="N221" s="31" t="n"/>
      <c r="O221" s="31" t="n"/>
      <c r="P221" s="30" t="n"/>
      <c r="Q221" s="31" t="n"/>
      <c r="R221" s="31" t="n"/>
      <c r="S221" s="31" t="n"/>
      <c r="T221" s="31" t="n"/>
      <c r="U221" s="30" t="n"/>
      <c r="V221" s="31" t="n"/>
      <c r="W221" s="31" t="n"/>
      <c r="X221" s="31" t="n"/>
      <c r="Y221" s="31" t="n"/>
      <c r="Z221" s="31" t="n"/>
      <c r="AA221" s="31" t="n"/>
      <c r="AB221" s="31" t="n"/>
      <c r="AC221" s="31" t="n"/>
      <c r="AD221" s="31" t="n"/>
      <c r="AE221" s="31" t="n"/>
      <c r="AF221" s="27">
        <f>IF(NOT(COUNTA(A221:AE221)&gt;0),"",IF(A221="","New client","Update"))</f>
        <v/>
      </c>
      <c r="AG221" s="27">
        <f>IF(AO221&lt;&gt;"",AO221,IF(LEN(AN221)=15,MID(AN221,3,10),""))</f>
        <v/>
      </c>
      <c r="AH221" s="27">
        <f>IF(AP221="","",AP221&amp;IF(D221="","  (guessed from PAN)",""))</f>
        <v/>
      </c>
      <c r="AI221" s="27">
        <f>IF(AN221="","",IFERROR(INDEX(Lists!$L$2:$L$38,MATCH(LEFT(AN221,2),Lists!$K$2:$K$38,0)),"Unknown code"))</f>
        <v/>
      </c>
      <c r="AJ221" s="27">
        <f>IF(AN221="","",IFERROR(IF(NOT(AND(LEN(AN221)=15,ISNUMBER(MATCH(LEFT(AN221,2),Lists!$K$2:$K$38,0)),SUMPRODUCT(--ISERROR(FIND(MID(MID(AN221,3,10),{1,2,3,4,5,10},1),"ABCDEFGHIJKLMNOPQRSTUVWXYZ")))=0,SUMPRODUCT(--ISERROR(FIND(MID(MID(AN221,3,10),{6,7,8,9},1),"0123456789")))=0,ISNUMBER(FIND(MID(AN221,13,1),"123456789ABCDEFGHIJKLMNOPQRSTUVWXYZ")),MID(AN221,14,1)="Z")),"Wrong format",IF(MID("0123456789ABCDEFGHIJKLMNOPQRSTUVWXYZ",MOD(36-MOD(SUMPRODUCT(INT((FIND(MID(AN221,{1,2,3,4,5,6,7,8,9,10,11,12,13,14},1),"0123456789ABCDEFGHIJKLMNOPQRSTUVWXYZ")-1)*{1,2,1,2,1,2,1,2,1,2,1,2,1,2}/36)+MOD((FIND(MID(AN221,{1,2,3,4,5,6,7,8,9,10,11,12,13,14},1),"0123456789ABCDEFGHIJKLMNOPQRSTUVWXYZ")-1)*{1,2,1,2,1,2,1,2,1,2,1,2,1,2},36)),36),36)+1,1)=MID(AN221,15,1),"OK","Typo? check digit wrong")),"Wrong format"))</f>
        <v/>
      </c>
      <c r="AK221" s="27">
        <f>IF(AO221="","",IF(AND(LEN(AO221)=10,SUMPRODUCT(--ISERROR(FIND(MID(AO221,{1,2,3,4,5,10},1),"ABCDEFGHIJKLMNOPQRSTUVWXYZ")))=0,SUMPRODUCT(--ISERROR(FIND(MID(AO221,{6,7,8,9},1),"0123456789")))=0),"OK","Wrong format"))</f>
        <v/>
      </c>
      <c r="AL221" s="27">
        <f>IF(TRIM(H221)="","",IF(AND(LEN(UPPER(TRIM(H221)))=10,SUMPRODUCT(--ISERROR(FIND(MID(UPPER(TRIM(H221)),{1,2,3,4,10},1),"ABCDEFGHIJKLMNOPQRSTUVWXYZ")))=0,SUMPRODUCT(--ISERROR(FIND(MID(UPPER(TRIM(H221)),{5,6,7,8,9},1),"0123456789")))=0),"OK","Wrong format"))</f>
        <v/>
      </c>
      <c r="AM221" s="28">
        <f>IF(NOT(COUNTA(A221:AE221)&gt;0),"",IF(AS221&lt;&gt;"","✖ "&amp;LEFT(AS221,LEN(AS221)-2),IF(AR221&gt;0,"✔ Ready — client + "&amp;AR221&amp;" service(s)","✔ Ready — client only")))</f>
        <v/>
      </c>
      <c r="AN221" s="29">
        <f>UPPER(SUBSTITUTE(TRIM(F221)," ",""))</f>
        <v/>
      </c>
      <c r="AO221" s="29">
        <f>UPPER(SUBSTITUTE(TRIM(E221)," ",""))</f>
        <v/>
      </c>
      <c r="AP221" s="29">
        <f>IF(D221&lt;&gt;"",D221,IFERROR(VLOOKUP(MID(AG221,4,1),Lists!$E$2:$F$8,2,FALSE),""))</f>
        <v/>
      </c>
      <c r="AQ221" s="29">
        <f>IFERROR(VLOOKUP(AP221,Lists!$A$2:$C$12,3,FALSE),"")</f>
        <v/>
      </c>
      <c r="AR221" s="29">
        <f>COUNTIF(W221:AC221,"Yes")</f>
        <v/>
      </c>
      <c r="AS221" s="29">
        <f>IF(TRIM(B221)="","Legal name missing; ","")&amp;IF(AND(AJ221&lt;&gt;"",AJ221&lt;&gt;"OK"),"GSTIN: "&amp;AJ221&amp;"; ","")&amp;IF(AND(AK221&lt;&gt;"",AK221&lt;&gt;"OK"),"PAN wrong format; ","")&amp;IF(AND(AO221&lt;&gt;"",LEN(AN221)=15,MID(AN221,3,10)&lt;&gt;AO221),"PAN does not match GSTIN; ","")&amp;IF(AND(AL221&lt;&gt;"",AL221&lt;&gt;"OK"),"TAN wrong format; ","")&amp;IF(AG221="","PAN missing; ","")&amp;IF(AP221="","Entity type missing; ","")&amp;IF(AND(AN221&lt;&gt;"",COUNTIF($AN$6:$AN$1005,AN221)&gt;1),"GSTIN repeated in this sheet; ","")&amp;IF(AND(AG221&lt;&gt;"",COUNTIF($AG$6:$AG$1005,AG221)&gt;1),"PAN repeated in this sheet (same client? put extra GSTINs in Other GSTINs); ","")&amp;IF(AND(AR221&gt;0,V221=""),"Financial year missing; ","")&amp;IF(AND(AR221=0,V221&lt;&gt;""),"Financial year given but no service is Yes; ","")&amp;IF(AND(W221="Yes",AN221=""),"GST needs a GSTIN; ","")&amp;IF(AND(W221="Yes",X221=""),"GST return frequency missing; ","")&amp;IF(AND(Y221="Yes",TRIM(H221)=""),"TDS needs a TAN; ","")&amp;IF(AND(AA221="Yes",AQ221&lt;&gt;"",AQ221&lt;&gt;"company",AQ221&lt;&gt;"llp"),"ROC is only for a company / LLP; ","")&amp;IF(AND(AA221="Yes",OR(AQ221="company",AQ221="llp"),TRIM(I221)=""),"ROC needs the CIN / LLPIN; ","")</f>
        <v/>
      </c>
    </row>
    <row r="222">
      <c r="A222" s="30" t="n"/>
      <c r="B222" s="31" t="n"/>
      <c r="C222" s="31" t="n"/>
      <c r="D222" s="31" t="n"/>
      <c r="E222" s="30" t="n"/>
      <c r="F222" s="30" t="n"/>
      <c r="G222" s="30" t="n"/>
      <c r="H222" s="30" t="n"/>
      <c r="I222" s="30" t="n"/>
      <c r="J222" s="32" t="n"/>
      <c r="K222" s="31" t="n"/>
      <c r="L222" s="30" t="n"/>
      <c r="M222" s="31" t="n"/>
      <c r="N222" s="31" t="n"/>
      <c r="O222" s="31" t="n"/>
      <c r="P222" s="30" t="n"/>
      <c r="Q222" s="31" t="n"/>
      <c r="R222" s="31" t="n"/>
      <c r="S222" s="31" t="n"/>
      <c r="T222" s="31" t="n"/>
      <c r="U222" s="30" t="n"/>
      <c r="V222" s="31" t="n"/>
      <c r="W222" s="31" t="n"/>
      <c r="X222" s="31" t="n"/>
      <c r="Y222" s="31" t="n"/>
      <c r="Z222" s="31" t="n"/>
      <c r="AA222" s="31" t="n"/>
      <c r="AB222" s="31" t="n"/>
      <c r="AC222" s="31" t="n"/>
      <c r="AD222" s="31" t="n"/>
      <c r="AE222" s="31" t="n"/>
      <c r="AF222" s="27">
        <f>IF(NOT(COUNTA(A222:AE222)&gt;0),"",IF(A222="","New client","Update"))</f>
        <v/>
      </c>
      <c r="AG222" s="27">
        <f>IF(AO222&lt;&gt;"",AO222,IF(LEN(AN222)=15,MID(AN222,3,10),""))</f>
        <v/>
      </c>
      <c r="AH222" s="27">
        <f>IF(AP222="","",AP222&amp;IF(D222="","  (guessed from PAN)",""))</f>
        <v/>
      </c>
      <c r="AI222" s="27">
        <f>IF(AN222="","",IFERROR(INDEX(Lists!$L$2:$L$38,MATCH(LEFT(AN222,2),Lists!$K$2:$K$38,0)),"Unknown code"))</f>
        <v/>
      </c>
      <c r="AJ222" s="27">
        <f>IF(AN222="","",IFERROR(IF(NOT(AND(LEN(AN222)=15,ISNUMBER(MATCH(LEFT(AN222,2),Lists!$K$2:$K$38,0)),SUMPRODUCT(--ISERROR(FIND(MID(MID(AN222,3,10),{1,2,3,4,5,10},1),"ABCDEFGHIJKLMNOPQRSTUVWXYZ")))=0,SUMPRODUCT(--ISERROR(FIND(MID(MID(AN222,3,10),{6,7,8,9},1),"0123456789")))=0,ISNUMBER(FIND(MID(AN222,13,1),"123456789ABCDEFGHIJKLMNOPQRSTUVWXYZ")),MID(AN222,14,1)="Z")),"Wrong format",IF(MID("0123456789ABCDEFGHIJKLMNOPQRSTUVWXYZ",MOD(36-MOD(SUMPRODUCT(INT((FIND(MID(AN222,{1,2,3,4,5,6,7,8,9,10,11,12,13,14},1),"0123456789ABCDEFGHIJKLMNOPQRSTUVWXYZ")-1)*{1,2,1,2,1,2,1,2,1,2,1,2,1,2}/36)+MOD((FIND(MID(AN222,{1,2,3,4,5,6,7,8,9,10,11,12,13,14},1),"0123456789ABCDEFGHIJKLMNOPQRSTUVWXYZ")-1)*{1,2,1,2,1,2,1,2,1,2,1,2,1,2},36)),36),36)+1,1)=MID(AN222,15,1),"OK","Typo? check digit wrong")),"Wrong format"))</f>
        <v/>
      </c>
      <c r="AK222" s="27">
        <f>IF(AO222="","",IF(AND(LEN(AO222)=10,SUMPRODUCT(--ISERROR(FIND(MID(AO222,{1,2,3,4,5,10},1),"ABCDEFGHIJKLMNOPQRSTUVWXYZ")))=0,SUMPRODUCT(--ISERROR(FIND(MID(AO222,{6,7,8,9},1),"0123456789")))=0),"OK","Wrong format"))</f>
        <v/>
      </c>
      <c r="AL222" s="27">
        <f>IF(TRIM(H222)="","",IF(AND(LEN(UPPER(TRIM(H222)))=10,SUMPRODUCT(--ISERROR(FIND(MID(UPPER(TRIM(H222)),{1,2,3,4,10},1),"ABCDEFGHIJKLMNOPQRSTUVWXYZ")))=0,SUMPRODUCT(--ISERROR(FIND(MID(UPPER(TRIM(H222)),{5,6,7,8,9},1),"0123456789")))=0),"OK","Wrong format"))</f>
        <v/>
      </c>
      <c r="AM222" s="28">
        <f>IF(NOT(COUNTA(A222:AE222)&gt;0),"",IF(AS222&lt;&gt;"","✖ "&amp;LEFT(AS222,LEN(AS222)-2),IF(AR222&gt;0,"✔ Ready — client + "&amp;AR222&amp;" service(s)","✔ Ready — client only")))</f>
        <v/>
      </c>
      <c r="AN222" s="29">
        <f>UPPER(SUBSTITUTE(TRIM(F222)," ",""))</f>
        <v/>
      </c>
      <c r="AO222" s="29">
        <f>UPPER(SUBSTITUTE(TRIM(E222)," ",""))</f>
        <v/>
      </c>
      <c r="AP222" s="29">
        <f>IF(D222&lt;&gt;"",D222,IFERROR(VLOOKUP(MID(AG222,4,1),Lists!$E$2:$F$8,2,FALSE),""))</f>
        <v/>
      </c>
      <c r="AQ222" s="29">
        <f>IFERROR(VLOOKUP(AP222,Lists!$A$2:$C$12,3,FALSE),"")</f>
        <v/>
      </c>
      <c r="AR222" s="29">
        <f>COUNTIF(W222:AC222,"Yes")</f>
        <v/>
      </c>
      <c r="AS222" s="29">
        <f>IF(TRIM(B222)="","Legal name missing; ","")&amp;IF(AND(AJ222&lt;&gt;"",AJ222&lt;&gt;"OK"),"GSTIN: "&amp;AJ222&amp;"; ","")&amp;IF(AND(AK222&lt;&gt;"",AK222&lt;&gt;"OK"),"PAN wrong format; ","")&amp;IF(AND(AO222&lt;&gt;"",LEN(AN222)=15,MID(AN222,3,10)&lt;&gt;AO222),"PAN does not match GSTIN; ","")&amp;IF(AND(AL222&lt;&gt;"",AL222&lt;&gt;"OK"),"TAN wrong format; ","")&amp;IF(AG222="","PAN missing; ","")&amp;IF(AP222="","Entity type missing; ","")&amp;IF(AND(AN222&lt;&gt;"",COUNTIF($AN$6:$AN$1005,AN222)&gt;1),"GSTIN repeated in this sheet; ","")&amp;IF(AND(AG222&lt;&gt;"",COUNTIF($AG$6:$AG$1005,AG222)&gt;1),"PAN repeated in this sheet (same client? put extra GSTINs in Other GSTINs); ","")&amp;IF(AND(AR222&gt;0,V222=""),"Financial year missing; ","")&amp;IF(AND(AR222=0,V222&lt;&gt;""),"Financial year given but no service is Yes; ","")&amp;IF(AND(W222="Yes",AN222=""),"GST needs a GSTIN; ","")&amp;IF(AND(W222="Yes",X222=""),"GST return frequency missing; ","")&amp;IF(AND(Y222="Yes",TRIM(H222)=""),"TDS needs a TAN; ","")&amp;IF(AND(AA222="Yes",AQ222&lt;&gt;"",AQ222&lt;&gt;"company",AQ222&lt;&gt;"llp"),"ROC is only for a company / LLP; ","")&amp;IF(AND(AA222="Yes",OR(AQ222="company",AQ222="llp"),TRIM(I222)=""),"ROC needs the CIN / LLPIN; ","")</f>
        <v/>
      </c>
    </row>
    <row r="223">
      <c r="A223" s="30" t="n"/>
      <c r="B223" s="31" t="n"/>
      <c r="C223" s="31" t="n"/>
      <c r="D223" s="31" t="n"/>
      <c r="E223" s="30" t="n"/>
      <c r="F223" s="30" t="n"/>
      <c r="G223" s="30" t="n"/>
      <c r="H223" s="30" t="n"/>
      <c r="I223" s="30" t="n"/>
      <c r="J223" s="32" t="n"/>
      <c r="K223" s="31" t="n"/>
      <c r="L223" s="30" t="n"/>
      <c r="M223" s="31" t="n"/>
      <c r="N223" s="31" t="n"/>
      <c r="O223" s="31" t="n"/>
      <c r="P223" s="30" t="n"/>
      <c r="Q223" s="31" t="n"/>
      <c r="R223" s="31" t="n"/>
      <c r="S223" s="31" t="n"/>
      <c r="T223" s="31" t="n"/>
      <c r="U223" s="30" t="n"/>
      <c r="V223" s="31" t="n"/>
      <c r="W223" s="31" t="n"/>
      <c r="X223" s="31" t="n"/>
      <c r="Y223" s="31" t="n"/>
      <c r="Z223" s="31" t="n"/>
      <c r="AA223" s="31" t="n"/>
      <c r="AB223" s="31" t="n"/>
      <c r="AC223" s="31" t="n"/>
      <c r="AD223" s="31" t="n"/>
      <c r="AE223" s="31" t="n"/>
      <c r="AF223" s="27">
        <f>IF(NOT(COUNTA(A223:AE223)&gt;0),"",IF(A223="","New client","Update"))</f>
        <v/>
      </c>
      <c r="AG223" s="27">
        <f>IF(AO223&lt;&gt;"",AO223,IF(LEN(AN223)=15,MID(AN223,3,10),""))</f>
        <v/>
      </c>
      <c r="AH223" s="27">
        <f>IF(AP223="","",AP223&amp;IF(D223="","  (guessed from PAN)",""))</f>
        <v/>
      </c>
      <c r="AI223" s="27">
        <f>IF(AN223="","",IFERROR(INDEX(Lists!$L$2:$L$38,MATCH(LEFT(AN223,2),Lists!$K$2:$K$38,0)),"Unknown code"))</f>
        <v/>
      </c>
      <c r="AJ223" s="27">
        <f>IF(AN223="","",IFERROR(IF(NOT(AND(LEN(AN223)=15,ISNUMBER(MATCH(LEFT(AN223,2),Lists!$K$2:$K$38,0)),SUMPRODUCT(--ISERROR(FIND(MID(MID(AN223,3,10),{1,2,3,4,5,10},1),"ABCDEFGHIJKLMNOPQRSTUVWXYZ")))=0,SUMPRODUCT(--ISERROR(FIND(MID(MID(AN223,3,10),{6,7,8,9},1),"0123456789")))=0,ISNUMBER(FIND(MID(AN223,13,1),"123456789ABCDEFGHIJKLMNOPQRSTUVWXYZ")),MID(AN223,14,1)="Z")),"Wrong format",IF(MID("0123456789ABCDEFGHIJKLMNOPQRSTUVWXYZ",MOD(36-MOD(SUMPRODUCT(INT((FIND(MID(AN223,{1,2,3,4,5,6,7,8,9,10,11,12,13,14},1),"0123456789ABCDEFGHIJKLMNOPQRSTUVWXYZ")-1)*{1,2,1,2,1,2,1,2,1,2,1,2,1,2}/36)+MOD((FIND(MID(AN223,{1,2,3,4,5,6,7,8,9,10,11,12,13,14},1),"0123456789ABCDEFGHIJKLMNOPQRSTUVWXYZ")-1)*{1,2,1,2,1,2,1,2,1,2,1,2,1,2},36)),36),36)+1,1)=MID(AN223,15,1),"OK","Typo? check digit wrong")),"Wrong format"))</f>
        <v/>
      </c>
      <c r="AK223" s="27">
        <f>IF(AO223="","",IF(AND(LEN(AO223)=10,SUMPRODUCT(--ISERROR(FIND(MID(AO223,{1,2,3,4,5,10},1),"ABCDEFGHIJKLMNOPQRSTUVWXYZ")))=0,SUMPRODUCT(--ISERROR(FIND(MID(AO223,{6,7,8,9},1),"0123456789")))=0),"OK","Wrong format"))</f>
        <v/>
      </c>
      <c r="AL223" s="27">
        <f>IF(TRIM(H223)="","",IF(AND(LEN(UPPER(TRIM(H223)))=10,SUMPRODUCT(--ISERROR(FIND(MID(UPPER(TRIM(H223)),{1,2,3,4,10},1),"ABCDEFGHIJKLMNOPQRSTUVWXYZ")))=0,SUMPRODUCT(--ISERROR(FIND(MID(UPPER(TRIM(H223)),{5,6,7,8,9},1),"0123456789")))=0),"OK","Wrong format"))</f>
        <v/>
      </c>
      <c r="AM223" s="28">
        <f>IF(NOT(COUNTA(A223:AE223)&gt;0),"",IF(AS223&lt;&gt;"","✖ "&amp;LEFT(AS223,LEN(AS223)-2),IF(AR223&gt;0,"✔ Ready — client + "&amp;AR223&amp;" service(s)","✔ Ready — client only")))</f>
        <v/>
      </c>
      <c r="AN223" s="29">
        <f>UPPER(SUBSTITUTE(TRIM(F223)," ",""))</f>
        <v/>
      </c>
      <c r="AO223" s="29">
        <f>UPPER(SUBSTITUTE(TRIM(E223)," ",""))</f>
        <v/>
      </c>
      <c r="AP223" s="29">
        <f>IF(D223&lt;&gt;"",D223,IFERROR(VLOOKUP(MID(AG223,4,1),Lists!$E$2:$F$8,2,FALSE),""))</f>
        <v/>
      </c>
      <c r="AQ223" s="29">
        <f>IFERROR(VLOOKUP(AP223,Lists!$A$2:$C$12,3,FALSE),"")</f>
        <v/>
      </c>
      <c r="AR223" s="29">
        <f>COUNTIF(W223:AC223,"Yes")</f>
        <v/>
      </c>
      <c r="AS223" s="29">
        <f>IF(TRIM(B223)="","Legal name missing; ","")&amp;IF(AND(AJ223&lt;&gt;"",AJ223&lt;&gt;"OK"),"GSTIN: "&amp;AJ223&amp;"; ","")&amp;IF(AND(AK223&lt;&gt;"",AK223&lt;&gt;"OK"),"PAN wrong format; ","")&amp;IF(AND(AO223&lt;&gt;"",LEN(AN223)=15,MID(AN223,3,10)&lt;&gt;AO223),"PAN does not match GSTIN; ","")&amp;IF(AND(AL223&lt;&gt;"",AL223&lt;&gt;"OK"),"TAN wrong format; ","")&amp;IF(AG223="","PAN missing; ","")&amp;IF(AP223="","Entity type missing; ","")&amp;IF(AND(AN223&lt;&gt;"",COUNTIF($AN$6:$AN$1005,AN223)&gt;1),"GSTIN repeated in this sheet; ","")&amp;IF(AND(AG223&lt;&gt;"",COUNTIF($AG$6:$AG$1005,AG223)&gt;1),"PAN repeated in this sheet (same client? put extra GSTINs in Other GSTINs); ","")&amp;IF(AND(AR223&gt;0,V223=""),"Financial year missing; ","")&amp;IF(AND(AR223=0,V223&lt;&gt;""),"Financial year given but no service is Yes; ","")&amp;IF(AND(W223="Yes",AN223=""),"GST needs a GSTIN; ","")&amp;IF(AND(W223="Yes",X223=""),"GST return frequency missing; ","")&amp;IF(AND(Y223="Yes",TRIM(H223)=""),"TDS needs a TAN; ","")&amp;IF(AND(AA223="Yes",AQ223&lt;&gt;"",AQ223&lt;&gt;"company",AQ223&lt;&gt;"llp"),"ROC is only for a company / LLP; ","")&amp;IF(AND(AA223="Yes",OR(AQ223="company",AQ223="llp"),TRIM(I223)=""),"ROC needs the CIN / LLPIN; ","")</f>
        <v/>
      </c>
    </row>
    <row r="224">
      <c r="A224" s="30" t="n"/>
      <c r="B224" s="31" t="n"/>
      <c r="C224" s="31" t="n"/>
      <c r="D224" s="31" t="n"/>
      <c r="E224" s="30" t="n"/>
      <c r="F224" s="30" t="n"/>
      <c r="G224" s="30" t="n"/>
      <c r="H224" s="30" t="n"/>
      <c r="I224" s="30" t="n"/>
      <c r="J224" s="32" t="n"/>
      <c r="K224" s="31" t="n"/>
      <c r="L224" s="30" t="n"/>
      <c r="M224" s="31" t="n"/>
      <c r="N224" s="31" t="n"/>
      <c r="O224" s="31" t="n"/>
      <c r="P224" s="30" t="n"/>
      <c r="Q224" s="31" t="n"/>
      <c r="R224" s="31" t="n"/>
      <c r="S224" s="31" t="n"/>
      <c r="T224" s="31" t="n"/>
      <c r="U224" s="30" t="n"/>
      <c r="V224" s="31" t="n"/>
      <c r="W224" s="31" t="n"/>
      <c r="X224" s="31" t="n"/>
      <c r="Y224" s="31" t="n"/>
      <c r="Z224" s="31" t="n"/>
      <c r="AA224" s="31" t="n"/>
      <c r="AB224" s="31" t="n"/>
      <c r="AC224" s="31" t="n"/>
      <c r="AD224" s="31" t="n"/>
      <c r="AE224" s="31" t="n"/>
      <c r="AF224" s="27">
        <f>IF(NOT(COUNTA(A224:AE224)&gt;0),"",IF(A224="","New client","Update"))</f>
        <v/>
      </c>
      <c r="AG224" s="27">
        <f>IF(AO224&lt;&gt;"",AO224,IF(LEN(AN224)=15,MID(AN224,3,10),""))</f>
        <v/>
      </c>
      <c r="AH224" s="27">
        <f>IF(AP224="","",AP224&amp;IF(D224="","  (guessed from PAN)",""))</f>
        <v/>
      </c>
      <c r="AI224" s="27">
        <f>IF(AN224="","",IFERROR(INDEX(Lists!$L$2:$L$38,MATCH(LEFT(AN224,2),Lists!$K$2:$K$38,0)),"Unknown code"))</f>
        <v/>
      </c>
      <c r="AJ224" s="27">
        <f>IF(AN224="","",IFERROR(IF(NOT(AND(LEN(AN224)=15,ISNUMBER(MATCH(LEFT(AN224,2),Lists!$K$2:$K$38,0)),SUMPRODUCT(--ISERROR(FIND(MID(MID(AN224,3,10),{1,2,3,4,5,10},1),"ABCDEFGHIJKLMNOPQRSTUVWXYZ")))=0,SUMPRODUCT(--ISERROR(FIND(MID(MID(AN224,3,10),{6,7,8,9},1),"0123456789")))=0,ISNUMBER(FIND(MID(AN224,13,1),"123456789ABCDEFGHIJKLMNOPQRSTUVWXYZ")),MID(AN224,14,1)="Z")),"Wrong format",IF(MID("0123456789ABCDEFGHIJKLMNOPQRSTUVWXYZ",MOD(36-MOD(SUMPRODUCT(INT((FIND(MID(AN224,{1,2,3,4,5,6,7,8,9,10,11,12,13,14},1),"0123456789ABCDEFGHIJKLMNOPQRSTUVWXYZ")-1)*{1,2,1,2,1,2,1,2,1,2,1,2,1,2}/36)+MOD((FIND(MID(AN224,{1,2,3,4,5,6,7,8,9,10,11,12,13,14},1),"0123456789ABCDEFGHIJKLMNOPQRSTUVWXYZ")-1)*{1,2,1,2,1,2,1,2,1,2,1,2,1,2},36)),36),36)+1,1)=MID(AN224,15,1),"OK","Typo? check digit wrong")),"Wrong format"))</f>
        <v/>
      </c>
      <c r="AK224" s="27">
        <f>IF(AO224="","",IF(AND(LEN(AO224)=10,SUMPRODUCT(--ISERROR(FIND(MID(AO224,{1,2,3,4,5,10},1),"ABCDEFGHIJKLMNOPQRSTUVWXYZ")))=0,SUMPRODUCT(--ISERROR(FIND(MID(AO224,{6,7,8,9},1),"0123456789")))=0),"OK","Wrong format"))</f>
        <v/>
      </c>
      <c r="AL224" s="27">
        <f>IF(TRIM(H224)="","",IF(AND(LEN(UPPER(TRIM(H224)))=10,SUMPRODUCT(--ISERROR(FIND(MID(UPPER(TRIM(H224)),{1,2,3,4,10},1),"ABCDEFGHIJKLMNOPQRSTUVWXYZ")))=0,SUMPRODUCT(--ISERROR(FIND(MID(UPPER(TRIM(H224)),{5,6,7,8,9},1),"0123456789")))=0),"OK","Wrong format"))</f>
        <v/>
      </c>
      <c r="AM224" s="28">
        <f>IF(NOT(COUNTA(A224:AE224)&gt;0),"",IF(AS224&lt;&gt;"","✖ "&amp;LEFT(AS224,LEN(AS224)-2),IF(AR224&gt;0,"✔ Ready — client + "&amp;AR224&amp;" service(s)","✔ Ready — client only")))</f>
        <v/>
      </c>
      <c r="AN224" s="29">
        <f>UPPER(SUBSTITUTE(TRIM(F224)," ",""))</f>
        <v/>
      </c>
      <c r="AO224" s="29">
        <f>UPPER(SUBSTITUTE(TRIM(E224)," ",""))</f>
        <v/>
      </c>
      <c r="AP224" s="29">
        <f>IF(D224&lt;&gt;"",D224,IFERROR(VLOOKUP(MID(AG224,4,1),Lists!$E$2:$F$8,2,FALSE),""))</f>
        <v/>
      </c>
      <c r="AQ224" s="29">
        <f>IFERROR(VLOOKUP(AP224,Lists!$A$2:$C$12,3,FALSE),"")</f>
        <v/>
      </c>
      <c r="AR224" s="29">
        <f>COUNTIF(W224:AC224,"Yes")</f>
        <v/>
      </c>
      <c r="AS224" s="29">
        <f>IF(TRIM(B224)="","Legal name missing; ","")&amp;IF(AND(AJ224&lt;&gt;"",AJ224&lt;&gt;"OK"),"GSTIN: "&amp;AJ224&amp;"; ","")&amp;IF(AND(AK224&lt;&gt;"",AK224&lt;&gt;"OK"),"PAN wrong format; ","")&amp;IF(AND(AO224&lt;&gt;"",LEN(AN224)=15,MID(AN224,3,10)&lt;&gt;AO224),"PAN does not match GSTIN; ","")&amp;IF(AND(AL224&lt;&gt;"",AL224&lt;&gt;"OK"),"TAN wrong format; ","")&amp;IF(AG224="","PAN missing; ","")&amp;IF(AP224="","Entity type missing; ","")&amp;IF(AND(AN224&lt;&gt;"",COUNTIF($AN$6:$AN$1005,AN224)&gt;1),"GSTIN repeated in this sheet; ","")&amp;IF(AND(AG224&lt;&gt;"",COUNTIF($AG$6:$AG$1005,AG224)&gt;1),"PAN repeated in this sheet (same client? put extra GSTINs in Other GSTINs); ","")&amp;IF(AND(AR224&gt;0,V224=""),"Financial year missing; ","")&amp;IF(AND(AR224=0,V224&lt;&gt;""),"Financial year given but no service is Yes; ","")&amp;IF(AND(W224="Yes",AN224=""),"GST needs a GSTIN; ","")&amp;IF(AND(W224="Yes",X224=""),"GST return frequency missing; ","")&amp;IF(AND(Y224="Yes",TRIM(H224)=""),"TDS needs a TAN; ","")&amp;IF(AND(AA224="Yes",AQ224&lt;&gt;"",AQ224&lt;&gt;"company",AQ224&lt;&gt;"llp"),"ROC is only for a company / LLP; ","")&amp;IF(AND(AA224="Yes",OR(AQ224="company",AQ224="llp"),TRIM(I224)=""),"ROC needs the CIN / LLPIN; ","")</f>
        <v/>
      </c>
    </row>
    <row r="225">
      <c r="A225" s="30" t="n"/>
      <c r="B225" s="31" t="n"/>
      <c r="C225" s="31" t="n"/>
      <c r="D225" s="31" t="n"/>
      <c r="E225" s="30" t="n"/>
      <c r="F225" s="30" t="n"/>
      <c r="G225" s="30" t="n"/>
      <c r="H225" s="30" t="n"/>
      <c r="I225" s="30" t="n"/>
      <c r="J225" s="32" t="n"/>
      <c r="K225" s="31" t="n"/>
      <c r="L225" s="30" t="n"/>
      <c r="M225" s="31" t="n"/>
      <c r="N225" s="31" t="n"/>
      <c r="O225" s="31" t="n"/>
      <c r="P225" s="30" t="n"/>
      <c r="Q225" s="31" t="n"/>
      <c r="R225" s="31" t="n"/>
      <c r="S225" s="31" t="n"/>
      <c r="T225" s="31" t="n"/>
      <c r="U225" s="30" t="n"/>
      <c r="V225" s="31" t="n"/>
      <c r="W225" s="31" t="n"/>
      <c r="X225" s="31" t="n"/>
      <c r="Y225" s="31" t="n"/>
      <c r="Z225" s="31" t="n"/>
      <c r="AA225" s="31" t="n"/>
      <c r="AB225" s="31" t="n"/>
      <c r="AC225" s="31" t="n"/>
      <c r="AD225" s="31" t="n"/>
      <c r="AE225" s="31" t="n"/>
      <c r="AF225" s="27">
        <f>IF(NOT(COUNTA(A225:AE225)&gt;0),"",IF(A225="","New client","Update"))</f>
        <v/>
      </c>
      <c r="AG225" s="27">
        <f>IF(AO225&lt;&gt;"",AO225,IF(LEN(AN225)=15,MID(AN225,3,10),""))</f>
        <v/>
      </c>
      <c r="AH225" s="27">
        <f>IF(AP225="","",AP225&amp;IF(D225="","  (guessed from PAN)",""))</f>
        <v/>
      </c>
      <c r="AI225" s="27">
        <f>IF(AN225="","",IFERROR(INDEX(Lists!$L$2:$L$38,MATCH(LEFT(AN225,2),Lists!$K$2:$K$38,0)),"Unknown code"))</f>
        <v/>
      </c>
      <c r="AJ225" s="27">
        <f>IF(AN225="","",IFERROR(IF(NOT(AND(LEN(AN225)=15,ISNUMBER(MATCH(LEFT(AN225,2),Lists!$K$2:$K$38,0)),SUMPRODUCT(--ISERROR(FIND(MID(MID(AN225,3,10),{1,2,3,4,5,10},1),"ABCDEFGHIJKLMNOPQRSTUVWXYZ")))=0,SUMPRODUCT(--ISERROR(FIND(MID(MID(AN225,3,10),{6,7,8,9},1),"0123456789")))=0,ISNUMBER(FIND(MID(AN225,13,1),"123456789ABCDEFGHIJKLMNOPQRSTUVWXYZ")),MID(AN225,14,1)="Z")),"Wrong format",IF(MID("0123456789ABCDEFGHIJKLMNOPQRSTUVWXYZ",MOD(36-MOD(SUMPRODUCT(INT((FIND(MID(AN225,{1,2,3,4,5,6,7,8,9,10,11,12,13,14},1),"0123456789ABCDEFGHIJKLMNOPQRSTUVWXYZ")-1)*{1,2,1,2,1,2,1,2,1,2,1,2,1,2}/36)+MOD((FIND(MID(AN225,{1,2,3,4,5,6,7,8,9,10,11,12,13,14},1),"0123456789ABCDEFGHIJKLMNOPQRSTUVWXYZ")-1)*{1,2,1,2,1,2,1,2,1,2,1,2,1,2},36)),36),36)+1,1)=MID(AN225,15,1),"OK","Typo? check digit wrong")),"Wrong format"))</f>
        <v/>
      </c>
      <c r="AK225" s="27">
        <f>IF(AO225="","",IF(AND(LEN(AO225)=10,SUMPRODUCT(--ISERROR(FIND(MID(AO225,{1,2,3,4,5,10},1),"ABCDEFGHIJKLMNOPQRSTUVWXYZ")))=0,SUMPRODUCT(--ISERROR(FIND(MID(AO225,{6,7,8,9},1),"0123456789")))=0),"OK","Wrong format"))</f>
        <v/>
      </c>
      <c r="AL225" s="27">
        <f>IF(TRIM(H225)="","",IF(AND(LEN(UPPER(TRIM(H225)))=10,SUMPRODUCT(--ISERROR(FIND(MID(UPPER(TRIM(H225)),{1,2,3,4,10},1),"ABCDEFGHIJKLMNOPQRSTUVWXYZ")))=0,SUMPRODUCT(--ISERROR(FIND(MID(UPPER(TRIM(H225)),{5,6,7,8,9},1),"0123456789")))=0),"OK","Wrong format"))</f>
        <v/>
      </c>
      <c r="AM225" s="28">
        <f>IF(NOT(COUNTA(A225:AE225)&gt;0),"",IF(AS225&lt;&gt;"","✖ "&amp;LEFT(AS225,LEN(AS225)-2),IF(AR225&gt;0,"✔ Ready — client + "&amp;AR225&amp;" service(s)","✔ Ready — client only")))</f>
        <v/>
      </c>
      <c r="AN225" s="29">
        <f>UPPER(SUBSTITUTE(TRIM(F225)," ",""))</f>
        <v/>
      </c>
      <c r="AO225" s="29">
        <f>UPPER(SUBSTITUTE(TRIM(E225)," ",""))</f>
        <v/>
      </c>
      <c r="AP225" s="29">
        <f>IF(D225&lt;&gt;"",D225,IFERROR(VLOOKUP(MID(AG225,4,1),Lists!$E$2:$F$8,2,FALSE),""))</f>
        <v/>
      </c>
      <c r="AQ225" s="29">
        <f>IFERROR(VLOOKUP(AP225,Lists!$A$2:$C$12,3,FALSE),"")</f>
        <v/>
      </c>
      <c r="AR225" s="29">
        <f>COUNTIF(W225:AC225,"Yes")</f>
        <v/>
      </c>
      <c r="AS225" s="29">
        <f>IF(TRIM(B225)="","Legal name missing; ","")&amp;IF(AND(AJ225&lt;&gt;"",AJ225&lt;&gt;"OK"),"GSTIN: "&amp;AJ225&amp;"; ","")&amp;IF(AND(AK225&lt;&gt;"",AK225&lt;&gt;"OK"),"PAN wrong format; ","")&amp;IF(AND(AO225&lt;&gt;"",LEN(AN225)=15,MID(AN225,3,10)&lt;&gt;AO225),"PAN does not match GSTIN; ","")&amp;IF(AND(AL225&lt;&gt;"",AL225&lt;&gt;"OK"),"TAN wrong format; ","")&amp;IF(AG225="","PAN missing; ","")&amp;IF(AP225="","Entity type missing; ","")&amp;IF(AND(AN225&lt;&gt;"",COUNTIF($AN$6:$AN$1005,AN225)&gt;1),"GSTIN repeated in this sheet; ","")&amp;IF(AND(AG225&lt;&gt;"",COUNTIF($AG$6:$AG$1005,AG225)&gt;1),"PAN repeated in this sheet (same client? put extra GSTINs in Other GSTINs); ","")&amp;IF(AND(AR225&gt;0,V225=""),"Financial year missing; ","")&amp;IF(AND(AR225=0,V225&lt;&gt;""),"Financial year given but no service is Yes; ","")&amp;IF(AND(W225="Yes",AN225=""),"GST needs a GSTIN; ","")&amp;IF(AND(W225="Yes",X225=""),"GST return frequency missing; ","")&amp;IF(AND(Y225="Yes",TRIM(H225)=""),"TDS needs a TAN; ","")&amp;IF(AND(AA225="Yes",AQ225&lt;&gt;"",AQ225&lt;&gt;"company",AQ225&lt;&gt;"llp"),"ROC is only for a company / LLP; ","")&amp;IF(AND(AA225="Yes",OR(AQ225="company",AQ225="llp"),TRIM(I225)=""),"ROC needs the CIN / LLPIN; ","")</f>
        <v/>
      </c>
    </row>
    <row r="226">
      <c r="A226" s="30" t="n"/>
      <c r="B226" s="31" t="n"/>
      <c r="C226" s="31" t="n"/>
      <c r="D226" s="31" t="n"/>
      <c r="E226" s="30" t="n"/>
      <c r="F226" s="30" t="n"/>
      <c r="G226" s="30" t="n"/>
      <c r="H226" s="30" t="n"/>
      <c r="I226" s="30" t="n"/>
      <c r="J226" s="32" t="n"/>
      <c r="K226" s="31" t="n"/>
      <c r="L226" s="30" t="n"/>
      <c r="M226" s="31" t="n"/>
      <c r="N226" s="31" t="n"/>
      <c r="O226" s="31" t="n"/>
      <c r="P226" s="30" t="n"/>
      <c r="Q226" s="31" t="n"/>
      <c r="R226" s="31" t="n"/>
      <c r="S226" s="31" t="n"/>
      <c r="T226" s="31" t="n"/>
      <c r="U226" s="30" t="n"/>
      <c r="V226" s="31" t="n"/>
      <c r="W226" s="31" t="n"/>
      <c r="X226" s="31" t="n"/>
      <c r="Y226" s="31" t="n"/>
      <c r="Z226" s="31" t="n"/>
      <c r="AA226" s="31" t="n"/>
      <c r="AB226" s="31" t="n"/>
      <c r="AC226" s="31" t="n"/>
      <c r="AD226" s="31" t="n"/>
      <c r="AE226" s="31" t="n"/>
      <c r="AF226" s="27">
        <f>IF(NOT(COUNTA(A226:AE226)&gt;0),"",IF(A226="","New client","Update"))</f>
        <v/>
      </c>
      <c r="AG226" s="27">
        <f>IF(AO226&lt;&gt;"",AO226,IF(LEN(AN226)=15,MID(AN226,3,10),""))</f>
        <v/>
      </c>
      <c r="AH226" s="27">
        <f>IF(AP226="","",AP226&amp;IF(D226="","  (guessed from PAN)",""))</f>
        <v/>
      </c>
      <c r="AI226" s="27">
        <f>IF(AN226="","",IFERROR(INDEX(Lists!$L$2:$L$38,MATCH(LEFT(AN226,2),Lists!$K$2:$K$38,0)),"Unknown code"))</f>
        <v/>
      </c>
      <c r="AJ226" s="27">
        <f>IF(AN226="","",IFERROR(IF(NOT(AND(LEN(AN226)=15,ISNUMBER(MATCH(LEFT(AN226,2),Lists!$K$2:$K$38,0)),SUMPRODUCT(--ISERROR(FIND(MID(MID(AN226,3,10),{1,2,3,4,5,10},1),"ABCDEFGHIJKLMNOPQRSTUVWXYZ")))=0,SUMPRODUCT(--ISERROR(FIND(MID(MID(AN226,3,10),{6,7,8,9},1),"0123456789")))=0,ISNUMBER(FIND(MID(AN226,13,1),"123456789ABCDEFGHIJKLMNOPQRSTUVWXYZ")),MID(AN226,14,1)="Z")),"Wrong format",IF(MID("0123456789ABCDEFGHIJKLMNOPQRSTUVWXYZ",MOD(36-MOD(SUMPRODUCT(INT((FIND(MID(AN226,{1,2,3,4,5,6,7,8,9,10,11,12,13,14},1),"0123456789ABCDEFGHIJKLMNOPQRSTUVWXYZ")-1)*{1,2,1,2,1,2,1,2,1,2,1,2,1,2}/36)+MOD((FIND(MID(AN226,{1,2,3,4,5,6,7,8,9,10,11,12,13,14},1),"0123456789ABCDEFGHIJKLMNOPQRSTUVWXYZ")-1)*{1,2,1,2,1,2,1,2,1,2,1,2,1,2},36)),36),36)+1,1)=MID(AN226,15,1),"OK","Typo? check digit wrong")),"Wrong format"))</f>
        <v/>
      </c>
      <c r="AK226" s="27">
        <f>IF(AO226="","",IF(AND(LEN(AO226)=10,SUMPRODUCT(--ISERROR(FIND(MID(AO226,{1,2,3,4,5,10},1),"ABCDEFGHIJKLMNOPQRSTUVWXYZ")))=0,SUMPRODUCT(--ISERROR(FIND(MID(AO226,{6,7,8,9},1),"0123456789")))=0),"OK","Wrong format"))</f>
        <v/>
      </c>
      <c r="AL226" s="27">
        <f>IF(TRIM(H226)="","",IF(AND(LEN(UPPER(TRIM(H226)))=10,SUMPRODUCT(--ISERROR(FIND(MID(UPPER(TRIM(H226)),{1,2,3,4,10},1),"ABCDEFGHIJKLMNOPQRSTUVWXYZ")))=0,SUMPRODUCT(--ISERROR(FIND(MID(UPPER(TRIM(H226)),{5,6,7,8,9},1),"0123456789")))=0),"OK","Wrong format"))</f>
        <v/>
      </c>
      <c r="AM226" s="28">
        <f>IF(NOT(COUNTA(A226:AE226)&gt;0),"",IF(AS226&lt;&gt;"","✖ "&amp;LEFT(AS226,LEN(AS226)-2),IF(AR226&gt;0,"✔ Ready — client + "&amp;AR226&amp;" service(s)","✔ Ready — client only")))</f>
        <v/>
      </c>
      <c r="AN226" s="29">
        <f>UPPER(SUBSTITUTE(TRIM(F226)," ",""))</f>
        <v/>
      </c>
      <c r="AO226" s="29">
        <f>UPPER(SUBSTITUTE(TRIM(E226)," ",""))</f>
        <v/>
      </c>
      <c r="AP226" s="29">
        <f>IF(D226&lt;&gt;"",D226,IFERROR(VLOOKUP(MID(AG226,4,1),Lists!$E$2:$F$8,2,FALSE),""))</f>
        <v/>
      </c>
      <c r="AQ226" s="29">
        <f>IFERROR(VLOOKUP(AP226,Lists!$A$2:$C$12,3,FALSE),"")</f>
        <v/>
      </c>
      <c r="AR226" s="29">
        <f>COUNTIF(W226:AC226,"Yes")</f>
        <v/>
      </c>
      <c r="AS226" s="29">
        <f>IF(TRIM(B226)="","Legal name missing; ","")&amp;IF(AND(AJ226&lt;&gt;"",AJ226&lt;&gt;"OK"),"GSTIN: "&amp;AJ226&amp;"; ","")&amp;IF(AND(AK226&lt;&gt;"",AK226&lt;&gt;"OK"),"PAN wrong format; ","")&amp;IF(AND(AO226&lt;&gt;"",LEN(AN226)=15,MID(AN226,3,10)&lt;&gt;AO226),"PAN does not match GSTIN; ","")&amp;IF(AND(AL226&lt;&gt;"",AL226&lt;&gt;"OK"),"TAN wrong format; ","")&amp;IF(AG226="","PAN missing; ","")&amp;IF(AP226="","Entity type missing; ","")&amp;IF(AND(AN226&lt;&gt;"",COUNTIF($AN$6:$AN$1005,AN226)&gt;1),"GSTIN repeated in this sheet; ","")&amp;IF(AND(AG226&lt;&gt;"",COUNTIF($AG$6:$AG$1005,AG226)&gt;1),"PAN repeated in this sheet (same client? put extra GSTINs in Other GSTINs); ","")&amp;IF(AND(AR226&gt;0,V226=""),"Financial year missing; ","")&amp;IF(AND(AR226=0,V226&lt;&gt;""),"Financial year given but no service is Yes; ","")&amp;IF(AND(W226="Yes",AN226=""),"GST needs a GSTIN; ","")&amp;IF(AND(W226="Yes",X226=""),"GST return frequency missing; ","")&amp;IF(AND(Y226="Yes",TRIM(H226)=""),"TDS needs a TAN; ","")&amp;IF(AND(AA226="Yes",AQ226&lt;&gt;"",AQ226&lt;&gt;"company",AQ226&lt;&gt;"llp"),"ROC is only for a company / LLP; ","")&amp;IF(AND(AA226="Yes",OR(AQ226="company",AQ226="llp"),TRIM(I226)=""),"ROC needs the CIN / LLPIN; ","")</f>
        <v/>
      </c>
    </row>
    <row r="227">
      <c r="A227" s="30" t="n"/>
      <c r="B227" s="31" t="n"/>
      <c r="C227" s="31" t="n"/>
      <c r="D227" s="31" t="n"/>
      <c r="E227" s="30" t="n"/>
      <c r="F227" s="30" t="n"/>
      <c r="G227" s="30" t="n"/>
      <c r="H227" s="30" t="n"/>
      <c r="I227" s="30" t="n"/>
      <c r="J227" s="32" t="n"/>
      <c r="K227" s="31" t="n"/>
      <c r="L227" s="30" t="n"/>
      <c r="M227" s="31" t="n"/>
      <c r="N227" s="31" t="n"/>
      <c r="O227" s="31" t="n"/>
      <c r="P227" s="30" t="n"/>
      <c r="Q227" s="31" t="n"/>
      <c r="R227" s="31" t="n"/>
      <c r="S227" s="31" t="n"/>
      <c r="T227" s="31" t="n"/>
      <c r="U227" s="30" t="n"/>
      <c r="V227" s="31" t="n"/>
      <c r="W227" s="31" t="n"/>
      <c r="X227" s="31" t="n"/>
      <c r="Y227" s="31" t="n"/>
      <c r="Z227" s="31" t="n"/>
      <c r="AA227" s="31" t="n"/>
      <c r="AB227" s="31" t="n"/>
      <c r="AC227" s="31" t="n"/>
      <c r="AD227" s="31" t="n"/>
      <c r="AE227" s="31" t="n"/>
      <c r="AF227" s="27">
        <f>IF(NOT(COUNTA(A227:AE227)&gt;0),"",IF(A227="","New client","Update"))</f>
        <v/>
      </c>
      <c r="AG227" s="27">
        <f>IF(AO227&lt;&gt;"",AO227,IF(LEN(AN227)=15,MID(AN227,3,10),""))</f>
        <v/>
      </c>
      <c r="AH227" s="27">
        <f>IF(AP227="","",AP227&amp;IF(D227="","  (guessed from PAN)",""))</f>
        <v/>
      </c>
      <c r="AI227" s="27">
        <f>IF(AN227="","",IFERROR(INDEX(Lists!$L$2:$L$38,MATCH(LEFT(AN227,2),Lists!$K$2:$K$38,0)),"Unknown code"))</f>
        <v/>
      </c>
      <c r="AJ227" s="27">
        <f>IF(AN227="","",IFERROR(IF(NOT(AND(LEN(AN227)=15,ISNUMBER(MATCH(LEFT(AN227,2),Lists!$K$2:$K$38,0)),SUMPRODUCT(--ISERROR(FIND(MID(MID(AN227,3,10),{1,2,3,4,5,10},1),"ABCDEFGHIJKLMNOPQRSTUVWXYZ")))=0,SUMPRODUCT(--ISERROR(FIND(MID(MID(AN227,3,10),{6,7,8,9},1),"0123456789")))=0,ISNUMBER(FIND(MID(AN227,13,1),"123456789ABCDEFGHIJKLMNOPQRSTUVWXYZ")),MID(AN227,14,1)="Z")),"Wrong format",IF(MID("0123456789ABCDEFGHIJKLMNOPQRSTUVWXYZ",MOD(36-MOD(SUMPRODUCT(INT((FIND(MID(AN227,{1,2,3,4,5,6,7,8,9,10,11,12,13,14},1),"0123456789ABCDEFGHIJKLMNOPQRSTUVWXYZ")-1)*{1,2,1,2,1,2,1,2,1,2,1,2,1,2}/36)+MOD((FIND(MID(AN227,{1,2,3,4,5,6,7,8,9,10,11,12,13,14},1),"0123456789ABCDEFGHIJKLMNOPQRSTUVWXYZ")-1)*{1,2,1,2,1,2,1,2,1,2,1,2,1,2},36)),36),36)+1,1)=MID(AN227,15,1),"OK","Typo? check digit wrong")),"Wrong format"))</f>
        <v/>
      </c>
      <c r="AK227" s="27">
        <f>IF(AO227="","",IF(AND(LEN(AO227)=10,SUMPRODUCT(--ISERROR(FIND(MID(AO227,{1,2,3,4,5,10},1),"ABCDEFGHIJKLMNOPQRSTUVWXYZ")))=0,SUMPRODUCT(--ISERROR(FIND(MID(AO227,{6,7,8,9},1),"0123456789")))=0),"OK","Wrong format"))</f>
        <v/>
      </c>
      <c r="AL227" s="27">
        <f>IF(TRIM(H227)="","",IF(AND(LEN(UPPER(TRIM(H227)))=10,SUMPRODUCT(--ISERROR(FIND(MID(UPPER(TRIM(H227)),{1,2,3,4,10},1),"ABCDEFGHIJKLMNOPQRSTUVWXYZ")))=0,SUMPRODUCT(--ISERROR(FIND(MID(UPPER(TRIM(H227)),{5,6,7,8,9},1),"0123456789")))=0),"OK","Wrong format"))</f>
        <v/>
      </c>
      <c r="AM227" s="28">
        <f>IF(NOT(COUNTA(A227:AE227)&gt;0),"",IF(AS227&lt;&gt;"","✖ "&amp;LEFT(AS227,LEN(AS227)-2),IF(AR227&gt;0,"✔ Ready — client + "&amp;AR227&amp;" service(s)","✔ Ready — client only")))</f>
        <v/>
      </c>
      <c r="AN227" s="29">
        <f>UPPER(SUBSTITUTE(TRIM(F227)," ",""))</f>
        <v/>
      </c>
      <c r="AO227" s="29">
        <f>UPPER(SUBSTITUTE(TRIM(E227)," ",""))</f>
        <v/>
      </c>
      <c r="AP227" s="29">
        <f>IF(D227&lt;&gt;"",D227,IFERROR(VLOOKUP(MID(AG227,4,1),Lists!$E$2:$F$8,2,FALSE),""))</f>
        <v/>
      </c>
      <c r="AQ227" s="29">
        <f>IFERROR(VLOOKUP(AP227,Lists!$A$2:$C$12,3,FALSE),"")</f>
        <v/>
      </c>
      <c r="AR227" s="29">
        <f>COUNTIF(W227:AC227,"Yes")</f>
        <v/>
      </c>
      <c r="AS227" s="29">
        <f>IF(TRIM(B227)="","Legal name missing; ","")&amp;IF(AND(AJ227&lt;&gt;"",AJ227&lt;&gt;"OK"),"GSTIN: "&amp;AJ227&amp;"; ","")&amp;IF(AND(AK227&lt;&gt;"",AK227&lt;&gt;"OK"),"PAN wrong format; ","")&amp;IF(AND(AO227&lt;&gt;"",LEN(AN227)=15,MID(AN227,3,10)&lt;&gt;AO227),"PAN does not match GSTIN; ","")&amp;IF(AND(AL227&lt;&gt;"",AL227&lt;&gt;"OK"),"TAN wrong format; ","")&amp;IF(AG227="","PAN missing; ","")&amp;IF(AP227="","Entity type missing; ","")&amp;IF(AND(AN227&lt;&gt;"",COUNTIF($AN$6:$AN$1005,AN227)&gt;1),"GSTIN repeated in this sheet; ","")&amp;IF(AND(AG227&lt;&gt;"",COUNTIF($AG$6:$AG$1005,AG227)&gt;1),"PAN repeated in this sheet (same client? put extra GSTINs in Other GSTINs); ","")&amp;IF(AND(AR227&gt;0,V227=""),"Financial year missing; ","")&amp;IF(AND(AR227=0,V227&lt;&gt;""),"Financial year given but no service is Yes; ","")&amp;IF(AND(W227="Yes",AN227=""),"GST needs a GSTIN; ","")&amp;IF(AND(W227="Yes",X227=""),"GST return frequency missing; ","")&amp;IF(AND(Y227="Yes",TRIM(H227)=""),"TDS needs a TAN; ","")&amp;IF(AND(AA227="Yes",AQ227&lt;&gt;"",AQ227&lt;&gt;"company",AQ227&lt;&gt;"llp"),"ROC is only for a company / LLP; ","")&amp;IF(AND(AA227="Yes",OR(AQ227="company",AQ227="llp"),TRIM(I227)=""),"ROC needs the CIN / LLPIN; ","")</f>
        <v/>
      </c>
    </row>
    <row r="228">
      <c r="A228" s="30" t="n"/>
      <c r="B228" s="31" t="n"/>
      <c r="C228" s="31" t="n"/>
      <c r="D228" s="31" t="n"/>
      <c r="E228" s="30" t="n"/>
      <c r="F228" s="30" t="n"/>
      <c r="G228" s="30" t="n"/>
      <c r="H228" s="30" t="n"/>
      <c r="I228" s="30" t="n"/>
      <c r="J228" s="32" t="n"/>
      <c r="K228" s="31" t="n"/>
      <c r="L228" s="30" t="n"/>
      <c r="M228" s="31" t="n"/>
      <c r="N228" s="31" t="n"/>
      <c r="O228" s="31" t="n"/>
      <c r="P228" s="30" t="n"/>
      <c r="Q228" s="31" t="n"/>
      <c r="R228" s="31" t="n"/>
      <c r="S228" s="31" t="n"/>
      <c r="T228" s="31" t="n"/>
      <c r="U228" s="30" t="n"/>
      <c r="V228" s="31" t="n"/>
      <c r="W228" s="31" t="n"/>
      <c r="X228" s="31" t="n"/>
      <c r="Y228" s="31" t="n"/>
      <c r="Z228" s="31" t="n"/>
      <c r="AA228" s="31" t="n"/>
      <c r="AB228" s="31" t="n"/>
      <c r="AC228" s="31" t="n"/>
      <c r="AD228" s="31" t="n"/>
      <c r="AE228" s="31" t="n"/>
      <c r="AF228" s="27">
        <f>IF(NOT(COUNTA(A228:AE228)&gt;0),"",IF(A228="","New client","Update"))</f>
        <v/>
      </c>
      <c r="AG228" s="27">
        <f>IF(AO228&lt;&gt;"",AO228,IF(LEN(AN228)=15,MID(AN228,3,10),""))</f>
        <v/>
      </c>
      <c r="AH228" s="27">
        <f>IF(AP228="","",AP228&amp;IF(D228="","  (guessed from PAN)",""))</f>
        <v/>
      </c>
      <c r="AI228" s="27">
        <f>IF(AN228="","",IFERROR(INDEX(Lists!$L$2:$L$38,MATCH(LEFT(AN228,2),Lists!$K$2:$K$38,0)),"Unknown code"))</f>
        <v/>
      </c>
      <c r="AJ228" s="27">
        <f>IF(AN228="","",IFERROR(IF(NOT(AND(LEN(AN228)=15,ISNUMBER(MATCH(LEFT(AN228,2),Lists!$K$2:$K$38,0)),SUMPRODUCT(--ISERROR(FIND(MID(MID(AN228,3,10),{1,2,3,4,5,10},1),"ABCDEFGHIJKLMNOPQRSTUVWXYZ")))=0,SUMPRODUCT(--ISERROR(FIND(MID(MID(AN228,3,10),{6,7,8,9},1),"0123456789")))=0,ISNUMBER(FIND(MID(AN228,13,1),"123456789ABCDEFGHIJKLMNOPQRSTUVWXYZ")),MID(AN228,14,1)="Z")),"Wrong format",IF(MID("0123456789ABCDEFGHIJKLMNOPQRSTUVWXYZ",MOD(36-MOD(SUMPRODUCT(INT((FIND(MID(AN228,{1,2,3,4,5,6,7,8,9,10,11,12,13,14},1),"0123456789ABCDEFGHIJKLMNOPQRSTUVWXYZ")-1)*{1,2,1,2,1,2,1,2,1,2,1,2,1,2}/36)+MOD((FIND(MID(AN228,{1,2,3,4,5,6,7,8,9,10,11,12,13,14},1),"0123456789ABCDEFGHIJKLMNOPQRSTUVWXYZ")-1)*{1,2,1,2,1,2,1,2,1,2,1,2,1,2},36)),36),36)+1,1)=MID(AN228,15,1),"OK","Typo? check digit wrong")),"Wrong format"))</f>
        <v/>
      </c>
      <c r="AK228" s="27">
        <f>IF(AO228="","",IF(AND(LEN(AO228)=10,SUMPRODUCT(--ISERROR(FIND(MID(AO228,{1,2,3,4,5,10},1),"ABCDEFGHIJKLMNOPQRSTUVWXYZ")))=0,SUMPRODUCT(--ISERROR(FIND(MID(AO228,{6,7,8,9},1),"0123456789")))=0),"OK","Wrong format"))</f>
        <v/>
      </c>
      <c r="AL228" s="27">
        <f>IF(TRIM(H228)="","",IF(AND(LEN(UPPER(TRIM(H228)))=10,SUMPRODUCT(--ISERROR(FIND(MID(UPPER(TRIM(H228)),{1,2,3,4,10},1),"ABCDEFGHIJKLMNOPQRSTUVWXYZ")))=0,SUMPRODUCT(--ISERROR(FIND(MID(UPPER(TRIM(H228)),{5,6,7,8,9},1),"0123456789")))=0),"OK","Wrong format"))</f>
        <v/>
      </c>
      <c r="AM228" s="28">
        <f>IF(NOT(COUNTA(A228:AE228)&gt;0),"",IF(AS228&lt;&gt;"","✖ "&amp;LEFT(AS228,LEN(AS228)-2),IF(AR228&gt;0,"✔ Ready — client + "&amp;AR228&amp;" service(s)","✔ Ready — client only")))</f>
        <v/>
      </c>
      <c r="AN228" s="29">
        <f>UPPER(SUBSTITUTE(TRIM(F228)," ",""))</f>
        <v/>
      </c>
      <c r="AO228" s="29">
        <f>UPPER(SUBSTITUTE(TRIM(E228)," ",""))</f>
        <v/>
      </c>
      <c r="AP228" s="29">
        <f>IF(D228&lt;&gt;"",D228,IFERROR(VLOOKUP(MID(AG228,4,1),Lists!$E$2:$F$8,2,FALSE),""))</f>
        <v/>
      </c>
      <c r="AQ228" s="29">
        <f>IFERROR(VLOOKUP(AP228,Lists!$A$2:$C$12,3,FALSE),"")</f>
        <v/>
      </c>
      <c r="AR228" s="29">
        <f>COUNTIF(W228:AC228,"Yes")</f>
        <v/>
      </c>
      <c r="AS228" s="29">
        <f>IF(TRIM(B228)="","Legal name missing; ","")&amp;IF(AND(AJ228&lt;&gt;"",AJ228&lt;&gt;"OK"),"GSTIN: "&amp;AJ228&amp;"; ","")&amp;IF(AND(AK228&lt;&gt;"",AK228&lt;&gt;"OK"),"PAN wrong format; ","")&amp;IF(AND(AO228&lt;&gt;"",LEN(AN228)=15,MID(AN228,3,10)&lt;&gt;AO228),"PAN does not match GSTIN; ","")&amp;IF(AND(AL228&lt;&gt;"",AL228&lt;&gt;"OK"),"TAN wrong format; ","")&amp;IF(AG228="","PAN missing; ","")&amp;IF(AP228="","Entity type missing; ","")&amp;IF(AND(AN228&lt;&gt;"",COUNTIF($AN$6:$AN$1005,AN228)&gt;1),"GSTIN repeated in this sheet; ","")&amp;IF(AND(AG228&lt;&gt;"",COUNTIF($AG$6:$AG$1005,AG228)&gt;1),"PAN repeated in this sheet (same client? put extra GSTINs in Other GSTINs); ","")&amp;IF(AND(AR228&gt;0,V228=""),"Financial year missing; ","")&amp;IF(AND(AR228=0,V228&lt;&gt;""),"Financial year given but no service is Yes; ","")&amp;IF(AND(W228="Yes",AN228=""),"GST needs a GSTIN; ","")&amp;IF(AND(W228="Yes",X228=""),"GST return frequency missing; ","")&amp;IF(AND(Y228="Yes",TRIM(H228)=""),"TDS needs a TAN; ","")&amp;IF(AND(AA228="Yes",AQ228&lt;&gt;"",AQ228&lt;&gt;"company",AQ228&lt;&gt;"llp"),"ROC is only for a company / LLP; ","")&amp;IF(AND(AA228="Yes",OR(AQ228="company",AQ228="llp"),TRIM(I228)=""),"ROC needs the CIN / LLPIN; ","")</f>
        <v/>
      </c>
    </row>
    <row r="229">
      <c r="A229" s="30" t="n"/>
      <c r="B229" s="31" t="n"/>
      <c r="C229" s="31" t="n"/>
      <c r="D229" s="31" t="n"/>
      <c r="E229" s="30" t="n"/>
      <c r="F229" s="30" t="n"/>
      <c r="G229" s="30" t="n"/>
      <c r="H229" s="30" t="n"/>
      <c r="I229" s="30" t="n"/>
      <c r="J229" s="32" t="n"/>
      <c r="K229" s="31" t="n"/>
      <c r="L229" s="30" t="n"/>
      <c r="M229" s="31" t="n"/>
      <c r="N229" s="31" t="n"/>
      <c r="O229" s="31" t="n"/>
      <c r="P229" s="30" t="n"/>
      <c r="Q229" s="31" t="n"/>
      <c r="R229" s="31" t="n"/>
      <c r="S229" s="31" t="n"/>
      <c r="T229" s="31" t="n"/>
      <c r="U229" s="30" t="n"/>
      <c r="V229" s="31" t="n"/>
      <c r="W229" s="31" t="n"/>
      <c r="X229" s="31" t="n"/>
      <c r="Y229" s="31" t="n"/>
      <c r="Z229" s="31" t="n"/>
      <c r="AA229" s="31" t="n"/>
      <c r="AB229" s="31" t="n"/>
      <c r="AC229" s="31" t="n"/>
      <c r="AD229" s="31" t="n"/>
      <c r="AE229" s="31" t="n"/>
      <c r="AF229" s="27">
        <f>IF(NOT(COUNTA(A229:AE229)&gt;0),"",IF(A229="","New client","Update"))</f>
        <v/>
      </c>
      <c r="AG229" s="27">
        <f>IF(AO229&lt;&gt;"",AO229,IF(LEN(AN229)=15,MID(AN229,3,10),""))</f>
        <v/>
      </c>
      <c r="AH229" s="27">
        <f>IF(AP229="","",AP229&amp;IF(D229="","  (guessed from PAN)",""))</f>
        <v/>
      </c>
      <c r="AI229" s="27">
        <f>IF(AN229="","",IFERROR(INDEX(Lists!$L$2:$L$38,MATCH(LEFT(AN229,2),Lists!$K$2:$K$38,0)),"Unknown code"))</f>
        <v/>
      </c>
      <c r="AJ229" s="27">
        <f>IF(AN229="","",IFERROR(IF(NOT(AND(LEN(AN229)=15,ISNUMBER(MATCH(LEFT(AN229,2),Lists!$K$2:$K$38,0)),SUMPRODUCT(--ISERROR(FIND(MID(MID(AN229,3,10),{1,2,3,4,5,10},1),"ABCDEFGHIJKLMNOPQRSTUVWXYZ")))=0,SUMPRODUCT(--ISERROR(FIND(MID(MID(AN229,3,10),{6,7,8,9},1),"0123456789")))=0,ISNUMBER(FIND(MID(AN229,13,1),"123456789ABCDEFGHIJKLMNOPQRSTUVWXYZ")),MID(AN229,14,1)="Z")),"Wrong format",IF(MID("0123456789ABCDEFGHIJKLMNOPQRSTUVWXYZ",MOD(36-MOD(SUMPRODUCT(INT((FIND(MID(AN229,{1,2,3,4,5,6,7,8,9,10,11,12,13,14},1),"0123456789ABCDEFGHIJKLMNOPQRSTUVWXYZ")-1)*{1,2,1,2,1,2,1,2,1,2,1,2,1,2}/36)+MOD((FIND(MID(AN229,{1,2,3,4,5,6,7,8,9,10,11,12,13,14},1),"0123456789ABCDEFGHIJKLMNOPQRSTUVWXYZ")-1)*{1,2,1,2,1,2,1,2,1,2,1,2,1,2},36)),36),36)+1,1)=MID(AN229,15,1),"OK","Typo? check digit wrong")),"Wrong format"))</f>
        <v/>
      </c>
      <c r="AK229" s="27">
        <f>IF(AO229="","",IF(AND(LEN(AO229)=10,SUMPRODUCT(--ISERROR(FIND(MID(AO229,{1,2,3,4,5,10},1),"ABCDEFGHIJKLMNOPQRSTUVWXYZ")))=0,SUMPRODUCT(--ISERROR(FIND(MID(AO229,{6,7,8,9},1),"0123456789")))=0),"OK","Wrong format"))</f>
        <v/>
      </c>
      <c r="AL229" s="27">
        <f>IF(TRIM(H229)="","",IF(AND(LEN(UPPER(TRIM(H229)))=10,SUMPRODUCT(--ISERROR(FIND(MID(UPPER(TRIM(H229)),{1,2,3,4,10},1),"ABCDEFGHIJKLMNOPQRSTUVWXYZ")))=0,SUMPRODUCT(--ISERROR(FIND(MID(UPPER(TRIM(H229)),{5,6,7,8,9},1),"0123456789")))=0),"OK","Wrong format"))</f>
        <v/>
      </c>
      <c r="AM229" s="28">
        <f>IF(NOT(COUNTA(A229:AE229)&gt;0),"",IF(AS229&lt;&gt;"","✖ "&amp;LEFT(AS229,LEN(AS229)-2),IF(AR229&gt;0,"✔ Ready — client + "&amp;AR229&amp;" service(s)","✔ Ready — client only")))</f>
        <v/>
      </c>
      <c r="AN229" s="29">
        <f>UPPER(SUBSTITUTE(TRIM(F229)," ",""))</f>
        <v/>
      </c>
      <c r="AO229" s="29">
        <f>UPPER(SUBSTITUTE(TRIM(E229)," ",""))</f>
        <v/>
      </c>
      <c r="AP229" s="29">
        <f>IF(D229&lt;&gt;"",D229,IFERROR(VLOOKUP(MID(AG229,4,1),Lists!$E$2:$F$8,2,FALSE),""))</f>
        <v/>
      </c>
      <c r="AQ229" s="29">
        <f>IFERROR(VLOOKUP(AP229,Lists!$A$2:$C$12,3,FALSE),"")</f>
        <v/>
      </c>
      <c r="AR229" s="29">
        <f>COUNTIF(W229:AC229,"Yes")</f>
        <v/>
      </c>
      <c r="AS229" s="29">
        <f>IF(TRIM(B229)="","Legal name missing; ","")&amp;IF(AND(AJ229&lt;&gt;"",AJ229&lt;&gt;"OK"),"GSTIN: "&amp;AJ229&amp;"; ","")&amp;IF(AND(AK229&lt;&gt;"",AK229&lt;&gt;"OK"),"PAN wrong format; ","")&amp;IF(AND(AO229&lt;&gt;"",LEN(AN229)=15,MID(AN229,3,10)&lt;&gt;AO229),"PAN does not match GSTIN; ","")&amp;IF(AND(AL229&lt;&gt;"",AL229&lt;&gt;"OK"),"TAN wrong format; ","")&amp;IF(AG229="","PAN missing; ","")&amp;IF(AP229="","Entity type missing; ","")&amp;IF(AND(AN229&lt;&gt;"",COUNTIF($AN$6:$AN$1005,AN229)&gt;1),"GSTIN repeated in this sheet; ","")&amp;IF(AND(AG229&lt;&gt;"",COUNTIF($AG$6:$AG$1005,AG229)&gt;1),"PAN repeated in this sheet (same client? put extra GSTINs in Other GSTINs); ","")&amp;IF(AND(AR229&gt;0,V229=""),"Financial year missing; ","")&amp;IF(AND(AR229=0,V229&lt;&gt;""),"Financial year given but no service is Yes; ","")&amp;IF(AND(W229="Yes",AN229=""),"GST needs a GSTIN; ","")&amp;IF(AND(W229="Yes",X229=""),"GST return frequency missing; ","")&amp;IF(AND(Y229="Yes",TRIM(H229)=""),"TDS needs a TAN; ","")&amp;IF(AND(AA229="Yes",AQ229&lt;&gt;"",AQ229&lt;&gt;"company",AQ229&lt;&gt;"llp"),"ROC is only for a company / LLP; ","")&amp;IF(AND(AA229="Yes",OR(AQ229="company",AQ229="llp"),TRIM(I229)=""),"ROC needs the CIN / LLPIN; ","")</f>
        <v/>
      </c>
    </row>
    <row r="230">
      <c r="A230" s="30" t="n"/>
      <c r="B230" s="31" t="n"/>
      <c r="C230" s="31" t="n"/>
      <c r="D230" s="31" t="n"/>
      <c r="E230" s="30" t="n"/>
      <c r="F230" s="30" t="n"/>
      <c r="G230" s="30" t="n"/>
      <c r="H230" s="30" t="n"/>
      <c r="I230" s="30" t="n"/>
      <c r="J230" s="32" t="n"/>
      <c r="K230" s="31" t="n"/>
      <c r="L230" s="30" t="n"/>
      <c r="M230" s="31" t="n"/>
      <c r="N230" s="31" t="n"/>
      <c r="O230" s="31" t="n"/>
      <c r="P230" s="30" t="n"/>
      <c r="Q230" s="31" t="n"/>
      <c r="R230" s="31" t="n"/>
      <c r="S230" s="31" t="n"/>
      <c r="T230" s="31" t="n"/>
      <c r="U230" s="30" t="n"/>
      <c r="V230" s="31" t="n"/>
      <c r="W230" s="31" t="n"/>
      <c r="X230" s="31" t="n"/>
      <c r="Y230" s="31" t="n"/>
      <c r="Z230" s="31" t="n"/>
      <c r="AA230" s="31" t="n"/>
      <c r="AB230" s="31" t="n"/>
      <c r="AC230" s="31" t="n"/>
      <c r="AD230" s="31" t="n"/>
      <c r="AE230" s="31" t="n"/>
      <c r="AF230" s="27">
        <f>IF(NOT(COUNTA(A230:AE230)&gt;0),"",IF(A230="","New client","Update"))</f>
        <v/>
      </c>
      <c r="AG230" s="27">
        <f>IF(AO230&lt;&gt;"",AO230,IF(LEN(AN230)=15,MID(AN230,3,10),""))</f>
        <v/>
      </c>
      <c r="AH230" s="27">
        <f>IF(AP230="","",AP230&amp;IF(D230="","  (guessed from PAN)",""))</f>
        <v/>
      </c>
      <c r="AI230" s="27">
        <f>IF(AN230="","",IFERROR(INDEX(Lists!$L$2:$L$38,MATCH(LEFT(AN230,2),Lists!$K$2:$K$38,0)),"Unknown code"))</f>
        <v/>
      </c>
      <c r="AJ230" s="27">
        <f>IF(AN230="","",IFERROR(IF(NOT(AND(LEN(AN230)=15,ISNUMBER(MATCH(LEFT(AN230,2),Lists!$K$2:$K$38,0)),SUMPRODUCT(--ISERROR(FIND(MID(MID(AN230,3,10),{1,2,3,4,5,10},1),"ABCDEFGHIJKLMNOPQRSTUVWXYZ")))=0,SUMPRODUCT(--ISERROR(FIND(MID(MID(AN230,3,10),{6,7,8,9},1),"0123456789")))=0,ISNUMBER(FIND(MID(AN230,13,1),"123456789ABCDEFGHIJKLMNOPQRSTUVWXYZ")),MID(AN230,14,1)="Z")),"Wrong format",IF(MID("0123456789ABCDEFGHIJKLMNOPQRSTUVWXYZ",MOD(36-MOD(SUMPRODUCT(INT((FIND(MID(AN230,{1,2,3,4,5,6,7,8,9,10,11,12,13,14},1),"0123456789ABCDEFGHIJKLMNOPQRSTUVWXYZ")-1)*{1,2,1,2,1,2,1,2,1,2,1,2,1,2}/36)+MOD((FIND(MID(AN230,{1,2,3,4,5,6,7,8,9,10,11,12,13,14},1),"0123456789ABCDEFGHIJKLMNOPQRSTUVWXYZ")-1)*{1,2,1,2,1,2,1,2,1,2,1,2,1,2},36)),36),36)+1,1)=MID(AN230,15,1),"OK","Typo? check digit wrong")),"Wrong format"))</f>
        <v/>
      </c>
      <c r="AK230" s="27">
        <f>IF(AO230="","",IF(AND(LEN(AO230)=10,SUMPRODUCT(--ISERROR(FIND(MID(AO230,{1,2,3,4,5,10},1),"ABCDEFGHIJKLMNOPQRSTUVWXYZ")))=0,SUMPRODUCT(--ISERROR(FIND(MID(AO230,{6,7,8,9},1),"0123456789")))=0),"OK","Wrong format"))</f>
        <v/>
      </c>
      <c r="AL230" s="27">
        <f>IF(TRIM(H230)="","",IF(AND(LEN(UPPER(TRIM(H230)))=10,SUMPRODUCT(--ISERROR(FIND(MID(UPPER(TRIM(H230)),{1,2,3,4,10},1),"ABCDEFGHIJKLMNOPQRSTUVWXYZ")))=0,SUMPRODUCT(--ISERROR(FIND(MID(UPPER(TRIM(H230)),{5,6,7,8,9},1),"0123456789")))=0),"OK","Wrong format"))</f>
        <v/>
      </c>
      <c r="AM230" s="28">
        <f>IF(NOT(COUNTA(A230:AE230)&gt;0),"",IF(AS230&lt;&gt;"","✖ "&amp;LEFT(AS230,LEN(AS230)-2),IF(AR230&gt;0,"✔ Ready — client + "&amp;AR230&amp;" service(s)","✔ Ready — client only")))</f>
        <v/>
      </c>
      <c r="AN230" s="29">
        <f>UPPER(SUBSTITUTE(TRIM(F230)," ",""))</f>
        <v/>
      </c>
      <c r="AO230" s="29">
        <f>UPPER(SUBSTITUTE(TRIM(E230)," ",""))</f>
        <v/>
      </c>
      <c r="AP230" s="29">
        <f>IF(D230&lt;&gt;"",D230,IFERROR(VLOOKUP(MID(AG230,4,1),Lists!$E$2:$F$8,2,FALSE),""))</f>
        <v/>
      </c>
      <c r="AQ230" s="29">
        <f>IFERROR(VLOOKUP(AP230,Lists!$A$2:$C$12,3,FALSE),"")</f>
        <v/>
      </c>
      <c r="AR230" s="29">
        <f>COUNTIF(W230:AC230,"Yes")</f>
        <v/>
      </c>
      <c r="AS230" s="29">
        <f>IF(TRIM(B230)="","Legal name missing; ","")&amp;IF(AND(AJ230&lt;&gt;"",AJ230&lt;&gt;"OK"),"GSTIN: "&amp;AJ230&amp;"; ","")&amp;IF(AND(AK230&lt;&gt;"",AK230&lt;&gt;"OK"),"PAN wrong format; ","")&amp;IF(AND(AO230&lt;&gt;"",LEN(AN230)=15,MID(AN230,3,10)&lt;&gt;AO230),"PAN does not match GSTIN; ","")&amp;IF(AND(AL230&lt;&gt;"",AL230&lt;&gt;"OK"),"TAN wrong format; ","")&amp;IF(AG230="","PAN missing; ","")&amp;IF(AP230="","Entity type missing; ","")&amp;IF(AND(AN230&lt;&gt;"",COUNTIF($AN$6:$AN$1005,AN230)&gt;1),"GSTIN repeated in this sheet; ","")&amp;IF(AND(AG230&lt;&gt;"",COUNTIF($AG$6:$AG$1005,AG230)&gt;1),"PAN repeated in this sheet (same client? put extra GSTINs in Other GSTINs); ","")&amp;IF(AND(AR230&gt;0,V230=""),"Financial year missing; ","")&amp;IF(AND(AR230=0,V230&lt;&gt;""),"Financial year given but no service is Yes; ","")&amp;IF(AND(W230="Yes",AN230=""),"GST needs a GSTIN; ","")&amp;IF(AND(W230="Yes",X230=""),"GST return frequency missing; ","")&amp;IF(AND(Y230="Yes",TRIM(H230)=""),"TDS needs a TAN; ","")&amp;IF(AND(AA230="Yes",AQ230&lt;&gt;"",AQ230&lt;&gt;"company",AQ230&lt;&gt;"llp"),"ROC is only for a company / LLP; ","")&amp;IF(AND(AA230="Yes",OR(AQ230="company",AQ230="llp"),TRIM(I230)=""),"ROC needs the CIN / LLPIN; ","")</f>
        <v/>
      </c>
    </row>
    <row r="231">
      <c r="A231" s="30" t="n"/>
      <c r="B231" s="31" t="n"/>
      <c r="C231" s="31" t="n"/>
      <c r="D231" s="31" t="n"/>
      <c r="E231" s="30" t="n"/>
      <c r="F231" s="30" t="n"/>
      <c r="G231" s="30" t="n"/>
      <c r="H231" s="30" t="n"/>
      <c r="I231" s="30" t="n"/>
      <c r="J231" s="32" t="n"/>
      <c r="K231" s="31" t="n"/>
      <c r="L231" s="30" t="n"/>
      <c r="M231" s="31" t="n"/>
      <c r="N231" s="31" t="n"/>
      <c r="O231" s="31" t="n"/>
      <c r="P231" s="30" t="n"/>
      <c r="Q231" s="31" t="n"/>
      <c r="R231" s="31" t="n"/>
      <c r="S231" s="31" t="n"/>
      <c r="T231" s="31" t="n"/>
      <c r="U231" s="30" t="n"/>
      <c r="V231" s="31" t="n"/>
      <c r="W231" s="31" t="n"/>
      <c r="X231" s="31" t="n"/>
      <c r="Y231" s="31" t="n"/>
      <c r="Z231" s="31" t="n"/>
      <c r="AA231" s="31" t="n"/>
      <c r="AB231" s="31" t="n"/>
      <c r="AC231" s="31" t="n"/>
      <c r="AD231" s="31" t="n"/>
      <c r="AE231" s="31" t="n"/>
      <c r="AF231" s="27">
        <f>IF(NOT(COUNTA(A231:AE231)&gt;0),"",IF(A231="","New client","Update"))</f>
        <v/>
      </c>
      <c r="AG231" s="27">
        <f>IF(AO231&lt;&gt;"",AO231,IF(LEN(AN231)=15,MID(AN231,3,10),""))</f>
        <v/>
      </c>
      <c r="AH231" s="27">
        <f>IF(AP231="","",AP231&amp;IF(D231="","  (guessed from PAN)",""))</f>
        <v/>
      </c>
      <c r="AI231" s="27">
        <f>IF(AN231="","",IFERROR(INDEX(Lists!$L$2:$L$38,MATCH(LEFT(AN231,2),Lists!$K$2:$K$38,0)),"Unknown code"))</f>
        <v/>
      </c>
      <c r="AJ231" s="27">
        <f>IF(AN231="","",IFERROR(IF(NOT(AND(LEN(AN231)=15,ISNUMBER(MATCH(LEFT(AN231,2),Lists!$K$2:$K$38,0)),SUMPRODUCT(--ISERROR(FIND(MID(MID(AN231,3,10),{1,2,3,4,5,10},1),"ABCDEFGHIJKLMNOPQRSTUVWXYZ")))=0,SUMPRODUCT(--ISERROR(FIND(MID(MID(AN231,3,10),{6,7,8,9},1),"0123456789")))=0,ISNUMBER(FIND(MID(AN231,13,1),"123456789ABCDEFGHIJKLMNOPQRSTUVWXYZ")),MID(AN231,14,1)="Z")),"Wrong format",IF(MID("0123456789ABCDEFGHIJKLMNOPQRSTUVWXYZ",MOD(36-MOD(SUMPRODUCT(INT((FIND(MID(AN231,{1,2,3,4,5,6,7,8,9,10,11,12,13,14},1),"0123456789ABCDEFGHIJKLMNOPQRSTUVWXYZ")-1)*{1,2,1,2,1,2,1,2,1,2,1,2,1,2}/36)+MOD((FIND(MID(AN231,{1,2,3,4,5,6,7,8,9,10,11,12,13,14},1),"0123456789ABCDEFGHIJKLMNOPQRSTUVWXYZ")-1)*{1,2,1,2,1,2,1,2,1,2,1,2,1,2},36)),36),36)+1,1)=MID(AN231,15,1),"OK","Typo? check digit wrong")),"Wrong format"))</f>
        <v/>
      </c>
      <c r="AK231" s="27">
        <f>IF(AO231="","",IF(AND(LEN(AO231)=10,SUMPRODUCT(--ISERROR(FIND(MID(AO231,{1,2,3,4,5,10},1),"ABCDEFGHIJKLMNOPQRSTUVWXYZ")))=0,SUMPRODUCT(--ISERROR(FIND(MID(AO231,{6,7,8,9},1),"0123456789")))=0),"OK","Wrong format"))</f>
        <v/>
      </c>
      <c r="AL231" s="27">
        <f>IF(TRIM(H231)="","",IF(AND(LEN(UPPER(TRIM(H231)))=10,SUMPRODUCT(--ISERROR(FIND(MID(UPPER(TRIM(H231)),{1,2,3,4,10},1),"ABCDEFGHIJKLMNOPQRSTUVWXYZ")))=0,SUMPRODUCT(--ISERROR(FIND(MID(UPPER(TRIM(H231)),{5,6,7,8,9},1),"0123456789")))=0),"OK","Wrong format"))</f>
        <v/>
      </c>
      <c r="AM231" s="28">
        <f>IF(NOT(COUNTA(A231:AE231)&gt;0),"",IF(AS231&lt;&gt;"","✖ "&amp;LEFT(AS231,LEN(AS231)-2),IF(AR231&gt;0,"✔ Ready — client + "&amp;AR231&amp;" service(s)","✔ Ready — client only")))</f>
        <v/>
      </c>
      <c r="AN231" s="29">
        <f>UPPER(SUBSTITUTE(TRIM(F231)," ",""))</f>
        <v/>
      </c>
      <c r="AO231" s="29">
        <f>UPPER(SUBSTITUTE(TRIM(E231)," ",""))</f>
        <v/>
      </c>
      <c r="AP231" s="29">
        <f>IF(D231&lt;&gt;"",D231,IFERROR(VLOOKUP(MID(AG231,4,1),Lists!$E$2:$F$8,2,FALSE),""))</f>
        <v/>
      </c>
      <c r="AQ231" s="29">
        <f>IFERROR(VLOOKUP(AP231,Lists!$A$2:$C$12,3,FALSE),"")</f>
        <v/>
      </c>
      <c r="AR231" s="29">
        <f>COUNTIF(W231:AC231,"Yes")</f>
        <v/>
      </c>
      <c r="AS231" s="29">
        <f>IF(TRIM(B231)="","Legal name missing; ","")&amp;IF(AND(AJ231&lt;&gt;"",AJ231&lt;&gt;"OK"),"GSTIN: "&amp;AJ231&amp;"; ","")&amp;IF(AND(AK231&lt;&gt;"",AK231&lt;&gt;"OK"),"PAN wrong format; ","")&amp;IF(AND(AO231&lt;&gt;"",LEN(AN231)=15,MID(AN231,3,10)&lt;&gt;AO231),"PAN does not match GSTIN; ","")&amp;IF(AND(AL231&lt;&gt;"",AL231&lt;&gt;"OK"),"TAN wrong format; ","")&amp;IF(AG231="","PAN missing; ","")&amp;IF(AP231="","Entity type missing; ","")&amp;IF(AND(AN231&lt;&gt;"",COUNTIF($AN$6:$AN$1005,AN231)&gt;1),"GSTIN repeated in this sheet; ","")&amp;IF(AND(AG231&lt;&gt;"",COUNTIF($AG$6:$AG$1005,AG231)&gt;1),"PAN repeated in this sheet (same client? put extra GSTINs in Other GSTINs); ","")&amp;IF(AND(AR231&gt;0,V231=""),"Financial year missing; ","")&amp;IF(AND(AR231=0,V231&lt;&gt;""),"Financial year given but no service is Yes; ","")&amp;IF(AND(W231="Yes",AN231=""),"GST needs a GSTIN; ","")&amp;IF(AND(W231="Yes",X231=""),"GST return frequency missing; ","")&amp;IF(AND(Y231="Yes",TRIM(H231)=""),"TDS needs a TAN; ","")&amp;IF(AND(AA231="Yes",AQ231&lt;&gt;"",AQ231&lt;&gt;"company",AQ231&lt;&gt;"llp"),"ROC is only for a company / LLP; ","")&amp;IF(AND(AA231="Yes",OR(AQ231="company",AQ231="llp"),TRIM(I231)=""),"ROC needs the CIN / LLPIN; ","")</f>
        <v/>
      </c>
    </row>
    <row r="232">
      <c r="A232" s="30" t="n"/>
      <c r="B232" s="31" t="n"/>
      <c r="C232" s="31" t="n"/>
      <c r="D232" s="31" t="n"/>
      <c r="E232" s="30" t="n"/>
      <c r="F232" s="30" t="n"/>
      <c r="G232" s="30" t="n"/>
      <c r="H232" s="30" t="n"/>
      <c r="I232" s="30" t="n"/>
      <c r="J232" s="32" t="n"/>
      <c r="K232" s="31" t="n"/>
      <c r="L232" s="30" t="n"/>
      <c r="M232" s="31" t="n"/>
      <c r="N232" s="31" t="n"/>
      <c r="O232" s="31" t="n"/>
      <c r="P232" s="30" t="n"/>
      <c r="Q232" s="31" t="n"/>
      <c r="R232" s="31" t="n"/>
      <c r="S232" s="31" t="n"/>
      <c r="T232" s="31" t="n"/>
      <c r="U232" s="30" t="n"/>
      <c r="V232" s="31" t="n"/>
      <c r="W232" s="31" t="n"/>
      <c r="X232" s="31" t="n"/>
      <c r="Y232" s="31" t="n"/>
      <c r="Z232" s="31" t="n"/>
      <c r="AA232" s="31" t="n"/>
      <c r="AB232" s="31" t="n"/>
      <c r="AC232" s="31" t="n"/>
      <c r="AD232" s="31" t="n"/>
      <c r="AE232" s="31" t="n"/>
      <c r="AF232" s="27">
        <f>IF(NOT(COUNTA(A232:AE232)&gt;0),"",IF(A232="","New client","Update"))</f>
        <v/>
      </c>
      <c r="AG232" s="27">
        <f>IF(AO232&lt;&gt;"",AO232,IF(LEN(AN232)=15,MID(AN232,3,10),""))</f>
        <v/>
      </c>
      <c r="AH232" s="27">
        <f>IF(AP232="","",AP232&amp;IF(D232="","  (guessed from PAN)",""))</f>
        <v/>
      </c>
      <c r="AI232" s="27">
        <f>IF(AN232="","",IFERROR(INDEX(Lists!$L$2:$L$38,MATCH(LEFT(AN232,2),Lists!$K$2:$K$38,0)),"Unknown code"))</f>
        <v/>
      </c>
      <c r="AJ232" s="27">
        <f>IF(AN232="","",IFERROR(IF(NOT(AND(LEN(AN232)=15,ISNUMBER(MATCH(LEFT(AN232,2),Lists!$K$2:$K$38,0)),SUMPRODUCT(--ISERROR(FIND(MID(MID(AN232,3,10),{1,2,3,4,5,10},1),"ABCDEFGHIJKLMNOPQRSTUVWXYZ")))=0,SUMPRODUCT(--ISERROR(FIND(MID(MID(AN232,3,10),{6,7,8,9},1),"0123456789")))=0,ISNUMBER(FIND(MID(AN232,13,1),"123456789ABCDEFGHIJKLMNOPQRSTUVWXYZ")),MID(AN232,14,1)="Z")),"Wrong format",IF(MID("0123456789ABCDEFGHIJKLMNOPQRSTUVWXYZ",MOD(36-MOD(SUMPRODUCT(INT((FIND(MID(AN232,{1,2,3,4,5,6,7,8,9,10,11,12,13,14},1),"0123456789ABCDEFGHIJKLMNOPQRSTUVWXYZ")-1)*{1,2,1,2,1,2,1,2,1,2,1,2,1,2}/36)+MOD((FIND(MID(AN232,{1,2,3,4,5,6,7,8,9,10,11,12,13,14},1),"0123456789ABCDEFGHIJKLMNOPQRSTUVWXYZ")-1)*{1,2,1,2,1,2,1,2,1,2,1,2,1,2},36)),36),36)+1,1)=MID(AN232,15,1),"OK","Typo? check digit wrong")),"Wrong format"))</f>
        <v/>
      </c>
      <c r="AK232" s="27">
        <f>IF(AO232="","",IF(AND(LEN(AO232)=10,SUMPRODUCT(--ISERROR(FIND(MID(AO232,{1,2,3,4,5,10},1),"ABCDEFGHIJKLMNOPQRSTUVWXYZ")))=0,SUMPRODUCT(--ISERROR(FIND(MID(AO232,{6,7,8,9},1),"0123456789")))=0),"OK","Wrong format"))</f>
        <v/>
      </c>
      <c r="AL232" s="27">
        <f>IF(TRIM(H232)="","",IF(AND(LEN(UPPER(TRIM(H232)))=10,SUMPRODUCT(--ISERROR(FIND(MID(UPPER(TRIM(H232)),{1,2,3,4,10},1),"ABCDEFGHIJKLMNOPQRSTUVWXYZ")))=0,SUMPRODUCT(--ISERROR(FIND(MID(UPPER(TRIM(H232)),{5,6,7,8,9},1),"0123456789")))=0),"OK","Wrong format"))</f>
        <v/>
      </c>
      <c r="AM232" s="28">
        <f>IF(NOT(COUNTA(A232:AE232)&gt;0),"",IF(AS232&lt;&gt;"","✖ "&amp;LEFT(AS232,LEN(AS232)-2),IF(AR232&gt;0,"✔ Ready — client + "&amp;AR232&amp;" service(s)","✔ Ready — client only")))</f>
        <v/>
      </c>
      <c r="AN232" s="29">
        <f>UPPER(SUBSTITUTE(TRIM(F232)," ",""))</f>
        <v/>
      </c>
      <c r="AO232" s="29">
        <f>UPPER(SUBSTITUTE(TRIM(E232)," ",""))</f>
        <v/>
      </c>
      <c r="AP232" s="29">
        <f>IF(D232&lt;&gt;"",D232,IFERROR(VLOOKUP(MID(AG232,4,1),Lists!$E$2:$F$8,2,FALSE),""))</f>
        <v/>
      </c>
      <c r="AQ232" s="29">
        <f>IFERROR(VLOOKUP(AP232,Lists!$A$2:$C$12,3,FALSE),"")</f>
        <v/>
      </c>
      <c r="AR232" s="29">
        <f>COUNTIF(W232:AC232,"Yes")</f>
        <v/>
      </c>
      <c r="AS232" s="29">
        <f>IF(TRIM(B232)="","Legal name missing; ","")&amp;IF(AND(AJ232&lt;&gt;"",AJ232&lt;&gt;"OK"),"GSTIN: "&amp;AJ232&amp;"; ","")&amp;IF(AND(AK232&lt;&gt;"",AK232&lt;&gt;"OK"),"PAN wrong format; ","")&amp;IF(AND(AO232&lt;&gt;"",LEN(AN232)=15,MID(AN232,3,10)&lt;&gt;AO232),"PAN does not match GSTIN; ","")&amp;IF(AND(AL232&lt;&gt;"",AL232&lt;&gt;"OK"),"TAN wrong format; ","")&amp;IF(AG232="","PAN missing; ","")&amp;IF(AP232="","Entity type missing; ","")&amp;IF(AND(AN232&lt;&gt;"",COUNTIF($AN$6:$AN$1005,AN232)&gt;1),"GSTIN repeated in this sheet; ","")&amp;IF(AND(AG232&lt;&gt;"",COUNTIF($AG$6:$AG$1005,AG232)&gt;1),"PAN repeated in this sheet (same client? put extra GSTINs in Other GSTINs); ","")&amp;IF(AND(AR232&gt;0,V232=""),"Financial year missing; ","")&amp;IF(AND(AR232=0,V232&lt;&gt;""),"Financial year given but no service is Yes; ","")&amp;IF(AND(W232="Yes",AN232=""),"GST needs a GSTIN; ","")&amp;IF(AND(W232="Yes",X232=""),"GST return frequency missing; ","")&amp;IF(AND(Y232="Yes",TRIM(H232)=""),"TDS needs a TAN; ","")&amp;IF(AND(AA232="Yes",AQ232&lt;&gt;"",AQ232&lt;&gt;"company",AQ232&lt;&gt;"llp"),"ROC is only for a company / LLP; ","")&amp;IF(AND(AA232="Yes",OR(AQ232="company",AQ232="llp"),TRIM(I232)=""),"ROC needs the CIN / LLPIN; ","")</f>
        <v/>
      </c>
    </row>
    <row r="233">
      <c r="A233" s="30" t="n"/>
      <c r="B233" s="31" t="n"/>
      <c r="C233" s="31" t="n"/>
      <c r="D233" s="31" t="n"/>
      <c r="E233" s="30" t="n"/>
      <c r="F233" s="30" t="n"/>
      <c r="G233" s="30" t="n"/>
      <c r="H233" s="30" t="n"/>
      <c r="I233" s="30" t="n"/>
      <c r="J233" s="32" t="n"/>
      <c r="K233" s="31" t="n"/>
      <c r="L233" s="30" t="n"/>
      <c r="M233" s="31" t="n"/>
      <c r="N233" s="31" t="n"/>
      <c r="O233" s="31" t="n"/>
      <c r="P233" s="30" t="n"/>
      <c r="Q233" s="31" t="n"/>
      <c r="R233" s="31" t="n"/>
      <c r="S233" s="31" t="n"/>
      <c r="T233" s="31" t="n"/>
      <c r="U233" s="30" t="n"/>
      <c r="V233" s="31" t="n"/>
      <c r="W233" s="31" t="n"/>
      <c r="X233" s="31" t="n"/>
      <c r="Y233" s="31" t="n"/>
      <c r="Z233" s="31" t="n"/>
      <c r="AA233" s="31" t="n"/>
      <c r="AB233" s="31" t="n"/>
      <c r="AC233" s="31" t="n"/>
      <c r="AD233" s="31" t="n"/>
      <c r="AE233" s="31" t="n"/>
      <c r="AF233" s="27">
        <f>IF(NOT(COUNTA(A233:AE233)&gt;0),"",IF(A233="","New client","Update"))</f>
        <v/>
      </c>
      <c r="AG233" s="27">
        <f>IF(AO233&lt;&gt;"",AO233,IF(LEN(AN233)=15,MID(AN233,3,10),""))</f>
        <v/>
      </c>
      <c r="AH233" s="27">
        <f>IF(AP233="","",AP233&amp;IF(D233="","  (guessed from PAN)",""))</f>
        <v/>
      </c>
      <c r="AI233" s="27">
        <f>IF(AN233="","",IFERROR(INDEX(Lists!$L$2:$L$38,MATCH(LEFT(AN233,2),Lists!$K$2:$K$38,0)),"Unknown code"))</f>
        <v/>
      </c>
      <c r="AJ233" s="27">
        <f>IF(AN233="","",IFERROR(IF(NOT(AND(LEN(AN233)=15,ISNUMBER(MATCH(LEFT(AN233,2),Lists!$K$2:$K$38,0)),SUMPRODUCT(--ISERROR(FIND(MID(MID(AN233,3,10),{1,2,3,4,5,10},1),"ABCDEFGHIJKLMNOPQRSTUVWXYZ")))=0,SUMPRODUCT(--ISERROR(FIND(MID(MID(AN233,3,10),{6,7,8,9},1),"0123456789")))=0,ISNUMBER(FIND(MID(AN233,13,1),"123456789ABCDEFGHIJKLMNOPQRSTUVWXYZ")),MID(AN233,14,1)="Z")),"Wrong format",IF(MID("0123456789ABCDEFGHIJKLMNOPQRSTUVWXYZ",MOD(36-MOD(SUMPRODUCT(INT((FIND(MID(AN233,{1,2,3,4,5,6,7,8,9,10,11,12,13,14},1),"0123456789ABCDEFGHIJKLMNOPQRSTUVWXYZ")-1)*{1,2,1,2,1,2,1,2,1,2,1,2,1,2}/36)+MOD((FIND(MID(AN233,{1,2,3,4,5,6,7,8,9,10,11,12,13,14},1),"0123456789ABCDEFGHIJKLMNOPQRSTUVWXYZ")-1)*{1,2,1,2,1,2,1,2,1,2,1,2,1,2},36)),36),36)+1,1)=MID(AN233,15,1),"OK","Typo? check digit wrong")),"Wrong format"))</f>
        <v/>
      </c>
      <c r="AK233" s="27">
        <f>IF(AO233="","",IF(AND(LEN(AO233)=10,SUMPRODUCT(--ISERROR(FIND(MID(AO233,{1,2,3,4,5,10},1),"ABCDEFGHIJKLMNOPQRSTUVWXYZ")))=0,SUMPRODUCT(--ISERROR(FIND(MID(AO233,{6,7,8,9},1),"0123456789")))=0),"OK","Wrong format"))</f>
        <v/>
      </c>
      <c r="AL233" s="27">
        <f>IF(TRIM(H233)="","",IF(AND(LEN(UPPER(TRIM(H233)))=10,SUMPRODUCT(--ISERROR(FIND(MID(UPPER(TRIM(H233)),{1,2,3,4,10},1),"ABCDEFGHIJKLMNOPQRSTUVWXYZ")))=0,SUMPRODUCT(--ISERROR(FIND(MID(UPPER(TRIM(H233)),{5,6,7,8,9},1),"0123456789")))=0),"OK","Wrong format"))</f>
        <v/>
      </c>
      <c r="AM233" s="28">
        <f>IF(NOT(COUNTA(A233:AE233)&gt;0),"",IF(AS233&lt;&gt;"","✖ "&amp;LEFT(AS233,LEN(AS233)-2),IF(AR233&gt;0,"✔ Ready — client + "&amp;AR233&amp;" service(s)","✔ Ready — client only")))</f>
        <v/>
      </c>
      <c r="AN233" s="29">
        <f>UPPER(SUBSTITUTE(TRIM(F233)," ",""))</f>
        <v/>
      </c>
      <c r="AO233" s="29">
        <f>UPPER(SUBSTITUTE(TRIM(E233)," ",""))</f>
        <v/>
      </c>
      <c r="AP233" s="29">
        <f>IF(D233&lt;&gt;"",D233,IFERROR(VLOOKUP(MID(AG233,4,1),Lists!$E$2:$F$8,2,FALSE),""))</f>
        <v/>
      </c>
      <c r="AQ233" s="29">
        <f>IFERROR(VLOOKUP(AP233,Lists!$A$2:$C$12,3,FALSE),"")</f>
        <v/>
      </c>
      <c r="AR233" s="29">
        <f>COUNTIF(W233:AC233,"Yes")</f>
        <v/>
      </c>
      <c r="AS233" s="29">
        <f>IF(TRIM(B233)="","Legal name missing; ","")&amp;IF(AND(AJ233&lt;&gt;"",AJ233&lt;&gt;"OK"),"GSTIN: "&amp;AJ233&amp;"; ","")&amp;IF(AND(AK233&lt;&gt;"",AK233&lt;&gt;"OK"),"PAN wrong format; ","")&amp;IF(AND(AO233&lt;&gt;"",LEN(AN233)=15,MID(AN233,3,10)&lt;&gt;AO233),"PAN does not match GSTIN; ","")&amp;IF(AND(AL233&lt;&gt;"",AL233&lt;&gt;"OK"),"TAN wrong format; ","")&amp;IF(AG233="","PAN missing; ","")&amp;IF(AP233="","Entity type missing; ","")&amp;IF(AND(AN233&lt;&gt;"",COUNTIF($AN$6:$AN$1005,AN233)&gt;1),"GSTIN repeated in this sheet; ","")&amp;IF(AND(AG233&lt;&gt;"",COUNTIF($AG$6:$AG$1005,AG233)&gt;1),"PAN repeated in this sheet (same client? put extra GSTINs in Other GSTINs); ","")&amp;IF(AND(AR233&gt;0,V233=""),"Financial year missing; ","")&amp;IF(AND(AR233=0,V233&lt;&gt;""),"Financial year given but no service is Yes; ","")&amp;IF(AND(W233="Yes",AN233=""),"GST needs a GSTIN; ","")&amp;IF(AND(W233="Yes",X233=""),"GST return frequency missing; ","")&amp;IF(AND(Y233="Yes",TRIM(H233)=""),"TDS needs a TAN; ","")&amp;IF(AND(AA233="Yes",AQ233&lt;&gt;"",AQ233&lt;&gt;"company",AQ233&lt;&gt;"llp"),"ROC is only for a company / LLP; ","")&amp;IF(AND(AA233="Yes",OR(AQ233="company",AQ233="llp"),TRIM(I233)=""),"ROC needs the CIN / LLPIN; ","")</f>
        <v/>
      </c>
    </row>
    <row r="234">
      <c r="A234" s="30" t="n"/>
      <c r="B234" s="31" t="n"/>
      <c r="C234" s="31" t="n"/>
      <c r="D234" s="31" t="n"/>
      <c r="E234" s="30" t="n"/>
      <c r="F234" s="30" t="n"/>
      <c r="G234" s="30" t="n"/>
      <c r="H234" s="30" t="n"/>
      <c r="I234" s="30" t="n"/>
      <c r="J234" s="32" t="n"/>
      <c r="K234" s="31" t="n"/>
      <c r="L234" s="30" t="n"/>
      <c r="M234" s="31" t="n"/>
      <c r="N234" s="31" t="n"/>
      <c r="O234" s="31" t="n"/>
      <c r="P234" s="30" t="n"/>
      <c r="Q234" s="31" t="n"/>
      <c r="R234" s="31" t="n"/>
      <c r="S234" s="31" t="n"/>
      <c r="T234" s="31" t="n"/>
      <c r="U234" s="30" t="n"/>
      <c r="V234" s="31" t="n"/>
      <c r="W234" s="31" t="n"/>
      <c r="X234" s="31" t="n"/>
      <c r="Y234" s="31" t="n"/>
      <c r="Z234" s="31" t="n"/>
      <c r="AA234" s="31" t="n"/>
      <c r="AB234" s="31" t="n"/>
      <c r="AC234" s="31" t="n"/>
      <c r="AD234" s="31" t="n"/>
      <c r="AE234" s="31" t="n"/>
      <c r="AF234" s="27">
        <f>IF(NOT(COUNTA(A234:AE234)&gt;0),"",IF(A234="","New client","Update"))</f>
        <v/>
      </c>
      <c r="AG234" s="27">
        <f>IF(AO234&lt;&gt;"",AO234,IF(LEN(AN234)=15,MID(AN234,3,10),""))</f>
        <v/>
      </c>
      <c r="AH234" s="27">
        <f>IF(AP234="","",AP234&amp;IF(D234="","  (guessed from PAN)",""))</f>
        <v/>
      </c>
      <c r="AI234" s="27">
        <f>IF(AN234="","",IFERROR(INDEX(Lists!$L$2:$L$38,MATCH(LEFT(AN234,2),Lists!$K$2:$K$38,0)),"Unknown code"))</f>
        <v/>
      </c>
      <c r="AJ234" s="27">
        <f>IF(AN234="","",IFERROR(IF(NOT(AND(LEN(AN234)=15,ISNUMBER(MATCH(LEFT(AN234,2),Lists!$K$2:$K$38,0)),SUMPRODUCT(--ISERROR(FIND(MID(MID(AN234,3,10),{1,2,3,4,5,10},1),"ABCDEFGHIJKLMNOPQRSTUVWXYZ")))=0,SUMPRODUCT(--ISERROR(FIND(MID(MID(AN234,3,10),{6,7,8,9},1),"0123456789")))=0,ISNUMBER(FIND(MID(AN234,13,1),"123456789ABCDEFGHIJKLMNOPQRSTUVWXYZ")),MID(AN234,14,1)="Z")),"Wrong format",IF(MID("0123456789ABCDEFGHIJKLMNOPQRSTUVWXYZ",MOD(36-MOD(SUMPRODUCT(INT((FIND(MID(AN234,{1,2,3,4,5,6,7,8,9,10,11,12,13,14},1),"0123456789ABCDEFGHIJKLMNOPQRSTUVWXYZ")-1)*{1,2,1,2,1,2,1,2,1,2,1,2,1,2}/36)+MOD((FIND(MID(AN234,{1,2,3,4,5,6,7,8,9,10,11,12,13,14},1),"0123456789ABCDEFGHIJKLMNOPQRSTUVWXYZ")-1)*{1,2,1,2,1,2,1,2,1,2,1,2,1,2},36)),36),36)+1,1)=MID(AN234,15,1),"OK","Typo? check digit wrong")),"Wrong format"))</f>
        <v/>
      </c>
      <c r="AK234" s="27">
        <f>IF(AO234="","",IF(AND(LEN(AO234)=10,SUMPRODUCT(--ISERROR(FIND(MID(AO234,{1,2,3,4,5,10},1),"ABCDEFGHIJKLMNOPQRSTUVWXYZ")))=0,SUMPRODUCT(--ISERROR(FIND(MID(AO234,{6,7,8,9},1),"0123456789")))=0),"OK","Wrong format"))</f>
        <v/>
      </c>
      <c r="AL234" s="27">
        <f>IF(TRIM(H234)="","",IF(AND(LEN(UPPER(TRIM(H234)))=10,SUMPRODUCT(--ISERROR(FIND(MID(UPPER(TRIM(H234)),{1,2,3,4,10},1),"ABCDEFGHIJKLMNOPQRSTUVWXYZ")))=0,SUMPRODUCT(--ISERROR(FIND(MID(UPPER(TRIM(H234)),{5,6,7,8,9},1),"0123456789")))=0),"OK","Wrong format"))</f>
        <v/>
      </c>
      <c r="AM234" s="28">
        <f>IF(NOT(COUNTA(A234:AE234)&gt;0),"",IF(AS234&lt;&gt;"","✖ "&amp;LEFT(AS234,LEN(AS234)-2),IF(AR234&gt;0,"✔ Ready — client + "&amp;AR234&amp;" service(s)","✔ Ready — client only")))</f>
        <v/>
      </c>
      <c r="AN234" s="29">
        <f>UPPER(SUBSTITUTE(TRIM(F234)," ",""))</f>
        <v/>
      </c>
      <c r="AO234" s="29">
        <f>UPPER(SUBSTITUTE(TRIM(E234)," ",""))</f>
        <v/>
      </c>
      <c r="AP234" s="29">
        <f>IF(D234&lt;&gt;"",D234,IFERROR(VLOOKUP(MID(AG234,4,1),Lists!$E$2:$F$8,2,FALSE),""))</f>
        <v/>
      </c>
      <c r="AQ234" s="29">
        <f>IFERROR(VLOOKUP(AP234,Lists!$A$2:$C$12,3,FALSE),"")</f>
        <v/>
      </c>
      <c r="AR234" s="29">
        <f>COUNTIF(W234:AC234,"Yes")</f>
        <v/>
      </c>
      <c r="AS234" s="29">
        <f>IF(TRIM(B234)="","Legal name missing; ","")&amp;IF(AND(AJ234&lt;&gt;"",AJ234&lt;&gt;"OK"),"GSTIN: "&amp;AJ234&amp;"; ","")&amp;IF(AND(AK234&lt;&gt;"",AK234&lt;&gt;"OK"),"PAN wrong format; ","")&amp;IF(AND(AO234&lt;&gt;"",LEN(AN234)=15,MID(AN234,3,10)&lt;&gt;AO234),"PAN does not match GSTIN; ","")&amp;IF(AND(AL234&lt;&gt;"",AL234&lt;&gt;"OK"),"TAN wrong format; ","")&amp;IF(AG234="","PAN missing; ","")&amp;IF(AP234="","Entity type missing; ","")&amp;IF(AND(AN234&lt;&gt;"",COUNTIF($AN$6:$AN$1005,AN234)&gt;1),"GSTIN repeated in this sheet; ","")&amp;IF(AND(AG234&lt;&gt;"",COUNTIF($AG$6:$AG$1005,AG234)&gt;1),"PAN repeated in this sheet (same client? put extra GSTINs in Other GSTINs); ","")&amp;IF(AND(AR234&gt;0,V234=""),"Financial year missing; ","")&amp;IF(AND(AR234=0,V234&lt;&gt;""),"Financial year given but no service is Yes; ","")&amp;IF(AND(W234="Yes",AN234=""),"GST needs a GSTIN; ","")&amp;IF(AND(W234="Yes",X234=""),"GST return frequency missing; ","")&amp;IF(AND(Y234="Yes",TRIM(H234)=""),"TDS needs a TAN; ","")&amp;IF(AND(AA234="Yes",AQ234&lt;&gt;"",AQ234&lt;&gt;"company",AQ234&lt;&gt;"llp"),"ROC is only for a company / LLP; ","")&amp;IF(AND(AA234="Yes",OR(AQ234="company",AQ234="llp"),TRIM(I234)=""),"ROC needs the CIN / LLPIN; ","")</f>
        <v/>
      </c>
    </row>
    <row r="235">
      <c r="A235" s="30" t="n"/>
      <c r="B235" s="31" t="n"/>
      <c r="C235" s="31" t="n"/>
      <c r="D235" s="31" t="n"/>
      <c r="E235" s="30" t="n"/>
      <c r="F235" s="30" t="n"/>
      <c r="G235" s="30" t="n"/>
      <c r="H235" s="30" t="n"/>
      <c r="I235" s="30" t="n"/>
      <c r="J235" s="32" t="n"/>
      <c r="K235" s="31" t="n"/>
      <c r="L235" s="30" t="n"/>
      <c r="M235" s="31" t="n"/>
      <c r="N235" s="31" t="n"/>
      <c r="O235" s="31" t="n"/>
      <c r="P235" s="30" t="n"/>
      <c r="Q235" s="31" t="n"/>
      <c r="R235" s="31" t="n"/>
      <c r="S235" s="31" t="n"/>
      <c r="T235" s="31" t="n"/>
      <c r="U235" s="30" t="n"/>
      <c r="V235" s="31" t="n"/>
      <c r="W235" s="31" t="n"/>
      <c r="X235" s="31" t="n"/>
      <c r="Y235" s="31" t="n"/>
      <c r="Z235" s="31" t="n"/>
      <c r="AA235" s="31" t="n"/>
      <c r="AB235" s="31" t="n"/>
      <c r="AC235" s="31" t="n"/>
      <c r="AD235" s="31" t="n"/>
      <c r="AE235" s="31" t="n"/>
      <c r="AF235" s="27">
        <f>IF(NOT(COUNTA(A235:AE235)&gt;0),"",IF(A235="","New client","Update"))</f>
        <v/>
      </c>
      <c r="AG235" s="27">
        <f>IF(AO235&lt;&gt;"",AO235,IF(LEN(AN235)=15,MID(AN235,3,10),""))</f>
        <v/>
      </c>
      <c r="AH235" s="27">
        <f>IF(AP235="","",AP235&amp;IF(D235="","  (guessed from PAN)",""))</f>
        <v/>
      </c>
      <c r="AI235" s="27">
        <f>IF(AN235="","",IFERROR(INDEX(Lists!$L$2:$L$38,MATCH(LEFT(AN235,2),Lists!$K$2:$K$38,0)),"Unknown code"))</f>
        <v/>
      </c>
      <c r="AJ235" s="27">
        <f>IF(AN235="","",IFERROR(IF(NOT(AND(LEN(AN235)=15,ISNUMBER(MATCH(LEFT(AN235,2),Lists!$K$2:$K$38,0)),SUMPRODUCT(--ISERROR(FIND(MID(MID(AN235,3,10),{1,2,3,4,5,10},1),"ABCDEFGHIJKLMNOPQRSTUVWXYZ")))=0,SUMPRODUCT(--ISERROR(FIND(MID(MID(AN235,3,10),{6,7,8,9},1),"0123456789")))=0,ISNUMBER(FIND(MID(AN235,13,1),"123456789ABCDEFGHIJKLMNOPQRSTUVWXYZ")),MID(AN235,14,1)="Z")),"Wrong format",IF(MID("0123456789ABCDEFGHIJKLMNOPQRSTUVWXYZ",MOD(36-MOD(SUMPRODUCT(INT((FIND(MID(AN235,{1,2,3,4,5,6,7,8,9,10,11,12,13,14},1),"0123456789ABCDEFGHIJKLMNOPQRSTUVWXYZ")-1)*{1,2,1,2,1,2,1,2,1,2,1,2,1,2}/36)+MOD((FIND(MID(AN235,{1,2,3,4,5,6,7,8,9,10,11,12,13,14},1),"0123456789ABCDEFGHIJKLMNOPQRSTUVWXYZ")-1)*{1,2,1,2,1,2,1,2,1,2,1,2,1,2},36)),36),36)+1,1)=MID(AN235,15,1),"OK","Typo? check digit wrong")),"Wrong format"))</f>
        <v/>
      </c>
      <c r="AK235" s="27">
        <f>IF(AO235="","",IF(AND(LEN(AO235)=10,SUMPRODUCT(--ISERROR(FIND(MID(AO235,{1,2,3,4,5,10},1),"ABCDEFGHIJKLMNOPQRSTUVWXYZ")))=0,SUMPRODUCT(--ISERROR(FIND(MID(AO235,{6,7,8,9},1),"0123456789")))=0),"OK","Wrong format"))</f>
        <v/>
      </c>
      <c r="AL235" s="27">
        <f>IF(TRIM(H235)="","",IF(AND(LEN(UPPER(TRIM(H235)))=10,SUMPRODUCT(--ISERROR(FIND(MID(UPPER(TRIM(H235)),{1,2,3,4,10},1),"ABCDEFGHIJKLMNOPQRSTUVWXYZ")))=0,SUMPRODUCT(--ISERROR(FIND(MID(UPPER(TRIM(H235)),{5,6,7,8,9},1),"0123456789")))=0),"OK","Wrong format"))</f>
        <v/>
      </c>
      <c r="AM235" s="28">
        <f>IF(NOT(COUNTA(A235:AE235)&gt;0),"",IF(AS235&lt;&gt;"","✖ "&amp;LEFT(AS235,LEN(AS235)-2),IF(AR235&gt;0,"✔ Ready — client + "&amp;AR235&amp;" service(s)","✔ Ready — client only")))</f>
        <v/>
      </c>
      <c r="AN235" s="29">
        <f>UPPER(SUBSTITUTE(TRIM(F235)," ",""))</f>
        <v/>
      </c>
      <c r="AO235" s="29">
        <f>UPPER(SUBSTITUTE(TRIM(E235)," ",""))</f>
        <v/>
      </c>
      <c r="AP235" s="29">
        <f>IF(D235&lt;&gt;"",D235,IFERROR(VLOOKUP(MID(AG235,4,1),Lists!$E$2:$F$8,2,FALSE),""))</f>
        <v/>
      </c>
      <c r="AQ235" s="29">
        <f>IFERROR(VLOOKUP(AP235,Lists!$A$2:$C$12,3,FALSE),"")</f>
        <v/>
      </c>
      <c r="AR235" s="29">
        <f>COUNTIF(W235:AC235,"Yes")</f>
        <v/>
      </c>
      <c r="AS235" s="29">
        <f>IF(TRIM(B235)="","Legal name missing; ","")&amp;IF(AND(AJ235&lt;&gt;"",AJ235&lt;&gt;"OK"),"GSTIN: "&amp;AJ235&amp;"; ","")&amp;IF(AND(AK235&lt;&gt;"",AK235&lt;&gt;"OK"),"PAN wrong format; ","")&amp;IF(AND(AO235&lt;&gt;"",LEN(AN235)=15,MID(AN235,3,10)&lt;&gt;AO235),"PAN does not match GSTIN; ","")&amp;IF(AND(AL235&lt;&gt;"",AL235&lt;&gt;"OK"),"TAN wrong format; ","")&amp;IF(AG235="","PAN missing; ","")&amp;IF(AP235="","Entity type missing; ","")&amp;IF(AND(AN235&lt;&gt;"",COUNTIF($AN$6:$AN$1005,AN235)&gt;1),"GSTIN repeated in this sheet; ","")&amp;IF(AND(AG235&lt;&gt;"",COUNTIF($AG$6:$AG$1005,AG235)&gt;1),"PAN repeated in this sheet (same client? put extra GSTINs in Other GSTINs); ","")&amp;IF(AND(AR235&gt;0,V235=""),"Financial year missing; ","")&amp;IF(AND(AR235=0,V235&lt;&gt;""),"Financial year given but no service is Yes; ","")&amp;IF(AND(W235="Yes",AN235=""),"GST needs a GSTIN; ","")&amp;IF(AND(W235="Yes",X235=""),"GST return frequency missing; ","")&amp;IF(AND(Y235="Yes",TRIM(H235)=""),"TDS needs a TAN; ","")&amp;IF(AND(AA235="Yes",AQ235&lt;&gt;"",AQ235&lt;&gt;"company",AQ235&lt;&gt;"llp"),"ROC is only for a company / LLP; ","")&amp;IF(AND(AA235="Yes",OR(AQ235="company",AQ235="llp"),TRIM(I235)=""),"ROC needs the CIN / LLPIN; ","")</f>
        <v/>
      </c>
    </row>
    <row r="236">
      <c r="A236" s="30" t="n"/>
      <c r="B236" s="31" t="n"/>
      <c r="C236" s="31" t="n"/>
      <c r="D236" s="31" t="n"/>
      <c r="E236" s="30" t="n"/>
      <c r="F236" s="30" t="n"/>
      <c r="G236" s="30" t="n"/>
      <c r="H236" s="30" t="n"/>
      <c r="I236" s="30" t="n"/>
      <c r="J236" s="32" t="n"/>
      <c r="K236" s="31" t="n"/>
      <c r="L236" s="30" t="n"/>
      <c r="M236" s="31" t="n"/>
      <c r="N236" s="31" t="n"/>
      <c r="O236" s="31" t="n"/>
      <c r="P236" s="30" t="n"/>
      <c r="Q236" s="31" t="n"/>
      <c r="R236" s="31" t="n"/>
      <c r="S236" s="31" t="n"/>
      <c r="T236" s="31" t="n"/>
      <c r="U236" s="30" t="n"/>
      <c r="V236" s="31" t="n"/>
      <c r="W236" s="31" t="n"/>
      <c r="X236" s="31" t="n"/>
      <c r="Y236" s="31" t="n"/>
      <c r="Z236" s="31" t="n"/>
      <c r="AA236" s="31" t="n"/>
      <c r="AB236" s="31" t="n"/>
      <c r="AC236" s="31" t="n"/>
      <c r="AD236" s="31" t="n"/>
      <c r="AE236" s="31" t="n"/>
      <c r="AF236" s="27">
        <f>IF(NOT(COUNTA(A236:AE236)&gt;0),"",IF(A236="","New client","Update"))</f>
        <v/>
      </c>
      <c r="AG236" s="27">
        <f>IF(AO236&lt;&gt;"",AO236,IF(LEN(AN236)=15,MID(AN236,3,10),""))</f>
        <v/>
      </c>
      <c r="AH236" s="27">
        <f>IF(AP236="","",AP236&amp;IF(D236="","  (guessed from PAN)",""))</f>
        <v/>
      </c>
      <c r="AI236" s="27">
        <f>IF(AN236="","",IFERROR(INDEX(Lists!$L$2:$L$38,MATCH(LEFT(AN236,2),Lists!$K$2:$K$38,0)),"Unknown code"))</f>
        <v/>
      </c>
      <c r="AJ236" s="27">
        <f>IF(AN236="","",IFERROR(IF(NOT(AND(LEN(AN236)=15,ISNUMBER(MATCH(LEFT(AN236,2),Lists!$K$2:$K$38,0)),SUMPRODUCT(--ISERROR(FIND(MID(MID(AN236,3,10),{1,2,3,4,5,10},1),"ABCDEFGHIJKLMNOPQRSTUVWXYZ")))=0,SUMPRODUCT(--ISERROR(FIND(MID(MID(AN236,3,10),{6,7,8,9},1),"0123456789")))=0,ISNUMBER(FIND(MID(AN236,13,1),"123456789ABCDEFGHIJKLMNOPQRSTUVWXYZ")),MID(AN236,14,1)="Z")),"Wrong format",IF(MID("0123456789ABCDEFGHIJKLMNOPQRSTUVWXYZ",MOD(36-MOD(SUMPRODUCT(INT((FIND(MID(AN236,{1,2,3,4,5,6,7,8,9,10,11,12,13,14},1),"0123456789ABCDEFGHIJKLMNOPQRSTUVWXYZ")-1)*{1,2,1,2,1,2,1,2,1,2,1,2,1,2}/36)+MOD((FIND(MID(AN236,{1,2,3,4,5,6,7,8,9,10,11,12,13,14},1),"0123456789ABCDEFGHIJKLMNOPQRSTUVWXYZ")-1)*{1,2,1,2,1,2,1,2,1,2,1,2,1,2},36)),36),36)+1,1)=MID(AN236,15,1),"OK","Typo? check digit wrong")),"Wrong format"))</f>
        <v/>
      </c>
      <c r="AK236" s="27">
        <f>IF(AO236="","",IF(AND(LEN(AO236)=10,SUMPRODUCT(--ISERROR(FIND(MID(AO236,{1,2,3,4,5,10},1),"ABCDEFGHIJKLMNOPQRSTUVWXYZ")))=0,SUMPRODUCT(--ISERROR(FIND(MID(AO236,{6,7,8,9},1),"0123456789")))=0),"OK","Wrong format"))</f>
        <v/>
      </c>
      <c r="AL236" s="27">
        <f>IF(TRIM(H236)="","",IF(AND(LEN(UPPER(TRIM(H236)))=10,SUMPRODUCT(--ISERROR(FIND(MID(UPPER(TRIM(H236)),{1,2,3,4,10},1),"ABCDEFGHIJKLMNOPQRSTUVWXYZ")))=0,SUMPRODUCT(--ISERROR(FIND(MID(UPPER(TRIM(H236)),{5,6,7,8,9},1),"0123456789")))=0),"OK","Wrong format"))</f>
        <v/>
      </c>
      <c r="AM236" s="28">
        <f>IF(NOT(COUNTA(A236:AE236)&gt;0),"",IF(AS236&lt;&gt;"","✖ "&amp;LEFT(AS236,LEN(AS236)-2),IF(AR236&gt;0,"✔ Ready — client + "&amp;AR236&amp;" service(s)","✔ Ready — client only")))</f>
        <v/>
      </c>
      <c r="AN236" s="29">
        <f>UPPER(SUBSTITUTE(TRIM(F236)," ",""))</f>
        <v/>
      </c>
      <c r="AO236" s="29">
        <f>UPPER(SUBSTITUTE(TRIM(E236)," ",""))</f>
        <v/>
      </c>
      <c r="AP236" s="29">
        <f>IF(D236&lt;&gt;"",D236,IFERROR(VLOOKUP(MID(AG236,4,1),Lists!$E$2:$F$8,2,FALSE),""))</f>
        <v/>
      </c>
      <c r="AQ236" s="29">
        <f>IFERROR(VLOOKUP(AP236,Lists!$A$2:$C$12,3,FALSE),"")</f>
        <v/>
      </c>
      <c r="AR236" s="29">
        <f>COUNTIF(W236:AC236,"Yes")</f>
        <v/>
      </c>
      <c r="AS236" s="29">
        <f>IF(TRIM(B236)="","Legal name missing; ","")&amp;IF(AND(AJ236&lt;&gt;"",AJ236&lt;&gt;"OK"),"GSTIN: "&amp;AJ236&amp;"; ","")&amp;IF(AND(AK236&lt;&gt;"",AK236&lt;&gt;"OK"),"PAN wrong format; ","")&amp;IF(AND(AO236&lt;&gt;"",LEN(AN236)=15,MID(AN236,3,10)&lt;&gt;AO236),"PAN does not match GSTIN; ","")&amp;IF(AND(AL236&lt;&gt;"",AL236&lt;&gt;"OK"),"TAN wrong format; ","")&amp;IF(AG236="","PAN missing; ","")&amp;IF(AP236="","Entity type missing; ","")&amp;IF(AND(AN236&lt;&gt;"",COUNTIF($AN$6:$AN$1005,AN236)&gt;1),"GSTIN repeated in this sheet; ","")&amp;IF(AND(AG236&lt;&gt;"",COUNTIF($AG$6:$AG$1005,AG236)&gt;1),"PAN repeated in this sheet (same client? put extra GSTINs in Other GSTINs); ","")&amp;IF(AND(AR236&gt;0,V236=""),"Financial year missing; ","")&amp;IF(AND(AR236=0,V236&lt;&gt;""),"Financial year given but no service is Yes; ","")&amp;IF(AND(W236="Yes",AN236=""),"GST needs a GSTIN; ","")&amp;IF(AND(W236="Yes",X236=""),"GST return frequency missing; ","")&amp;IF(AND(Y236="Yes",TRIM(H236)=""),"TDS needs a TAN; ","")&amp;IF(AND(AA236="Yes",AQ236&lt;&gt;"",AQ236&lt;&gt;"company",AQ236&lt;&gt;"llp"),"ROC is only for a company / LLP; ","")&amp;IF(AND(AA236="Yes",OR(AQ236="company",AQ236="llp"),TRIM(I236)=""),"ROC needs the CIN / LLPIN; ","")</f>
        <v/>
      </c>
    </row>
    <row r="237">
      <c r="A237" s="30" t="n"/>
      <c r="B237" s="31" t="n"/>
      <c r="C237" s="31" t="n"/>
      <c r="D237" s="31" t="n"/>
      <c r="E237" s="30" t="n"/>
      <c r="F237" s="30" t="n"/>
      <c r="G237" s="30" t="n"/>
      <c r="H237" s="30" t="n"/>
      <c r="I237" s="30" t="n"/>
      <c r="J237" s="32" t="n"/>
      <c r="K237" s="31" t="n"/>
      <c r="L237" s="30" t="n"/>
      <c r="M237" s="31" t="n"/>
      <c r="N237" s="31" t="n"/>
      <c r="O237" s="31" t="n"/>
      <c r="P237" s="30" t="n"/>
      <c r="Q237" s="31" t="n"/>
      <c r="R237" s="31" t="n"/>
      <c r="S237" s="31" t="n"/>
      <c r="T237" s="31" t="n"/>
      <c r="U237" s="30" t="n"/>
      <c r="V237" s="31" t="n"/>
      <c r="W237" s="31" t="n"/>
      <c r="X237" s="31" t="n"/>
      <c r="Y237" s="31" t="n"/>
      <c r="Z237" s="31" t="n"/>
      <c r="AA237" s="31" t="n"/>
      <c r="AB237" s="31" t="n"/>
      <c r="AC237" s="31" t="n"/>
      <c r="AD237" s="31" t="n"/>
      <c r="AE237" s="31" t="n"/>
      <c r="AF237" s="27">
        <f>IF(NOT(COUNTA(A237:AE237)&gt;0),"",IF(A237="","New client","Update"))</f>
        <v/>
      </c>
      <c r="AG237" s="27">
        <f>IF(AO237&lt;&gt;"",AO237,IF(LEN(AN237)=15,MID(AN237,3,10),""))</f>
        <v/>
      </c>
      <c r="AH237" s="27">
        <f>IF(AP237="","",AP237&amp;IF(D237="","  (guessed from PAN)",""))</f>
        <v/>
      </c>
      <c r="AI237" s="27">
        <f>IF(AN237="","",IFERROR(INDEX(Lists!$L$2:$L$38,MATCH(LEFT(AN237,2),Lists!$K$2:$K$38,0)),"Unknown code"))</f>
        <v/>
      </c>
      <c r="AJ237" s="27">
        <f>IF(AN237="","",IFERROR(IF(NOT(AND(LEN(AN237)=15,ISNUMBER(MATCH(LEFT(AN237,2),Lists!$K$2:$K$38,0)),SUMPRODUCT(--ISERROR(FIND(MID(MID(AN237,3,10),{1,2,3,4,5,10},1),"ABCDEFGHIJKLMNOPQRSTUVWXYZ")))=0,SUMPRODUCT(--ISERROR(FIND(MID(MID(AN237,3,10),{6,7,8,9},1),"0123456789")))=0,ISNUMBER(FIND(MID(AN237,13,1),"123456789ABCDEFGHIJKLMNOPQRSTUVWXYZ")),MID(AN237,14,1)="Z")),"Wrong format",IF(MID("0123456789ABCDEFGHIJKLMNOPQRSTUVWXYZ",MOD(36-MOD(SUMPRODUCT(INT((FIND(MID(AN237,{1,2,3,4,5,6,7,8,9,10,11,12,13,14},1),"0123456789ABCDEFGHIJKLMNOPQRSTUVWXYZ")-1)*{1,2,1,2,1,2,1,2,1,2,1,2,1,2}/36)+MOD((FIND(MID(AN237,{1,2,3,4,5,6,7,8,9,10,11,12,13,14},1),"0123456789ABCDEFGHIJKLMNOPQRSTUVWXYZ")-1)*{1,2,1,2,1,2,1,2,1,2,1,2,1,2},36)),36),36)+1,1)=MID(AN237,15,1),"OK","Typo? check digit wrong")),"Wrong format"))</f>
        <v/>
      </c>
      <c r="AK237" s="27">
        <f>IF(AO237="","",IF(AND(LEN(AO237)=10,SUMPRODUCT(--ISERROR(FIND(MID(AO237,{1,2,3,4,5,10},1),"ABCDEFGHIJKLMNOPQRSTUVWXYZ")))=0,SUMPRODUCT(--ISERROR(FIND(MID(AO237,{6,7,8,9},1),"0123456789")))=0),"OK","Wrong format"))</f>
        <v/>
      </c>
      <c r="AL237" s="27">
        <f>IF(TRIM(H237)="","",IF(AND(LEN(UPPER(TRIM(H237)))=10,SUMPRODUCT(--ISERROR(FIND(MID(UPPER(TRIM(H237)),{1,2,3,4,10},1),"ABCDEFGHIJKLMNOPQRSTUVWXYZ")))=0,SUMPRODUCT(--ISERROR(FIND(MID(UPPER(TRIM(H237)),{5,6,7,8,9},1),"0123456789")))=0),"OK","Wrong format"))</f>
        <v/>
      </c>
      <c r="AM237" s="28">
        <f>IF(NOT(COUNTA(A237:AE237)&gt;0),"",IF(AS237&lt;&gt;"","✖ "&amp;LEFT(AS237,LEN(AS237)-2),IF(AR237&gt;0,"✔ Ready — client + "&amp;AR237&amp;" service(s)","✔ Ready — client only")))</f>
        <v/>
      </c>
      <c r="AN237" s="29">
        <f>UPPER(SUBSTITUTE(TRIM(F237)," ",""))</f>
        <v/>
      </c>
      <c r="AO237" s="29">
        <f>UPPER(SUBSTITUTE(TRIM(E237)," ",""))</f>
        <v/>
      </c>
      <c r="AP237" s="29">
        <f>IF(D237&lt;&gt;"",D237,IFERROR(VLOOKUP(MID(AG237,4,1),Lists!$E$2:$F$8,2,FALSE),""))</f>
        <v/>
      </c>
      <c r="AQ237" s="29">
        <f>IFERROR(VLOOKUP(AP237,Lists!$A$2:$C$12,3,FALSE),"")</f>
        <v/>
      </c>
      <c r="AR237" s="29">
        <f>COUNTIF(W237:AC237,"Yes")</f>
        <v/>
      </c>
      <c r="AS237" s="29">
        <f>IF(TRIM(B237)="","Legal name missing; ","")&amp;IF(AND(AJ237&lt;&gt;"",AJ237&lt;&gt;"OK"),"GSTIN: "&amp;AJ237&amp;"; ","")&amp;IF(AND(AK237&lt;&gt;"",AK237&lt;&gt;"OK"),"PAN wrong format; ","")&amp;IF(AND(AO237&lt;&gt;"",LEN(AN237)=15,MID(AN237,3,10)&lt;&gt;AO237),"PAN does not match GSTIN; ","")&amp;IF(AND(AL237&lt;&gt;"",AL237&lt;&gt;"OK"),"TAN wrong format; ","")&amp;IF(AG237="","PAN missing; ","")&amp;IF(AP237="","Entity type missing; ","")&amp;IF(AND(AN237&lt;&gt;"",COUNTIF($AN$6:$AN$1005,AN237)&gt;1),"GSTIN repeated in this sheet; ","")&amp;IF(AND(AG237&lt;&gt;"",COUNTIF($AG$6:$AG$1005,AG237)&gt;1),"PAN repeated in this sheet (same client? put extra GSTINs in Other GSTINs); ","")&amp;IF(AND(AR237&gt;0,V237=""),"Financial year missing; ","")&amp;IF(AND(AR237=0,V237&lt;&gt;""),"Financial year given but no service is Yes; ","")&amp;IF(AND(W237="Yes",AN237=""),"GST needs a GSTIN; ","")&amp;IF(AND(W237="Yes",X237=""),"GST return frequency missing; ","")&amp;IF(AND(Y237="Yes",TRIM(H237)=""),"TDS needs a TAN; ","")&amp;IF(AND(AA237="Yes",AQ237&lt;&gt;"",AQ237&lt;&gt;"company",AQ237&lt;&gt;"llp"),"ROC is only for a company / LLP; ","")&amp;IF(AND(AA237="Yes",OR(AQ237="company",AQ237="llp"),TRIM(I237)=""),"ROC needs the CIN / LLPIN; ","")</f>
        <v/>
      </c>
    </row>
    <row r="238">
      <c r="A238" s="30" t="n"/>
      <c r="B238" s="31" t="n"/>
      <c r="C238" s="31" t="n"/>
      <c r="D238" s="31" t="n"/>
      <c r="E238" s="30" t="n"/>
      <c r="F238" s="30" t="n"/>
      <c r="G238" s="30" t="n"/>
      <c r="H238" s="30" t="n"/>
      <c r="I238" s="30" t="n"/>
      <c r="J238" s="32" t="n"/>
      <c r="K238" s="31" t="n"/>
      <c r="L238" s="30" t="n"/>
      <c r="M238" s="31" t="n"/>
      <c r="N238" s="31" t="n"/>
      <c r="O238" s="31" t="n"/>
      <c r="P238" s="30" t="n"/>
      <c r="Q238" s="31" t="n"/>
      <c r="R238" s="31" t="n"/>
      <c r="S238" s="31" t="n"/>
      <c r="T238" s="31" t="n"/>
      <c r="U238" s="30" t="n"/>
      <c r="V238" s="31" t="n"/>
      <c r="W238" s="31" t="n"/>
      <c r="X238" s="31" t="n"/>
      <c r="Y238" s="31" t="n"/>
      <c r="Z238" s="31" t="n"/>
      <c r="AA238" s="31" t="n"/>
      <c r="AB238" s="31" t="n"/>
      <c r="AC238" s="31" t="n"/>
      <c r="AD238" s="31" t="n"/>
      <c r="AE238" s="31" t="n"/>
      <c r="AF238" s="27">
        <f>IF(NOT(COUNTA(A238:AE238)&gt;0),"",IF(A238="","New client","Update"))</f>
        <v/>
      </c>
      <c r="AG238" s="27">
        <f>IF(AO238&lt;&gt;"",AO238,IF(LEN(AN238)=15,MID(AN238,3,10),""))</f>
        <v/>
      </c>
      <c r="AH238" s="27">
        <f>IF(AP238="","",AP238&amp;IF(D238="","  (guessed from PAN)",""))</f>
        <v/>
      </c>
      <c r="AI238" s="27">
        <f>IF(AN238="","",IFERROR(INDEX(Lists!$L$2:$L$38,MATCH(LEFT(AN238,2),Lists!$K$2:$K$38,0)),"Unknown code"))</f>
        <v/>
      </c>
      <c r="AJ238" s="27">
        <f>IF(AN238="","",IFERROR(IF(NOT(AND(LEN(AN238)=15,ISNUMBER(MATCH(LEFT(AN238,2),Lists!$K$2:$K$38,0)),SUMPRODUCT(--ISERROR(FIND(MID(MID(AN238,3,10),{1,2,3,4,5,10},1),"ABCDEFGHIJKLMNOPQRSTUVWXYZ")))=0,SUMPRODUCT(--ISERROR(FIND(MID(MID(AN238,3,10),{6,7,8,9},1),"0123456789")))=0,ISNUMBER(FIND(MID(AN238,13,1),"123456789ABCDEFGHIJKLMNOPQRSTUVWXYZ")),MID(AN238,14,1)="Z")),"Wrong format",IF(MID("0123456789ABCDEFGHIJKLMNOPQRSTUVWXYZ",MOD(36-MOD(SUMPRODUCT(INT((FIND(MID(AN238,{1,2,3,4,5,6,7,8,9,10,11,12,13,14},1),"0123456789ABCDEFGHIJKLMNOPQRSTUVWXYZ")-1)*{1,2,1,2,1,2,1,2,1,2,1,2,1,2}/36)+MOD((FIND(MID(AN238,{1,2,3,4,5,6,7,8,9,10,11,12,13,14},1),"0123456789ABCDEFGHIJKLMNOPQRSTUVWXYZ")-1)*{1,2,1,2,1,2,1,2,1,2,1,2,1,2},36)),36),36)+1,1)=MID(AN238,15,1),"OK","Typo? check digit wrong")),"Wrong format"))</f>
        <v/>
      </c>
      <c r="AK238" s="27">
        <f>IF(AO238="","",IF(AND(LEN(AO238)=10,SUMPRODUCT(--ISERROR(FIND(MID(AO238,{1,2,3,4,5,10},1),"ABCDEFGHIJKLMNOPQRSTUVWXYZ")))=0,SUMPRODUCT(--ISERROR(FIND(MID(AO238,{6,7,8,9},1),"0123456789")))=0),"OK","Wrong format"))</f>
        <v/>
      </c>
      <c r="AL238" s="27">
        <f>IF(TRIM(H238)="","",IF(AND(LEN(UPPER(TRIM(H238)))=10,SUMPRODUCT(--ISERROR(FIND(MID(UPPER(TRIM(H238)),{1,2,3,4,10},1),"ABCDEFGHIJKLMNOPQRSTUVWXYZ")))=0,SUMPRODUCT(--ISERROR(FIND(MID(UPPER(TRIM(H238)),{5,6,7,8,9},1),"0123456789")))=0),"OK","Wrong format"))</f>
        <v/>
      </c>
      <c r="AM238" s="28">
        <f>IF(NOT(COUNTA(A238:AE238)&gt;0),"",IF(AS238&lt;&gt;"","✖ "&amp;LEFT(AS238,LEN(AS238)-2),IF(AR238&gt;0,"✔ Ready — client + "&amp;AR238&amp;" service(s)","✔ Ready — client only")))</f>
        <v/>
      </c>
      <c r="AN238" s="29">
        <f>UPPER(SUBSTITUTE(TRIM(F238)," ",""))</f>
        <v/>
      </c>
      <c r="AO238" s="29">
        <f>UPPER(SUBSTITUTE(TRIM(E238)," ",""))</f>
        <v/>
      </c>
      <c r="AP238" s="29">
        <f>IF(D238&lt;&gt;"",D238,IFERROR(VLOOKUP(MID(AG238,4,1),Lists!$E$2:$F$8,2,FALSE),""))</f>
        <v/>
      </c>
      <c r="AQ238" s="29">
        <f>IFERROR(VLOOKUP(AP238,Lists!$A$2:$C$12,3,FALSE),"")</f>
        <v/>
      </c>
      <c r="AR238" s="29">
        <f>COUNTIF(W238:AC238,"Yes")</f>
        <v/>
      </c>
      <c r="AS238" s="29">
        <f>IF(TRIM(B238)="","Legal name missing; ","")&amp;IF(AND(AJ238&lt;&gt;"",AJ238&lt;&gt;"OK"),"GSTIN: "&amp;AJ238&amp;"; ","")&amp;IF(AND(AK238&lt;&gt;"",AK238&lt;&gt;"OK"),"PAN wrong format; ","")&amp;IF(AND(AO238&lt;&gt;"",LEN(AN238)=15,MID(AN238,3,10)&lt;&gt;AO238),"PAN does not match GSTIN; ","")&amp;IF(AND(AL238&lt;&gt;"",AL238&lt;&gt;"OK"),"TAN wrong format; ","")&amp;IF(AG238="","PAN missing; ","")&amp;IF(AP238="","Entity type missing; ","")&amp;IF(AND(AN238&lt;&gt;"",COUNTIF($AN$6:$AN$1005,AN238)&gt;1),"GSTIN repeated in this sheet; ","")&amp;IF(AND(AG238&lt;&gt;"",COUNTIF($AG$6:$AG$1005,AG238)&gt;1),"PAN repeated in this sheet (same client? put extra GSTINs in Other GSTINs); ","")&amp;IF(AND(AR238&gt;0,V238=""),"Financial year missing; ","")&amp;IF(AND(AR238=0,V238&lt;&gt;""),"Financial year given but no service is Yes; ","")&amp;IF(AND(W238="Yes",AN238=""),"GST needs a GSTIN; ","")&amp;IF(AND(W238="Yes",X238=""),"GST return frequency missing; ","")&amp;IF(AND(Y238="Yes",TRIM(H238)=""),"TDS needs a TAN; ","")&amp;IF(AND(AA238="Yes",AQ238&lt;&gt;"",AQ238&lt;&gt;"company",AQ238&lt;&gt;"llp"),"ROC is only for a company / LLP; ","")&amp;IF(AND(AA238="Yes",OR(AQ238="company",AQ238="llp"),TRIM(I238)=""),"ROC needs the CIN / LLPIN; ","")</f>
        <v/>
      </c>
    </row>
    <row r="239">
      <c r="A239" s="30" t="n"/>
      <c r="B239" s="31" t="n"/>
      <c r="C239" s="31" t="n"/>
      <c r="D239" s="31" t="n"/>
      <c r="E239" s="30" t="n"/>
      <c r="F239" s="30" t="n"/>
      <c r="G239" s="30" t="n"/>
      <c r="H239" s="30" t="n"/>
      <c r="I239" s="30" t="n"/>
      <c r="J239" s="32" t="n"/>
      <c r="K239" s="31" t="n"/>
      <c r="L239" s="30" t="n"/>
      <c r="M239" s="31" t="n"/>
      <c r="N239" s="31" t="n"/>
      <c r="O239" s="31" t="n"/>
      <c r="P239" s="30" t="n"/>
      <c r="Q239" s="31" t="n"/>
      <c r="R239" s="31" t="n"/>
      <c r="S239" s="31" t="n"/>
      <c r="T239" s="31" t="n"/>
      <c r="U239" s="30" t="n"/>
      <c r="V239" s="31" t="n"/>
      <c r="W239" s="31" t="n"/>
      <c r="X239" s="31" t="n"/>
      <c r="Y239" s="31" t="n"/>
      <c r="Z239" s="31" t="n"/>
      <c r="AA239" s="31" t="n"/>
      <c r="AB239" s="31" t="n"/>
      <c r="AC239" s="31" t="n"/>
      <c r="AD239" s="31" t="n"/>
      <c r="AE239" s="31" t="n"/>
      <c r="AF239" s="27">
        <f>IF(NOT(COUNTA(A239:AE239)&gt;0),"",IF(A239="","New client","Update"))</f>
        <v/>
      </c>
      <c r="AG239" s="27">
        <f>IF(AO239&lt;&gt;"",AO239,IF(LEN(AN239)=15,MID(AN239,3,10),""))</f>
        <v/>
      </c>
      <c r="AH239" s="27">
        <f>IF(AP239="","",AP239&amp;IF(D239="","  (guessed from PAN)",""))</f>
        <v/>
      </c>
      <c r="AI239" s="27">
        <f>IF(AN239="","",IFERROR(INDEX(Lists!$L$2:$L$38,MATCH(LEFT(AN239,2),Lists!$K$2:$K$38,0)),"Unknown code"))</f>
        <v/>
      </c>
      <c r="AJ239" s="27">
        <f>IF(AN239="","",IFERROR(IF(NOT(AND(LEN(AN239)=15,ISNUMBER(MATCH(LEFT(AN239,2),Lists!$K$2:$K$38,0)),SUMPRODUCT(--ISERROR(FIND(MID(MID(AN239,3,10),{1,2,3,4,5,10},1),"ABCDEFGHIJKLMNOPQRSTUVWXYZ")))=0,SUMPRODUCT(--ISERROR(FIND(MID(MID(AN239,3,10),{6,7,8,9},1),"0123456789")))=0,ISNUMBER(FIND(MID(AN239,13,1),"123456789ABCDEFGHIJKLMNOPQRSTUVWXYZ")),MID(AN239,14,1)="Z")),"Wrong format",IF(MID("0123456789ABCDEFGHIJKLMNOPQRSTUVWXYZ",MOD(36-MOD(SUMPRODUCT(INT((FIND(MID(AN239,{1,2,3,4,5,6,7,8,9,10,11,12,13,14},1),"0123456789ABCDEFGHIJKLMNOPQRSTUVWXYZ")-1)*{1,2,1,2,1,2,1,2,1,2,1,2,1,2}/36)+MOD((FIND(MID(AN239,{1,2,3,4,5,6,7,8,9,10,11,12,13,14},1),"0123456789ABCDEFGHIJKLMNOPQRSTUVWXYZ")-1)*{1,2,1,2,1,2,1,2,1,2,1,2,1,2},36)),36),36)+1,1)=MID(AN239,15,1),"OK","Typo? check digit wrong")),"Wrong format"))</f>
        <v/>
      </c>
      <c r="AK239" s="27">
        <f>IF(AO239="","",IF(AND(LEN(AO239)=10,SUMPRODUCT(--ISERROR(FIND(MID(AO239,{1,2,3,4,5,10},1),"ABCDEFGHIJKLMNOPQRSTUVWXYZ")))=0,SUMPRODUCT(--ISERROR(FIND(MID(AO239,{6,7,8,9},1),"0123456789")))=0),"OK","Wrong format"))</f>
        <v/>
      </c>
      <c r="AL239" s="27">
        <f>IF(TRIM(H239)="","",IF(AND(LEN(UPPER(TRIM(H239)))=10,SUMPRODUCT(--ISERROR(FIND(MID(UPPER(TRIM(H239)),{1,2,3,4,10},1),"ABCDEFGHIJKLMNOPQRSTUVWXYZ")))=0,SUMPRODUCT(--ISERROR(FIND(MID(UPPER(TRIM(H239)),{5,6,7,8,9},1),"0123456789")))=0),"OK","Wrong format"))</f>
        <v/>
      </c>
      <c r="AM239" s="28">
        <f>IF(NOT(COUNTA(A239:AE239)&gt;0),"",IF(AS239&lt;&gt;"","✖ "&amp;LEFT(AS239,LEN(AS239)-2),IF(AR239&gt;0,"✔ Ready — client + "&amp;AR239&amp;" service(s)","✔ Ready — client only")))</f>
        <v/>
      </c>
      <c r="AN239" s="29">
        <f>UPPER(SUBSTITUTE(TRIM(F239)," ",""))</f>
        <v/>
      </c>
      <c r="AO239" s="29">
        <f>UPPER(SUBSTITUTE(TRIM(E239)," ",""))</f>
        <v/>
      </c>
      <c r="AP239" s="29">
        <f>IF(D239&lt;&gt;"",D239,IFERROR(VLOOKUP(MID(AG239,4,1),Lists!$E$2:$F$8,2,FALSE),""))</f>
        <v/>
      </c>
      <c r="AQ239" s="29">
        <f>IFERROR(VLOOKUP(AP239,Lists!$A$2:$C$12,3,FALSE),"")</f>
        <v/>
      </c>
      <c r="AR239" s="29">
        <f>COUNTIF(W239:AC239,"Yes")</f>
        <v/>
      </c>
      <c r="AS239" s="29">
        <f>IF(TRIM(B239)="","Legal name missing; ","")&amp;IF(AND(AJ239&lt;&gt;"",AJ239&lt;&gt;"OK"),"GSTIN: "&amp;AJ239&amp;"; ","")&amp;IF(AND(AK239&lt;&gt;"",AK239&lt;&gt;"OK"),"PAN wrong format; ","")&amp;IF(AND(AO239&lt;&gt;"",LEN(AN239)=15,MID(AN239,3,10)&lt;&gt;AO239),"PAN does not match GSTIN; ","")&amp;IF(AND(AL239&lt;&gt;"",AL239&lt;&gt;"OK"),"TAN wrong format; ","")&amp;IF(AG239="","PAN missing; ","")&amp;IF(AP239="","Entity type missing; ","")&amp;IF(AND(AN239&lt;&gt;"",COUNTIF($AN$6:$AN$1005,AN239)&gt;1),"GSTIN repeated in this sheet; ","")&amp;IF(AND(AG239&lt;&gt;"",COUNTIF($AG$6:$AG$1005,AG239)&gt;1),"PAN repeated in this sheet (same client? put extra GSTINs in Other GSTINs); ","")&amp;IF(AND(AR239&gt;0,V239=""),"Financial year missing; ","")&amp;IF(AND(AR239=0,V239&lt;&gt;""),"Financial year given but no service is Yes; ","")&amp;IF(AND(W239="Yes",AN239=""),"GST needs a GSTIN; ","")&amp;IF(AND(W239="Yes",X239=""),"GST return frequency missing; ","")&amp;IF(AND(Y239="Yes",TRIM(H239)=""),"TDS needs a TAN; ","")&amp;IF(AND(AA239="Yes",AQ239&lt;&gt;"",AQ239&lt;&gt;"company",AQ239&lt;&gt;"llp"),"ROC is only for a company / LLP; ","")&amp;IF(AND(AA239="Yes",OR(AQ239="company",AQ239="llp"),TRIM(I239)=""),"ROC needs the CIN / LLPIN; ","")</f>
        <v/>
      </c>
    </row>
    <row r="240">
      <c r="A240" s="30" t="n"/>
      <c r="B240" s="31" t="n"/>
      <c r="C240" s="31" t="n"/>
      <c r="D240" s="31" t="n"/>
      <c r="E240" s="30" t="n"/>
      <c r="F240" s="30" t="n"/>
      <c r="G240" s="30" t="n"/>
      <c r="H240" s="30" t="n"/>
      <c r="I240" s="30" t="n"/>
      <c r="J240" s="32" t="n"/>
      <c r="K240" s="31" t="n"/>
      <c r="L240" s="30" t="n"/>
      <c r="M240" s="31" t="n"/>
      <c r="N240" s="31" t="n"/>
      <c r="O240" s="31" t="n"/>
      <c r="P240" s="30" t="n"/>
      <c r="Q240" s="31" t="n"/>
      <c r="R240" s="31" t="n"/>
      <c r="S240" s="31" t="n"/>
      <c r="T240" s="31" t="n"/>
      <c r="U240" s="30" t="n"/>
      <c r="V240" s="31" t="n"/>
      <c r="W240" s="31" t="n"/>
      <c r="X240" s="31" t="n"/>
      <c r="Y240" s="31" t="n"/>
      <c r="Z240" s="31" t="n"/>
      <c r="AA240" s="31" t="n"/>
      <c r="AB240" s="31" t="n"/>
      <c r="AC240" s="31" t="n"/>
      <c r="AD240" s="31" t="n"/>
      <c r="AE240" s="31" t="n"/>
      <c r="AF240" s="27">
        <f>IF(NOT(COUNTA(A240:AE240)&gt;0),"",IF(A240="","New client","Update"))</f>
        <v/>
      </c>
      <c r="AG240" s="27">
        <f>IF(AO240&lt;&gt;"",AO240,IF(LEN(AN240)=15,MID(AN240,3,10),""))</f>
        <v/>
      </c>
      <c r="AH240" s="27">
        <f>IF(AP240="","",AP240&amp;IF(D240="","  (guessed from PAN)",""))</f>
        <v/>
      </c>
      <c r="AI240" s="27">
        <f>IF(AN240="","",IFERROR(INDEX(Lists!$L$2:$L$38,MATCH(LEFT(AN240,2),Lists!$K$2:$K$38,0)),"Unknown code"))</f>
        <v/>
      </c>
      <c r="AJ240" s="27">
        <f>IF(AN240="","",IFERROR(IF(NOT(AND(LEN(AN240)=15,ISNUMBER(MATCH(LEFT(AN240,2),Lists!$K$2:$K$38,0)),SUMPRODUCT(--ISERROR(FIND(MID(MID(AN240,3,10),{1,2,3,4,5,10},1),"ABCDEFGHIJKLMNOPQRSTUVWXYZ")))=0,SUMPRODUCT(--ISERROR(FIND(MID(MID(AN240,3,10),{6,7,8,9},1),"0123456789")))=0,ISNUMBER(FIND(MID(AN240,13,1),"123456789ABCDEFGHIJKLMNOPQRSTUVWXYZ")),MID(AN240,14,1)="Z")),"Wrong format",IF(MID("0123456789ABCDEFGHIJKLMNOPQRSTUVWXYZ",MOD(36-MOD(SUMPRODUCT(INT((FIND(MID(AN240,{1,2,3,4,5,6,7,8,9,10,11,12,13,14},1),"0123456789ABCDEFGHIJKLMNOPQRSTUVWXYZ")-1)*{1,2,1,2,1,2,1,2,1,2,1,2,1,2}/36)+MOD((FIND(MID(AN240,{1,2,3,4,5,6,7,8,9,10,11,12,13,14},1),"0123456789ABCDEFGHIJKLMNOPQRSTUVWXYZ")-1)*{1,2,1,2,1,2,1,2,1,2,1,2,1,2},36)),36),36)+1,1)=MID(AN240,15,1),"OK","Typo? check digit wrong")),"Wrong format"))</f>
        <v/>
      </c>
      <c r="AK240" s="27">
        <f>IF(AO240="","",IF(AND(LEN(AO240)=10,SUMPRODUCT(--ISERROR(FIND(MID(AO240,{1,2,3,4,5,10},1),"ABCDEFGHIJKLMNOPQRSTUVWXYZ")))=0,SUMPRODUCT(--ISERROR(FIND(MID(AO240,{6,7,8,9},1),"0123456789")))=0),"OK","Wrong format"))</f>
        <v/>
      </c>
      <c r="AL240" s="27">
        <f>IF(TRIM(H240)="","",IF(AND(LEN(UPPER(TRIM(H240)))=10,SUMPRODUCT(--ISERROR(FIND(MID(UPPER(TRIM(H240)),{1,2,3,4,10},1),"ABCDEFGHIJKLMNOPQRSTUVWXYZ")))=0,SUMPRODUCT(--ISERROR(FIND(MID(UPPER(TRIM(H240)),{5,6,7,8,9},1),"0123456789")))=0),"OK","Wrong format"))</f>
        <v/>
      </c>
      <c r="AM240" s="28">
        <f>IF(NOT(COUNTA(A240:AE240)&gt;0),"",IF(AS240&lt;&gt;"","✖ "&amp;LEFT(AS240,LEN(AS240)-2),IF(AR240&gt;0,"✔ Ready — client + "&amp;AR240&amp;" service(s)","✔ Ready — client only")))</f>
        <v/>
      </c>
      <c r="AN240" s="29">
        <f>UPPER(SUBSTITUTE(TRIM(F240)," ",""))</f>
        <v/>
      </c>
      <c r="AO240" s="29">
        <f>UPPER(SUBSTITUTE(TRIM(E240)," ",""))</f>
        <v/>
      </c>
      <c r="AP240" s="29">
        <f>IF(D240&lt;&gt;"",D240,IFERROR(VLOOKUP(MID(AG240,4,1),Lists!$E$2:$F$8,2,FALSE),""))</f>
        <v/>
      </c>
      <c r="AQ240" s="29">
        <f>IFERROR(VLOOKUP(AP240,Lists!$A$2:$C$12,3,FALSE),"")</f>
        <v/>
      </c>
      <c r="AR240" s="29">
        <f>COUNTIF(W240:AC240,"Yes")</f>
        <v/>
      </c>
      <c r="AS240" s="29">
        <f>IF(TRIM(B240)="","Legal name missing; ","")&amp;IF(AND(AJ240&lt;&gt;"",AJ240&lt;&gt;"OK"),"GSTIN: "&amp;AJ240&amp;"; ","")&amp;IF(AND(AK240&lt;&gt;"",AK240&lt;&gt;"OK"),"PAN wrong format; ","")&amp;IF(AND(AO240&lt;&gt;"",LEN(AN240)=15,MID(AN240,3,10)&lt;&gt;AO240),"PAN does not match GSTIN; ","")&amp;IF(AND(AL240&lt;&gt;"",AL240&lt;&gt;"OK"),"TAN wrong format; ","")&amp;IF(AG240="","PAN missing; ","")&amp;IF(AP240="","Entity type missing; ","")&amp;IF(AND(AN240&lt;&gt;"",COUNTIF($AN$6:$AN$1005,AN240)&gt;1),"GSTIN repeated in this sheet; ","")&amp;IF(AND(AG240&lt;&gt;"",COUNTIF($AG$6:$AG$1005,AG240)&gt;1),"PAN repeated in this sheet (same client? put extra GSTINs in Other GSTINs); ","")&amp;IF(AND(AR240&gt;0,V240=""),"Financial year missing; ","")&amp;IF(AND(AR240=0,V240&lt;&gt;""),"Financial year given but no service is Yes; ","")&amp;IF(AND(W240="Yes",AN240=""),"GST needs a GSTIN; ","")&amp;IF(AND(W240="Yes",X240=""),"GST return frequency missing; ","")&amp;IF(AND(Y240="Yes",TRIM(H240)=""),"TDS needs a TAN; ","")&amp;IF(AND(AA240="Yes",AQ240&lt;&gt;"",AQ240&lt;&gt;"company",AQ240&lt;&gt;"llp"),"ROC is only for a company / LLP; ","")&amp;IF(AND(AA240="Yes",OR(AQ240="company",AQ240="llp"),TRIM(I240)=""),"ROC needs the CIN / LLPIN; ","")</f>
        <v/>
      </c>
    </row>
    <row r="241">
      <c r="A241" s="30" t="n"/>
      <c r="B241" s="31" t="n"/>
      <c r="C241" s="31" t="n"/>
      <c r="D241" s="31" t="n"/>
      <c r="E241" s="30" t="n"/>
      <c r="F241" s="30" t="n"/>
      <c r="G241" s="30" t="n"/>
      <c r="H241" s="30" t="n"/>
      <c r="I241" s="30" t="n"/>
      <c r="J241" s="32" t="n"/>
      <c r="K241" s="31" t="n"/>
      <c r="L241" s="30" t="n"/>
      <c r="M241" s="31" t="n"/>
      <c r="N241" s="31" t="n"/>
      <c r="O241" s="31" t="n"/>
      <c r="P241" s="30" t="n"/>
      <c r="Q241" s="31" t="n"/>
      <c r="R241" s="31" t="n"/>
      <c r="S241" s="31" t="n"/>
      <c r="T241" s="31" t="n"/>
      <c r="U241" s="30" t="n"/>
      <c r="V241" s="31" t="n"/>
      <c r="W241" s="31" t="n"/>
      <c r="X241" s="31" t="n"/>
      <c r="Y241" s="31" t="n"/>
      <c r="Z241" s="31" t="n"/>
      <c r="AA241" s="31" t="n"/>
      <c r="AB241" s="31" t="n"/>
      <c r="AC241" s="31" t="n"/>
      <c r="AD241" s="31" t="n"/>
      <c r="AE241" s="31" t="n"/>
      <c r="AF241" s="27">
        <f>IF(NOT(COUNTA(A241:AE241)&gt;0),"",IF(A241="","New client","Update"))</f>
        <v/>
      </c>
      <c r="AG241" s="27">
        <f>IF(AO241&lt;&gt;"",AO241,IF(LEN(AN241)=15,MID(AN241,3,10),""))</f>
        <v/>
      </c>
      <c r="AH241" s="27">
        <f>IF(AP241="","",AP241&amp;IF(D241="","  (guessed from PAN)",""))</f>
        <v/>
      </c>
      <c r="AI241" s="27">
        <f>IF(AN241="","",IFERROR(INDEX(Lists!$L$2:$L$38,MATCH(LEFT(AN241,2),Lists!$K$2:$K$38,0)),"Unknown code"))</f>
        <v/>
      </c>
      <c r="AJ241" s="27">
        <f>IF(AN241="","",IFERROR(IF(NOT(AND(LEN(AN241)=15,ISNUMBER(MATCH(LEFT(AN241,2),Lists!$K$2:$K$38,0)),SUMPRODUCT(--ISERROR(FIND(MID(MID(AN241,3,10),{1,2,3,4,5,10},1),"ABCDEFGHIJKLMNOPQRSTUVWXYZ")))=0,SUMPRODUCT(--ISERROR(FIND(MID(MID(AN241,3,10),{6,7,8,9},1),"0123456789")))=0,ISNUMBER(FIND(MID(AN241,13,1),"123456789ABCDEFGHIJKLMNOPQRSTUVWXYZ")),MID(AN241,14,1)="Z")),"Wrong format",IF(MID("0123456789ABCDEFGHIJKLMNOPQRSTUVWXYZ",MOD(36-MOD(SUMPRODUCT(INT((FIND(MID(AN241,{1,2,3,4,5,6,7,8,9,10,11,12,13,14},1),"0123456789ABCDEFGHIJKLMNOPQRSTUVWXYZ")-1)*{1,2,1,2,1,2,1,2,1,2,1,2,1,2}/36)+MOD((FIND(MID(AN241,{1,2,3,4,5,6,7,8,9,10,11,12,13,14},1),"0123456789ABCDEFGHIJKLMNOPQRSTUVWXYZ")-1)*{1,2,1,2,1,2,1,2,1,2,1,2,1,2},36)),36),36)+1,1)=MID(AN241,15,1),"OK","Typo? check digit wrong")),"Wrong format"))</f>
        <v/>
      </c>
      <c r="AK241" s="27">
        <f>IF(AO241="","",IF(AND(LEN(AO241)=10,SUMPRODUCT(--ISERROR(FIND(MID(AO241,{1,2,3,4,5,10},1),"ABCDEFGHIJKLMNOPQRSTUVWXYZ")))=0,SUMPRODUCT(--ISERROR(FIND(MID(AO241,{6,7,8,9},1),"0123456789")))=0),"OK","Wrong format"))</f>
        <v/>
      </c>
      <c r="AL241" s="27">
        <f>IF(TRIM(H241)="","",IF(AND(LEN(UPPER(TRIM(H241)))=10,SUMPRODUCT(--ISERROR(FIND(MID(UPPER(TRIM(H241)),{1,2,3,4,10},1),"ABCDEFGHIJKLMNOPQRSTUVWXYZ")))=0,SUMPRODUCT(--ISERROR(FIND(MID(UPPER(TRIM(H241)),{5,6,7,8,9},1),"0123456789")))=0),"OK","Wrong format"))</f>
        <v/>
      </c>
      <c r="AM241" s="28">
        <f>IF(NOT(COUNTA(A241:AE241)&gt;0),"",IF(AS241&lt;&gt;"","✖ "&amp;LEFT(AS241,LEN(AS241)-2),IF(AR241&gt;0,"✔ Ready — client + "&amp;AR241&amp;" service(s)","✔ Ready — client only")))</f>
        <v/>
      </c>
      <c r="AN241" s="29">
        <f>UPPER(SUBSTITUTE(TRIM(F241)," ",""))</f>
        <v/>
      </c>
      <c r="AO241" s="29">
        <f>UPPER(SUBSTITUTE(TRIM(E241)," ",""))</f>
        <v/>
      </c>
      <c r="AP241" s="29">
        <f>IF(D241&lt;&gt;"",D241,IFERROR(VLOOKUP(MID(AG241,4,1),Lists!$E$2:$F$8,2,FALSE),""))</f>
        <v/>
      </c>
      <c r="AQ241" s="29">
        <f>IFERROR(VLOOKUP(AP241,Lists!$A$2:$C$12,3,FALSE),"")</f>
        <v/>
      </c>
      <c r="AR241" s="29">
        <f>COUNTIF(W241:AC241,"Yes")</f>
        <v/>
      </c>
      <c r="AS241" s="29">
        <f>IF(TRIM(B241)="","Legal name missing; ","")&amp;IF(AND(AJ241&lt;&gt;"",AJ241&lt;&gt;"OK"),"GSTIN: "&amp;AJ241&amp;"; ","")&amp;IF(AND(AK241&lt;&gt;"",AK241&lt;&gt;"OK"),"PAN wrong format; ","")&amp;IF(AND(AO241&lt;&gt;"",LEN(AN241)=15,MID(AN241,3,10)&lt;&gt;AO241),"PAN does not match GSTIN; ","")&amp;IF(AND(AL241&lt;&gt;"",AL241&lt;&gt;"OK"),"TAN wrong format; ","")&amp;IF(AG241="","PAN missing; ","")&amp;IF(AP241="","Entity type missing; ","")&amp;IF(AND(AN241&lt;&gt;"",COUNTIF($AN$6:$AN$1005,AN241)&gt;1),"GSTIN repeated in this sheet; ","")&amp;IF(AND(AG241&lt;&gt;"",COUNTIF($AG$6:$AG$1005,AG241)&gt;1),"PAN repeated in this sheet (same client? put extra GSTINs in Other GSTINs); ","")&amp;IF(AND(AR241&gt;0,V241=""),"Financial year missing; ","")&amp;IF(AND(AR241=0,V241&lt;&gt;""),"Financial year given but no service is Yes; ","")&amp;IF(AND(W241="Yes",AN241=""),"GST needs a GSTIN; ","")&amp;IF(AND(W241="Yes",X241=""),"GST return frequency missing; ","")&amp;IF(AND(Y241="Yes",TRIM(H241)=""),"TDS needs a TAN; ","")&amp;IF(AND(AA241="Yes",AQ241&lt;&gt;"",AQ241&lt;&gt;"company",AQ241&lt;&gt;"llp"),"ROC is only for a company / LLP; ","")&amp;IF(AND(AA241="Yes",OR(AQ241="company",AQ241="llp"),TRIM(I241)=""),"ROC needs the CIN / LLPIN; ","")</f>
        <v/>
      </c>
    </row>
    <row r="242">
      <c r="A242" s="30" t="n"/>
      <c r="B242" s="31" t="n"/>
      <c r="C242" s="31" t="n"/>
      <c r="D242" s="31" t="n"/>
      <c r="E242" s="30" t="n"/>
      <c r="F242" s="30" t="n"/>
      <c r="G242" s="30" t="n"/>
      <c r="H242" s="30" t="n"/>
      <c r="I242" s="30" t="n"/>
      <c r="J242" s="32" t="n"/>
      <c r="K242" s="31" t="n"/>
      <c r="L242" s="30" t="n"/>
      <c r="M242" s="31" t="n"/>
      <c r="N242" s="31" t="n"/>
      <c r="O242" s="31" t="n"/>
      <c r="P242" s="30" t="n"/>
      <c r="Q242" s="31" t="n"/>
      <c r="R242" s="31" t="n"/>
      <c r="S242" s="31" t="n"/>
      <c r="T242" s="31" t="n"/>
      <c r="U242" s="30" t="n"/>
      <c r="V242" s="31" t="n"/>
      <c r="W242" s="31" t="n"/>
      <c r="X242" s="31" t="n"/>
      <c r="Y242" s="31" t="n"/>
      <c r="Z242" s="31" t="n"/>
      <c r="AA242" s="31" t="n"/>
      <c r="AB242" s="31" t="n"/>
      <c r="AC242" s="31" t="n"/>
      <c r="AD242" s="31" t="n"/>
      <c r="AE242" s="31" t="n"/>
      <c r="AF242" s="27">
        <f>IF(NOT(COUNTA(A242:AE242)&gt;0),"",IF(A242="","New client","Update"))</f>
        <v/>
      </c>
      <c r="AG242" s="27">
        <f>IF(AO242&lt;&gt;"",AO242,IF(LEN(AN242)=15,MID(AN242,3,10),""))</f>
        <v/>
      </c>
      <c r="AH242" s="27">
        <f>IF(AP242="","",AP242&amp;IF(D242="","  (guessed from PAN)",""))</f>
        <v/>
      </c>
      <c r="AI242" s="27">
        <f>IF(AN242="","",IFERROR(INDEX(Lists!$L$2:$L$38,MATCH(LEFT(AN242,2),Lists!$K$2:$K$38,0)),"Unknown code"))</f>
        <v/>
      </c>
      <c r="AJ242" s="27">
        <f>IF(AN242="","",IFERROR(IF(NOT(AND(LEN(AN242)=15,ISNUMBER(MATCH(LEFT(AN242,2),Lists!$K$2:$K$38,0)),SUMPRODUCT(--ISERROR(FIND(MID(MID(AN242,3,10),{1,2,3,4,5,10},1),"ABCDEFGHIJKLMNOPQRSTUVWXYZ")))=0,SUMPRODUCT(--ISERROR(FIND(MID(MID(AN242,3,10),{6,7,8,9},1),"0123456789")))=0,ISNUMBER(FIND(MID(AN242,13,1),"123456789ABCDEFGHIJKLMNOPQRSTUVWXYZ")),MID(AN242,14,1)="Z")),"Wrong format",IF(MID("0123456789ABCDEFGHIJKLMNOPQRSTUVWXYZ",MOD(36-MOD(SUMPRODUCT(INT((FIND(MID(AN242,{1,2,3,4,5,6,7,8,9,10,11,12,13,14},1),"0123456789ABCDEFGHIJKLMNOPQRSTUVWXYZ")-1)*{1,2,1,2,1,2,1,2,1,2,1,2,1,2}/36)+MOD((FIND(MID(AN242,{1,2,3,4,5,6,7,8,9,10,11,12,13,14},1),"0123456789ABCDEFGHIJKLMNOPQRSTUVWXYZ")-1)*{1,2,1,2,1,2,1,2,1,2,1,2,1,2},36)),36),36)+1,1)=MID(AN242,15,1),"OK","Typo? check digit wrong")),"Wrong format"))</f>
        <v/>
      </c>
      <c r="AK242" s="27">
        <f>IF(AO242="","",IF(AND(LEN(AO242)=10,SUMPRODUCT(--ISERROR(FIND(MID(AO242,{1,2,3,4,5,10},1),"ABCDEFGHIJKLMNOPQRSTUVWXYZ")))=0,SUMPRODUCT(--ISERROR(FIND(MID(AO242,{6,7,8,9},1),"0123456789")))=0),"OK","Wrong format"))</f>
        <v/>
      </c>
      <c r="AL242" s="27">
        <f>IF(TRIM(H242)="","",IF(AND(LEN(UPPER(TRIM(H242)))=10,SUMPRODUCT(--ISERROR(FIND(MID(UPPER(TRIM(H242)),{1,2,3,4,10},1),"ABCDEFGHIJKLMNOPQRSTUVWXYZ")))=0,SUMPRODUCT(--ISERROR(FIND(MID(UPPER(TRIM(H242)),{5,6,7,8,9},1),"0123456789")))=0),"OK","Wrong format"))</f>
        <v/>
      </c>
      <c r="AM242" s="28">
        <f>IF(NOT(COUNTA(A242:AE242)&gt;0),"",IF(AS242&lt;&gt;"","✖ "&amp;LEFT(AS242,LEN(AS242)-2),IF(AR242&gt;0,"✔ Ready — client + "&amp;AR242&amp;" service(s)","✔ Ready — client only")))</f>
        <v/>
      </c>
      <c r="AN242" s="29">
        <f>UPPER(SUBSTITUTE(TRIM(F242)," ",""))</f>
        <v/>
      </c>
      <c r="AO242" s="29">
        <f>UPPER(SUBSTITUTE(TRIM(E242)," ",""))</f>
        <v/>
      </c>
      <c r="AP242" s="29">
        <f>IF(D242&lt;&gt;"",D242,IFERROR(VLOOKUP(MID(AG242,4,1),Lists!$E$2:$F$8,2,FALSE),""))</f>
        <v/>
      </c>
      <c r="AQ242" s="29">
        <f>IFERROR(VLOOKUP(AP242,Lists!$A$2:$C$12,3,FALSE),"")</f>
        <v/>
      </c>
      <c r="AR242" s="29">
        <f>COUNTIF(W242:AC242,"Yes")</f>
        <v/>
      </c>
      <c r="AS242" s="29">
        <f>IF(TRIM(B242)="","Legal name missing; ","")&amp;IF(AND(AJ242&lt;&gt;"",AJ242&lt;&gt;"OK"),"GSTIN: "&amp;AJ242&amp;"; ","")&amp;IF(AND(AK242&lt;&gt;"",AK242&lt;&gt;"OK"),"PAN wrong format; ","")&amp;IF(AND(AO242&lt;&gt;"",LEN(AN242)=15,MID(AN242,3,10)&lt;&gt;AO242),"PAN does not match GSTIN; ","")&amp;IF(AND(AL242&lt;&gt;"",AL242&lt;&gt;"OK"),"TAN wrong format; ","")&amp;IF(AG242="","PAN missing; ","")&amp;IF(AP242="","Entity type missing; ","")&amp;IF(AND(AN242&lt;&gt;"",COUNTIF($AN$6:$AN$1005,AN242)&gt;1),"GSTIN repeated in this sheet; ","")&amp;IF(AND(AG242&lt;&gt;"",COUNTIF($AG$6:$AG$1005,AG242)&gt;1),"PAN repeated in this sheet (same client? put extra GSTINs in Other GSTINs); ","")&amp;IF(AND(AR242&gt;0,V242=""),"Financial year missing; ","")&amp;IF(AND(AR242=0,V242&lt;&gt;""),"Financial year given but no service is Yes; ","")&amp;IF(AND(W242="Yes",AN242=""),"GST needs a GSTIN; ","")&amp;IF(AND(W242="Yes",X242=""),"GST return frequency missing; ","")&amp;IF(AND(Y242="Yes",TRIM(H242)=""),"TDS needs a TAN; ","")&amp;IF(AND(AA242="Yes",AQ242&lt;&gt;"",AQ242&lt;&gt;"company",AQ242&lt;&gt;"llp"),"ROC is only for a company / LLP; ","")&amp;IF(AND(AA242="Yes",OR(AQ242="company",AQ242="llp"),TRIM(I242)=""),"ROC needs the CIN / LLPIN; ","")</f>
        <v/>
      </c>
    </row>
    <row r="243">
      <c r="A243" s="30" t="n"/>
      <c r="B243" s="31" t="n"/>
      <c r="C243" s="31" t="n"/>
      <c r="D243" s="31" t="n"/>
      <c r="E243" s="30" t="n"/>
      <c r="F243" s="30" t="n"/>
      <c r="G243" s="30" t="n"/>
      <c r="H243" s="30" t="n"/>
      <c r="I243" s="30" t="n"/>
      <c r="J243" s="32" t="n"/>
      <c r="K243" s="31" t="n"/>
      <c r="L243" s="30" t="n"/>
      <c r="M243" s="31" t="n"/>
      <c r="N243" s="31" t="n"/>
      <c r="O243" s="31" t="n"/>
      <c r="P243" s="30" t="n"/>
      <c r="Q243" s="31" t="n"/>
      <c r="R243" s="31" t="n"/>
      <c r="S243" s="31" t="n"/>
      <c r="T243" s="31" t="n"/>
      <c r="U243" s="30" t="n"/>
      <c r="V243" s="31" t="n"/>
      <c r="W243" s="31" t="n"/>
      <c r="X243" s="31" t="n"/>
      <c r="Y243" s="31" t="n"/>
      <c r="Z243" s="31" t="n"/>
      <c r="AA243" s="31" t="n"/>
      <c r="AB243" s="31" t="n"/>
      <c r="AC243" s="31" t="n"/>
      <c r="AD243" s="31" t="n"/>
      <c r="AE243" s="31" t="n"/>
      <c r="AF243" s="27">
        <f>IF(NOT(COUNTA(A243:AE243)&gt;0),"",IF(A243="","New client","Update"))</f>
        <v/>
      </c>
      <c r="AG243" s="27">
        <f>IF(AO243&lt;&gt;"",AO243,IF(LEN(AN243)=15,MID(AN243,3,10),""))</f>
        <v/>
      </c>
      <c r="AH243" s="27">
        <f>IF(AP243="","",AP243&amp;IF(D243="","  (guessed from PAN)",""))</f>
        <v/>
      </c>
      <c r="AI243" s="27">
        <f>IF(AN243="","",IFERROR(INDEX(Lists!$L$2:$L$38,MATCH(LEFT(AN243,2),Lists!$K$2:$K$38,0)),"Unknown code"))</f>
        <v/>
      </c>
      <c r="AJ243" s="27">
        <f>IF(AN243="","",IFERROR(IF(NOT(AND(LEN(AN243)=15,ISNUMBER(MATCH(LEFT(AN243,2),Lists!$K$2:$K$38,0)),SUMPRODUCT(--ISERROR(FIND(MID(MID(AN243,3,10),{1,2,3,4,5,10},1),"ABCDEFGHIJKLMNOPQRSTUVWXYZ")))=0,SUMPRODUCT(--ISERROR(FIND(MID(MID(AN243,3,10),{6,7,8,9},1),"0123456789")))=0,ISNUMBER(FIND(MID(AN243,13,1),"123456789ABCDEFGHIJKLMNOPQRSTUVWXYZ")),MID(AN243,14,1)="Z")),"Wrong format",IF(MID("0123456789ABCDEFGHIJKLMNOPQRSTUVWXYZ",MOD(36-MOD(SUMPRODUCT(INT((FIND(MID(AN243,{1,2,3,4,5,6,7,8,9,10,11,12,13,14},1),"0123456789ABCDEFGHIJKLMNOPQRSTUVWXYZ")-1)*{1,2,1,2,1,2,1,2,1,2,1,2,1,2}/36)+MOD((FIND(MID(AN243,{1,2,3,4,5,6,7,8,9,10,11,12,13,14},1),"0123456789ABCDEFGHIJKLMNOPQRSTUVWXYZ")-1)*{1,2,1,2,1,2,1,2,1,2,1,2,1,2},36)),36),36)+1,1)=MID(AN243,15,1),"OK","Typo? check digit wrong")),"Wrong format"))</f>
        <v/>
      </c>
      <c r="AK243" s="27">
        <f>IF(AO243="","",IF(AND(LEN(AO243)=10,SUMPRODUCT(--ISERROR(FIND(MID(AO243,{1,2,3,4,5,10},1),"ABCDEFGHIJKLMNOPQRSTUVWXYZ")))=0,SUMPRODUCT(--ISERROR(FIND(MID(AO243,{6,7,8,9},1),"0123456789")))=0),"OK","Wrong format"))</f>
        <v/>
      </c>
      <c r="AL243" s="27">
        <f>IF(TRIM(H243)="","",IF(AND(LEN(UPPER(TRIM(H243)))=10,SUMPRODUCT(--ISERROR(FIND(MID(UPPER(TRIM(H243)),{1,2,3,4,10},1),"ABCDEFGHIJKLMNOPQRSTUVWXYZ")))=0,SUMPRODUCT(--ISERROR(FIND(MID(UPPER(TRIM(H243)),{5,6,7,8,9},1),"0123456789")))=0),"OK","Wrong format"))</f>
        <v/>
      </c>
      <c r="AM243" s="28">
        <f>IF(NOT(COUNTA(A243:AE243)&gt;0),"",IF(AS243&lt;&gt;"","✖ "&amp;LEFT(AS243,LEN(AS243)-2),IF(AR243&gt;0,"✔ Ready — client + "&amp;AR243&amp;" service(s)","✔ Ready — client only")))</f>
        <v/>
      </c>
      <c r="AN243" s="29">
        <f>UPPER(SUBSTITUTE(TRIM(F243)," ",""))</f>
        <v/>
      </c>
      <c r="AO243" s="29">
        <f>UPPER(SUBSTITUTE(TRIM(E243)," ",""))</f>
        <v/>
      </c>
      <c r="AP243" s="29">
        <f>IF(D243&lt;&gt;"",D243,IFERROR(VLOOKUP(MID(AG243,4,1),Lists!$E$2:$F$8,2,FALSE),""))</f>
        <v/>
      </c>
      <c r="AQ243" s="29">
        <f>IFERROR(VLOOKUP(AP243,Lists!$A$2:$C$12,3,FALSE),"")</f>
        <v/>
      </c>
      <c r="AR243" s="29">
        <f>COUNTIF(W243:AC243,"Yes")</f>
        <v/>
      </c>
      <c r="AS243" s="29">
        <f>IF(TRIM(B243)="","Legal name missing; ","")&amp;IF(AND(AJ243&lt;&gt;"",AJ243&lt;&gt;"OK"),"GSTIN: "&amp;AJ243&amp;"; ","")&amp;IF(AND(AK243&lt;&gt;"",AK243&lt;&gt;"OK"),"PAN wrong format; ","")&amp;IF(AND(AO243&lt;&gt;"",LEN(AN243)=15,MID(AN243,3,10)&lt;&gt;AO243),"PAN does not match GSTIN; ","")&amp;IF(AND(AL243&lt;&gt;"",AL243&lt;&gt;"OK"),"TAN wrong format; ","")&amp;IF(AG243="","PAN missing; ","")&amp;IF(AP243="","Entity type missing; ","")&amp;IF(AND(AN243&lt;&gt;"",COUNTIF($AN$6:$AN$1005,AN243)&gt;1),"GSTIN repeated in this sheet; ","")&amp;IF(AND(AG243&lt;&gt;"",COUNTIF($AG$6:$AG$1005,AG243)&gt;1),"PAN repeated in this sheet (same client? put extra GSTINs in Other GSTINs); ","")&amp;IF(AND(AR243&gt;0,V243=""),"Financial year missing; ","")&amp;IF(AND(AR243=0,V243&lt;&gt;""),"Financial year given but no service is Yes; ","")&amp;IF(AND(W243="Yes",AN243=""),"GST needs a GSTIN; ","")&amp;IF(AND(W243="Yes",X243=""),"GST return frequency missing; ","")&amp;IF(AND(Y243="Yes",TRIM(H243)=""),"TDS needs a TAN; ","")&amp;IF(AND(AA243="Yes",AQ243&lt;&gt;"",AQ243&lt;&gt;"company",AQ243&lt;&gt;"llp"),"ROC is only for a company / LLP; ","")&amp;IF(AND(AA243="Yes",OR(AQ243="company",AQ243="llp"),TRIM(I243)=""),"ROC needs the CIN / LLPIN; ","")</f>
        <v/>
      </c>
    </row>
    <row r="244">
      <c r="A244" s="30" t="n"/>
      <c r="B244" s="31" t="n"/>
      <c r="C244" s="31" t="n"/>
      <c r="D244" s="31" t="n"/>
      <c r="E244" s="30" t="n"/>
      <c r="F244" s="30" t="n"/>
      <c r="G244" s="30" t="n"/>
      <c r="H244" s="30" t="n"/>
      <c r="I244" s="30" t="n"/>
      <c r="J244" s="32" t="n"/>
      <c r="K244" s="31" t="n"/>
      <c r="L244" s="30" t="n"/>
      <c r="M244" s="31" t="n"/>
      <c r="N244" s="31" t="n"/>
      <c r="O244" s="31" t="n"/>
      <c r="P244" s="30" t="n"/>
      <c r="Q244" s="31" t="n"/>
      <c r="R244" s="31" t="n"/>
      <c r="S244" s="31" t="n"/>
      <c r="T244" s="31" t="n"/>
      <c r="U244" s="30" t="n"/>
      <c r="V244" s="31" t="n"/>
      <c r="W244" s="31" t="n"/>
      <c r="X244" s="31" t="n"/>
      <c r="Y244" s="31" t="n"/>
      <c r="Z244" s="31" t="n"/>
      <c r="AA244" s="31" t="n"/>
      <c r="AB244" s="31" t="n"/>
      <c r="AC244" s="31" t="n"/>
      <c r="AD244" s="31" t="n"/>
      <c r="AE244" s="31" t="n"/>
      <c r="AF244" s="27">
        <f>IF(NOT(COUNTA(A244:AE244)&gt;0),"",IF(A244="","New client","Update"))</f>
        <v/>
      </c>
      <c r="AG244" s="27">
        <f>IF(AO244&lt;&gt;"",AO244,IF(LEN(AN244)=15,MID(AN244,3,10),""))</f>
        <v/>
      </c>
      <c r="AH244" s="27">
        <f>IF(AP244="","",AP244&amp;IF(D244="","  (guessed from PAN)",""))</f>
        <v/>
      </c>
      <c r="AI244" s="27">
        <f>IF(AN244="","",IFERROR(INDEX(Lists!$L$2:$L$38,MATCH(LEFT(AN244,2),Lists!$K$2:$K$38,0)),"Unknown code"))</f>
        <v/>
      </c>
      <c r="AJ244" s="27">
        <f>IF(AN244="","",IFERROR(IF(NOT(AND(LEN(AN244)=15,ISNUMBER(MATCH(LEFT(AN244,2),Lists!$K$2:$K$38,0)),SUMPRODUCT(--ISERROR(FIND(MID(MID(AN244,3,10),{1,2,3,4,5,10},1),"ABCDEFGHIJKLMNOPQRSTUVWXYZ")))=0,SUMPRODUCT(--ISERROR(FIND(MID(MID(AN244,3,10),{6,7,8,9},1),"0123456789")))=0,ISNUMBER(FIND(MID(AN244,13,1),"123456789ABCDEFGHIJKLMNOPQRSTUVWXYZ")),MID(AN244,14,1)="Z")),"Wrong format",IF(MID("0123456789ABCDEFGHIJKLMNOPQRSTUVWXYZ",MOD(36-MOD(SUMPRODUCT(INT((FIND(MID(AN244,{1,2,3,4,5,6,7,8,9,10,11,12,13,14},1),"0123456789ABCDEFGHIJKLMNOPQRSTUVWXYZ")-1)*{1,2,1,2,1,2,1,2,1,2,1,2,1,2}/36)+MOD((FIND(MID(AN244,{1,2,3,4,5,6,7,8,9,10,11,12,13,14},1),"0123456789ABCDEFGHIJKLMNOPQRSTUVWXYZ")-1)*{1,2,1,2,1,2,1,2,1,2,1,2,1,2},36)),36),36)+1,1)=MID(AN244,15,1),"OK","Typo? check digit wrong")),"Wrong format"))</f>
        <v/>
      </c>
      <c r="AK244" s="27">
        <f>IF(AO244="","",IF(AND(LEN(AO244)=10,SUMPRODUCT(--ISERROR(FIND(MID(AO244,{1,2,3,4,5,10},1),"ABCDEFGHIJKLMNOPQRSTUVWXYZ")))=0,SUMPRODUCT(--ISERROR(FIND(MID(AO244,{6,7,8,9},1),"0123456789")))=0),"OK","Wrong format"))</f>
        <v/>
      </c>
      <c r="AL244" s="27">
        <f>IF(TRIM(H244)="","",IF(AND(LEN(UPPER(TRIM(H244)))=10,SUMPRODUCT(--ISERROR(FIND(MID(UPPER(TRIM(H244)),{1,2,3,4,10},1),"ABCDEFGHIJKLMNOPQRSTUVWXYZ")))=0,SUMPRODUCT(--ISERROR(FIND(MID(UPPER(TRIM(H244)),{5,6,7,8,9},1),"0123456789")))=0),"OK","Wrong format"))</f>
        <v/>
      </c>
      <c r="AM244" s="28">
        <f>IF(NOT(COUNTA(A244:AE244)&gt;0),"",IF(AS244&lt;&gt;"","✖ "&amp;LEFT(AS244,LEN(AS244)-2),IF(AR244&gt;0,"✔ Ready — client + "&amp;AR244&amp;" service(s)","✔ Ready — client only")))</f>
        <v/>
      </c>
      <c r="AN244" s="29">
        <f>UPPER(SUBSTITUTE(TRIM(F244)," ",""))</f>
        <v/>
      </c>
      <c r="AO244" s="29">
        <f>UPPER(SUBSTITUTE(TRIM(E244)," ",""))</f>
        <v/>
      </c>
      <c r="AP244" s="29">
        <f>IF(D244&lt;&gt;"",D244,IFERROR(VLOOKUP(MID(AG244,4,1),Lists!$E$2:$F$8,2,FALSE),""))</f>
        <v/>
      </c>
      <c r="AQ244" s="29">
        <f>IFERROR(VLOOKUP(AP244,Lists!$A$2:$C$12,3,FALSE),"")</f>
        <v/>
      </c>
      <c r="AR244" s="29">
        <f>COUNTIF(W244:AC244,"Yes")</f>
        <v/>
      </c>
      <c r="AS244" s="29">
        <f>IF(TRIM(B244)="","Legal name missing; ","")&amp;IF(AND(AJ244&lt;&gt;"",AJ244&lt;&gt;"OK"),"GSTIN: "&amp;AJ244&amp;"; ","")&amp;IF(AND(AK244&lt;&gt;"",AK244&lt;&gt;"OK"),"PAN wrong format; ","")&amp;IF(AND(AO244&lt;&gt;"",LEN(AN244)=15,MID(AN244,3,10)&lt;&gt;AO244),"PAN does not match GSTIN; ","")&amp;IF(AND(AL244&lt;&gt;"",AL244&lt;&gt;"OK"),"TAN wrong format; ","")&amp;IF(AG244="","PAN missing; ","")&amp;IF(AP244="","Entity type missing; ","")&amp;IF(AND(AN244&lt;&gt;"",COUNTIF($AN$6:$AN$1005,AN244)&gt;1),"GSTIN repeated in this sheet; ","")&amp;IF(AND(AG244&lt;&gt;"",COUNTIF($AG$6:$AG$1005,AG244)&gt;1),"PAN repeated in this sheet (same client? put extra GSTINs in Other GSTINs); ","")&amp;IF(AND(AR244&gt;0,V244=""),"Financial year missing; ","")&amp;IF(AND(AR244=0,V244&lt;&gt;""),"Financial year given but no service is Yes; ","")&amp;IF(AND(W244="Yes",AN244=""),"GST needs a GSTIN; ","")&amp;IF(AND(W244="Yes",X244=""),"GST return frequency missing; ","")&amp;IF(AND(Y244="Yes",TRIM(H244)=""),"TDS needs a TAN; ","")&amp;IF(AND(AA244="Yes",AQ244&lt;&gt;"",AQ244&lt;&gt;"company",AQ244&lt;&gt;"llp"),"ROC is only for a company / LLP; ","")&amp;IF(AND(AA244="Yes",OR(AQ244="company",AQ244="llp"),TRIM(I244)=""),"ROC needs the CIN / LLPIN; ","")</f>
        <v/>
      </c>
    </row>
    <row r="245">
      <c r="A245" s="30" t="n"/>
      <c r="B245" s="31" t="n"/>
      <c r="C245" s="31" t="n"/>
      <c r="D245" s="31" t="n"/>
      <c r="E245" s="30" t="n"/>
      <c r="F245" s="30" t="n"/>
      <c r="G245" s="30" t="n"/>
      <c r="H245" s="30" t="n"/>
      <c r="I245" s="30" t="n"/>
      <c r="J245" s="32" t="n"/>
      <c r="K245" s="31" t="n"/>
      <c r="L245" s="30" t="n"/>
      <c r="M245" s="31" t="n"/>
      <c r="N245" s="31" t="n"/>
      <c r="O245" s="31" t="n"/>
      <c r="P245" s="30" t="n"/>
      <c r="Q245" s="31" t="n"/>
      <c r="R245" s="31" t="n"/>
      <c r="S245" s="31" t="n"/>
      <c r="T245" s="31" t="n"/>
      <c r="U245" s="30" t="n"/>
      <c r="V245" s="31" t="n"/>
      <c r="W245" s="31" t="n"/>
      <c r="X245" s="31" t="n"/>
      <c r="Y245" s="31" t="n"/>
      <c r="Z245" s="31" t="n"/>
      <c r="AA245" s="31" t="n"/>
      <c r="AB245" s="31" t="n"/>
      <c r="AC245" s="31" t="n"/>
      <c r="AD245" s="31" t="n"/>
      <c r="AE245" s="31" t="n"/>
      <c r="AF245" s="27">
        <f>IF(NOT(COUNTA(A245:AE245)&gt;0),"",IF(A245="","New client","Update"))</f>
        <v/>
      </c>
      <c r="AG245" s="27">
        <f>IF(AO245&lt;&gt;"",AO245,IF(LEN(AN245)=15,MID(AN245,3,10),""))</f>
        <v/>
      </c>
      <c r="AH245" s="27">
        <f>IF(AP245="","",AP245&amp;IF(D245="","  (guessed from PAN)",""))</f>
        <v/>
      </c>
      <c r="AI245" s="27">
        <f>IF(AN245="","",IFERROR(INDEX(Lists!$L$2:$L$38,MATCH(LEFT(AN245,2),Lists!$K$2:$K$38,0)),"Unknown code"))</f>
        <v/>
      </c>
      <c r="AJ245" s="27">
        <f>IF(AN245="","",IFERROR(IF(NOT(AND(LEN(AN245)=15,ISNUMBER(MATCH(LEFT(AN245,2),Lists!$K$2:$K$38,0)),SUMPRODUCT(--ISERROR(FIND(MID(MID(AN245,3,10),{1,2,3,4,5,10},1),"ABCDEFGHIJKLMNOPQRSTUVWXYZ")))=0,SUMPRODUCT(--ISERROR(FIND(MID(MID(AN245,3,10),{6,7,8,9},1),"0123456789")))=0,ISNUMBER(FIND(MID(AN245,13,1),"123456789ABCDEFGHIJKLMNOPQRSTUVWXYZ")),MID(AN245,14,1)="Z")),"Wrong format",IF(MID("0123456789ABCDEFGHIJKLMNOPQRSTUVWXYZ",MOD(36-MOD(SUMPRODUCT(INT((FIND(MID(AN245,{1,2,3,4,5,6,7,8,9,10,11,12,13,14},1),"0123456789ABCDEFGHIJKLMNOPQRSTUVWXYZ")-1)*{1,2,1,2,1,2,1,2,1,2,1,2,1,2}/36)+MOD((FIND(MID(AN245,{1,2,3,4,5,6,7,8,9,10,11,12,13,14},1),"0123456789ABCDEFGHIJKLMNOPQRSTUVWXYZ")-1)*{1,2,1,2,1,2,1,2,1,2,1,2,1,2},36)),36),36)+1,1)=MID(AN245,15,1),"OK","Typo? check digit wrong")),"Wrong format"))</f>
        <v/>
      </c>
      <c r="AK245" s="27">
        <f>IF(AO245="","",IF(AND(LEN(AO245)=10,SUMPRODUCT(--ISERROR(FIND(MID(AO245,{1,2,3,4,5,10},1),"ABCDEFGHIJKLMNOPQRSTUVWXYZ")))=0,SUMPRODUCT(--ISERROR(FIND(MID(AO245,{6,7,8,9},1),"0123456789")))=0),"OK","Wrong format"))</f>
        <v/>
      </c>
      <c r="AL245" s="27">
        <f>IF(TRIM(H245)="","",IF(AND(LEN(UPPER(TRIM(H245)))=10,SUMPRODUCT(--ISERROR(FIND(MID(UPPER(TRIM(H245)),{1,2,3,4,10},1),"ABCDEFGHIJKLMNOPQRSTUVWXYZ")))=0,SUMPRODUCT(--ISERROR(FIND(MID(UPPER(TRIM(H245)),{5,6,7,8,9},1),"0123456789")))=0),"OK","Wrong format"))</f>
        <v/>
      </c>
      <c r="AM245" s="28">
        <f>IF(NOT(COUNTA(A245:AE245)&gt;0),"",IF(AS245&lt;&gt;"","✖ "&amp;LEFT(AS245,LEN(AS245)-2),IF(AR245&gt;0,"✔ Ready — client + "&amp;AR245&amp;" service(s)","✔ Ready — client only")))</f>
        <v/>
      </c>
      <c r="AN245" s="29">
        <f>UPPER(SUBSTITUTE(TRIM(F245)," ",""))</f>
        <v/>
      </c>
      <c r="AO245" s="29">
        <f>UPPER(SUBSTITUTE(TRIM(E245)," ",""))</f>
        <v/>
      </c>
      <c r="AP245" s="29">
        <f>IF(D245&lt;&gt;"",D245,IFERROR(VLOOKUP(MID(AG245,4,1),Lists!$E$2:$F$8,2,FALSE),""))</f>
        <v/>
      </c>
      <c r="AQ245" s="29">
        <f>IFERROR(VLOOKUP(AP245,Lists!$A$2:$C$12,3,FALSE),"")</f>
        <v/>
      </c>
      <c r="AR245" s="29">
        <f>COUNTIF(W245:AC245,"Yes")</f>
        <v/>
      </c>
      <c r="AS245" s="29">
        <f>IF(TRIM(B245)="","Legal name missing; ","")&amp;IF(AND(AJ245&lt;&gt;"",AJ245&lt;&gt;"OK"),"GSTIN: "&amp;AJ245&amp;"; ","")&amp;IF(AND(AK245&lt;&gt;"",AK245&lt;&gt;"OK"),"PAN wrong format; ","")&amp;IF(AND(AO245&lt;&gt;"",LEN(AN245)=15,MID(AN245,3,10)&lt;&gt;AO245),"PAN does not match GSTIN; ","")&amp;IF(AND(AL245&lt;&gt;"",AL245&lt;&gt;"OK"),"TAN wrong format; ","")&amp;IF(AG245="","PAN missing; ","")&amp;IF(AP245="","Entity type missing; ","")&amp;IF(AND(AN245&lt;&gt;"",COUNTIF($AN$6:$AN$1005,AN245)&gt;1),"GSTIN repeated in this sheet; ","")&amp;IF(AND(AG245&lt;&gt;"",COUNTIF($AG$6:$AG$1005,AG245)&gt;1),"PAN repeated in this sheet (same client? put extra GSTINs in Other GSTINs); ","")&amp;IF(AND(AR245&gt;0,V245=""),"Financial year missing; ","")&amp;IF(AND(AR245=0,V245&lt;&gt;""),"Financial year given but no service is Yes; ","")&amp;IF(AND(W245="Yes",AN245=""),"GST needs a GSTIN; ","")&amp;IF(AND(W245="Yes",X245=""),"GST return frequency missing; ","")&amp;IF(AND(Y245="Yes",TRIM(H245)=""),"TDS needs a TAN; ","")&amp;IF(AND(AA245="Yes",AQ245&lt;&gt;"",AQ245&lt;&gt;"company",AQ245&lt;&gt;"llp"),"ROC is only for a company / LLP; ","")&amp;IF(AND(AA245="Yes",OR(AQ245="company",AQ245="llp"),TRIM(I245)=""),"ROC needs the CIN / LLPIN; ","")</f>
        <v/>
      </c>
    </row>
    <row r="246">
      <c r="A246" s="30" t="n"/>
      <c r="B246" s="31" t="n"/>
      <c r="C246" s="31" t="n"/>
      <c r="D246" s="31" t="n"/>
      <c r="E246" s="30" t="n"/>
      <c r="F246" s="30" t="n"/>
      <c r="G246" s="30" t="n"/>
      <c r="H246" s="30" t="n"/>
      <c r="I246" s="30" t="n"/>
      <c r="J246" s="32" t="n"/>
      <c r="K246" s="31" t="n"/>
      <c r="L246" s="30" t="n"/>
      <c r="M246" s="31" t="n"/>
      <c r="N246" s="31" t="n"/>
      <c r="O246" s="31" t="n"/>
      <c r="P246" s="30" t="n"/>
      <c r="Q246" s="31" t="n"/>
      <c r="R246" s="31" t="n"/>
      <c r="S246" s="31" t="n"/>
      <c r="T246" s="31" t="n"/>
      <c r="U246" s="30" t="n"/>
      <c r="V246" s="31" t="n"/>
      <c r="W246" s="31" t="n"/>
      <c r="X246" s="31" t="n"/>
      <c r="Y246" s="31" t="n"/>
      <c r="Z246" s="31" t="n"/>
      <c r="AA246" s="31" t="n"/>
      <c r="AB246" s="31" t="n"/>
      <c r="AC246" s="31" t="n"/>
      <c r="AD246" s="31" t="n"/>
      <c r="AE246" s="31" t="n"/>
      <c r="AF246" s="27">
        <f>IF(NOT(COUNTA(A246:AE246)&gt;0),"",IF(A246="","New client","Update"))</f>
        <v/>
      </c>
      <c r="AG246" s="27">
        <f>IF(AO246&lt;&gt;"",AO246,IF(LEN(AN246)=15,MID(AN246,3,10),""))</f>
        <v/>
      </c>
      <c r="AH246" s="27">
        <f>IF(AP246="","",AP246&amp;IF(D246="","  (guessed from PAN)",""))</f>
        <v/>
      </c>
      <c r="AI246" s="27">
        <f>IF(AN246="","",IFERROR(INDEX(Lists!$L$2:$L$38,MATCH(LEFT(AN246,2),Lists!$K$2:$K$38,0)),"Unknown code"))</f>
        <v/>
      </c>
      <c r="AJ246" s="27">
        <f>IF(AN246="","",IFERROR(IF(NOT(AND(LEN(AN246)=15,ISNUMBER(MATCH(LEFT(AN246,2),Lists!$K$2:$K$38,0)),SUMPRODUCT(--ISERROR(FIND(MID(MID(AN246,3,10),{1,2,3,4,5,10},1),"ABCDEFGHIJKLMNOPQRSTUVWXYZ")))=0,SUMPRODUCT(--ISERROR(FIND(MID(MID(AN246,3,10),{6,7,8,9},1),"0123456789")))=0,ISNUMBER(FIND(MID(AN246,13,1),"123456789ABCDEFGHIJKLMNOPQRSTUVWXYZ")),MID(AN246,14,1)="Z")),"Wrong format",IF(MID("0123456789ABCDEFGHIJKLMNOPQRSTUVWXYZ",MOD(36-MOD(SUMPRODUCT(INT((FIND(MID(AN246,{1,2,3,4,5,6,7,8,9,10,11,12,13,14},1),"0123456789ABCDEFGHIJKLMNOPQRSTUVWXYZ")-1)*{1,2,1,2,1,2,1,2,1,2,1,2,1,2}/36)+MOD((FIND(MID(AN246,{1,2,3,4,5,6,7,8,9,10,11,12,13,14},1),"0123456789ABCDEFGHIJKLMNOPQRSTUVWXYZ")-1)*{1,2,1,2,1,2,1,2,1,2,1,2,1,2},36)),36),36)+1,1)=MID(AN246,15,1),"OK","Typo? check digit wrong")),"Wrong format"))</f>
        <v/>
      </c>
      <c r="AK246" s="27">
        <f>IF(AO246="","",IF(AND(LEN(AO246)=10,SUMPRODUCT(--ISERROR(FIND(MID(AO246,{1,2,3,4,5,10},1),"ABCDEFGHIJKLMNOPQRSTUVWXYZ")))=0,SUMPRODUCT(--ISERROR(FIND(MID(AO246,{6,7,8,9},1),"0123456789")))=0),"OK","Wrong format"))</f>
        <v/>
      </c>
      <c r="AL246" s="27">
        <f>IF(TRIM(H246)="","",IF(AND(LEN(UPPER(TRIM(H246)))=10,SUMPRODUCT(--ISERROR(FIND(MID(UPPER(TRIM(H246)),{1,2,3,4,10},1),"ABCDEFGHIJKLMNOPQRSTUVWXYZ")))=0,SUMPRODUCT(--ISERROR(FIND(MID(UPPER(TRIM(H246)),{5,6,7,8,9},1),"0123456789")))=0),"OK","Wrong format"))</f>
        <v/>
      </c>
      <c r="AM246" s="28">
        <f>IF(NOT(COUNTA(A246:AE246)&gt;0),"",IF(AS246&lt;&gt;"","✖ "&amp;LEFT(AS246,LEN(AS246)-2),IF(AR246&gt;0,"✔ Ready — client + "&amp;AR246&amp;" service(s)","✔ Ready — client only")))</f>
        <v/>
      </c>
      <c r="AN246" s="29">
        <f>UPPER(SUBSTITUTE(TRIM(F246)," ",""))</f>
        <v/>
      </c>
      <c r="AO246" s="29">
        <f>UPPER(SUBSTITUTE(TRIM(E246)," ",""))</f>
        <v/>
      </c>
      <c r="AP246" s="29">
        <f>IF(D246&lt;&gt;"",D246,IFERROR(VLOOKUP(MID(AG246,4,1),Lists!$E$2:$F$8,2,FALSE),""))</f>
        <v/>
      </c>
      <c r="AQ246" s="29">
        <f>IFERROR(VLOOKUP(AP246,Lists!$A$2:$C$12,3,FALSE),"")</f>
        <v/>
      </c>
      <c r="AR246" s="29">
        <f>COUNTIF(W246:AC246,"Yes")</f>
        <v/>
      </c>
      <c r="AS246" s="29">
        <f>IF(TRIM(B246)="","Legal name missing; ","")&amp;IF(AND(AJ246&lt;&gt;"",AJ246&lt;&gt;"OK"),"GSTIN: "&amp;AJ246&amp;"; ","")&amp;IF(AND(AK246&lt;&gt;"",AK246&lt;&gt;"OK"),"PAN wrong format; ","")&amp;IF(AND(AO246&lt;&gt;"",LEN(AN246)=15,MID(AN246,3,10)&lt;&gt;AO246),"PAN does not match GSTIN; ","")&amp;IF(AND(AL246&lt;&gt;"",AL246&lt;&gt;"OK"),"TAN wrong format; ","")&amp;IF(AG246="","PAN missing; ","")&amp;IF(AP246="","Entity type missing; ","")&amp;IF(AND(AN246&lt;&gt;"",COUNTIF($AN$6:$AN$1005,AN246)&gt;1),"GSTIN repeated in this sheet; ","")&amp;IF(AND(AG246&lt;&gt;"",COUNTIF($AG$6:$AG$1005,AG246)&gt;1),"PAN repeated in this sheet (same client? put extra GSTINs in Other GSTINs); ","")&amp;IF(AND(AR246&gt;0,V246=""),"Financial year missing; ","")&amp;IF(AND(AR246=0,V246&lt;&gt;""),"Financial year given but no service is Yes; ","")&amp;IF(AND(W246="Yes",AN246=""),"GST needs a GSTIN; ","")&amp;IF(AND(W246="Yes",X246=""),"GST return frequency missing; ","")&amp;IF(AND(Y246="Yes",TRIM(H246)=""),"TDS needs a TAN; ","")&amp;IF(AND(AA246="Yes",AQ246&lt;&gt;"",AQ246&lt;&gt;"company",AQ246&lt;&gt;"llp"),"ROC is only for a company / LLP; ","")&amp;IF(AND(AA246="Yes",OR(AQ246="company",AQ246="llp"),TRIM(I246)=""),"ROC needs the CIN / LLPIN; ","")</f>
        <v/>
      </c>
    </row>
    <row r="247">
      <c r="A247" s="30" t="n"/>
      <c r="B247" s="31" t="n"/>
      <c r="C247" s="31" t="n"/>
      <c r="D247" s="31" t="n"/>
      <c r="E247" s="30" t="n"/>
      <c r="F247" s="30" t="n"/>
      <c r="G247" s="30" t="n"/>
      <c r="H247" s="30" t="n"/>
      <c r="I247" s="30" t="n"/>
      <c r="J247" s="32" t="n"/>
      <c r="K247" s="31" t="n"/>
      <c r="L247" s="30" t="n"/>
      <c r="M247" s="31" t="n"/>
      <c r="N247" s="31" t="n"/>
      <c r="O247" s="31" t="n"/>
      <c r="P247" s="30" t="n"/>
      <c r="Q247" s="31" t="n"/>
      <c r="R247" s="31" t="n"/>
      <c r="S247" s="31" t="n"/>
      <c r="T247" s="31" t="n"/>
      <c r="U247" s="30" t="n"/>
      <c r="V247" s="31" t="n"/>
      <c r="W247" s="31" t="n"/>
      <c r="X247" s="31" t="n"/>
      <c r="Y247" s="31" t="n"/>
      <c r="Z247" s="31" t="n"/>
      <c r="AA247" s="31" t="n"/>
      <c r="AB247" s="31" t="n"/>
      <c r="AC247" s="31" t="n"/>
      <c r="AD247" s="31" t="n"/>
      <c r="AE247" s="31" t="n"/>
      <c r="AF247" s="27">
        <f>IF(NOT(COUNTA(A247:AE247)&gt;0),"",IF(A247="","New client","Update"))</f>
        <v/>
      </c>
      <c r="AG247" s="27">
        <f>IF(AO247&lt;&gt;"",AO247,IF(LEN(AN247)=15,MID(AN247,3,10),""))</f>
        <v/>
      </c>
      <c r="AH247" s="27">
        <f>IF(AP247="","",AP247&amp;IF(D247="","  (guessed from PAN)",""))</f>
        <v/>
      </c>
      <c r="AI247" s="27">
        <f>IF(AN247="","",IFERROR(INDEX(Lists!$L$2:$L$38,MATCH(LEFT(AN247,2),Lists!$K$2:$K$38,0)),"Unknown code"))</f>
        <v/>
      </c>
      <c r="AJ247" s="27">
        <f>IF(AN247="","",IFERROR(IF(NOT(AND(LEN(AN247)=15,ISNUMBER(MATCH(LEFT(AN247,2),Lists!$K$2:$K$38,0)),SUMPRODUCT(--ISERROR(FIND(MID(MID(AN247,3,10),{1,2,3,4,5,10},1),"ABCDEFGHIJKLMNOPQRSTUVWXYZ")))=0,SUMPRODUCT(--ISERROR(FIND(MID(MID(AN247,3,10),{6,7,8,9},1),"0123456789")))=0,ISNUMBER(FIND(MID(AN247,13,1),"123456789ABCDEFGHIJKLMNOPQRSTUVWXYZ")),MID(AN247,14,1)="Z")),"Wrong format",IF(MID("0123456789ABCDEFGHIJKLMNOPQRSTUVWXYZ",MOD(36-MOD(SUMPRODUCT(INT((FIND(MID(AN247,{1,2,3,4,5,6,7,8,9,10,11,12,13,14},1),"0123456789ABCDEFGHIJKLMNOPQRSTUVWXYZ")-1)*{1,2,1,2,1,2,1,2,1,2,1,2,1,2}/36)+MOD((FIND(MID(AN247,{1,2,3,4,5,6,7,8,9,10,11,12,13,14},1),"0123456789ABCDEFGHIJKLMNOPQRSTUVWXYZ")-1)*{1,2,1,2,1,2,1,2,1,2,1,2,1,2},36)),36),36)+1,1)=MID(AN247,15,1),"OK","Typo? check digit wrong")),"Wrong format"))</f>
        <v/>
      </c>
      <c r="AK247" s="27">
        <f>IF(AO247="","",IF(AND(LEN(AO247)=10,SUMPRODUCT(--ISERROR(FIND(MID(AO247,{1,2,3,4,5,10},1),"ABCDEFGHIJKLMNOPQRSTUVWXYZ")))=0,SUMPRODUCT(--ISERROR(FIND(MID(AO247,{6,7,8,9},1),"0123456789")))=0),"OK","Wrong format"))</f>
        <v/>
      </c>
      <c r="AL247" s="27">
        <f>IF(TRIM(H247)="","",IF(AND(LEN(UPPER(TRIM(H247)))=10,SUMPRODUCT(--ISERROR(FIND(MID(UPPER(TRIM(H247)),{1,2,3,4,10},1),"ABCDEFGHIJKLMNOPQRSTUVWXYZ")))=0,SUMPRODUCT(--ISERROR(FIND(MID(UPPER(TRIM(H247)),{5,6,7,8,9},1),"0123456789")))=0),"OK","Wrong format"))</f>
        <v/>
      </c>
      <c r="AM247" s="28">
        <f>IF(NOT(COUNTA(A247:AE247)&gt;0),"",IF(AS247&lt;&gt;"","✖ "&amp;LEFT(AS247,LEN(AS247)-2),IF(AR247&gt;0,"✔ Ready — client + "&amp;AR247&amp;" service(s)","✔ Ready — client only")))</f>
        <v/>
      </c>
      <c r="AN247" s="29">
        <f>UPPER(SUBSTITUTE(TRIM(F247)," ",""))</f>
        <v/>
      </c>
      <c r="AO247" s="29">
        <f>UPPER(SUBSTITUTE(TRIM(E247)," ",""))</f>
        <v/>
      </c>
      <c r="AP247" s="29">
        <f>IF(D247&lt;&gt;"",D247,IFERROR(VLOOKUP(MID(AG247,4,1),Lists!$E$2:$F$8,2,FALSE),""))</f>
        <v/>
      </c>
      <c r="AQ247" s="29">
        <f>IFERROR(VLOOKUP(AP247,Lists!$A$2:$C$12,3,FALSE),"")</f>
        <v/>
      </c>
      <c r="AR247" s="29">
        <f>COUNTIF(W247:AC247,"Yes")</f>
        <v/>
      </c>
      <c r="AS247" s="29">
        <f>IF(TRIM(B247)="","Legal name missing; ","")&amp;IF(AND(AJ247&lt;&gt;"",AJ247&lt;&gt;"OK"),"GSTIN: "&amp;AJ247&amp;"; ","")&amp;IF(AND(AK247&lt;&gt;"",AK247&lt;&gt;"OK"),"PAN wrong format; ","")&amp;IF(AND(AO247&lt;&gt;"",LEN(AN247)=15,MID(AN247,3,10)&lt;&gt;AO247),"PAN does not match GSTIN; ","")&amp;IF(AND(AL247&lt;&gt;"",AL247&lt;&gt;"OK"),"TAN wrong format; ","")&amp;IF(AG247="","PAN missing; ","")&amp;IF(AP247="","Entity type missing; ","")&amp;IF(AND(AN247&lt;&gt;"",COUNTIF($AN$6:$AN$1005,AN247)&gt;1),"GSTIN repeated in this sheet; ","")&amp;IF(AND(AG247&lt;&gt;"",COUNTIF($AG$6:$AG$1005,AG247)&gt;1),"PAN repeated in this sheet (same client? put extra GSTINs in Other GSTINs); ","")&amp;IF(AND(AR247&gt;0,V247=""),"Financial year missing; ","")&amp;IF(AND(AR247=0,V247&lt;&gt;""),"Financial year given but no service is Yes; ","")&amp;IF(AND(W247="Yes",AN247=""),"GST needs a GSTIN; ","")&amp;IF(AND(W247="Yes",X247=""),"GST return frequency missing; ","")&amp;IF(AND(Y247="Yes",TRIM(H247)=""),"TDS needs a TAN; ","")&amp;IF(AND(AA247="Yes",AQ247&lt;&gt;"",AQ247&lt;&gt;"company",AQ247&lt;&gt;"llp"),"ROC is only for a company / LLP; ","")&amp;IF(AND(AA247="Yes",OR(AQ247="company",AQ247="llp"),TRIM(I247)=""),"ROC needs the CIN / LLPIN; ","")</f>
        <v/>
      </c>
    </row>
    <row r="248">
      <c r="A248" s="30" t="n"/>
      <c r="B248" s="31" t="n"/>
      <c r="C248" s="31" t="n"/>
      <c r="D248" s="31" t="n"/>
      <c r="E248" s="30" t="n"/>
      <c r="F248" s="30" t="n"/>
      <c r="G248" s="30" t="n"/>
      <c r="H248" s="30" t="n"/>
      <c r="I248" s="30" t="n"/>
      <c r="J248" s="32" t="n"/>
      <c r="K248" s="31" t="n"/>
      <c r="L248" s="30" t="n"/>
      <c r="M248" s="31" t="n"/>
      <c r="N248" s="31" t="n"/>
      <c r="O248" s="31" t="n"/>
      <c r="P248" s="30" t="n"/>
      <c r="Q248" s="31" t="n"/>
      <c r="R248" s="31" t="n"/>
      <c r="S248" s="31" t="n"/>
      <c r="T248" s="31" t="n"/>
      <c r="U248" s="30" t="n"/>
      <c r="V248" s="31" t="n"/>
      <c r="W248" s="31" t="n"/>
      <c r="X248" s="31" t="n"/>
      <c r="Y248" s="31" t="n"/>
      <c r="Z248" s="31" t="n"/>
      <c r="AA248" s="31" t="n"/>
      <c r="AB248" s="31" t="n"/>
      <c r="AC248" s="31" t="n"/>
      <c r="AD248" s="31" t="n"/>
      <c r="AE248" s="31" t="n"/>
      <c r="AF248" s="27">
        <f>IF(NOT(COUNTA(A248:AE248)&gt;0),"",IF(A248="","New client","Update"))</f>
        <v/>
      </c>
      <c r="AG248" s="27">
        <f>IF(AO248&lt;&gt;"",AO248,IF(LEN(AN248)=15,MID(AN248,3,10),""))</f>
        <v/>
      </c>
      <c r="AH248" s="27">
        <f>IF(AP248="","",AP248&amp;IF(D248="","  (guessed from PAN)",""))</f>
        <v/>
      </c>
      <c r="AI248" s="27">
        <f>IF(AN248="","",IFERROR(INDEX(Lists!$L$2:$L$38,MATCH(LEFT(AN248,2),Lists!$K$2:$K$38,0)),"Unknown code"))</f>
        <v/>
      </c>
      <c r="AJ248" s="27">
        <f>IF(AN248="","",IFERROR(IF(NOT(AND(LEN(AN248)=15,ISNUMBER(MATCH(LEFT(AN248,2),Lists!$K$2:$K$38,0)),SUMPRODUCT(--ISERROR(FIND(MID(MID(AN248,3,10),{1,2,3,4,5,10},1),"ABCDEFGHIJKLMNOPQRSTUVWXYZ")))=0,SUMPRODUCT(--ISERROR(FIND(MID(MID(AN248,3,10),{6,7,8,9},1),"0123456789")))=0,ISNUMBER(FIND(MID(AN248,13,1),"123456789ABCDEFGHIJKLMNOPQRSTUVWXYZ")),MID(AN248,14,1)="Z")),"Wrong format",IF(MID("0123456789ABCDEFGHIJKLMNOPQRSTUVWXYZ",MOD(36-MOD(SUMPRODUCT(INT((FIND(MID(AN248,{1,2,3,4,5,6,7,8,9,10,11,12,13,14},1),"0123456789ABCDEFGHIJKLMNOPQRSTUVWXYZ")-1)*{1,2,1,2,1,2,1,2,1,2,1,2,1,2}/36)+MOD((FIND(MID(AN248,{1,2,3,4,5,6,7,8,9,10,11,12,13,14},1),"0123456789ABCDEFGHIJKLMNOPQRSTUVWXYZ")-1)*{1,2,1,2,1,2,1,2,1,2,1,2,1,2},36)),36),36)+1,1)=MID(AN248,15,1),"OK","Typo? check digit wrong")),"Wrong format"))</f>
        <v/>
      </c>
      <c r="AK248" s="27">
        <f>IF(AO248="","",IF(AND(LEN(AO248)=10,SUMPRODUCT(--ISERROR(FIND(MID(AO248,{1,2,3,4,5,10},1),"ABCDEFGHIJKLMNOPQRSTUVWXYZ")))=0,SUMPRODUCT(--ISERROR(FIND(MID(AO248,{6,7,8,9},1),"0123456789")))=0),"OK","Wrong format"))</f>
        <v/>
      </c>
      <c r="AL248" s="27">
        <f>IF(TRIM(H248)="","",IF(AND(LEN(UPPER(TRIM(H248)))=10,SUMPRODUCT(--ISERROR(FIND(MID(UPPER(TRIM(H248)),{1,2,3,4,10},1),"ABCDEFGHIJKLMNOPQRSTUVWXYZ")))=0,SUMPRODUCT(--ISERROR(FIND(MID(UPPER(TRIM(H248)),{5,6,7,8,9},1),"0123456789")))=0),"OK","Wrong format"))</f>
        <v/>
      </c>
      <c r="AM248" s="28">
        <f>IF(NOT(COUNTA(A248:AE248)&gt;0),"",IF(AS248&lt;&gt;"","✖ "&amp;LEFT(AS248,LEN(AS248)-2),IF(AR248&gt;0,"✔ Ready — client + "&amp;AR248&amp;" service(s)","✔ Ready — client only")))</f>
        <v/>
      </c>
      <c r="AN248" s="29">
        <f>UPPER(SUBSTITUTE(TRIM(F248)," ",""))</f>
        <v/>
      </c>
      <c r="AO248" s="29">
        <f>UPPER(SUBSTITUTE(TRIM(E248)," ",""))</f>
        <v/>
      </c>
      <c r="AP248" s="29">
        <f>IF(D248&lt;&gt;"",D248,IFERROR(VLOOKUP(MID(AG248,4,1),Lists!$E$2:$F$8,2,FALSE),""))</f>
        <v/>
      </c>
      <c r="AQ248" s="29">
        <f>IFERROR(VLOOKUP(AP248,Lists!$A$2:$C$12,3,FALSE),"")</f>
        <v/>
      </c>
      <c r="AR248" s="29">
        <f>COUNTIF(W248:AC248,"Yes")</f>
        <v/>
      </c>
      <c r="AS248" s="29">
        <f>IF(TRIM(B248)="","Legal name missing; ","")&amp;IF(AND(AJ248&lt;&gt;"",AJ248&lt;&gt;"OK"),"GSTIN: "&amp;AJ248&amp;"; ","")&amp;IF(AND(AK248&lt;&gt;"",AK248&lt;&gt;"OK"),"PAN wrong format; ","")&amp;IF(AND(AO248&lt;&gt;"",LEN(AN248)=15,MID(AN248,3,10)&lt;&gt;AO248),"PAN does not match GSTIN; ","")&amp;IF(AND(AL248&lt;&gt;"",AL248&lt;&gt;"OK"),"TAN wrong format; ","")&amp;IF(AG248="","PAN missing; ","")&amp;IF(AP248="","Entity type missing; ","")&amp;IF(AND(AN248&lt;&gt;"",COUNTIF($AN$6:$AN$1005,AN248)&gt;1),"GSTIN repeated in this sheet; ","")&amp;IF(AND(AG248&lt;&gt;"",COUNTIF($AG$6:$AG$1005,AG248)&gt;1),"PAN repeated in this sheet (same client? put extra GSTINs in Other GSTINs); ","")&amp;IF(AND(AR248&gt;0,V248=""),"Financial year missing; ","")&amp;IF(AND(AR248=0,V248&lt;&gt;""),"Financial year given but no service is Yes; ","")&amp;IF(AND(W248="Yes",AN248=""),"GST needs a GSTIN; ","")&amp;IF(AND(W248="Yes",X248=""),"GST return frequency missing; ","")&amp;IF(AND(Y248="Yes",TRIM(H248)=""),"TDS needs a TAN; ","")&amp;IF(AND(AA248="Yes",AQ248&lt;&gt;"",AQ248&lt;&gt;"company",AQ248&lt;&gt;"llp"),"ROC is only for a company / LLP; ","")&amp;IF(AND(AA248="Yes",OR(AQ248="company",AQ248="llp"),TRIM(I248)=""),"ROC needs the CIN / LLPIN; ","")</f>
        <v/>
      </c>
    </row>
    <row r="249">
      <c r="A249" s="30" t="n"/>
      <c r="B249" s="31" t="n"/>
      <c r="C249" s="31" t="n"/>
      <c r="D249" s="31" t="n"/>
      <c r="E249" s="30" t="n"/>
      <c r="F249" s="30" t="n"/>
      <c r="G249" s="30" t="n"/>
      <c r="H249" s="30" t="n"/>
      <c r="I249" s="30" t="n"/>
      <c r="J249" s="32" t="n"/>
      <c r="K249" s="31" t="n"/>
      <c r="L249" s="30" t="n"/>
      <c r="M249" s="31" t="n"/>
      <c r="N249" s="31" t="n"/>
      <c r="O249" s="31" t="n"/>
      <c r="P249" s="30" t="n"/>
      <c r="Q249" s="31" t="n"/>
      <c r="R249" s="31" t="n"/>
      <c r="S249" s="31" t="n"/>
      <c r="T249" s="31" t="n"/>
      <c r="U249" s="30" t="n"/>
      <c r="V249" s="31" t="n"/>
      <c r="W249" s="31" t="n"/>
      <c r="X249" s="31" t="n"/>
      <c r="Y249" s="31" t="n"/>
      <c r="Z249" s="31" t="n"/>
      <c r="AA249" s="31" t="n"/>
      <c r="AB249" s="31" t="n"/>
      <c r="AC249" s="31" t="n"/>
      <c r="AD249" s="31" t="n"/>
      <c r="AE249" s="31" t="n"/>
      <c r="AF249" s="27">
        <f>IF(NOT(COUNTA(A249:AE249)&gt;0),"",IF(A249="","New client","Update"))</f>
        <v/>
      </c>
      <c r="AG249" s="27">
        <f>IF(AO249&lt;&gt;"",AO249,IF(LEN(AN249)=15,MID(AN249,3,10),""))</f>
        <v/>
      </c>
      <c r="AH249" s="27">
        <f>IF(AP249="","",AP249&amp;IF(D249="","  (guessed from PAN)",""))</f>
        <v/>
      </c>
      <c r="AI249" s="27">
        <f>IF(AN249="","",IFERROR(INDEX(Lists!$L$2:$L$38,MATCH(LEFT(AN249,2),Lists!$K$2:$K$38,0)),"Unknown code"))</f>
        <v/>
      </c>
      <c r="AJ249" s="27">
        <f>IF(AN249="","",IFERROR(IF(NOT(AND(LEN(AN249)=15,ISNUMBER(MATCH(LEFT(AN249,2),Lists!$K$2:$K$38,0)),SUMPRODUCT(--ISERROR(FIND(MID(MID(AN249,3,10),{1,2,3,4,5,10},1),"ABCDEFGHIJKLMNOPQRSTUVWXYZ")))=0,SUMPRODUCT(--ISERROR(FIND(MID(MID(AN249,3,10),{6,7,8,9},1),"0123456789")))=0,ISNUMBER(FIND(MID(AN249,13,1),"123456789ABCDEFGHIJKLMNOPQRSTUVWXYZ")),MID(AN249,14,1)="Z")),"Wrong format",IF(MID("0123456789ABCDEFGHIJKLMNOPQRSTUVWXYZ",MOD(36-MOD(SUMPRODUCT(INT((FIND(MID(AN249,{1,2,3,4,5,6,7,8,9,10,11,12,13,14},1),"0123456789ABCDEFGHIJKLMNOPQRSTUVWXYZ")-1)*{1,2,1,2,1,2,1,2,1,2,1,2,1,2}/36)+MOD((FIND(MID(AN249,{1,2,3,4,5,6,7,8,9,10,11,12,13,14},1),"0123456789ABCDEFGHIJKLMNOPQRSTUVWXYZ")-1)*{1,2,1,2,1,2,1,2,1,2,1,2,1,2},36)),36),36)+1,1)=MID(AN249,15,1),"OK","Typo? check digit wrong")),"Wrong format"))</f>
        <v/>
      </c>
      <c r="AK249" s="27">
        <f>IF(AO249="","",IF(AND(LEN(AO249)=10,SUMPRODUCT(--ISERROR(FIND(MID(AO249,{1,2,3,4,5,10},1),"ABCDEFGHIJKLMNOPQRSTUVWXYZ")))=0,SUMPRODUCT(--ISERROR(FIND(MID(AO249,{6,7,8,9},1),"0123456789")))=0),"OK","Wrong format"))</f>
        <v/>
      </c>
      <c r="AL249" s="27">
        <f>IF(TRIM(H249)="","",IF(AND(LEN(UPPER(TRIM(H249)))=10,SUMPRODUCT(--ISERROR(FIND(MID(UPPER(TRIM(H249)),{1,2,3,4,10},1),"ABCDEFGHIJKLMNOPQRSTUVWXYZ")))=0,SUMPRODUCT(--ISERROR(FIND(MID(UPPER(TRIM(H249)),{5,6,7,8,9},1),"0123456789")))=0),"OK","Wrong format"))</f>
        <v/>
      </c>
      <c r="AM249" s="28">
        <f>IF(NOT(COUNTA(A249:AE249)&gt;0),"",IF(AS249&lt;&gt;"","✖ "&amp;LEFT(AS249,LEN(AS249)-2),IF(AR249&gt;0,"✔ Ready — client + "&amp;AR249&amp;" service(s)","✔ Ready — client only")))</f>
        <v/>
      </c>
      <c r="AN249" s="29">
        <f>UPPER(SUBSTITUTE(TRIM(F249)," ",""))</f>
        <v/>
      </c>
      <c r="AO249" s="29">
        <f>UPPER(SUBSTITUTE(TRIM(E249)," ",""))</f>
        <v/>
      </c>
      <c r="AP249" s="29">
        <f>IF(D249&lt;&gt;"",D249,IFERROR(VLOOKUP(MID(AG249,4,1),Lists!$E$2:$F$8,2,FALSE),""))</f>
        <v/>
      </c>
      <c r="AQ249" s="29">
        <f>IFERROR(VLOOKUP(AP249,Lists!$A$2:$C$12,3,FALSE),"")</f>
        <v/>
      </c>
      <c r="AR249" s="29">
        <f>COUNTIF(W249:AC249,"Yes")</f>
        <v/>
      </c>
      <c r="AS249" s="29">
        <f>IF(TRIM(B249)="","Legal name missing; ","")&amp;IF(AND(AJ249&lt;&gt;"",AJ249&lt;&gt;"OK"),"GSTIN: "&amp;AJ249&amp;"; ","")&amp;IF(AND(AK249&lt;&gt;"",AK249&lt;&gt;"OK"),"PAN wrong format; ","")&amp;IF(AND(AO249&lt;&gt;"",LEN(AN249)=15,MID(AN249,3,10)&lt;&gt;AO249),"PAN does not match GSTIN; ","")&amp;IF(AND(AL249&lt;&gt;"",AL249&lt;&gt;"OK"),"TAN wrong format; ","")&amp;IF(AG249="","PAN missing; ","")&amp;IF(AP249="","Entity type missing; ","")&amp;IF(AND(AN249&lt;&gt;"",COUNTIF($AN$6:$AN$1005,AN249)&gt;1),"GSTIN repeated in this sheet; ","")&amp;IF(AND(AG249&lt;&gt;"",COUNTIF($AG$6:$AG$1005,AG249)&gt;1),"PAN repeated in this sheet (same client? put extra GSTINs in Other GSTINs); ","")&amp;IF(AND(AR249&gt;0,V249=""),"Financial year missing; ","")&amp;IF(AND(AR249=0,V249&lt;&gt;""),"Financial year given but no service is Yes; ","")&amp;IF(AND(W249="Yes",AN249=""),"GST needs a GSTIN; ","")&amp;IF(AND(W249="Yes",X249=""),"GST return frequency missing; ","")&amp;IF(AND(Y249="Yes",TRIM(H249)=""),"TDS needs a TAN; ","")&amp;IF(AND(AA249="Yes",AQ249&lt;&gt;"",AQ249&lt;&gt;"company",AQ249&lt;&gt;"llp"),"ROC is only for a company / LLP; ","")&amp;IF(AND(AA249="Yes",OR(AQ249="company",AQ249="llp"),TRIM(I249)=""),"ROC needs the CIN / LLPIN; ","")</f>
        <v/>
      </c>
    </row>
    <row r="250">
      <c r="A250" s="30" t="n"/>
      <c r="B250" s="31" t="n"/>
      <c r="C250" s="31" t="n"/>
      <c r="D250" s="31" t="n"/>
      <c r="E250" s="30" t="n"/>
      <c r="F250" s="30" t="n"/>
      <c r="G250" s="30" t="n"/>
      <c r="H250" s="30" t="n"/>
      <c r="I250" s="30" t="n"/>
      <c r="J250" s="32" t="n"/>
      <c r="K250" s="31" t="n"/>
      <c r="L250" s="30" t="n"/>
      <c r="M250" s="31" t="n"/>
      <c r="N250" s="31" t="n"/>
      <c r="O250" s="31" t="n"/>
      <c r="P250" s="30" t="n"/>
      <c r="Q250" s="31" t="n"/>
      <c r="R250" s="31" t="n"/>
      <c r="S250" s="31" t="n"/>
      <c r="T250" s="31" t="n"/>
      <c r="U250" s="30" t="n"/>
      <c r="V250" s="31" t="n"/>
      <c r="W250" s="31" t="n"/>
      <c r="X250" s="31" t="n"/>
      <c r="Y250" s="31" t="n"/>
      <c r="Z250" s="31" t="n"/>
      <c r="AA250" s="31" t="n"/>
      <c r="AB250" s="31" t="n"/>
      <c r="AC250" s="31" t="n"/>
      <c r="AD250" s="31" t="n"/>
      <c r="AE250" s="31" t="n"/>
      <c r="AF250" s="27">
        <f>IF(NOT(COUNTA(A250:AE250)&gt;0),"",IF(A250="","New client","Update"))</f>
        <v/>
      </c>
      <c r="AG250" s="27">
        <f>IF(AO250&lt;&gt;"",AO250,IF(LEN(AN250)=15,MID(AN250,3,10),""))</f>
        <v/>
      </c>
      <c r="AH250" s="27">
        <f>IF(AP250="","",AP250&amp;IF(D250="","  (guessed from PAN)",""))</f>
        <v/>
      </c>
      <c r="AI250" s="27">
        <f>IF(AN250="","",IFERROR(INDEX(Lists!$L$2:$L$38,MATCH(LEFT(AN250,2),Lists!$K$2:$K$38,0)),"Unknown code"))</f>
        <v/>
      </c>
      <c r="AJ250" s="27">
        <f>IF(AN250="","",IFERROR(IF(NOT(AND(LEN(AN250)=15,ISNUMBER(MATCH(LEFT(AN250,2),Lists!$K$2:$K$38,0)),SUMPRODUCT(--ISERROR(FIND(MID(MID(AN250,3,10),{1,2,3,4,5,10},1),"ABCDEFGHIJKLMNOPQRSTUVWXYZ")))=0,SUMPRODUCT(--ISERROR(FIND(MID(MID(AN250,3,10),{6,7,8,9},1),"0123456789")))=0,ISNUMBER(FIND(MID(AN250,13,1),"123456789ABCDEFGHIJKLMNOPQRSTUVWXYZ")),MID(AN250,14,1)="Z")),"Wrong format",IF(MID("0123456789ABCDEFGHIJKLMNOPQRSTUVWXYZ",MOD(36-MOD(SUMPRODUCT(INT((FIND(MID(AN250,{1,2,3,4,5,6,7,8,9,10,11,12,13,14},1),"0123456789ABCDEFGHIJKLMNOPQRSTUVWXYZ")-1)*{1,2,1,2,1,2,1,2,1,2,1,2,1,2}/36)+MOD((FIND(MID(AN250,{1,2,3,4,5,6,7,8,9,10,11,12,13,14},1),"0123456789ABCDEFGHIJKLMNOPQRSTUVWXYZ")-1)*{1,2,1,2,1,2,1,2,1,2,1,2,1,2},36)),36),36)+1,1)=MID(AN250,15,1),"OK","Typo? check digit wrong")),"Wrong format"))</f>
        <v/>
      </c>
      <c r="AK250" s="27">
        <f>IF(AO250="","",IF(AND(LEN(AO250)=10,SUMPRODUCT(--ISERROR(FIND(MID(AO250,{1,2,3,4,5,10},1),"ABCDEFGHIJKLMNOPQRSTUVWXYZ")))=0,SUMPRODUCT(--ISERROR(FIND(MID(AO250,{6,7,8,9},1),"0123456789")))=0),"OK","Wrong format"))</f>
        <v/>
      </c>
      <c r="AL250" s="27">
        <f>IF(TRIM(H250)="","",IF(AND(LEN(UPPER(TRIM(H250)))=10,SUMPRODUCT(--ISERROR(FIND(MID(UPPER(TRIM(H250)),{1,2,3,4,10},1),"ABCDEFGHIJKLMNOPQRSTUVWXYZ")))=0,SUMPRODUCT(--ISERROR(FIND(MID(UPPER(TRIM(H250)),{5,6,7,8,9},1),"0123456789")))=0),"OK","Wrong format"))</f>
        <v/>
      </c>
      <c r="AM250" s="28">
        <f>IF(NOT(COUNTA(A250:AE250)&gt;0),"",IF(AS250&lt;&gt;"","✖ "&amp;LEFT(AS250,LEN(AS250)-2),IF(AR250&gt;0,"✔ Ready — client + "&amp;AR250&amp;" service(s)","✔ Ready — client only")))</f>
        <v/>
      </c>
      <c r="AN250" s="29">
        <f>UPPER(SUBSTITUTE(TRIM(F250)," ",""))</f>
        <v/>
      </c>
      <c r="AO250" s="29">
        <f>UPPER(SUBSTITUTE(TRIM(E250)," ",""))</f>
        <v/>
      </c>
      <c r="AP250" s="29">
        <f>IF(D250&lt;&gt;"",D250,IFERROR(VLOOKUP(MID(AG250,4,1),Lists!$E$2:$F$8,2,FALSE),""))</f>
        <v/>
      </c>
      <c r="AQ250" s="29">
        <f>IFERROR(VLOOKUP(AP250,Lists!$A$2:$C$12,3,FALSE),"")</f>
        <v/>
      </c>
      <c r="AR250" s="29">
        <f>COUNTIF(W250:AC250,"Yes")</f>
        <v/>
      </c>
      <c r="AS250" s="29">
        <f>IF(TRIM(B250)="","Legal name missing; ","")&amp;IF(AND(AJ250&lt;&gt;"",AJ250&lt;&gt;"OK"),"GSTIN: "&amp;AJ250&amp;"; ","")&amp;IF(AND(AK250&lt;&gt;"",AK250&lt;&gt;"OK"),"PAN wrong format; ","")&amp;IF(AND(AO250&lt;&gt;"",LEN(AN250)=15,MID(AN250,3,10)&lt;&gt;AO250),"PAN does not match GSTIN; ","")&amp;IF(AND(AL250&lt;&gt;"",AL250&lt;&gt;"OK"),"TAN wrong format; ","")&amp;IF(AG250="","PAN missing; ","")&amp;IF(AP250="","Entity type missing; ","")&amp;IF(AND(AN250&lt;&gt;"",COUNTIF($AN$6:$AN$1005,AN250)&gt;1),"GSTIN repeated in this sheet; ","")&amp;IF(AND(AG250&lt;&gt;"",COUNTIF($AG$6:$AG$1005,AG250)&gt;1),"PAN repeated in this sheet (same client? put extra GSTINs in Other GSTINs); ","")&amp;IF(AND(AR250&gt;0,V250=""),"Financial year missing; ","")&amp;IF(AND(AR250=0,V250&lt;&gt;""),"Financial year given but no service is Yes; ","")&amp;IF(AND(W250="Yes",AN250=""),"GST needs a GSTIN; ","")&amp;IF(AND(W250="Yes",X250=""),"GST return frequency missing; ","")&amp;IF(AND(Y250="Yes",TRIM(H250)=""),"TDS needs a TAN; ","")&amp;IF(AND(AA250="Yes",AQ250&lt;&gt;"",AQ250&lt;&gt;"company",AQ250&lt;&gt;"llp"),"ROC is only for a company / LLP; ","")&amp;IF(AND(AA250="Yes",OR(AQ250="company",AQ250="llp"),TRIM(I250)=""),"ROC needs the CIN / LLPIN; ","")</f>
        <v/>
      </c>
    </row>
    <row r="251">
      <c r="A251" s="30" t="n"/>
      <c r="B251" s="31" t="n"/>
      <c r="C251" s="31" t="n"/>
      <c r="D251" s="31" t="n"/>
      <c r="E251" s="30" t="n"/>
      <c r="F251" s="30" t="n"/>
      <c r="G251" s="30" t="n"/>
      <c r="H251" s="30" t="n"/>
      <c r="I251" s="30" t="n"/>
      <c r="J251" s="32" t="n"/>
      <c r="K251" s="31" t="n"/>
      <c r="L251" s="30" t="n"/>
      <c r="M251" s="31" t="n"/>
      <c r="N251" s="31" t="n"/>
      <c r="O251" s="31" t="n"/>
      <c r="P251" s="30" t="n"/>
      <c r="Q251" s="31" t="n"/>
      <c r="R251" s="31" t="n"/>
      <c r="S251" s="31" t="n"/>
      <c r="T251" s="31" t="n"/>
      <c r="U251" s="30" t="n"/>
      <c r="V251" s="31" t="n"/>
      <c r="W251" s="31" t="n"/>
      <c r="X251" s="31" t="n"/>
      <c r="Y251" s="31" t="n"/>
      <c r="Z251" s="31" t="n"/>
      <c r="AA251" s="31" t="n"/>
      <c r="AB251" s="31" t="n"/>
      <c r="AC251" s="31" t="n"/>
      <c r="AD251" s="31" t="n"/>
      <c r="AE251" s="31" t="n"/>
      <c r="AF251" s="27">
        <f>IF(NOT(COUNTA(A251:AE251)&gt;0),"",IF(A251="","New client","Update"))</f>
        <v/>
      </c>
      <c r="AG251" s="27">
        <f>IF(AO251&lt;&gt;"",AO251,IF(LEN(AN251)=15,MID(AN251,3,10),""))</f>
        <v/>
      </c>
      <c r="AH251" s="27">
        <f>IF(AP251="","",AP251&amp;IF(D251="","  (guessed from PAN)",""))</f>
        <v/>
      </c>
      <c r="AI251" s="27">
        <f>IF(AN251="","",IFERROR(INDEX(Lists!$L$2:$L$38,MATCH(LEFT(AN251,2),Lists!$K$2:$K$38,0)),"Unknown code"))</f>
        <v/>
      </c>
      <c r="AJ251" s="27">
        <f>IF(AN251="","",IFERROR(IF(NOT(AND(LEN(AN251)=15,ISNUMBER(MATCH(LEFT(AN251,2),Lists!$K$2:$K$38,0)),SUMPRODUCT(--ISERROR(FIND(MID(MID(AN251,3,10),{1,2,3,4,5,10},1),"ABCDEFGHIJKLMNOPQRSTUVWXYZ")))=0,SUMPRODUCT(--ISERROR(FIND(MID(MID(AN251,3,10),{6,7,8,9},1),"0123456789")))=0,ISNUMBER(FIND(MID(AN251,13,1),"123456789ABCDEFGHIJKLMNOPQRSTUVWXYZ")),MID(AN251,14,1)="Z")),"Wrong format",IF(MID("0123456789ABCDEFGHIJKLMNOPQRSTUVWXYZ",MOD(36-MOD(SUMPRODUCT(INT((FIND(MID(AN251,{1,2,3,4,5,6,7,8,9,10,11,12,13,14},1),"0123456789ABCDEFGHIJKLMNOPQRSTUVWXYZ")-1)*{1,2,1,2,1,2,1,2,1,2,1,2,1,2}/36)+MOD((FIND(MID(AN251,{1,2,3,4,5,6,7,8,9,10,11,12,13,14},1),"0123456789ABCDEFGHIJKLMNOPQRSTUVWXYZ")-1)*{1,2,1,2,1,2,1,2,1,2,1,2,1,2},36)),36),36)+1,1)=MID(AN251,15,1),"OK","Typo? check digit wrong")),"Wrong format"))</f>
        <v/>
      </c>
      <c r="AK251" s="27">
        <f>IF(AO251="","",IF(AND(LEN(AO251)=10,SUMPRODUCT(--ISERROR(FIND(MID(AO251,{1,2,3,4,5,10},1),"ABCDEFGHIJKLMNOPQRSTUVWXYZ")))=0,SUMPRODUCT(--ISERROR(FIND(MID(AO251,{6,7,8,9},1),"0123456789")))=0),"OK","Wrong format"))</f>
        <v/>
      </c>
      <c r="AL251" s="27">
        <f>IF(TRIM(H251)="","",IF(AND(LEN(UPPER(TRIM(H251)))=10,SUMPRODUCT(--ISERROR(FIND(MID(UPPER(TRIM(H251)),{1,2,3,4,10},1),"ABCDEFGHIJKLMNOPQRSTUVWXYZ")))=0,SUMPRODUCT(--ISERROR(FIND(MID(UPPER(TRIM(H251)),{5,6,7,8,9},1),"0123456789")))=0),"OK","Wrong format"))</f>
        <v/>
      </c>
      <c r="AM251" s="28">
        <f>IF(NOT(COUNTA(A251:AE251)&gt;0),"",IF(AS251&lt;&gt;"","✖ "&amp;LEFT(AS251,LEN(AS251)-2),IF(AR251&gt;0,"✔ Ready — client + "&amp;AR251&amp;" service(s)","✔ Ready — client only")))</f>
        <v/>
      </c>
      <c r="AN251" s="29">
        <f>UPPER(SUBSTITUTE(TRIM(F251)," ",""))</f>
        <v/>
      </c>
      <c r="AO251" s="29">
        <f>UPPER(SUBSTITUTE(TRIM(E251)," ",""))</f>
        <v/>
      </c>
      <c r="AP251" s="29">
        <f>IF(D251&lt;&gt;"",D251,IFERROR(VLOOKUP(MID(AG251,4,1),Lists!$E$2:$F$8,2,FALSE),""))</f>
        <v/>
      </c>
      <c r="AQ251" s="29">
        <f>IFERROR(VLOOKUP(AP251,Lists!$A$2:$C$12,3,FALSE),"")</f>
        <v/>
      </c>
      <c r="AR251" s="29">
        <f>COUNTIF(W251:AC251,"Yes")</f>
        <v/>
      </c>
      <c r="AS251" s="29">
        <f>IF(TRIM(B251)="","Legal name missing; ","")&amp;IF(AND(AJ251&lt;&gt;"",AJ251&lt;&gt;"OK"),"GSTIN: "&amp;AJ251&amp;"; ","")&amp;IF(AND(AK251&lt;&gt;"",AK251&lt;&gt;"OK"),"PAN wrong format; ","")&amp;IF(AND(AO251&lt;&gt;"",LEN(AN251)=15,MID(AN251,3,10)&lt;&gt;AO251),"PAN does not match GSTIN; ","")&amp;IF(AND(AL251&lt;&gt;"",AL251&lt;&gt;"OK"),"TAN wrong format; ","")&amp;IF(AG251="","PAN missing; ","")&amp;IF(AP251="","Entity type missing; ","")&amp;IF(AND(AN251&lt;&gt;"",COUNTIF($AN$6:$AN$1005,AN251)&gt;1),"GSTIN repeated in this sheet; ","")&amp;IF(AND(AG251&lt;&gt;"",COUNTIF($AG$6:$AG$1005,AG251)&gt;1),"PAN repeated in this sheet (same client? put extra GSTINs in Other GSTINs); ","")&amp;IF(AND(AR251&gt;0,V251=""),"Financial year missing; ","")&amp;IF(AND(AR251=0,V251&lt;&gt;""),"Financial year given but no service is Yes; ","")&amp;IF(AND(W251="Yes",AN251=""),"GST needs a GSTIN; ","")&amp;IF(AND(W251="Yes",X251=""),"GST return frequency missing; ","")&amp;IF(AND(Y251="Yes",TRIM(H251)=""),"TDS needs a TAN; ","")&amp;IF(AND(AA251="Yes",AQ251&lt;&gt;"",AQ251&lt;&gt;"company",AQ251&lt;&gt;"llp"),"ROC is only for a company / LLP; ","")&amp;IF(AND(AA251="Yes",OR(AQ251="company",AQ251="llp"),TRIM(I251)=""),"ROC needs the CIN / LLPIN; ","")</f>
        <v/>
      </c>
    </row>
    <row r="252">
      <c r="A252" s="30" t="n"/>
      <c r="B252" s="31" t="n"/>
      <c r="C252" s="31" t="n"/>
      <c r="D252" s="31" t="n"/>
      <c r="E252" s="30" t="n"/>
      <c r="F252" s="30" t="n"/>
      <c r="G252" s="30" t="n"/>
      <c r="H252" s="30" t="n"/>
      <c r="I252" s="30" t="n"/>
      <c r="J252" s="32" t="n"/>
      <c r="K252" s="31" t="n"/>
      <c r="L252" s="30" t="n"/>
      <c r="M252" s="31" t="n"/>
      <c r="N252" s="31" t="n"/>
      <c r="O252" s="31" t="n"/>
      <c r="P252" s="30" t="n"/>
      <c r="Q252" s="31" t="n"/>
      <c r="R252" s="31" t="n"/>
      <c r="S252" s="31" t="n"/>
      <c r="T252" s="31" t="n"/>
      <c r="U252" s="30" t="n"/>
      <c r="V252" s="31" t="n"/>
      <c r="W252" s="31" t="n"/>
      <c r="X252" s="31" t="n"/>
      <c r="Y252" s="31" t="n"/>
      <c r="Z252" s="31" t="n"/>
      <c r="AA252" s="31" t="n"/>
      <c r="AB252" s="31" t="n"/>
      <c r="AC252" s="31" t="n"/>
      <c r="AD252" s="31" t="n"/>
      <c r="AE252" s="31" t="n"/>
      <c r="AF252" s="27">
        <f>IF(NOT(COUNTA(A252:AE252)&gt;0),"",IF(A252="","New client","Update"))</f>
        <v/>
      </c>
      <c r="AG252" s="27">
        <f>IF(AO252&lt;&gt;"",AO252,IF(LEN(AN252)=15,MID(AN252,3,10),""))</f>
        <v/>
      </c>
      <c r="AH252" s="27">
        <f>IF(AP252="","",AP252&amp;IF(D252="","  (guessed from PAN)",""))</f>
        <v/>
      </c>
      <c r="AI252" s="27">
        <f>IF(AN252="","",IFERROR(INDEX(Lists!$L$2:$L$38,MATCH(LEFT(AN252,2),Lists!$K$2:$K$38,0)),"Unknown code"))</f>
        <v/>
      </c>
      <c r="AJ252" s="27">
        <f>IF(AN252="","",IFERROR(IF(NOT(AND(LEN(AN252)=15,ISNUMBER(MATCH(LEFT(AN252,2),Lists!$K$2:$K$38,0)),SUMPRODUCT(--ISERROR(FIND(MID(MID(AN252,3,10),{1,2,3,4,5,10},1),"ABCDEFGHIJKLMNOPQRSTUVWXYZ")))=0,SUMPRODUCT(--ISERROR(FIND(MID(MID(AN252,3,10),{6,7,8,9},1),"0123456789")))=0,ISNUMBER(FIND(MID(AN252,13,1),"123456789ABCDEFGHIJKLMNOPQRSTUVWXYZ")),MID(AN252,14,1)="Z")),"Wrong format",IF(MID("0123456789ABCDEFGHIJKLMNOPQRSTUVWXYZ",MOD(36-MOD(SUMPRODUCT(INT((FIND(MID(AN252,{1,2,3,4,5,6,7,8,9,10,11,12,13,14},1),"0123456789ABCDEFGHIJKLMNOPQRSTUVWXYZ")-1)*{1,2,1,2,1,2,1,2,1,2,1,2,1,2}/36)+MOD((FIND(MID(AN252,{1,2,3,4,5,6,7,8,9,10,11,12,13,14},1),"0123456789ABCDEFGHIJKLMNOPQRSTUVWXYZ")-1)*{1,2,1,2,1,2,1,2,1,2,1,2,1,2},36)),36),36)+1,1)=MID(AN252,15,1),"OK","Typo? check digit wrong")),"Wrong format"))</f>
        <v/>
      </c>
      <c r="AK252" s="27">
        <f>IF(AO252="","",IF(AND(LEN(AO252)=10,SUMPRODUCT(--ISERROR(FIND(MID(AO252,{1,2,3,4,5,10},1),"ABCDEFGHIJKLMNOPQRSTUVWXYZ")))=0,SUMPRODUCT(--ISERROR(FIND(MID(AO252,{6,7,8,9},1),"0123456789")))=0),"OK","Wrong format"))</f>
        <v/>
      </c>
      <c r="AL252" s="27">
        <f>IF(TRIM(H252)="","",IF(AND(LEN(UPPER(TRIM(H252)))=10,SUMPRODUCT(--ISERROR(FIND(MID(UPPER(TRIM(H252)),{1,2,3,4,10},1),"ABCDEFGHIJKLMNOPQRSTUVWXYZ")))=0,SUMPRODUCT(--ISERROR(FIND(MID(UPPER(TRIM(H252)),{5,6,7,8,9},1),"0123456789")))=0),"OK","Wrong format"))</f>
        <v/>
      </c>
      <c r="AM252" s="28">
        <f>IF(NOT(COUNTA(A252:AE252)&gt;0),"",IF(AS252&lt;&gt;"","✖ "&amp;LEFT(AS252,LEN(AS252)-2),IF(AR252&gt;0,"✔ Ready — client + "&amp;AR252&amp;" service(s)","✔ Ready — client only")))</f>
        <v/>
      </c>
      <c r="AN252" s="29">
        <f>UPPER(SUBSTITUTE(TRIM(F252)," ",""))</f>
        <v/>
      </c>
      <c r="AO252" s="29">
        <f>UPPER(SUBSTITUTE(TRIM(E252)," ",""))</f>
        <v/>
      </c>
      <c r="AP252" s="29">
        <f>IF(D252&lt;&gt;"",D252,IFERROR(VLOOKUP(MID(AG252,4,1),Lists!$E$2:$F$8,2,FALSE),""))</f>
        <v/>
      </c>
      <c r="AQ252" s="29">
        <f>IFERROR(VLOOKUP(AP252,Lists!$A$2:$C$12,3,FALSE),"")</f>
        <v/>
      </c>
      <c r="AR252" s="29">
        <f>COUNTIF(W252:AC252,"Yes")</f>
        <v/>
      </c>
      <c r="AS252" s="29">
        <f>IF(TRIM(B252)="","Legal name missing; ","")&amp;IF(AND(AJ252&lt;&gt;"",AJ252&lt;&gt;"OK"),"GSTIN: "&amp;AJ252&amp;"; ","")&amp;IF(AND(AK252&lt;&gt;"",AK252&lt;&gt;"OK"),"PAN wrong format; ","")&amp;IF(AND(AO252&lt;&gt;"",LEN(AN252)=15,MID(AN252,3,10)&lt;&gt;AO252),"PAN does not match GSTIN; ","")&amp;IF(AND(AL252&lt;&gt;"",AL252&lt;&gt;"OK"),"TAN wrong format; ","")&amp;IF(AG252="","PAN missing; ","")&amp;IF(AP252="","Entity type missing; ","")&amp;IF(AND(AN252&lt;&gt;"",COUNTIF($AN$6:$AN$1005,AN252)&gt;1),"GSTIN repeated in this sheet; ","")&amp;IF(AND(AG252&lt;&gt;"",COUNTIF($AG$6:$AG$1005,AG252)&gt;1),"PAN repeated in this sheet (same client? put extra GSTINs in Other GSTINs); ","")&amp;IF(AND(AR252&gt;0,V252=""),"Financial year missing; ","")&amp;IF(AND(AR252=0,V252&lt;&gt;""),"Financial year given but no service is Yes; ","")&amp;IF(AND(W252="Yes",AN252=""),"GST needs a GSTIN; ","")&amp;IF(AND(W252="Yes",X252=""),"GST return frequency missing; ","")&amp;IF(AND(Y252="Yes",TRIM(H252)=""),"TDS needs a TAN; ","")&amp;IF(AND(AA252="Yes",AQ252&lt;&gt;"",AQ252&lt;&gt;"company",AQ252&lt;&gt;"llp"),"ROC is only for a company / LLP; ","")&amp;IF(AND(AA252="Yes",OR(AQ252="company",AQ252="llp"),TRIM(I252)=""),"ROC needs the CIN / LLPIN; ","")</f>
        <v/>
      </c>
    </row>
    <row r="253">
      <c r="A253" s="30" t="n"/>
      <c r="B253" s="31" t="n"/>
      <c r="C253" s="31" t="n"/>
      <c r="D253" s="31" t="n"/>
      <c r="E253" s="30" t="n"/>
      <c r="F253" s="30" t="n"/>
      <c r="G253" s="30" t="n"/>
      <c r="H253" s="30" t="n"/>
      <c r="I253" s="30" t="n"/>
      <c r="J253" s="32" t="n"/>
      <c r="K253" s="31" t="n"/>
      <c r="L253" s="30" t="n"/>
      <c r="M253" s="31" t="n"/>
      <c r="N253" s="31" t="n"/>
      <c r="O253" s="31" t="n"/>
      <c r="P253" s="30" t="n"/>
      <c r="Q253" s="31" t="n"/>
      <c r="R253" s="31" t="n"/>
      <c r="S253" s="31" t="n"/>
      <c r="T253" s="31" t="n"/>
      <c r="U253" s="30" t="n"/>
      <c r="V253" s="31" t="n"/>
      <c r="W253" s="31" t="n"/>
      <c r="X253" s="31" t="n"/>
      <c r="Y253" s="31" t="n"/>
      <c r="Z253" s="31" t="n"/>
      <c r="AA253" s="31" t="n"/>
      <c r="AB253" s="31" t="n"/>
      <c r="AC253" s="31" t="n"/>
      <c r="AD253" s="31" t="n"/>
      <c r="AE253" s="31" t="n"/>
      <c r="AF253" s="27">
        <f>IF(NOT(COUNTA(A253:AE253)&gt;0),"",IF(A253="","New client","Update"))</f>
        <v/>
      </c>
      <c r="AG253" s="27">
        <f>IF(AO253&lt;&gt;"",AO253,IF(LEN(AN253)=15,MID(AN253,3,10),""))</f>
        <v/>
      </c>
      <c r="AH253" s="27">
        <f>IF(AP253="","",AP253&amp;IF(D253="","  (guessed from PAN)",""))</f>
        <v/>
      </c>
      <c r="AI253" s="27">
        <f>IF(AN253="","",IFERROR(INDEX(Lists!$L$2:$L$38,MATCH(LEFT(AN253,2),Lists!$K$2:$K$38,0)),"Unknown code"))</f>
        <v/>
      </c>
      <c r="AJ253" s="27">
        <f>IF(AN253="","",IFERROR(IF(NOT(AND(LEN(AN253)=15,ISNUMBER(MATCH(LEFT(AN253,2),Lists!$K$2:$K$38,0)),SUMPRODUCT(--ISERROR(FIND(MID(MID(AN253,3,10),{1,2,3,4,5,10},1),"ABCDEFGHIJKLMNOPQRSTUVWXYZ")))=0,SUMPRODUCT(--ISERROR(FIND(MID(MID(AN253,3,10),{6,7,8,9},1),"0123456789")))=0,ISNUMBER(FIND(MID(AN253,13,1),"123456789ABCDEFGHIJKLMNOPQRSTUVWXYZ")),MID(AN253,14,1)="Z")),"Wrong format",IF(MID("0123456789ABCDEFGHIJKLMNOPQRSTUVWXYZ",MOD(36-MOD(SUMPRODUCT(INT((FIND(MID(AN253,{1,2,3,4,5,6,7,8,9,10,11,12,13,14},1),"0123456789ABCDEFGHIJKLMNOPQRSTUVWXYZ")-1)*{1,2,1,2,1,2,1,2,1,2,1,2,1,2}/36)+MOD((FIND(MID(AN253,{1,2,3,4,5,6,7,8,9,10,11,12,13,14},1),"0123456789ABCDEFGHIJKLMNOPQRSTUVWXYZ")-1)*{1,2,1,2,1,2,1,2,1,2,1,2,1,2},36)),36),36)+1,1)=MID(AN253,15,1),"OK","Typo? check digit wrong")),"Wrong format"))</f>
        <v/>
      </c>
      <c r="AK253" s="27">
        <f>IF(AO253="","",IF(AND(LEN(AO253)=10,SUMPRODUCT(--ISERROR(FIND(MID(AO253,{1,2,3,4,5,10},1),"ABCDEFGHIJKLMNOPQRSTUVWXYZ")))=0,SUMPRODUCT(--ISERROR(FIND(MID(AO253,{6,7,8,9},1),"0123456789")))=0),"OK","Wrong format"))</f>
        <v/>
      </c>
      <c r="AL253" s="27">
        <f>IF(TRIM(H253)="","",IF(AND(LEN(UPPER(TRIM(H253)))=10,SUMPRODUCT(--ISERROR(FIND(MID(UPPER(TRIM(H253)),{1,2,3,4,10},1),"ABCDEFGHIJKLMNOPQRSTUVWXYZ")))=0,SUMPRODUCT(--ISERROR(FIND(MID(UPPER(TRIM(H253)),{5,6,7,8,9},1),"0123456789")))=0),"OK","Wrong format"))</f>
        <v/>
      </c>
      <c r="AM253" s="28">
        <f>IF(NOT(COUNTA(A253:AE253)&gt;0),"",IF(AS253&lt;&gt;"","✖ "&amp;LEFT(AS253,LEN(AS253)-2),IF(AR253&gt;0,"✔ Ready — client + "&amp;AR253&amp;" service(s)","✔ Ready — client only")))</f>
        <v/>
      </c>
      <c r="AN253" s="29">
        <f>UPPER(SUBSTITUTE(TRIM(F253)," ",""))</f>
        <v/>
      </c>
      <c r="AO253" s="29">
        <f>UPPER(SUBSTITUTE(TRIM(E253)," ",""))</f>
        <v/>
      </c>
      <c r="AP253" s="29">
        <f>IF(D253&lt;&gt;"",D253,IFERROR(VLOOKUP(MID(AG253,4,1),Lists!$E$2:$F$8,2,FALSE),""))</f>
        <v/>
      </c>
      <c r="AQ253" s="29">
        <f>IFERROR(VLOOKUP(AP253,Lists!$A$2:$C$12,3,FALSE),"")</f>
        <v/>
      </c>
      <c r="AR253" s="29">
        <f>COUNTIF(W253:AC253,"Yes")</f>
        <v/>
      </c>
      <c r="AS253" s="29">
        <f>IF(TRIM(B253)="","Legal name missing; ","")&amp;IF(AND(AJ253&lt;&gt;"",AJ253&lt;&gt;"OK"),"GSTIN: "&amp;AJ253&amp;"; ","")&amp;IF(AND(AK253&lt;&gt;"",AK253&lt;&gt;"OK"),"PAN wrong format; ","")&amp;IF(AND(AO253&lt;&gt;"",LEN(AN253)=15,MID(AN253,3,10)&lt;&gt;AO253),"PAN does not match GSTIN; ","")&amp;IF(AND(AL253&lt;&gt;"",AL253&lt;&gt;"OK"),"TAN wrong format; ","")&amp;IF(AG253="","PAN missing; ","")&amp;IF(AP253="","Entity type missing; ","")&amp;IF(AND(AN253&lt;&gt;"",COUNTIF($AN$6:$AN$1005,AN253)&gt;1),"GSTIN repeated in this sheet; ","")&amp;IF(AND(AG253&lt;&gt;"",COUNTIF($AG$6:$AG$1005,AG253)&gt;1),"PAN repeated in this sheet (same client? put extra GSTINs in Other GSTINs); ","")&amp;IF(AND(AR253&gt;0,V253=""),"Financial year missing; ","")&amp;IF(AND(AR253=0,V253&lt;&gt;""),"Financial year given but no service is Yes; ","")&amp;IF(AND(W253="Yes",AN253=""),"GST needs a GSTIN; ","")&amp;IF(AND(W253="Yes",X253=""),"GST return frequency missing; ","")&amp;IF(AND(Y253="Yes",TRIM(H253)=""),"TDS needs a TAN; ","")&amp;IF(AND(AA253="Yes",AQ253&lt;&gt;"",AQ253&lt;&gt;"company",AQ253&lt;&gt;"llp"),"ROC is only for a company / LLP; ","")&amp;IF(AND(AA253="Yes",OR(AQ253="company",AQ253="llp"),TRIM(I253)=""),"ROC needs the CIN / LLPIN; ","")</f>
        <v/>
      </c>
    </row>
    <row r="254">
      <c r="A254" s="30" t="n"/>
      <c r="B254" s="31" t="n"/>
      <c r="C254" s="31" t="n"/>
      <c r="D254" s="31" t="n"/>
      <c r="E254" s="30" t="n"/>
      <c r="F254" s="30" t="n"/>
      <c r="G254" s="30" t="n"/>
      <c r="H254" s="30" t="n"/>
      <c r="I254" s="30" t="n"/>
      <c r="J254" s="32" t="n"/>
      <c r="K254" s="31" t="n"/>
      <c r="L254" s="30" t="n"/>
      <c r="M254" s="31" t="n"/>
      <c r="N254" s="31" t="n"/>
      <c r="O254" s="31" t="n"/>
      <c r="P254" s="30" t="n"/>
      <c r="Q254" s="31" t="n"/>
      <c r="R254" s="31" t="n"/>
      <c r="S254" s="31" t="n"/>
      <c r="T254" s="31" t="n"/>
      <c r="U254" s="30" t="n"/>
      <c r="V254" s="31" t="n"/>
      <c r="W254" s="31" t="n"/>
      <c r="X254" s="31" t="n"/>
      <c r="Y254" s="31" t="n"/>
      <c r="Z254" s="31" t="n"/>
      <c r="AA254" s="31" t="n"/>
      <c r="AB254" s="31" t="n"/>
      <c r="AC254" s="31" t="n"/>
      <c r="AD254" s="31" t="n"/>
      <c r="AE254" s="31" t="n"/>
      <c r="AF254" s="27">
        <f>IF(NOT(COUNTA(A254:AE254)&gt;0),"",IF(A254="","New client","Update"))</f>
        <v/>
      </c>
      <c r="AG254" s="27">
        <f>IF(AO254&lt;&gt;"",AO254,IF(LEN(AN254)=15,MID(AN254,3,10),""))</f>
        <v/>
      </c>
      <c r="AH254" s="27">
        <f>IF(AP254="","",AP254&amp;IF(D254="","  (guessed from PAN)",""))</f>
        <v/>
      </c>
      <c r="AI254" s="27">
        <f>IF(AN254="","",IFERROR(INDEX(Lists!$L$2:$L$38,MATCH(LEFT(AN254,2),Lists!$K$2:$K$38,0)),"Unknown code"))</f>
        <v/>
      </c>
      <c r="AJ254" s="27">
        <f>IF(AN254="","",IFERROR(IF(NOT(AND(LEN(AN254)=15,ISNUMBER(MATCH(LEFT(AN254,2),Lists!$K$2:$K$38,0)),SUMPRODUCT(--ISERROR(FIND(MID(MID(AN254,3,10),{1,2,3,4,5,10},1),"ABCDEFGHIJKLMNOPQRSTUVWXYZ")))=0,SUMPRODUCT(--ISERROR(FIND(MID(MID(AN254,3,10),{6,7,8,9},1),"0123456789")))=0,ISNUMBER(FIND(MID(AN254,13,1),"123456789ABCDEFGHIJKLMNOPQRSTUVWXYZ")),MID(AN254,14,1)="Z")),"Wrong format",IF(MID("0123456789ABCDEFGHIJKLMNOPQRSTUVWXYZ",MOD(36-MOD(SUMPRODUCT(INT((FIND(MID(AN254,{1,2,3,4,5,6,7,8,9,10,11,12,13,14},1),"0123456789ABCDEFGHIJKLMNOPQRSTUVWXYZ")-1)*{1,2,1,2,1,2,1,2,1,2,1,2,1,2}/36)+MOD((FIND(MID(AN254,{1,2,3,4,5,6,7,8,9,10,11,12,13,14},1),"0123456789ABCDEFGHIJKLMNOPQRSTUVWXYZ")-1)*{1,2,1,2,1,2,1,2,1,2,1,2,1,2},36)),36),36)+1,1)=MID(AN254,15,1),"OK","Typo? check digit wrong")),"Wrong format"))</f>
        <v/>
      </c>
      <c r="AK254" s="27">
        <f>IF(AO254="","",IF(AND(LEN(AO254)=10,SUMPRODUCT(--ISERROR(FIND(MID(AO254,{1,2,3,4,5,10},1),"ABCDEFGHIJKLMNOPQRSTUVWXYZ")))=0,SUMPRODUCT(--ISERROR(FIND(MID(AO254,{6,7,8,9},1),"0123456789")))=0),"OK","Wrong format"))</f>
        <v/>
      </c>
      <c r="AL254" s="27">
        <f>IF(TRIM(H254)="","",IF(AND(LEN(UPPER(TRIM(H254)))=10,SUMPRODUCT(--ISERROR(FIND(MID(UPPER(TRIM(H254)),{1,2,3,4,10},1),"ABCDEFGHIJKLMNOPQRSTUVWXYZ")))=0,SUMPRODUCT(--ISERROR(FIND(MID(UPPER(TRIM(H254)),{5,6,7,8,9},1),"0123456789")))=0),"OK","Wrong format"))</f>
        <v/>
      </c>
      <c r="AM254" s="28">
        <f>IF(NOT(COUNTA(A254:AE254)&gt;0),"",IF(AS254&lt;&gt;"","✖ "&amp;LEFT(AS254,LEN(AS254)-2),IF(AR254&gt;0,"✔ Ready — client + "&amp;AR254&amp;" service(s)","✔ Ready — client only")))</f>
        <v/>
      </c>
      <c r="AN254" s="29">
        <f>UPPER(SUBSTITUTE(TRIM(F254)," ",""))</f>
        <v/>
      </c>
      <c r="AO254" s="29">
        <f>UPPER(SUBSTITUTE(TRIM(E254)," ",""))</f>
        <v/>
      </c>
      <c r="AP254" s="29">
        <f>IF(D254&lt;&gt;"",D254,IFERROR(VLOOKUP(MID(AG254,4,1),Lists!$E$2:$F$8,2,FALSE),""))</f>
        <v/>
      </c>
      <c r="AQ254" s="29">
        <f>IFERROR(VLOOKUP(AP254,Lists!$A$2:$C$12,3,FALSE),"")</f>
        <v/>
      </c>
      <c r="AR254" s="29">
        <f>COUNTIF(W254:AC254,"Yes")</f>
        <v/>
      </c>
      <c r="AS254" s="29">
        <f>IF(TRIM(B254)="","Legal name missing; ","")&amp;IF(AND(AJ254&lt;&gt;"",AJ254&lt;&gt;"OK"),"GSTIN: "&amp;AJ254&amp;"; ","")&amp;IF(AND(AK254&lt;&gt;"",AK254&lt;&gt;"OK"),"PAN wrong format; ","")&amp;IF(AND(AO254&lt;&gt;"",LEN(AN254)=15,MID(AN254,3,10)&lt;&gt;AO254),"PAN does not match GSTIN; ","")&amp;IF(AND(AL254&lt;&gt;"",AL254&lt;&gt;"OK"),"TAN wrong format; ","")&amp;IF(AG254="","PAN missing; ","")&amp;IF(AP254="","Entity type missing; ","")&amp;IF(AND(AN254&lt;&gt;"",COUNTIF($AN$6:$AN$1005,AN254)&gt;1),"GSTIN repeated in this sheet; ","")&amp;IF(AND(AG254&lt;&gt;"",COUNTIF($AG$6:$AG$1005,AG254)&gt;1),"PAN repeated in this sheet (same client? put extra GSTINs in Other GSTINs); ","")&amp;IF(AND(AR254&gt;0,V254=""),"Financial year missing; ","")&amp;IF(AND(AR254=0,V254&lt;&gt;""),"Financial year given but no service is Yes; ","")&amp;IF(AND(W254="Yes",AN254=""),"GST needs a GSTIN; ","")&amp;IF(AND(W254="Yes",X254=""),"GST return frequency missing; ","")&amp;IF(AND(Y254="Yes",TRIM(H254)=""),"TDS needs a TAN; ","")&amp;IF(AND(AA254="Yes",AQ254&lt;&gt;"",AQ254&lt;&gt;"company",AQ254&lt;&gt;"llp"),"ROC is only for a company / LLP; ","")&amp;IF(AND(AA254="Yes",OR(AQ254="company",AQ254="llp"),TRIM(I254)=""),"ROC needs the CIN / LLPIN; ","")</f>
        <v/>
      </c>
    </row>
    <row r="255">
      <c r="A255" s="30" t="n"/>
      <c r="B255" s="31" t="n"/>
      <c r="C255" s="31" t="n"/>
      <c r="D255" s="31" t="n"/>
      <c r="E255" s="30" t="n"/>
      <c r="F255" s="30" t="n"/>
      <c r="G255" s="30" t="n"/>
      <c r="H255" s="30" t="n"/>
      <c r="I255" s="30" t="n"/>
      <c r="J255" s="32" t="n"/>
      <c r="K255" s="31" t="n"/>
      <c r="L255" s="30" t="n"/>
      <c r="M255" s="31" t="n"/>
      <c r="N255" s="31" t="n"/>
      <c r="O255" s="31" t="n"/>
      <c r="P255" s="30" t="n"/>
      <c r="Q255" s="31" t="n"/>
      <c r="R255" s="31" t="n"/>
      <c r="S255" s="31" t="n"/>
      <c r="T255" s="31" t="n"/>
      <c r="U255" s="30" t="n"/>
      <c r="V255" s="31" t="n"/>
      <c r="W255" s="31" t="n"/>
      <c r="X255" s="31" t="n"/>
      <c r="Y255" s="31" t="n"/>
      <c r="Z255" s="31" t="n"/>
      <c r="AA255" s="31" t="n"/>
      <c r="AB255" s="31" t="n"/>
      <c r="AC255" s="31" t="n"/>
      <c r="AD255" s="31" t="n"/>
      <c r="AE255" s="31" t="n"/>
      <c r="AF255" s="27">
        <f>IF(NOT(COUNTA(A255:AE255)&gt;0),"",IF(A255="","New client","Update"))</f>
        <v/>
      </c>
      <c r="AG255" s="27">
        <f>IF(AO255&lt;&gt;"",AO255,IF(LEN(AN255)=15,MID(AN255,3,10),""))</f>
        <v/>
      </c>
      <c r="AH255" s="27">
        <f>IF(AP255="","",AP255&amp;IF(D255="","  (guessed from PAN)",""))</f>
        <v/>
      </c>
      <c r="AI255" s="27">
        <f>IF(AN255="","",IFERROR(INDEX(Lists!$L$2:$L$38,MATCH(LEFT(AN255,2),Lists!$K$2:$K$38,0)),"Unknown code"))</f>
        <v/>
      </c>
      <c r="AJ255" s="27">
        <f>IF(AN255="","",IFERROR(IF(NOT(AND(LEN(AN255)=15,ISNUMBER(MATCH(LEFT(AN255,2),Lists!$K$2:$K$38,0)),SUMPRODUCT(--ISERROR(FIND(MID(MID(AN255,3,10),{1,2,3,4,5,10},1),"ABCDEFGHIJKLMNOPQRSTUVWXYZ")))=0,SUMPRODUCT(--ISERROR(FIND(MID(MID(AN255,3,10),{6,7,8,9},1),"0123456789")))=0,ISNUMBER(FIND(MID(AN255,13,1),"123456789ABCDEFGHIJKLMNOPQRSTUVWXYZ")),MID(AN255,14,1)="Z")),"Wrong format",IF(MID("0123456789ABCDEFGHIJKLMNOPQRSTUVWXYZ",MOD(36-MOD(SUMPRODUCT(INT((FIND(MID(AN255,{1,2,3,4,5,6,7,8,9,10,11,12,13,14},1),"0123456789ABCDEFGHIJKLMNOPQRSTUVWXYZ")-1)*{1,2,1,2,1,2,1,2,1,2,1,2,1,2}/36)+MOD((FIND(MID(AN255,{1,2,3,4,5,6,7,8,9,10,11,12,13,14},1),"0123456789ABCDEFGHIJKLMNOPQRSTUVWXYZ")-1)*{1,2,1,2,1,2,1,2,1,2,1,2,1,2},36)),36),36)+1,1)=MID(AN255,15,1),"OK","Typo? check digit wrong")),"Wrong format"))</f>
        <v/>
      </c>
      <c r="AK255" s="27">
        <f>IF(AO255="","",IF(AND(LEN(AO255)=10,SUMPRODUCT(--ISERROR(FIND(MID(AO255,{1,2,3,4,5,10},1),"ABCDEFGHIJKLMNOPQRSTUVWXYZ")))=0,SUMPRODUCT(--ISERROR(FIND(MID(AO255,{6,7,8,9},1),"0123456789")))=0),"OK","Wrong format"))</f>
        <v/>
      </c>
      <c r="AL255" s="27">
        <f>IF(TRIM(H255)="","",IF(AND(LEN(UPPER(TRIM(H255)))=10,SUMPRODUCT(--ISERROR(FIND(MID(UPPER(TRIM(H255)),{1,2,3,4,10},1),"ABCDEFGHIJKLMNOPQRSTUVWXYZ")))=0,SUMPRODUCT(--ISERROR(FIND(MID(UPPER(TRIM(H255)),{5,6,7,8,9},1),"0123456789")))=0),"OK","Wrong format"))</f>
        <v/>
      </c>
      <c r="AM255" s="28">
        <f>IF(NOT(COUNTA(A255:AE255)&gt;0),"",IF(AS255&lt;&gt;"","✖ "&amp;LEFT(AS255,LEN(AS255)-2),IF(AR255&gt;0,"✔ Ready — client + "&amp;AR255&amp;" service(s)","✔ Ready — client only")))</f>
        <v/>
      </c>
      <c r="AN255" s="29">
        <f>UPPER(SUBSTITUTE(TRIM(F255)," ",""))</f>
        <v/>
      </c>
      <c r="AO255" s="29">
        <f>UPPER(SUBSTITUTE(TRIM(E255)," ",""))</f>
        <v/>
      </c>
      <c r="AP255" s="29">
        <f>IF(D255&lt;&gt;"",D255,IFERROR(VLOOKUP(MID(AG255,4,1),Lists!$E$2:$F$8,2,FALSE),""))</f>
        <v/>
      </c>
      <c r="AQ255" s="29">
        <f>IFERROR(VLOOKUP(AP255,Lists!$A$2:$C$12,3,FALSE),"")</f>
        <v/>
      </c>
      <c r="AR255" s="29">
        <f>COUNTIF(W255:AC255,"Yes")</f>
        <v/>
      </c>
      <c r="AS255" s="29">
        <f>IF(TRIM(B255)="","Legal name missing; ","")&amp;IF(AND(AJ255&lt;&gt;"",AJ255&lt;&gt;"OK"),"GSTIN: "&amp;AJ255&amp;"; ","")&amp;IF(AND(AK255&lt;&gt;"",AK255&lt;&gt;"OK"),"PAN wrong format; ","")&amp;IF(AND(AO255&lt;&gt;"",LEN(AN255)=15,MID(AN255,3,10)&lt;&gt;AO255),"PAN does not match GSTIN; ","")&amp;IF(AND(AL255&lt;&gt;"",AL255&lt;&gt;"OK"),"TAN wrong format; ","")&amp;IF(AG255="","PAN missing; ","")&amp;IF(AP255="","Entity type missing; ","")&amp;IF(AND(AN255&lt;&gt;"",COUNTIF($AN$6:$AN$1005,AN255)&gt;1),"GSTIN repeated in this sheet; ","")&amp;IF(AND(AG255&lt;&gt;"",COUNTIF($AG$6:$AG$1005,AG255)&gt;1),"PAN repeated in this sheet (same client? put extra GSTINs in Other GSTINs); ","")&amp;IF(AND(AR255&gt;0,V255=""),"Financial year missing; ","")&amp;IF(AND(AR255=0,V255&lt;&gt;""),"Financial year given but no service is Yes; ","")&amp;IF(AND(W255="Yes",AN255=""),"GST needs a GSTIN; ","")&amp;IF(AND(W255="Yes",X255=""),"GST return frequency missing; ","")&amp;IF(AND(Y255="Yes",TRIM(H255)=""),"TDS needs a TAN; ","")&amp;IF(AND(AA255="Yes",AQ255&lt;&gt;"",AQ255&lt;&gt;"company",AQ255&lt;&gt;"llp"),"ROC is only for a company / LLP; ","")&amp;IF(AND(AA255="Yes",OR(AQ255="company",AQ255="llp"),TRIM(I255)=""),"ROC needs the CIN / LLPIN; ","")</f>
        <v/>
      </c>
    </row>
    <row r="256">
      <c r="A256" s="30" t="n"/>
      <c r="B256" s="31" t="n"/>
      <c r="C256" s="31" t="n"/>
      <c r="D256" s="31" t="n"/>
      <c r="E256" s="30" t="n"/>
      <c r="F256" s="30" t="n"/>
      <c r="G256" s="30" t="n"/>
      <c r="H256" s="30" t="n"/>
      <c r="I256" s="30" t="n"/>
      <c r="J256" s="32" t="n"/>
      <c r="K256" s="31" t="n"/>
      <c r="L256" s="30" t="n"/>
      <c r="M256" s="31" t="n"/>
      <c r="N256" s="31" t="n"/>
      <c r="O256" s="31" t="n"/>
      <c r="P256" s="30" t="n"/>
      <c r="Q256" s="31" t="n"/>
      <c r="R256" s="31" t="n"/>
      <c r="S256" s="31" t="n"/>
      <c r="T256" s="31" t="n"/>
      <c r="U256" s="30" t="n"/>
      <c r="V256" s="31" t="n"/>
      <c r="W256" s="31" t="n"/>
      <c r="X256" s="31" t="n"/>
      <c r="Y256" s="31" t="n"/>
      <c r="Z256" s="31" t="n"/>
      <c r="AA256" s="31" t="n"/>
      <c r="AB256" s="31" t="n"/>
      <c r="AC256" s="31" t="n"/>
      <c r="AD256" s="31" t="n"/>
      <c r="AE256" s="31" t="n"/>
      <c r="AF256" s="27">
        <f>IF(NOT(COUNTA(A256:AE256)&gt;0),"",IF(A256="","New client","Update"))</f>
        <v/>
      </c>
      <c r="AG256" s="27">
        <f>IF(AO256&lt;&gt;"",AO256,IF(LEN(AN256)=15,MID(AN256,3,10),""))</f>
        <v/>
      </c>
      <c r="AH256" s="27">
        <f>IF(AP256="","",AP256&amp;IF(D256="","  (guessed from PAN)",""))</f>
        <v/>
      </c>
      <c r="AI256" s="27">
        <f>IF(AN256="","",IFERROR(INDEX(Lists!$L$2:$L$38,MATCH(LEFT(AN256,2),Lists!$K$2:$K$38,0)),"Unknown code"))</f>
        <v/>
      </c>
      <c r="AJ256" s="27">
        <f>IF(AN256="","",IFERROR(IF(NOT(AND(LEN(AN256)=15,ISNUMBER(MATCH(LEFT(AN256,2),Lists!$K$2:$K$38,0)),SUMPRODUCT(--ISERROR(FIND(MID(MID(AN256,3,10),{1,2,3,4,5,10},1),"ABCDEFGHIJKLMNOPQRSTUVWXYZ")))=0,SUMPRODUCT(--ISERROR(FIND(MID(MID(AN256,3,10),{6,7,8,9},1),"0123456789")))=0,ISNUMBER(FIND(MID(AN256,13,1),"123456789ABCDEFGHIJKLMNOPQRSTUVWXYZ")),MID(AN256,14,1)="Z")),"Wrong format",IF(MID("0123456789ABCDEFGHIJKLMNOPQRSTUVWXYZ",MOD(36-MOD(SUMPRODUCT(INT((FIND(MID(AN256,{1,2,3,4,5,6,7,8,9,10,11,12,13,14},1),"0123456789ABCDEFGHIJKLMNOPQRSTUVWXYZ")-1)*{1,2,1,2,1,2,1,2,1,2,1,2,1,2}/36)+MOD((FIND(MID(AN256,{1,2,3,4,5,6,7,8,9,10,11,12,13,14},1),"0123456789ABCDEFGHIJKLMNOPQRSTUVWXYZ")-1)*{1,2,1,2,1,2,1,2,1,2,1,2,1,2},36)),36),36)+1,1)=MID(AN256,15,1),"OK","Typo? check digit wrong")),"Wrong format"))</f>
        <v/>
      </c>
      <c r="AK256" s="27">
        <f>IF(AO256="","",IF(AND(LEN(AO256)=10,SUMPRODUCT(--ISERROR(FIND(MID(AO256,{1,2,3,4,5,10},1),"ABCDEFGHIJKLMNOPQRSTUVWXYZ")))=0,SUMPRODUCT(--ISERROR(FIND(MID(AO256,{6,7,8,9},1),"0123456789")))=0),"OK","Wrong format"))</f>
        <v/>
      </c>
      <c r="AL256" s="27">
        <f>IF(TRIM(H256)="","",IF(AND(LEN(UPPER(TRIM(H256)))=10,SUMPRODUCT(--ISERROR(FIND(MID(UPPER(TRIM(H256)),{1,2,3,4,10},1),"ABCDEFGHIJKLMNOPQRSTUVWXYZ")))=0,SUMPRODUCT(--ISERROR(FIND(MID(UPPER(TRIM(H256)),{5,6,7,8,9},1),"0123456789")))=0),"OK","Wrong format"))</f>
        <v/>
      </c>
      <c r="AM256" s="28">
        <f>IF(NOT(COUNTA(A256:AE256)&gt;0),"",IF(AS256&lt;&gt;"","✖ "&amp;LEFT(AS256,LEN(AS256)-2),IF(AR256&gt;0,"✔ Ready — client + "&amp;AR256&amp;" service(s)","✔ Ready — client only")))</f>
        <v/>
      </c>
      <c r="AN256" s="29">
        <f>UPPER(SUBSTITUTE(TRIM(F256)," ",""))</f>
        <v/>
      </c>
      <c r="AO256" s="29">
        <f>UPPER(SUBSTITUTE(TRIM(E256)," ",""))</f>
        <v/>
      </c>
      <c r="AP256" s="29">
        <f>IF(D256&lt;&gt;"",D256,IFERROR(VLOOKUP(MID(AG256,4,1),Lists!$E$2:$F$8,2,FALSE),""))</f>
        <v/>
      </c>
      <c r="AQ256" s="29">
        <f>IFERROR(VLOOKUP(AP256,Lists!$A$2:$C$12,3,FALSE),"")</f>
        <v/>
      </c>
      <c r="AR256" s="29">
        <f>COUNTIF(W256:AC256,"Yes")</f>
        <v/>
      </c>
      <c r="AS256" s="29">
        <f>IF(TRIM(B256)="","Legal name missing; ","")&amp;IF(AND(AJ256&lt;&gt;"",AJ256&lt;&gt;"OK"),"GSTIN: "&amp;AJ256&amp;"; ","")&amp;IF(AND(AK256&lt;&gt;"",AK256&lt;&gt;"OK"),"PAN wrong format; ","")&amp;IF(AND(AO256&lt;&gt;"",LEN(AN256)=15,MID(AN256,3,10)&lt;&gt;AO256),"PAN does not match GSTIN; ","")&amp;IF(AND(AL256&lt;&gt;"",AL256&lt;&gt;"OK"),"TAN wrong format; ","")&amp;IF(AG256="","PAN missing; ","")&amp;IF(AP256="","Entity type missing; ","")&amp;IF(AND(AN256&lt;&gt;"",COUNTIF($AN$6:$AN$1005,AN256)&gt;1),"GSTIN repeated in this sheet; ","")&amp;IF(AND(AG256&lt;&gt;"",COUNTIF($AG$6:$AG$1005,AG256)&gt;1),"PAN repeated in this sheet (same client? put extra GSTINs in Other GSTINs); ","")&amp;IF(AND(AR256&gt;0,V256=""),"Financial year missing; ","")&amp;IF(AND(AR256=0,V256&lt;&gt;""),"Financial year given but no service is Yes; ","")&amp;IF(AND(W256="Yes",AN256=""),"GST needs a GSTIN; ","")&amp;IF(AND(W256="Yes",X256=""),"GST return frequency missing; ","")&amp;IF(AND(Y256="Yes",TRIM(H256)=""),"TDS needs a TAN; ","")&amp;IF(AND(AA256="Yes",AQ256&lt;&gt;"",AQ256&lt;&gt;"company",AQ256&lt;&gt;"llp"),"ROC is only for a company / LLP; ","")&amp;IF(AND(AA256="Yes",OR(AQ256="company",AQ256="llp"),TRIM(I256)=""),"ROC needs the CIN / LLPIN; ","")</f>
        <v/>
      </c>
    </row>
    <row r="257">
      <c r="A257" s="30" t="n"/>
      <c r="B257" s="31" t="n"/>
      <c r="C257" s="31" t="n"/>
      <c r="D257" s="31" t="n"/>
      <c r="E257" s="30" t="n"/>
      <c r="F257" s="30" t="n"/>
      <c r="G257" s="30" t="n"/>
      <c r="H257" s="30" t="n"/>
      <c r="I257" s="30" t="n"/>
      <c r="J257" s="32" t="n"/>
      <c r="K257" s="31" t="n"/>
      <c r="L257" s="30" t="n"/>
      <c r="M257" s="31" t="n"/>
      <c r="N257" s="31" t="n"/>
      <c r="O257" s="31" t="n"/>
      <c r="P257" s="30" t="n"/>
      <c r="Q257" s="31" t="n"/>
      <c r="R257" s="31" t="n"/>
      <c r="S257" s="31" t="n"/>
      <c r="T257" s="31" t="n"/>
      <c r="U257" s="30" t="n"/>
      <c r="V257" s="31" t="n"/>
      <c r="W257" s="31" t="n"/>
      <c r="X257" s="31" t="n"/>
      <c r="Y257" s="31" t="n"/>
      <c r="Z257" s="31" t="n"/>
      <c r="AA257" s="31" t="n"/>
      <c r="AB257" s="31" t="n"/>
      <c r="AC257" s="31" t="n"/>
      <c r="AD257" s="31" t="n"/>
      <c r="AE257" s="31" t="n"/>
      <c r="AF257" s="27">
        <f>IF(NOT(COUNTA(A257:AE257)&gt;0),"",IF(A257="","New client","Update"))</f>
        <v/>
      </c>
      <c r="AG257" s="27">
        <f>IF(AO257&lt;&gt;"",AO257,IF(LEN(AN257)=15,MID(AN257,3,10),""))</f>
        <v/>
      </c>
      <c r="AH257" s="27">
        <f>IF(AP257="","",AP257&amp;IF(D257="","  (guessed from PAN)",""))</f>
        <v/>
      </c>
      <c r="AI257" s="27">
        <f>IF(AN257="","",IFERROR(INDEX(Lists!$L$2:$L$38,MATCH(LEFT(AN257,2),Lists!$K$2:$K$38,0)),"Unknown code"))</f>
        <v/>
      </c>
      <c r="AJ257" s="27">
        <f>IF(AN257="","",IFERROR(IF(NOT(AND(LEN(AN257)=15,ISNUMBER(MATCH(LEFT(AN257,2),Lists!$K$2:$K$38,0)),SUMPRODUCT(--ISERROR(FIND(MID(MID(AN257,3,10),{1,2,3,4,5,10},1),"ABCDEFGHIJKLMNOPQRSTUVWXYZ")))=0,SUMPRODUCT(--ISERROR(FIND(MID(MID(AN257,3,10),{6,7,8,9},1),"0123456789")))=0,ISNUMBER(FIND(MID(AN257,13,1),"123456789ABCDEFGHIJKLMNOPQRSTUVWXYZ")),MID(AN257,14,1)="Z")),"Wrong format",IF(MID("0123456789ABCDEFGHIJKLMNOPQRSTUVWXYZ",MOD(36-MOD(SUMPRODUCT(INT((FIND(MID(AN257,{1,2,3,4,5,6,7,8,9,10,11,12,13,14},1),"0123456789ABCDEFGHIJKLMNOPQRSTUVWXYZ")-1)*{1,2,1,2,1,2,1,2,1,2,1,2,1,2}/36)+MOD((FIND(MID(AN257,{1,2,3,4,5,6,7,8,9,10,11,12,13,14},1),"0123456789ABCDEFGHIJKLMNOPQRSTUVWXYZ")-1)*{1,2,1,2,1,2,1,2,1,2,1,2,1,2},36)),36),36)+1,1)=MID(AN257,15,1),"OK","Typo? check digit wrong")),"Wrong format"))</f>
        <v/>
      </c>
      <c r="AK257" s="27">
        <f>IF(AO257="","",IF(AND(LEN(AO257)=10,SUMPRODUCT(--ISERROR(FIND(MID(AO257,{1,2,3,4,5,10},1),"ABCDEFGHIJKLMNOPQRSTUVWXYZ")))=0,SUMPRODUCT(--ISERROR(FIND(MID(AO257,{6,7,8,9},1),"0123456789")))=0),"OK","Wrong format"))</f>
        <v/>
      </c>
      <c r="AL257" s="27">
        <f>IF(TRIM(H257)="","",IF(AND(LEN(UPPER(TRIM(H257)))=10,SUMPRODUCT(--ISERROR(FIND(MID(UPPER(TRIM(H257)),{1,2,3,4,10},1),"ABCDEFGHIJKLMNOPQRSTUVWXYZ")))=0,SUMPRODUCT(--ISERROR(FIND(MID(UPPER(TRIM(H257)),{5,6,7,8,9},1),"0123456789")))=0),"OK","Wrong format"))</f>
        <v/>
      </c>
      <c r="AM257" s="28">
        <f>IF(NOT(COUNTA(A257:AE257)&gt;0),"",IF(AS257&lt;&gt;"","✖ "&amp;LEFT(AS257,LEN(AS257)-2),IF(AR257&gt;0,"✔ Ready — client + "&amp;AR257&amp;" service(s)","✔ Ready — client only")))</f>
        <v/>
      </c>
      <c r="AN257" s="29">
        <f>UPPER(SUBSTITUTE(TRIM(F257)," ",""))</f>
        <v/>
      </c>
      <c r="AO257" s="29">
        <f>UPPER(SUBSTITUTE(TRIM(E257)," ",""))</f>
        <v/>
      </c>
      <c r="AP257" s="29">
        <f>IF(D257&lt;&gt;"",D257,IFERROR(VLOOKUP(MID(AG257,4,1),Lists!$E$2:$F$8,2,FALSE),""))</f>
        <v/>
      </c>
      <c r="AQ257" s="29">
        <f>IFERROR(VLOOKUP(AP257,Lists!$A$2:$C$12,3,FALSE),"")</f>
        <v/>
      </c>
      <c r="AR257" s="29">
        <f>COUNTIF(W257:AC257,"Yes")</f>
        <v/>
      </c>
      <c r="AS257" s="29">
        <f>IF(TRIM(B257)="","Legal name missing; ","")&amp;IF(AND(AJ257&lt;&gt;"",AJ257&lt;&gt;"OK"),"GSTIN: "&amp;AJ257&amp;"; ","")&amp;IF(AND(AK257&lt;&gt;"",AK257&lt;&gt;"OK"),"PAN wrong format; ","")&amp;IF(AND(AO257&lt;&gt;"",LEN(AN257)=15,MID(AN257,3,10)&lt;&gt;AO257),"PAN does not match GSTIN; ","")&amp;IF(AND(AL257&lt;&gt;"",AL257&lt;&gt;"OK"),"TAN wrong format; ","")&amp;IF(AG257="","PAN missing; ","")&amp;IF(AP257="","Entity type missing; ","")&amp;IF(AND(AN257&lt;&gt;"",COUNTIF($AN$6:$AN$1005,AN257)&gt;1),"GSTIN repeated in this sheet; ","")&amp;IF(AND(AG257&lt;&gt;"",COUNTIF($AG$6:$AG$1005,AG257)&gt;1),"PAN repeated in this sheet (same client? put extra GSTINs in Other GSTINs); ","")&amp;IF(AND(AR257&gt;0,V257=""),"Financial year missing; ","")&amp;IF(AND(AR257=0,V257&lt;&gt;""),"Financial year given but no service is Yes; ","")&amp;IF(AND(W257="Yes",AN257=""),"GST needs a GSTIN; ","")&amp;IF(AND(W257="Yes",X257=""),"GST return frequency missing; ","")&amp;IF(AND(Y257="Yes",TRIM(H257)=""),"TDS needs a TAN; ","")&amp;IF(AND(AA257="Yes",AQ257&lt;&gt;"",AQ257&lt;&gt;"company",AQ257&lt;&gt;"llp"),"ROC is only for a company / LLP; ","")&amp;IF(AND(AA257="Yes",OR(AQ257="company",AQ257="llp"),TRIM(I257)=""),"ROC needs the CIN / LLPIN; ","")</f>
        <v/>
      </c>
    </row>
    <row r="258">
      <c r="A258" s="30" t="n"/>
      <c r="B258" s="31" t="n"/>
      <c r="C258" s="31" t="n"/>
      <c r="D258" s="31" t="n"/>
      <c r="E258" s="30" t="n"/>
      <c r="F258" s="30" t="n"/>
      <c r="G258" s="30" t="n"/>
      <c r="H258" s="30" t="n"/>
      <c r="I258" s="30" t="n"/>
      <c r="J258" s="32" t="n"/>
      <c r="K258" s="31" t="n"/>
      <c r="L258" s="30" t="n"/>
      <c r="M258" s="31" t="n"/>
      <c r="N258" s="31" t="n"/>
      <c r="O258" s="31" t="n"/>
      <c r="P258" s="30" t="n"/>
      <c r="Q258" s="31" t="n"/>
      <c r="R258" s="31" t="n"/>
      <c r="S258" s="31" t="n"/>
      <c r="T258" s="31" t="n"/>
      <c r="U258" s="30" t="n"/>
      <c r="V258" s="31" t="n"/>
      <c r="W258" s="31" t="n"/>
      <c r="X258" s="31" t="n"/>
      <c r="Y258" s="31" t="n"/>
      <c r="Z258" s="31" t="n"/>
      <c r="AA258" s="31" t="n"/>
      <c r="AB258" s="31" t="n"/>
      <c r="AC258" s="31" t="n"/>
      <c r="AD258" s="31" t="n"/>
      <c r="AE258" s="31" t="n"/>
      <c r="AF258" s="27">
        <f>IF(NOT(COUNTA(A258:AE258)&gt;0),"",IF(A258="","New client","Update"))</f>
        <v/>
      </c>
      <c r="AG258" s="27">
        <f>IF(AO258&lt;&gt;"",AO258,IF(LEN(AN258)=15,MID(AN258,3,10),""))</f>
        <v/>
      </c>
      <c r="AH258" s="27">
        <f>IF(AP258="","",AP258&amp;IF(D258="","  (guessed from PAN)",""))</f>
        <v/>
      </c>
      <c r="AI258" s="27">
        <f>IF(AN258="","",IFERROR(INDEX(Lists!$L$2:$L$38,MATCH(LEFT(AN258,2),Lists!$K$2:$K$38,0)),"Unknown code"))</f>
        <v/>
      </c>
      <c r="AJ258" s="27">
        <f>IF(AN258="","",IFERROR(IF(NOT(AND(LEN(AN258)=15,ISNUMBER(MATCH(LEFT(AN258,2),Lists!$K$2:$K$38,0)),SUMPRODUCT(--ISERROR(FIND(MID(MID(AN258,3,10),{1,2,3,4,5,10},1),"ABCDEFGHIJKLMNOPQRSTUVWXYZ")))=0,SUMPRODUCT(--ISERROR(FIND(MID(MID(AN258,3,10),{6,7,8,9},1),"0123456789")))=0,ISNUMBER(FIND(MID(AN258,13,1),"123456789ABCDEFGHIJKLMNOPQRSTUVWXYZ")),MID(AN258,14,1)="Z")),"Wrong format",IF(MID("0123456789ABCDEFGHIJKLMNOPQRSTUVWXYZ",MOD(36-MOD(SUMPRODUCT(INT((FIND(MID(AN258,{1,2,3,4,5,6,7,8,9,10,11,12,13,14},1),"0123456789ABCDEFGHIJKLMNOPQRSTUVWXYZ")-1)*{1,2,1,2,1,2,1,2,1,2,1,2,1,2}/36)+MOD((FIND(MID(AN258,{1,2,3,4,5,6,7,8,9,10,11,12,13,14},1),"0123456789ABCDEFGHIJKLMNOPQRSTUVWXYZ")-1)*{1,2,1,2,1,2,1,2,1,2,1,2,1,2},36)),36),36)+1,1)=MID(AN258,15,1),"OK","Typo? check digit wrong")),"Wrong format"))</f>
        <v/>
      </c>
      <c r="AK258" s="27">
        <f>IF(AO258="","",IF(AND(LEN(AO258)=10,SUMPRODUCT(--ISERROR(FIND(MID(AO258,{1,2,3,4,5,10},1),"ABCDEFGHIJKLMNOPQRSTUVWXYZ")))=0,SUMPRODUCT(--ISERROR(FIND(MID(AO258,{6,7,8,9},1),"0123456789")))=0),"OK","Wrong format"))</f>
        <v/>
      </c>
      <c r="AL258" s="27">
        <f>IF(TRIM(H258)="","",IF(AND(LEN(UPPER(TRIM(H258)))=10,SUMPRODUCT(--ISERROR(FIND(MID(UPPER(TRIM(H258)),{1,2,3,4,10},1),"ABCDEFGHIJKLMNOPQRSTUVWXYZ")))=0,SUMPRODUCT(--ISERROR(FIND(MID(UPPER(TRIM(H258)),{5,6,7,8,9},1),"0123456789")))=0),"OK","Wrong format"))</f>
        <v/>
      </c>
      <c r="AM258" s="28">
        <f>IF(NOT(COUNTA(A258:AE258)&gt;0),"",IF(AS258&lt;&gt;"","✖ "&amp;LEFT(AS258,LEN(AS258)-2),IF(AR258&gt;0,"✔ Ready — client + "&amp;AR258&amp;" service(s)","✔ Ready — client only")))</f>
        <v/>
      </c>
      <c r="AN258" s="29">
        <f>UPPER(SUBSTITUTE(TRIM(F258)," ",""))</f>
        <v/>
      </c>
      <c r="AO258" s="29">
        <f>UPPER(SUBSTITUTE(TRIM(E258)," ",""))</f>
        <v/>
      </c>
      <c r="AP258" s="29">
        <f>IF(D258&lt;&gt;"",D258,IFERROR(VLOOKUP(MID(AG258,4,1),Lists!$E$2:$F$8,2,FALSE),""))</f>
        <v/>
      </c>
      <c r="AQ258" s="29">
        <f>IFERROR(VLOOKUP(AP258,Lists!$A$2:$C$12,3,FALSE),"")</f>
        <v/>
      </c>
      <c r="AR258" s="29">
        <f>COUNTIF(W258:AC258,"Yes")</f>
        <v/>
      </c>
      <c r="AS258" s="29">
        <f>IF(TRIM(B258)="","Legal name missing; ","")&amp;IF(AND(AJ258&lt;&gt;"",AJ258&lt;&gt;"OK"),"GSTIN: "&amp;AJ258&amp;"; ","")&amp;IF(AND(AK258&lt;&gt;"",AK258&lt;&gt;"OK"),"PAN wrong format; ","")&amp;IF(AND(AO258&lt;&gt;"",LEN(AN258)=15,MID(AN258,3,10)&lt;&gt;AO258),"PAN does not match GSTIN; ","")&amp;IF(AND(AL258&lt;&gt;"",AL258&lt;&gt;"OK"),"TAN wrong format; ","")&amp;IF(AG258="","PAN missing; ","")&amp;IF(AP258="","Entity type missing; ","")&amp;IF(AND(AN258&lt;&gt;"",COUNTIF($AN$6:$AN$1005,AN258)&gt;1),"GSTIN repeated in this sheet; ","")&amp;IF(AND(AG258&lt;&gt;"",COUNTIF($AG$6:$AG$1005,AG258)&gt;1),"PAN repeated in this sheet (same client? put extra GSTINs in Other GSTINs); ","")&amp;IF(AND(AR258&gt;0,V258=""),"Financial year missing; ","")&amp;IF(AND(AR258=0,V258&lt;&gt;""),"Financial year given but no service is Yes; ","")&amp;IF(AND(W258="Yes",AN258=""),"GST needs a GSTIN; ","")&amp;IF(AND(W258="Yes",X258=""),"GST return frequency missing; ","")&amp;IF(AND(Y258="Yes",TRIM(H258)=""),"TDS needs a TAN; ","")&amp;IF(AND(AA258="Yes",AQ258&lt;&gt;"",AQ258&lt;&gt;"company",AQ258&lt;&gt;"llp"),"ROC is only for a company / LLP; ","")&amp;IF(AND(AA258="Yes",OR(AQ258="company",AQ258="llp"),TRIM(I258)=""),"ROC needs the CIN / LLPIN; ","")</f>
        <v/>
      </c>
    </row>
    <row r="259">
      <c r="A259" s="30" t="n"/>
      <c r="B259" s="31" t="n"/>
      <c r="C259" s="31" t="n"/>
      <c r="D259" s="31" t="n"/>
      <c r="E259" s="30" t="n"/>
      <c r="F259" s="30" t="n"/>
      <c r="G259" s="30" t="n"/>
      <c r="H259" s="30" t="n"/>
      <c r="I259" s="30" t="n"/>
      <c r="J259" s="32" t="n"/>
      <c r="K259" s="31" t="n"/>
      <c r="L259" s="30" t="n"/>
      <c r="M259" s="31" t="n"/>
      <c r="N259" s="31" t="n"/>
      <c r="O259" s="31" t="n"/>
      <c r="P259" s="30" t="n"/>
      <c r="Q259" s="31" t="n"/>
      <c r="R259" s="31" t="n"/>
      <c r="S259" s="31" t="n"/>
      <c r="T259" s="31" t="n"/>
      <c r="U259" s="30" t="n"/>
      <c r="V259" s="31" t="n"/>
      <c r="W259" s="31" t="n"/>
      <c r="X259" s="31" t="n"/>
      <c r="Y259" s="31" t="n"/>
      <c r="Z259" s="31" t="n"/>
      <c r="AA259" s="31" t="n"/>
      <c r="AB259" s="31" t="n"/>
      <c r="AC259" s="31" t="n"/>
      <c r="AD259" s="31" t="n"/>
      <c r="AE259" s="31" t="n"/>
      <c r="AF259" s="27">
        <f>IF(NOT(COUNTA(A259:AE259)&gt;0),"",IF(A259="","New client","Update"))</f>
        <v/>
      </c>
      <c r="AG259" s="27">
        <f>IF(AO259&lt;&gt;"",AO259,IF(LEN(AN259)=15,MID(AN259,3,10),""))</f>
        <v/>
      </c>
      <c r="AH259" s="27">
        <f>IF(AP259="","",AP259&amp;IF(D259="","  (guessed from PAN)",""))</f>
        <v/>
      </c>
      <c r="AI259" s="27">
        <f>IF(AN259="","",IFERROR(INDEX(Lists!$L$2:$L$38,MATCH(LEFT(AN259,2),Lists!$K$2:$K$38,0)),"Unknown code"))</f>
        <v/>
      </c>
      <c r="AJ259" s="27">
        <f>IF(AN259="","",IFERROR(IF(NOT(AND(LEN(AN259)=15,ISNUMBER(MATCH(LEFT(AN259,2),Lists!$K$2:$K$38,0)),SUMPRODUCT(--ISERROR(FIND(MID(MID(AN259,3,10),{1,2,3,4,5,10},1),"ABCDEFGHIJKLMNOPQRSTUVWXYZ")))=0,SUMPRODUCT(--ISERROR(FIND(MID(MID(AN259,3,10),{6,7,8,9},1),"0123456789")))=0,ISNUMBER(FIND(MID(AN259,13,1),"123456789ABCDEFGHIJKLMNOPQRSTUVWXYZ")),MID(AN259,14,1)="Z")),"Wrong format",IF(MID("0123456789ABCDEFGHIJKLMNOPQRSTUVWXYZ",MOD(36-MOD(SUMPRODUCT(INT((FIND(MID(AN259,{1,2,3,4,5,6,7,8,9,10,11,12,13,14},1),"0123456789ABCDEFGHIJKLMNOPQRSTUVWXYZ")-1)*{1,2,1,2,1,2,1,2,1,2,1,2,1,2}/36)+MOD((FIND(MID(AN259,{1,2,3,4,5,6,7,8,9,10,11,12,13,14},1),"0123456789ABCDEFGHIJKLMNOPQRSTUVWXYZ")-1)*{1,2,1,2,1,2,1,2,1,2,1,2,1,2},36)),36),36)+1,1)=MID(AN259,15,1),"OK","Typo? check digit wrong")),"Wrong format"))</f>
        <v/>
      </c>
      <c r="AK259" s="27">
        <f>IF(AO259="","",IF(AND(LEN(AO259)=10,SUMPRODUCT(--ISERROR(FIND(MID(AO259,{1,2,3,4,5,10},1),"ABCDEFGHIJKLMNOPQRSTUVWXYZ")))=0,SUMPRODUCT(--ISERROR(FIND(MID(AO259,{6,7,8,9},1),"0123456789")))=0),"OK","Wrong format"))</f>
        <v/>
      </c>
      <c r="AL259" s="27">
        <f>IF(TRIM(H259)="","",IF(AND(LEN(UPPER(TRIM(H259)))=10,SUMPRODUCT(--ISERROR(FIND(MID(UPPER(TRIM(H259)),{1,2,3,4,10},1),"ABCDEFGHIJKLMNOPQRSTUVWXYZ")))=0,SUMPRODUCT(--ISERROR(FIND(MID(UPPER(TRIM(H259)),{5,6,7,8,9},1),"0123456789")))=0),"OK","Wrong format"))</f>
        <v/>
      </c>
      <c r="AM259" s="28">
        <f>IF(NOT(COUNTA(A259:AE259)&gt;0),"",IF(AS259&lt;&gt;"","✖ "&amp;LEFT(AS259,LEN(AS259)-2),IF(AR259&gt;0,"✔ Ready — client + "&amp;AR259&amp;" service(s)","✔ Ready — client only")))</f>
        <v/>
      </c>
      <c r="AN259" s="29">
        <f>UPPER(SUBSTITUTE(TRIM(F259)," ",""))</f>
        <v/>
      </c>
      <c r="AO259" s="29">
        <f>UPPER(SUBSTITUTE(TRIM(E259)," ",""))</f>
        <v/>
      </c>
      <c r="AP259" s="29">
        <f>IF(D259&lt;&gt;"",D259,IFERROR(VLOOKUP(MID(AG259,4,1),Lists!$E$2:$F$8,2,FALSE),""))</f>
        <v/>
      </c>
      <c r="AQ259" s="29">
        <f>IFERROR(VLOOKUP(AP259,Lists!$A$2:$C$12,3,FALSE),"")</f>
        <v/>
      </c>
      <c r="AR259" s="29">
        <f>COUNTIF(W259:AC259,"Yes")</f>
        <v/>
      </c>
      <c r="AS259" s="29">
        <f>IF(TRIM(B259)="","Legal name missing; ","")&amp;IF(AND(AJ259&lt;&gt;"",AJ259&lt;&gt;"OK"),"GSTIN: "&amp;AJ259&amp;"; ","")&amp;IF(AND(AK259&lt;&gt;"",AK259&lt;&gt;"OK"),"PAN wrong format; ","")&amp;IF(AND(AO259&lt;&gt;"",LEN(AN259)=15,MID(AN259,3,10)&lt;&gt;AO259),"PAN does not match GSTIN; ","")&amp;IF(AND(AL259&lt;&gt;"",AL259&lt;&gt;"OK"),"TAN wrong format; ","")&amp;IF(AG259="","PAN missing; ","")&amp;IF(AP259="","Entity type missing; ","")&amp;IF(AND(AN259&lt;&gt;"",COUNTIF($AN$6:$AN$1005,AN259)&gt;1),"GSTIN repeated in this sheet; ","")&amp;IF(AND(AG259&lt;&gt;"",COUNTIF($AG$6:$AG$1005,AG259)&gt;1),"PAN repeated in this sheet (same client? put extra GSTINs in Other GSTINs); ","")&amp;IF(AND(AR259&gt;0,V259=""),"Financial year missing; ","")&amp;IF(AND(AR259=0,V259&lt;&gt;""),"Financial year given but no service is Yes; ","")&amp;IF(AND(W259="Yes",AN259=""),"GST needs a GSTIN; ","")&amp;IF(AND(W259="Yes",X259=""),"GST return frequency missing; ","")&amp;IF(AND(Y259="Yes",TRIM(H259)=""),"TDS needs a TAN; ","")&amp;IF(AND(AA259="Yes",AQ259&lt;&gt;"",AQ259&lt;&gt;"company",AQ259&lt;&gt;"llp"),"ROC is only for a company / LLP; ","")&amp;IF(AND(AA259="Yes",OR(AQ259="company",AQ259="llp"),TRIM(I259)=""),"ROC needs the CIN / LLPIN; ","")</f>
        <v/>
      </c>
    </row>
    <row r="260">
      <c r="A260" s="30" t="n"/>
      <c r="B260" s="31" t="n"/>
      <c r="C260" s="31" t="n"/>
      <c r="D260" s="31" t="n"/>
      <c r="E260" s="30" t="n"/>
      <c r="F260" s="30" t="n"/>
      <c r="G260" s="30" t="n"/>
      <c r="H260" s="30" t="n"/>
      <c r="I260" s="30" t="n"/>
      <c r="J260" s="32" t="n"/>
      <c r="K260" s="31" t="n"/>
      <c r="L260" s="30" t="n"/>
      <c r="M260" s="31" t="n"/>
      <c r="N260" s="31" t="n"/>
      <c r="O260" s="31" t="n"/>
      <c r="P260" s="30" t="n"/>
      <c r="Q260" s="31" t="n"/>
      <c r="R260" s="31" t="n"/>
      <c r="S260" s="31" t="n"/>
      <c r="T260" s="31" t="n"/>
      <c r="U260" s="30" t="n"/>
      <c r="V260" s="31" t="n"/>
      <c r="W260" s="31" t="n"/>
      <c r="X260" s="31" t="n"/>
      <c r="Y260" s="31" t="n"/>
      <c r="Z260" s="31" t="n"/>
      <c r="AA260" s="31" t="n"/>
      <c r="AB260" s="31" t="n"/>
      <c r="AC260" s="31" t="n"/>
      <c r="AD260" s="31" t="n"/>
      <c r="AE260" s="31" t="n"/>
      <c r="AF260" s="27">
        <f>IF(NOT(COUNTA(A260:AE260)&gt;0),"",IF(A260="","New client","Update"))</f>
        <v/>
      </c>
      <c r="AG260" s="27">
        <f>IF(AO260&lt;&gt;"",AO260,IF(LEN(AN260)=15,MID(AN260,3,10),""))</f>
        <v/>
      </c>
      <c r="AH260" s="27">
        <f>IF(AP260="","",AP260&amp;IF(D260="","  (guessed from PAN)",""))</f>
        <v/>
      </c>
      <c r="AI260" s="27">
        <f>IF(AN260="","",IFERROR(INDEX(Lists!$L$2:$L$38,MATCH(LEFT(AN260,2),Lists!$K$2:$K$38,0)),"Unknown code"))</f>
        <v/>
      </c>
      <c r="AJ260" s="27">
        <f>IF(AN260="","",IFERROR(IF(NOT(AND(LEN(AN260)=15,ISNUMBER(MATCH(LEFT(AN260,2),Lists!$K$2:$K$38,0)),SUMPRODUCT(--ISERROR(FIND(MID(MID(AN260,3,10),{1,2,3,4,5,10},1),"ABCDEFGHIJKLMNOPQRSTUVWXYZ")))=0,SUMPRODUCT(--ISERROR(FIND(MID(MID(AN260,3,10),{6,7,8,9},1),"0123456789")))=0,ISNUMBER(FIND(MID(AN260,13,1),"123456789ABCDEFGHIJKLMNOPQRSTUVWXYZ")),MID(AN260,14,1)="Z")),"Wrong format",IF(MID("0123456789ABCDEFGHIJKLMNOPQRSTUVWXYZ",MOD(36-MOD(SUMPRODUCT(INT((FIND(MID(AN260,{1,2,3,4,5,6,7,8,9,10,11,12,13,14},1),"0123456789ABCDEFGHIJKLMNOPQRSTUVWXYZ")-1)*{1,2,1,2,1,2,1,2,1,2,1,2,1,2}/36)+MOD((FIND(MID(AN260,{1,2,3,4,5,6,7,8,9,10,11,12,13,14},1),"0123456789ABCDEFGHIJKLMNOPQRSTUVWXYZ")-1)*{1,2,1,2,1,2,1,2,1,2,1,2,1,2},36)),36),36)+1,1)=MID(AN260,15,1),"OK","Typo? check digit wrong")),"Wrong format"))</f>
        <v/>
      </c>
      <c r="AK260" s="27">
        <f>IF(AO260="","",IF(AND(LEN(AO260)=10,SUMPRODUCT(--ISERROR(FIND(MID(AO260,{1,2,3,4,5,10},1),"ABCDEFGHIJKLMNOPQRSTUVWXYZ")))=0,SUMPRODUCT(--ISERROR(FIND(MID(AO260,{6,7,8,9},1),"0123456789")))=0),"OK","Wrong format"))</f>
        <v/>
      </c>
      <c r="AL260" s="27">
        <f>IF(TRIM(H260)="","",IF(AND(LEN(UPPER(TRIM(H260)))=10,SUMPRODUCT(--ISERROR(FIND(MID(UPPER(TRIM(H260)),{1,2,3,4,10},1),"ABCDEFGHIJKLMNOPQRSTUVWXYZ")))=0,SUMPRODUCT(--ISERROR(FIND(MID(UPPER(TRIM(H260)),{5,6,7,8,9},1),"0123456789")))=0),"OK","Wrong format"))</f>
        <v/>
      </c>
      <c r="AM260" s="28">
        <f>IF(NOT(COUNTA(A260:AE260)&gt;0),"",IF(AS260&lt;&gt;"","✖ "&amp;LEFT(AS260,LEN(AS260)-2),IF(AR260&gt;0,"✔ Ready — client + "&amp;AR260&amp;" service(s)","✔ Ready — client only")))</f>
        <v/>
      </c>
      <c r="AN260" s="29">
        <f>UPPER(SUBSTITUTE(TRIM(F260)," ",""))</f>
        <v/>
      </c>
      <c r="AO260" s="29">
        <f>UPPER(SUBSTITUTE(TRIM(E260)," ",""))</f>
        <v/>
      </c>
      <c r="AP260" s="29">
        <f>IF(D260&lt;&gt;"",D260,IFERROR(VLOOKUP(MID(AG260,4,1),Lists!$E$2:$F$8,2,FALSE),""))</f>
        <v/>
      </c>
      <c r="AQ260" s="29">
        <f>IFERROR(VLOOKUP(AP260,Lists!$A$2:$C$12,3,FALSE),"")</f>
        <v/>
      </c>
      <c r="AR260" s="29">
        <f>COUNTIF(W260:AC260,"Yes")</f>
        <v/>
      </c>
      <c r="AS260" s="29">
        <f>IF(TRIM(B260)="","Legal name missing; ","")&amp;IF(AND(AJ260&lt;&gt;"",AJ260&lt;&gt;"OK"),"GSTIN: "&amp;AJ260&amp;"; ","")&amp;IF(AND(AK260&lt;&gt;"",AK260&lt;&gt;"OK"),"PAN wrong format; ","")&amp;IF(AND(AO260&lt;&gt;"",LEN(AN260)=15,MID(AN260,3,10)&lt;&gt;AO260),"PAN does not match GSTIN; ","")&amp;IF(AND(AL260&lt;&gt;"",AL260&lt;&gt;"OK"),"TAN wrong format; ","")&amp;IF(AG260="","PAN missing; ","")&amp;IF(AP260="","Entity type missing; ","")&amp;IF(AND(AN260&lt;&gt;"",COUNTIF($AN$6:$AN$1005,AN260)&gt;1),"GSTIN repeated in this sheet; ","")&amp;IF(AND(AG260&lt;&gt;"",COUNTIF($AG$6:$AG$1005,AG260)&gt;1),"PAN repeated in this sheet (same client? put extra GSTINs in Other GSTINs); ","")&amp;IF(AND(AR260&gt;0,V260=""),"Financial year missing; ","")&amp;IF(AND(AR260=0,V260&lt;&gt;""),"Financial year given but no service is Yes; ","")&amp;IF(AND(W260="Yes",AN260=""),"GST needs a GSTIN; ","")&amp;IF(AND(W260="Yes",X260=""),"GST return frequency missing; ","")&amp;IF(AND(Y260="Yes",TRIM(H260)=""),"TDS needs a TAN; ","")&amp;IF(AND(AA260="Yes",AQ260&lt;&gt;"",AQ260&lt;&gt;"company",AQ260&lt;&gt;"llp"),"ROC is only for a company / LLP; ","")&amp;IF(AND(AA260="Yes",OR(AQ260="company",AQ260="llp"),TRIM(I260)=""),"ROC needs the CIN / LLPIN; ","")</f>
        <v/>
      </c>
    </row>
    <row r="261">
      <c r="A261" s="30" t="n"/>
      <c r="B261" s="31" t="n"/>
      <c r="C261" s="31" t="n"/>
      <c r="D261" s="31" t="n"/>
      <c r="E261" s="30" t="n"/>
      <c r="F261" s="30" t="n"/>
      <c r="G261" s="30" t="n"/>
      <c r="H261" s="30" t="n"/>
      <c r="I261" s="30" t="n"/>
      <c r="J261" s="32" t="n"/>
      <c r="K261" s="31" t="n"/>
      <c r="L261" s="30" t="n"/>
      <c r="M261" s="31" t="n"/>
      <c r="N261" s="31" t="n"/>
      <c r="O261" s="31" t="n"/>
      <c r="P261" s="30" t="n"/>
      <c r="Q261" s="31" t="n"/>
      <c r="R261" s="31" t="n"/>
      <c r="S261" s="31" t="n"/>
      <c r="T261" s="31" t="n"/>
      <c r="U261" s="30" t="n"/>
      <c r="V261" s="31" t="n"/>
      <c r="W261" s="31" t="n"/>
      <c r="X261" s="31" t="n"/>
      <c r="Y261" s="31" t="n"/>
      <c r="Z261" s="31" t="n"/>
      <c r="AA261" s="31" t="n"/>
      <c r="AB261" s="31" t="n"/>
      <c r="AC261" s="31" t="n"/>
      <c r="AD261" s="31" t="n"/>
      <c r="AE261" s="31" t="n"/>
      <c r="AF261" s="27">
        <f>IF(NOT(COUNTA(A261:AE261)&gt;0),"",IF(A261="","New client","Update"))</f>
        <v/>
      </c>
      <c r="AG261" s="27">
        <f>IF(AO261&lt;&gt;"",AO261,IF(LEN(AN261)=15,MID(AN261,3,10),""))</f>
        <v/>
      </c>
      <c r="AH261" s="27">
        <f>IF(AP261="","",AP261&amp;IF(D261="","  (guessed from PAN)",""))</f>
        <v/>
      </c>
      <c r="AI261" s="27">
        <f>IF(AN261="","",IFERROR(INDEX(Lists!$L$2:$L$38,MATCH(LEFT(AN261,2),Lists!$K$2:$K$38,0)),"Unknown code"))</f>
        <v/>
      </c>
      <c r="AJ261" s="27">
        <f>IF(AN261="","",IFERROR(IF(NOT(AND(LEN(AN261)=15,ISNUMBER(MATCH(LEFT(AN261,2),Lists!$K$2:$K$38,0)),SUMPRODUCT(--ISERROR(FIND(MID(MID(AN261,3,10),{1,2,3,4,5,10},1),"ABCDEFGHIJKLMNOPQRSTUVWXYZ")))=0,SUMPRODUCT(--ISERROR(FIND(MID(MID(AN261,3,10),{6,7,8,9},1),"0123456789")))=0,ISNUMBER(FIND(MID(AN261,13,1),"123456789ABCDEFGHIJKLMNOPQRSTUVWXYZ")),MID(AN261,14,1)="Z")),"Wrong format",IF(MID("0123456789ABCDEFGHIJKLMNOPQRSTUVWXYZ",MOD(36-MOD(SUMPRODUCT(INT((FIND(MID(AN261,{1,2,3,4,5,6,7,8,9,10,11,12,13,14},1),"0123456789ABCDEFGHIJKLMNOPQRSTUVWXYZ")-1)*{1,2,1,2,1,2,1,2,1,2,1,2,1,2}/36)+MOD((FIND(MID(AN261,{1,2,3,4,5,6,7,8,9,10,11,12,13,14},1),"0123456789ABCDEFGHIJKLMNOPQRSTUVWXYZ")-1)*{1,2,1,2,1,2,1,2,1,2,1,2,1,2},36)),36),36)+1,1)=MID(AN261,15,1),"OK","Typo? check digit wrong")),"Wrong format"))</f>
        <v/>
      </c>
      <c r="AK261" s="27">
        <f>IF(AO261="","",IF(AND(LEN(AO261)=10,SUMPRODUCT(--ISERROR(FIND(MID(AO261,{1,2,3,4,5,10},1),"ABCDEFGHIJKLMNOPQRSTUVWXYZ")))=0,SUMPRODUCT(--ISERROR(FIND(MID(AO261,{6,7,8,9},1),"0123456789")))=0),"OK","Wrong format"))</f>
        <v/>
      </c>
      <c r="AL261" s="27">
        <f>IF(TRIM(H261)="","",IF(AND(LEN(UPPER(TRIM(H261)))=10,SUMPRODUCT(--ISERROR(FIND(MID(UPPER(TRIM(H261)),{1,2,3,4,10},1),"ABCDEFGHIJKLMNOPQRSTUVWXYZ")))=0,SUMPRODUCT(--ISERROR(FIND(MID(UPPER(TRIM(H261)),{5,6,7,8,9},1),"0123456789")))=0),"OK","Wrong format"))</f>
        <v/>
      </c>
      <c r="AM261" s="28">
        <f>IF(NOT(COUNTA(A261:AE261)&gt;0),"",IF(AS261&lt;&gt;"","✖ "&amp;LEFT(AS261,LEN(AS261)-2),IF(AR261&gt;0,"✔ Ready — client + "&amp;AR261&amp;" service(s)","✔ Ready — client only")))</f>
        <v/>
      </c>
      <c r="AN261" s="29">
        <f>UPPER(SUBSTITUTE(TRIM(F261)," ",""))</f>
        <v/>
      </c>
      <c r="AO261" s="29">
        <f>UPPER(SUBSTITUTE(TRIM(E261)," ",""))</f>
        <v/>
      </c>
      <c r="AP261" s="29">
        <f>IF(D261&lt;&gt;"",D261,IFERROR(VLOOKUP(MID(AG261,4,1),Lists!$E$2:$F$8,2,FALSE),""))</f>
        <v/>
      </c>
      <c r="AQ261" s="29">
        <f>IFERROR(VLOOKUP(AP261,Lists!$A$2:$C$12,3,FALSE),"")</f>
        <v/>
      </c>
      <c r="AR261" s="29">
        <f>COUNTIF(W261:AC261,"Yes")</f>
        <v/>
      </c>
      <c r="AS261" s="29">
        <f>IF(TRIM(B261)="","Legal name missing; ","")&amp;IF(AND(AJ261&lt;&gt;"",AJ261&lt;&gt;"OK"),"GSTIN: "&amp;AJ261&amp;"; ","")&amp;IF(AND(AK261&lt;&gt;"",AK261&lt;&gt;"OK"),"PAN wrong format; ","")&amp;IF(AND(AO261&lt;&gt;"",LEN(AN261)=15,MID(AN261,3,10)&lt;&gt;AO261),"PAN does not match GSTIN; ","")&amp;IF(AND(AL261&lt;&gt;"",AL261&lt;&gt;"OK"),"TAN wrong format; ","")&amp;IF(AG261="","PAN missing; ","")&amp;IF(AP261="","Entity type missing; ","")&amp;IF(AND(AN261&lt;&gt;"",COUNTIF($AN$6:$AN$1005,AN261)&gt;1),"GSTIN repeated in this sheet; ","")&amp;IF(AND(AG261&lt;&gt;"",COUNTIF($AG$6:$AG$1005,AG261)&gt;1),"PAN repeated in this sheet (same client? put extra GSTINs in Other GSTINs); ","")&amp;IF(AND(AR261&gt;0,V261=""),"Financial year missing; ","")&amp;IF(AND(AR261=0,V261&lt;&gt;""),"Financial year given but no service is Yes; ","")&amp;IF(AND(W261="Yes",AN261=""),"GST needs a GSTIN; ","")&amp;IF(AND(W261="Yes",X261=""),"GST return frequency missing; ","")&amp;IF(AND(Y261="Yes",TRIM(H261)=""),"TDS needs a TAN; ","")&amp;IF(AND(AA261="Yes",AQ261&lt;&gt;"",AQ261&lt;&gt;"company",AQ261&lt;&gt;"llp"),"ROC is only for a company / LLP; ","")&amp;IF(AND(AA261="Yes",OR(AQ261="company",AQ261="llp"),TRIM(I261)=""),"ROC needs the CIN / LLPIN; ","")</f>
        <v/>
      </c>
    </row>
    <row r="262">
      <c r="A262" s="30" t="n"/>
      <c r="B262" s="31" t="n"/>
      <c r="C262" s="31" t="n"/>
      <c r="D262" s="31" t="n"/>
      <c r="E262" s="30" t="n"/>
      <c r="F262" s="30" t="n"/>
      <c r="G262" s="30" t="n"/>
      <c r="H262" s="30" t="n"/>
      <c r="I262" s="30" t="n"/>
      <c r="J262" s="32" t="n"/>
      <c r="K262" s="31" t="n"/>
      <c r="L262" s="30" t="n"/>
      <c r="M262" s="31" t="n"/>
      <c r="N262" s="31" t="n"/>
      <c r="O262" s="31" t="n"/>
      <c r="P262" s="30" t="n"/>
      <c r="Q262" s="31" t="n"/>
      <c r="R262" s="31" t="n"/>
      <c r="S262" s="31" t="n"/>
      <c r="T262" s="31" t="n"/>
      <c r="U262" s="30" t="n"/>
      <c r="V262" s="31" t="n"/>
      <c r="W262" s="31" t="n"/>
      <c r="X262" s="31" t="n"/>
      <c r="Y262" s="31" t="n"/>
      <c r="Z262" s="31" t="n"/>
      <c r="AA262" s="31" t="n"/>
      <c r="AB262" s="31" t="n"/>
      <c r="AC262" s="31" t="n"/>
      <c r="AD262" s="31" t="n"/>
      <c r="AE262" s="31" t="n"/>
      <c r="AF262" s="27">
        <f>IF(NOT(COUNTA(A262:AE262)&gt;0),"",IF(A262="","New client","Update"))</f>
        <v/>
      </c>
      <c r="AG262" s="27">
        <f>IF(AO262&lt;&gt;"",AO262,IF(LEN(AN262)=15,MID(AN262,3,10),""))</f>
        <v/>
      </c>
      <c r="AH262" s="27">
        <f>IF(AP262="","",AP262&amp;IF(D262="","  (guessed from PAN)",""))</f>
        <v/>
      </c>
      <c r="AI262" s="27">
        <f>IF(AN262="","",IFERROR(INDEX(Lists!$L$2:$L$38,MATCH(LEFT(AN262,2),Lists!$K$2:$K$38,0)),"Unknown code"))</f>
        <v/>
      </c>
      <c r="AJ262" s="27">
        <f>IF(AN262="","",IFERROR(IF(NOT(AND(LEN(AN262)=15,ISNUMBER(MATCH(LEFT(AN262,2),Lists!$K$2:$K$38,0)),SUMPRODUCT(--ISERROR(FIND(MID(MID(AN262,3,10),{1,2,3,4,5,10},1),"ABCDEFGHIJKLMNOPQRSTUVWXYZ")))=0,SUMPRODUCT(--ISERROR(FIND(MID(MID(AN262,3,10),{6,7,8,9},1),"0123456789")))=0,ISNUMBER(FIND(MID(AN262,13,1),"123456789ABCDEFGHIJKLMNOPQRSTUVWXYZ")),MID(AN262,14,1)="Z")),"Wrong format",IF(MID("0123456789ABCDEFGHIJKLMNOPQRSTUVWXYZ",MOD(36-MOD(SUMPRODUCT(INT((FIND(MID(AN262,{1,2,3,4,5,6,7,8,9,10,11,12,13,14},1),"0123456789ABCDEFGHIJKLMNOPQRSTUVWXYZ")-1)*{1,2,1,2,1,2,1,2,1,2,1,2,1,2}/36)+MOD((FIND(MID(AN262,{1,2,3,4,5,6,7,8,9,10,11,12,13,14},1),"0123456789ABCDEFGHIJKLMNOPQRSTUVWXYZ")-1)*{1,2,1,2,1,2,1,2,1,2,1,2,1,2},36)),36),36)+1,1)=MID(AN262,15,1),"OK","Typo? check digit wrong")),"Wrong format"))</f>
        <v/>
      </c>
      <c r="AK262" s="27">
        <f>IF(AO262="","",IF(AND(LEN(AO262)=10,SUMPRODUCT(--ISERROR(FIND(MID(AO262,{1,2,3,4,5,10},1),"ABCDEFGHIJKLMNOPQRSTUVWXYZ")))=0,SUMPRODUCT(--ISERROR(FIND(MID(AO262,{6,7,8,9},1),"0123456789")))=0),"OK","Wrong format"))</f>
        <v/>
      </c>
      <c r="AL262" s="27">
        <f>IF(TRIM(H262)="","",IF(AND(LEN(UPPER(TRIM(H262)))=10,SUMPRODUCT(--ISERROR(FIND(MID(UPPER(TRIM(H262)),{1,2,3,4,10},1),"ABCDEFGHIJKLMNOPQRSTUVWXYZ")))=0,SUMPRODUCT(--ISERROR(FIND(MID(UPPER(TRIM(H262)),{5,6,7,8,9},1),"0123456789")))=0),"OK","Wrong format"))</f>
        <v/>
      </c>
      <c r="AM262" s="28">
        <f>IF(NOT(COUNTA(A262:AE262)&gt;0),"",IF(AS262&lt;&gt;"","✖ "&amp;LEFT(AS262,LEN(AS262)-2),IF(AR262&gt;0,"✔ Ready — client + "&amp;AR262&amp;" service(s)","✔ Ready — client only")))</f>
        <v/>
      </c>
      <c r="AN262" s="29">
        <f>UPPER(SUBSTITUTE(TRIM(F262)," ",""))</f>
        <v/>
      </c>
      <c r="AO262" s="29">
        <f>UPPER(SUBSTITUTE(TRIM(E262)," ",""))</f>
        <v/>
      </c>
      <c r="AP262" s="29">
        <f>IF(D262&lt;&gt;"",D262,IFERROR(VLOOKUP(MID(AG262,4,1),Lists!$E$2:$F$8,2,FALSE),""))</f>
        <v/>
      </c>
      <c r="AQ262" s="29">
        <f>IFERROR(VLOOKUP(AP262,Lists!$A$2:$C$12,3,FALSE),"")</f>
        <v/>
      </c>
      <c r="AR262" s="29">
        <f>COUNTIF(W262:AC262,"Yes")</f>
        <v/>
      </c>
      <c r="AS262" s="29">
        <f>IF(TRIM(B262)="","Legal name missing; ","")&amp;IF(AND(AJ262&lt;&gt;"",AJ262&lt;&gt;"OK"),"GSTIN: "&amp;AJ262&amp;"; ","")&amp;IF(AND(AK262&lt;&gt;"",AK262&lt;&gt;"OK"),"PAN wrong format; ","")&amp;IF(AND(AO262&lt;&gt;"",LEN(AN262)=15,MID(AN262,3,10)&lt;&gt;AO262),"PAN does not match GSTIN; ","")&amp;IF(AND(AL262&lt;&gt;"",AL262&lt;&gt;"OK"),"TAN wrong format; ","")&amp;IF(AG262="","PAN missing; ","")&amp;IF(AP262="","Entity type missing; ","")&amp;IF(AND(AN262&lt;&gt;"",COUNTIF($AN$6:$AN$1005,AN262)&gt;1),"GSTIN repeated in this sheet; ","")&amp;IF(AND(AG262&lt;&gt;"",COUNTIF($AG$6:$AG$1005,AG262)&gt;1),"PAN repeated in this sheet (same client? put extra GSTINs in Other GSTINs); ","")&amp;IF(AND(AR262&gt;0,V262=""),"Financial year missing; ","")&amp;IF(AND(AR262=0,V262&lt;&gt;""),"Financial year given but no service is Yes; ","")&amp;IF(AND(W262="Yes",AN262=""),"GST needs a GSTIN; ","")&amp;IF(AND(W262="Yes",X262=""),"GST return frequency missing; ","")&amp;IF(AND(Y262="Yes",TRIM(H262)=""),"TDS needs a TAN; ","")&amp;IF(AND(AA262="Yes",AQ262&lt;&gt;"",AQ262&lt;&gt;"company",AQ262&lt;&gt;"llp"),"ROC is only for a company / LLP; ","")&amp;IF(AND(AA262="Yes",OR(AQ262="company",AQ262="llp"),TRIM(I262)=""),"ROC needs the CIN / LLPIN; ","")</f>
        <v/>
      </c>
    </row>
    <row r="263">
      <c r="A263" s="30" t="n"/>
      <c r="B263" s="31" t="n"/>
      <c r="C263" s="31" t="n"/>
      <c r="D263" s="31" t="n"/>
      <c r="E263" s="30" t="n"/>
      <c r="F263" s="30" t="n"/>
      <c r="G263" s="30" t="n"/>
      <c r="H263" s="30" t="n"/>
      <c r="I263" s="30" t="n"/>
      <c r="J263" s="32" t="n"/>
      <c r="K263" s="31" t="n"/>
      <c r="L263" s="30" t="n"/>
      <c r="M263" s="31" t="n"/>
      <c r="N263" s="31" t="n"/>
      <c r="O263" s="31" t="n"/>
      <c r="P263" s="30" t="n"/>
      <c r="Q263" s="31" t="n"/>
      <c r="R263" s="31" t="n"/>
      <c r="S263" s="31" t="n"/>
      <c r="T263" s="31" t="n"/>
      <c r="U263" s="30" t="n"/>
      <c r="V263" s="31" t="n"/>
      <c r="W263" s="31" t="n"/>
      <c r="X263" s="31" t="n"/>
      <c r="Y263" s="31" t="n"/>
      <c r="Z263" s="31" t="n"/>
      <c r="AA263" s="31" t="n"/>
      <c r="AB263" s="31" t="n"/>
      <c r="AC263" s="31" t="n"/>
      <c r="AD263" s="31" t="n"/>
      <c r="AE263" s="31" t="n"/>
      <c r="AF263" s="27">
        <f>IF(NOT(COUNTA(A263:AE263)&gt;0),"",IF(A263="","New client","Update"))</f>
        <v/>
      </c>
      <c r="AG263" s="27">
        <f>IF(AO263&lt;&gt;"",AO263,IF(LEN(AN263)=15,MID(AN263,3,10),""))</f>
        <v/>
      </c>
      <c r="AH263" s="27">
        <f>IF(AP263="","",AP263&amp;IF(D263="","  (guessed from PAN)",""))</f>
        <v/>
      </c>
      <c r="AI263" s="27">
        <f>IF(AN263="","",IFERROR(INDEX(Lists!$L$2:$L$38,MATCH(LEFT(AN263,2),Lists!$K$2:$K$38,0)),"Unknown code"))</f>
        <v/>
      </c>
      <c r="AJ263" s="27">
        <f>IF(AN263="","",IFERROR(IF(NOT(AND(LEN(AN263)=15,ISNUMBER(MATCH(LEFT(AN263,2),Lists!$K$2:$K$38,0)),SUMPRODUCT(--ISERROR(FIND(MID(MID(AN263,3,10),{1,2,3,4,5,10},1),"ABCDEFGHIJKLMNOPQRSTUVWXYZ")))=0,SUMPRODUCT(--ISERROR(FIND(MID(MID(AN263,3,10),{6,7,8,9},1),"0123456789")))=0,ISNUMBER(FIND(MID(AN263,13,1),"123456789ABCDEFGHIJKLMNOPQRSTUVWXYZ")),MID(AN263,14,1)="Z")),"Wrong format",IF(MID("0123456789ABCDEFGHIJKLMNOPQRSTUVWXYZ",MOD(36-MOD(SUMPRODUCT(INT((FIND(MID(AN263,{1,2,3,4,5,6,7,8,9,10,11,12,13,14},1),"0123456789ABCDEFGHIJKLMNOPQRSTUVWXYZ")-1)*{1,2,1,2,1,2,1,2,1,2,1,2,1,2}/36)+MOD((FIND(MID(AN263,{1,2,3,4,5,6,7,8,9,10,11,12,13,14},1),"0123456789ABCDEFGHIJKLMNOPQRSTUVWXYZ")-1)*{1,2,1,2,1,2,1,2,1,2,1,2,1,2},36)),36),36)+1,1)=MID(AN263,15,1),"OK","Typo? check digit wrong")),"Wrong format"))</f>
        <v/>
      </c>
      <c r="AK263" s="27">
        <f>IF(AO263="","",IF(AND(LEN(AO263)=10,SUMPRODUCT(--ISERROR(FIND(MID(AO263,{1,2,3,4,5,10},1),"ABCDEFGHIJKLMNOPQRSTUVWXYZ")))=0,SUMPRODUCT(--ISERROR(FIND(MID(AO263,{6,7,8,9},1),"0123456789")))=0),"OK","Wrong format"))</f>
        <v/>
      </c>
      <c r="AL263" s="27">
        <f>IF(TRIM(H263)="","",IF(AND(LEN(UPPER(TRIM(H263)))=10,SUMPRODUCT(--ISERROR(FIND(MID(UPPER(TRIM(H263)),{1,2,3,4,10},1),"ABCDEFGHIJKLMNOPQRSTUVWXYZ")))=0,SUMPRODUCT(--ISERROR(FIND(MID(UPPER(TRIM(H263)),{5,6,7,8,9},1),"0123456789")))=0),"OK","Wrong format"))</f>
        <v/>
      </c>
      <c r="AM263" s="28">
        <f>IF(NOT(COUNTA(A263:AE263)&gt;0),"",IF(AS263&lt;&gt;"","✖ "&amp;LEFT(AS263,LEN(AS263)-2),IF(AR263&gt;0,"✔ Ready — client + "&amp;AR263&amp;" service(s)","✔ Ready — client only")))</f>
        <v/>
      </c>
      <c r="AN263" s="29">
        <f>UPPER(SUBSTITUTE(TRIM(F263)," ",""))</f>
        <v/>
      </c>
      <c r="AO263" s="29">
        <f>UPPER(SUBSTITUTE(TRIM(E263)," ",""))</f>
        <v/>
      </c>
      <c r="AP263" s="29">
        <f>IF(D263&lt;&gt;"",D263,IFERROR(VLOOKUP(MID(AG263,4,1),Lists!$E$2:$F$8,2,FALSE),""))</f>
        <v/>
      </c>
      <c r="AQ263" s="29">
        <f>IFERROR(VLOOKUP(AP263,Lists!$A$2:$C$12,3,FALSE),"")</f>
        <v/>
      </c>
      <c r="AR263" s="29">
        <f>COUNTIF(W263:AC263,"Yes")</f>
        <v/>
      </c>
      <c r="AS263" s="29">
        <f>IF(TRIM(B263)="","Legal name missing; ","")&amp;IF(AND(AJ263&lt;&gt;"",AJ263&lt;&gt;"OK"),"GSTIN: "&amp;AJ263&amp;"; ","")&amp;IF(AND(AK263&lt;&gt;"",AK263&lt;&gt;"OK"),"PAN wrong format; ","")&amp;IF(AND(AO263&lt;&gt;"",LEN(AN263)=15,MID(AN263,3,10)&lt;&gt;AO263),"PAN does not match GSTIN; ","")&amp;IF(AND(AL263&lt;&gt;"",AL263&lt;&gt;"OK"),"TAN wrong format; ","")&amp;IF(AG263="","PAN missing; ","")&amp;IF(AP263="","Entity type missing; ","")&amp;IF(AND(AN263&lt;&gt;"",COUNTIF($AN$6:$AN$1005,AN263)&gt;1),"GSTIN repeated in this sheet; ","")&amp;IF(AND(AG263&lt;&gt;"",COUNTIF($AG$6:$AG$1005,AG263)&gt;1),"PAN repeated in this sheet (same client? put extra GSTINs in Other GSTINs); ","")&amp;IF(AND(AR263&gt;0,V263=""),"Financial year missing; ","")&amp;IF(AND(AR263=0,V263&lt;&gt;""),"Financial year given but no service is Yes; ","")&amp;IF(AND(W263="Yes",AN263=""),"GST needs a GSTIN; ","")&amp;IF(AND(W263="Yes",X263=""),"GST return frequency missing; ","")&amp;IF(AND(Y263="Yes",TRIM(H263)=""),"TDS needs a TAN; ","")&amp;IF(AND(AA263="Yes",AQ263&lt;&gt;"",AQ263&lt;&gt;"company",AQ263&lt;&gt;"llp"),"ROC is only for a company / LLP; ","")&amp;IF(AND(AA263="Yes",OR(AQ263="company",AQ263="llp"),TRIM(I263)=""),"ROC needs the CIN / LLPIN; ","")</f>
        <v/>
      </c>
    </row>
    <row r="264">
      <c r="A264" s="30" t="n"/>
      <c r="B264" s="31" t="n"/>
      <c r="C264" s="31" t="n"/>
      <c r="D264" s="31" t="n"/>
      <c r="E264" s="30" t="n"/>
      <c r="F264" s="30" t="n"/>
      <c r="G264" s="30" t="n"/>
      <c r="H264" s="30" t="n"/>
      <c r="I264" s="30" t="n"/>
      <c r="J264" s="32" t="n"/>
      <c r="K264" s="31" t="n"/>
      <c r="L264" s="30" t="n"/>
      <c r="M264" s="31" t="n"/>
      <c r="N264" s="31" t="n"/>
      <c r="O264" s="31" t="n"/>
      <c r="P264" s="30" t="n"/>
      <c r="Q264" s="31" t="n"/>
      <c r="R264" s="31" t="n"/>
      <c r="S264" s="31" t="n"/>
      <c r="T264" s="31" t="n"/>
      <c r="U264" s="30" t="n"/>
      <c r="V264" s="31" t="n"/>
      <c r="W264" s="31" t="n"/>
      <c r="X264" s="31" t="n"/>
      <c r="Y264" s="31" t="n"/>
      <c r="Z264" s="31" t="n"/>
      <c r="AA264" s="31" t="n"/>
      <c r="AB264" s="31" t="n"/>
      <c r="AC264" s="31" t="n"/>
      <c r="AD264" s="31" t="n"/>
      <c r="AE264" s="31" t="n"/>
      <c r="AF264" s="27">
        <f>IF(NOT(COUNTA(A264:AE264)&gt;0),"",IF(A264="","New client","Update"))</f>
        <v/>
      </c>
      <c r="AG264" s="27">
        <f>IF(AO264&lt;&gt;"",AO264,IF(LEN(AN264)=15,MID(AN264,3,10),""))</f>
        <v/>
      </c>
      <c r="AH264" s="27">
        <f>IF(AP264="","",AP264&amp;IF(D264="","  (guessed from PAN)",""))</f>
        <v/>
      </c>
      <c r="AI264" s="27">
        <f>IF(AN264="","",IFERROR(INDEX(Lists!$L$2:$L$38,MATCH(LEFT(AN264,2),Lists!$K$2:$K$38,0)),"Unknown code"))</f>
        <v/>
      </c>
      <c r="AJ264" s="27">
        <f>IF(AN264="","",IFERROR(IF(NOT(AND(LEN(AN264)=15,ISNUMBER(MATCH(LEFT(AN264,2),Lists!$K$2:$K$38,0)),SUMPRODUCT(--ISERROR(FIND(MID(MID(AN264,3,10),{1,2,3,4,5,10},1),"ABCDEFGHIJKLMNOPQRSTUVWXYZ")))=0,SUMPRODUCT(--ISERROR(FIND(MID(MID(AN264,3,10),{6,7,8,9},1),"0123456789")))=0,ISNUMBER(FIND(MID(AN264,13,1),"123456789ABCDEFGHIJKLMNOPQRSTUVWXYZ")),MID(AN264,14,1)="Z")),"Wrong format",IF(MID("0123456789ABCDEFGHIJKLMNOPQRSTUVWXYZ",MOD(36-MOD(SUMPRODUCT(INT((FIND(MID(AN264,{1,2,3,4,5,6,7,8,9,10,11,12,13,14},1),"0123456789ABCDEFGHIJKLMNOPQRSTUVWXYZ")-1)*{1,2,1,2,1,2,1,2,1,2,1,2,1,2}/36)+MOD((FIND(MID(AN264,{1,2,3,4,5,6,7,8,9,10,11,12,13,14},1),"0123456789ABCDEFGHIJKLMNOPQRSTUVWXYZ")-1)*{1,2,1,2,1,2,1,2,1,2,1,2,1,2},36)),36),36)+1,1)=MID(AN264,15,1),"OK","Typo? check digit wrong")),"Wrong format"))</f>
        <v/>
      </c>
      <c r="AK264" s="27">
        <f>IF(AO264="","",IF(AND(LEN(AO264)=10,SUMPRODUCT(--ISERROR(FIND(MID(AO264,{1,2,3,4,5,10},1),"ABCDEFGHIJKLMNOPQRSTUVWXYZ")))=0,SUMPRODUCT(--ISERROR(FIND(MID(AO264,{6,7,8,9},1),"0123456789")))=0),"OK","Wrong format"))</f>
        <v/>
      </c>
      <c r="AL264" s="27">
        <f>IF(TRIM(H264)="","",IF(AND(LEN(UPPER(TRIM(H264)))=10,SUMPRODUCT(--ISERROR(FIND(MID(UPPER(TRIM(H264)),{1,2,3,4,10},1),"ABCDEFGHIJKLMNOPQRSTUVWXYZ")))=0,SUMPRODUCT(--ISERROR(FIND(MID(UPPER(TRIM(H264)),{5,6,7,8,9},1),"0123456789")))=0),"OK","Wrong format"))</f>
        <v/>
      </c>
      <c r="AM264" s="28">
        <f>IF(NOT(COUNTA(A264:AE264)&gt;0),"",IF(AS264&lt;&gt;"","✖ "&amp;LEFT(AS264,LEN(AS264)-2),IF(AR264&gt;0,"✔ Ready — client + "&amp;AR264&amp;" service(s)","✔ Ready — client only")))</f>
        <v/>
      </c>
      <c r="AN264" s="29">
        <f>UPPER(SUBSTITUTE(TRIM(F264)," ",""))</f>
        <v/>
      </c>
      <c r="AO264" s="29">
        <f>UPPER(SUBSTITUTE(TRIM(E264)," ",""))</f>
        <v/>
      </c>
      <c r="AP264" s="29">
        <f>IF(D264&lt;&gt;"",D264,IFERROR(VLOOKUP(MID(AG264,4,1),Lists!$E$2:$F$8,2,FALSE),""))</f>
        <v/>
      </c>
      <c r="AQ264" s="29">
        <f>IFERROR(VLOOKUP(AP264,Lists!$A$2:$C$12,3,FALSE),"")</f>
        <v/>
      </c>
      <c r="AR264" s="29">
        <f>COUNTIF(W264:AC264,"Yes")</f>
        <v/>
      </c>
      <c r="AS264" s="29">
        <f>IF(TRIM(B264)="","Legal name missing; ","")&amp;IF(AND(AJ264&lt;&gt;"",AJ264&lt;&gt;"OK"),"GSTIN: "&amp;AJ264&amp;"; ","")&amp;IF(AND(AK264&lt;&gt;"",AK264&lt;&gt;"OK"),"PAN wrong format; ","")&amp;IF(AND(AO264&lt;&gt;"",LEN(AN264)=15,MID(AN264,3,10)&lt;&gt;AO264),"PAN does not match GSTIN; ","")&amp;IF(AND(AL264&lt;&gt;"",AL264&lt;&gt;"OK"),"TAN wrong format; ","")&amp;IF(AG264="","PAN missing; ","")&amp;IF(AP264="","Entity type missing; ","")&amp;IF(AND(AN264&lt;&gt;"",COUNTIF($AN$6:$AN$1005,AN264)&gt;1),"GSTIN repeated in this sheet; ","")&amp;IF(AND(AG264&lt;&gt;"",COUNTIF($AG$6:$AG$1005,AG264)&gt;1),"PAN repeated in this sheet (same client? put extra GSTINs in Other GSTINs); ","")&amp;IF(AND(AR264&gt;0,V264=""),"Financial year missing; ","")&amp;IF(AND(AR264=0,V264&lt;&gt;""),"Financial year given but no service is Yes; ","")&amp;IF(AND(W264="Yes",AN264=""),"GST needs a GSTIN; ","")&amp;IF(AND(W264="Yes",X264=""),"GST return frequency missing; ","")&amp;IF(AND(Y264="Yes",TRIM(H264)=""),"TDS needs a TAN; ","")&amp;IF(AND(AA264="Yes",AQ264&lt;&gt;"",AQ264&lt;&gt;"company",AQ264&lt;&gt;"llp"),"ROC is only for a company / LLP; ","")&amp;IF(AND(AA264="Yes",OR(AQ264="company",AQ264="llp"),TRIM(I264)=""),"ROC needs the CIN / LLPIN; ","")</f>
        <v/>
      </c>
    </row>
    <row r="265">
      <c r="A265" s="30" t="n"/>
      <c r="B265" s="31" t="n"/>
      <c r="C265" s="31" t="n"/>
      <c r="D265" s="31" t="n"/>
      <c r="E265" s="30" t="n"/>
      <c r="F265" s="30" t="n"/>
      <c r="G265" s="30" t="n"/>
      <c r="H265" s="30" t="n"/>
      <c r="I265" s="30" t="n"/>
      <c r="J265" s="32" t="n"/>
      <c r="K265" s="31" t="n"/>
      <c r="L265" s="30" t="n"/>
      <c r="M265" s="31" t="n"/>
      <c r="N265" s="31" t="n"/>
      <c r="O265" s="31" t="n"/>
      <c r="P265" s="30" t="n"/>
      <c r="Q265" s="31" t="n"/>
      <c r="R265" s="31" t="n"/>
      <c r="S265" s="31" t="n"/>
      <c r="T265" s="31" t="n"/>
      <c r="U265" s="30" t="n"/>
      <c r="V265" s="31" t="n"/>
      <c r="W265" s="31" t="n"/>
      <c r="X265" s="31" t="n"/>
      <c r="Y265" s="31" t="n"/>
      <c r="Z265" s="31" t="n"/>
      <c r="AA265" s="31" t="n"/>
      <c r="AB265" s="31" t="n"/>
      <c r="AC265" s="31" t="n"/>
      <c r="AD265" s="31" t="n"/>
      <c r="AE265" s="31" t="n"/>
      <c r="AF265" s="27">
        <f>IF(NOT(COUNTA(A265:AE265)&gt;0),"",IF(A265="","New client","Update"))</f>
        <v/>
      </c>
      <c r="AG265" s="27">
        <f>IF(AO265&lt;&gt;"",AO265,IF(LEN(AN265)=15,MID(AN265,3,10),""))</f>
        <v/>
      </c>
      <c r="AH265" s="27">
        <f>IF(AP265="","",AP265&amp;IF(D265="","  (guessed from PAN)",""))</f>
        <v/>
      </c>
      <c r="AI265" s="27">
        <f>IF(AN265="","",IFERROR(INDEX(Lists!$L$2:$L$38,MATCH(LEFT(AN265,2),Lists!$K$2:$K$38,0)),"Unknown code"))</f>
        <v/>
      </c>
      <c r="AJ265" s="27">
        <f>IF(AN265="","",IFERROR(IF(NOT(AND(LEN(AN265)=15,ISNUMBER(MATCH(LEFT(AN265,2),Lists!$K$2:$K$38,0)),SUMPRODUCT(--ISERROR(FIND(MID(MID(AN265,3,10),{1,2,3,4,5,10},1),"ABCDEFGHIJKLMNOPQRSTUVWXYZ")))=0,SUMPRODUCT(--ISERROR(FIND(MID(MID(AN265,3,10),{6,7,8,9},1),"0123456789")))=0,ISNUMBER(FIND(MID(AN265,13,1),"123456789ABCDEFGHIJKLMNOPQRSTUVWXYZ")),MID(AN265,14,1)="Z")),"Wrong format",IF(MID("0123456789ABCDEFGHIJKLMNOPQRSTUVWXYZ",MOD(36-MOD(SUMPRODUCT(INT((FIND(MID(AN265,{1,2,3,4,5,6,7,8,9,10,11,12,13,14},1),"0123456789ABCDEFGHIJKLMNOPQRSTUVWXYZ")-1)*{1,2,1,2,1,2,1,2,1,2,1,2,1,2}/36)+MOD((FIND(MID(AN265,{1,2,3,4,5,6,7,8,9,10,11,12,13,14},1),"0123456789ABCDEFGHIJKLMNOPQRSTUVWXYZ")-1)*{1,2,1,2,1,2,1,2,1,2,1,2,1,2},36)),36),36)+1,1)=MID(AN265,15,1),"OK","Typo? check digit wrong")),"Wrong format"))</f>
        <v/>
      </c>
      <c r="AK265" s="27">
        <f>IF(AO265="","",IF(AND(LEN(AO265)=10,SUMPRODUCT(--ISERROR(FIND(MID(AO265,{1,2,3,4,5,10},1),"ABCDEFGHIJKLMNOPQRSTUVWXYZ")))=0,SUMPRODUCT(--ISERROR(FIND(MID(AO265,{6,7,8,9},1),"0123456789")))=0),"OK","Wrong format"))</f>
        <v/>
      </c>
      <c r="AL265" s="27">
        <f>IF(TRIM(H265)="","",IF(AND(LEN(UPPER(TRIM(H265)))=10,SUMPRODUCT(--ISERROR(FIND(MID(UPPER(TRIM(H265)),{1,2,3,4,10},1),"ABCDEFGHIJKLMNOPQRSTUVWXYZ")))=0,SUMPRODUCT(--ISERROR(FIND(MID(UPPER(TRIM(H265)),{5,6,7,8,9},1),"0123456789")))=0),"OK","Wrong format"))</f>
        <v/>
      </c>
      <c r="AM265" s="28">
        <f>IF(NOT(COUNTA(A265:AE265)&gt;0),"",IF(AS265&lt;&gt;"","✖ "&amp;LEFT(AS265,LEN(AS265)-2),IF(AR265&gt;0,"✔ Ready — client + "&amp;AR265&amp;" service(s)","✔ Ready — client only")))</f>
        <v/>
      </c>
      <c r="AN265" s="29">
        <f>UPPER(SUBSTITUTE(TRIM(F265)," ",""))</f>
        <v/>
      </c>
      <c r="AO265" s="29">
        <f>UPPER(SUBSTITUTE(TRIM(E265)," ",""))</f>
        <v/>
      </c>
      <c r="AP265" s="29">
        <f>IF(D265&lt;&gt;"",D265,IFERROR(VLOOKUP(MID(AG265,4,1),Lists!$E$2:$F$8,2,FALSE),""))</f>
        <v/>
      </c>
      <c r="AQ265" s="29">
        <f>IFERROR(VLOOKUP(AP265,Lists!$A$2:$C$12,3,FALSE),"")</f>
        <v/>
      </c>
      <c r="AR265" s="29">
        <f>COUNTIF(W265:AC265,"Yes")</f>
        <v/>
      </c>
      <c r="AS265" s="29">
        <f>IF(TRIM(B265)="","Legal name missing; ","")&amp;IF(AND(AJ265&lt;&gt;"",AJ265&lt;&gt;"OK"),"GSTIN: "&amp;AJ265&amp;"; ","")&amp;IF(AND(AK265&lt;&gt;"",AK265&lt;&gt;"OK"),"PAN wrong format; ","")&amp;IF(AND(AO265&lt;&gt;"",LEN(AN265)=15,MID(AN265,3,10)&lt;&gt;AO265),"PAN does not match GSTIN; ","")&amp;IF(AND(AL265&lt;&gt;"",AL265&lt;&gt;"OK"),"TAN wrong format; ","")&amp;IF(AG265="","PAN missing; ","")&amp;IF(AP265="","Entity type missing; ","")&amp;IF(AND(AN265&lt;&gt;"",COUNTIF($AN$6:$AN$1005,AN265)&gt;1),"GSTIN repeated in this sheet; ","")&amp;IF(AND(AG265&lt;&gt;"",COUNTIF($AG$6:$AG$1005,AG265)&gt;1),"PAN repeated in this sheet (same client? put extra GSTINs in Other GSTINs); ","")&amp;IF(AND(AR265&gt;0,V265=""),"Financial year missing; ","")&amp;IF(AND(AR265=0,V265&lt;&gt;""),"Financial year given but no service is Yes; ","")&amp;IF(AND(W265="Yes",AN265=""),"GST needs a GSTIN; ","")&amp;IF(AND(W265="Yes",X265=""),"GST return frequency missing; ","")&amp;IF(AND(Y265="Yes",TRIM(H265)=""),"TDS needs a TAN; ","")&amp;IF(AND(AA265="Yes",AQ265&lt;&gt;"",AQ265&lt;&gt;"company",AQ265&lt;&gt;"llp"),"ROC is only for a company / LLP; ","")&amp;IF(AND(AA265="Yes",OR(AQ265="company",AQ265="llp"),TRIM(I265)=""),"ROC needs the CIN / LLPIN; ","")</f>
        <v/>
      </c>
    </row>
    <row r="266">
      <c r="A266" s="30" t="n"/>
      <c r="B266" s="31" t="n"/>
      <c r="C266" s="31" t="n"/>
      <c r="D266" s="31" t="n"/>
      <c r="E266" s="30" t="n"/>
      <c r="F266" s="30" t="n"/>
      <c r="G266" s="30" t="n"/>
      <c r="H266" s="30" t="n"/>
      <c r="I266" s="30" t="n"/>
      <c r="J266" s="32" t="n"/>
      <c r="K266" s="31" t="n"/>
      <c r="L266" s="30" t="n"/>
      <c r="M266" s="31" t="n"/>
      <c r="N266" s="31" t="n"/>
      <c r="O266" s="31" t="n"/>
      <c r="P266" s="30" t="n"/>
      <c r="Q266" s="31" t="n"/>
      <c r="R266" s="31" t="n"/>
      <c r="S266" s="31" t="n"/>
      <c r="T266" s="31" t="n"/>
      <c r="U266" s="30" t="n"/>
      <c r="V266" s="31" t="n"/>
      <c r="W266" s="31" t="n"/>
      <c r="X266" s="31" t="n"/>
      <c r="Y266" s="31" t="n"/>
      <c r="Z266" s="31" t="n"/>
      <c r="AA266" s="31" t="n"/>
      <c r="AB266" s="31" t="n"/>
      <c r="AC266" s="31" t="n"/>
      <c r="AD266" s="31" t="n"/>
      <c r="AE266" s="31" t="n"/>
      <c r="AF266" s="27">
        <f>IF(NOT(COUNTA(A266:AE266)&gt;0),"",IF(A266="","New client","Update"))</f>
        <v/>
      </c>
      <c r="AG266" s="27">
        <f>IF(AO266&lt;&gt;"",AO266,IF(LEN(AN266)=15,MID(AN266,3,10),""))</f>
        <v/>
      </c>
      <c r="AH266" s="27">
        <f>IF(AP266="","",AP266&amp;IF(D266="","  (guessed from PAN)",""))</f>
        <v/>
      </c>
      <c r="AI266" s="27">
        <f>IF(AN266="","",IFERROR(INDEX(Lists!$L$2:$L$38,MATCH(LEFT(AN266,2),Lists!$K$2:$K$38,0)),"Unknown code"))</f>
        <v/>
      </c>
      <c r="AJ266" s="27">
        <f>IF(AN266="","",IFERROR(IF(NOT(AND(LEN(AN266)=15,ISNUMBER(MATCH(LEFT(AN266,2),Lists!$K$2:$K$38,0)),SUMPRODUCT(--ISERROR(FIND(MID(MID(AN266,3,10),{1,2,3,4,5,10},1),"ABCDEFGHIJKLMNOPQRSTUVWXYZ")))=0,SUMPRODUCT(--ISERROR(FIND(MID(MID(AN266,3,10),{6,7,8,9},1),"0123456789")))=0,ISNUMBER(FIND(MID(AN266,13,1),"123456789ABCDEFGHIJKLMNOPQRSTUVWXYZ")),MID(AN266,14,1)="Z")),"Wrong format",IF(MID("0123456789ABCDEFGHIJKLMNOPQRSTUVWXYZ",MOD(36-MOD(SUMPRODUCT(INT((FIND(MID(AN266,{1,2,3,4,5,6,7,8,9,10,11,12,13,14},1),"0123456789ABCDEFGHIJKLMNOPQRSTUVWXYZ")-1)*{1,2,1,2,1,2,1,2,1,2,1,2,1,2}/36)+MOD((FIND(MID(AN266,{1,2,3,4,5,6,7,8,9,10,11,12,13,14},1),"0123456789ABCDEFGHIJKLMNOPQRSTUVWXYZ")-1)*{1,2,1,2,1,2,1,2,1,2,1,2,1,2},36)),36),36)+1,1)=MID(AN266,15,1),"OK","Typo? check digit wrong")),"Wrong format"))</f>
        <v/>
      </c>
      <c r="AK266" s="27">
        <f>IF(AO266="","",IF(AND(LEN(AO266)=10,SUMPRODUCT(--ISERROR(FIND(MID(AO266,{1,2,3,4,5,10},1),"ABCDEFGHIJKLMNOPQRSTUVWXYZ")))=0,SUMPRODUCT(--ISERROR(FIND(MID(AO266,{6,7,8,9},1),"0123456789")))=0),"OK","Wrong format"))</f>
        <v/>
      </c>
      <c r="AL266" s="27">
        <f>IF(TRIM(H266)="","",IF(AND(LEN(UPPER(TRIM(H266)))=10,SUMPRODUCT(--ISERROR(FIND(MID(UPPER(TRIM(H266)),{1,2,3,4,10},1),"ABCDEFGHIJKLMNOPQRSTUVWXYZ")))=0,SUMPRODUCT(--ISERROR(FIND(MID(UPPER(TRIM(H266)),{5,6,7,8,9},1),"0123456789")))=0),"OK","Wrong format"))</f>
        <v/>
      </c>
      <c r="AM266" s="28">
        <f>IF(NOT(COUNTA(A266:AE266)&gt;0),"",IF(AS266&lt;&gt;"","✖ "&amp;LEFT(AS266,LEN(AS266)-2),IF(AR266&gt;0,"✔ Ready — client + "&amp;AR266&amp;" service(s)","✔ Ready — client only")))</f>
        <v/>
      </c>
      <c r="AN266" s="29">
        <f>UPPER(SUBSTITUTE(TRIM(F266)," ",""))</f>
        <v/>
      </c>
      <c r="AO266" s="29">
        <f>UPPER(SUBSTITUTE(TRIM(E266)," ",""))</f>
        <v/>
      </c>
      <c r="AP266" s="29">
        <f>IF(D266&lt;&gt;"",D266,IFERROR(VLOOKUP(MID(AG266,4,1),Lists!$E$2:$F$8,2,FALSE),""))</f>
        <v/>
      </c>
      <c r="AQ266" s="29">
        <f>IFERROR(VLOOKUP(AP266,Lists!$A$2:$C$12,3,FALSE),"")</f>
        <v/>
      </c>
      <c r="AR266" s="29">
        <f>COUNTIF(W266:AC266,"Yes")</f>
        <v/>
      </c>
      <c r="AS266" s="29">
        <f>IF(TRIM(B266)="","Legal name missing; ","")&amp;IF(AND(AJ266&lt;&gt;"",AJ266&lt;&gt;"OK"),"GSTIN: "&amp;AJ266&amp;"; ","")&amp;IF(AND(AK266&lt;&gt;"",AK266&lt;&gt;"OK"),"PAN wrong format; ","")&amp;IF(AND(AO266&lt;&gt;"",LEN(AN266)=15,MID(AN266,3,10)&lt;&gt;AO266),"PAN does not match GSTIN; ","")&amp;IF(AND(AL266&lt;&gt;"",AL266&lt;&gt;"OK"),"TAN wrong format; ","")&amp;IF(AG266="","PAN missing; ","")&amp;IF(AP266="","Entity type missing; ","")&amp;IF(AND(AN266&lt;&gt;"",COUNTIF($AN$6:$AN$1005,AN266)&gt;1),"GSTIN repeated in this sheet; ","")&amp;IF(AND(AG266&lt;&gt;"",COUNTIF($AG$6:$AG$1005,AG266)&gt;1),"PAN repeated in this sheet (same client? put extra GSTINs in Other GSTINs); ","")&amp;IF(AND(AR266&gt;0,V266=""),"Financial year missing; ","")&amp;IF(AND(AR266=0,V266&lt;&gt;""),"Financial year given but no service is Yes; ","")&amp;IF(AND(W266="Yes",AN266=""),"GST needs a GSTIN; ","")&amp;IF(AND(W266="Yes",X266=""),"GST return frequency missing; ","")&amp;IF(AND(Y266="Yes",TRIM(H266)=""),"TDS needs a TAN; ","")&amp;IF(AND(AA266="Yes",AQ266&lt;&gt;"",AQ266&lt;&gt;"company",AQ266&lt;&gt;"llp"),"ROC is only for a company / LLP; ","")&amp;IF(AND(AA266="Yes",OR(AQ266="company",AQ266="llp"),TRIM(I266)=""),"ROC needs the CIN / LLPIN; ","")</f>
        <v/>
      </c>
    </row>
    <row r="267">
      <c r="A267" s="30" t="n"/>
      <c r="B267" s="31" t="n"/>
      <c r="C267" s="31" t="n"/>
      <c r="D267" s="31" t="n"/>
      <c r="E267" s="30" t="n"/>
      <c r="F267" s="30" t="n"/>
      <c r="G267" s="30" t="n"/>
      <c r="H267" s="30" t="n"/>
      <c r="I267" s="30" t="n"/>
      <c r="J267" s="32" t="n"/>
      <c r="K267" s="31" t="n"/>
      <c r="L267" s="30" t="n"/>
      <c r="M267" s="31" t="n"/>
      <c r="N267" s="31" t="n"/>
      <c r="O267" s="31" t="n"/>
      <c r="P267" s="30" t="n"/>
      <c r="Q267" s="31" t="n"/>
      <c r="R267" s="31" t="n"/>
      <c r="S267" s="31" t="n"/>
      <c r="T267" s="31" t="n"/>
      <c r="U267" s="30" t="n"/>
      <c r="V267" s="31" t="n"/>
      <c r="W267" s="31" t="n"/>
      <c r="X267" s="31" t="n"/>
      <c r="Y267" s="31" t="n"/>
      <c r="Z267" s="31" t="n"/>
      <c r="AA267" s="31" t="n"/>
      <c r="AB267" s="31" t="n"/>
      <c r="AC267" s="31" t="n"/>
      <c r="AD267" s="31" t="n"/>
      <c r="AE267" s="31" t="n"/>
      <c r="AF267" s="27">
        <f>IF(NOT(COUNTA(A267:AE267)&gt;0),"",IF(A267="","New client","Update"))</f>
        <v/>
      </c>
      <c r="AG267" s="27">
        <f>IF(AO267&lt;&gt;"",AO267,IF(LEN(AN267)=15,MID(AN267,3,10),""))</f>
        <v/>
      </c>
      <c r="AH267" s="27">
        <f>IF(AP267="","",AP267&amp;IF(D267="","  (guessed from PAN)",""))</f>
        <v/>
      </c>
      <c r="AI267" s="27">
        <f>IF(AN267="","",IFERROR(INDEX(Lists!$L$2:$L$38,MATCH(LEFT(AN267,2),Lists!$K$2:$K$38,0)),"Unknown code"))</f>
        <v/>
      </c>
      <c r="AJ267" s="27">
        <f>IF(AN267="","",IFERROR(IF(NOT(AND(LEN(AN267)=15,ISNUMBER(MATCH(LEFT(AN267,2),Lists!$K$2:$K$38,0)),SUMPRODUCT(--ISERROR(FIND(MID(MID(AN267,3,10),{1,2,3,4,5,10},1),"ABCDEFGHIJKLMNOPQRSTUVWXYZ")))=0,SUMPRODUCT(--ISERROR(FIND(MID(MID(AN267,3,10),{6,7,8,9},1),"0123456789")))=0,ISNUMBER(FIND(MID(AN267,13,1),"123456789ABCDEFGHIJKLMNOPQRSTUVWXYZ")),MID(AN267,14,1)="Z")),"Wrong format",IF(MID("0123456789ABCDEFGHIJKLMNOPQRSTUVWXYZ",MOD(36-MOD(SUMPRODUCT(INT((FIND(MID(AN267,{1,2,3,4,5,6,7,8,9,10,11,12,13,14},1),"0123456789ABCDEFGHIJKLMNOPQRSTUVWXYZ")-1)*{1,2,1,2,1,2,1,2,1,2,1,2,1,2}/36)+MOD((FIND(MID(AN267,{1,2,3,4,5,6,7,8,9,10,11,12,13,14},1),"0123456789ABCDEFGHIJKLMNOPQRSTUVWXYZ")-1)*{1,2,1,2,1,2,1,2,1,2,1,2,1,2},36)),36),36)+1,1)=MID(AN267,15,1),"OK","Typo? check digit wrong")),"Wrong format"))</f>
        <v/>
      </c>
      <c r="AK267" s="27">
        <f>IF(AO267="","",IF(AND(LEN(AO267)=10,SUMPRODUCT(--ISERROR(FIND(MID(AO267,{1,2,3,4,5,10},1),"ABCDEFGHIJKLMNOPQRSTUVWXYZ")))=0,SUMPRODUCT(--ISERROR(FIND(MID(AO267,{6,7,8,9},1),"0123456789")))=0),"OK","Wrong format"))</f>
        <v/>
      </c>
      <c r="AL267" s="27">
        <f>IF(TRIM(H267)="","",IF(AND(LEN(UPPER(TRIM(H267)))=10,SUMPRODUCT(--ISERROR(FIND(MID(UPPER(TRIM(H267)),{1,2,3,4,10},1),"ABCDEFGHIJKLMNOPQRSTUVWXYZ")))=0,SUMPRODUCT(--ISERROR(FIND(MID(UPPER(TRIM(H267)),{5,6,7,8,9},1),"0123456789")))=0),"OK","Wrong format"))</f>
        <v/>
      </c>
      <c r="AM267" s="28">
        <f>IF(NOT(COUNTA(A267:AE267)&gt;0),"",IF(AS267&lt;&gt;"","✖ "&amp;LEFT(AS267,LEN(AS267)-2),IF(AR267&gt;0,"✔ Ready — client + "&amp;AR267&amp;" service(s)","✔ Ready — client only")))</f>
        <v/>
      </c>
      <c r="AN267" s="29">
        <f>UPPER(SUBSTITUTE(TRIM(F267)," ",""))</f>
        <v/>
      </c>
      <c r="AO267" s="29">
        <f>UPPER(SUBSTITUTE(TRIM(E267)," ",""))</f>
        <v/>
      </c>
      <c r="AP267" s="29">
        <f>IF(D267&lt;&gt;"",D267,IFERROR(VLOOKUP(MID(AG267,4,1),Lists!$E$2:$F$8,2,FALSE),""))</f>
        <v/>
      </c>
      <c r="AQ267" s="29">
        <f>IFERROR(VLOOKUP(AP267,Lists!$A$2:$C$12,3,FALSE),"")</f>
        <v/>
      </c>
      <c r="AR267" s="29">
        <f>COUNTIF(W267:AC267,"Yes")</f>
        <v/>
      </c>
      <c r="AS267" s="29">
        <f>IF(TRIM(B267)="","Legal name missing; ","")&amp;IF(AND(AJ267&lt;&gt;"",AJ267&lt;&gt;"OK"),"GSTIN: "&amp;AJ267&amp;"; ","")&amp;IF(AND(AK267&lt;&gt;"",AK267&lt;&gt;"OK"),"PAN wrong format; ","")&amp;IF(AND(AO267&lt;&gt;"",LEN(AN267)=15,MID(AN267,3,10)&lt;&gt;AO267),"PAN does not match GSTIN; ","")&amp;IF(AND(AL267&lt;&gt;"",AL267&lt;&gt;"OK"),"TAN wrong format; ","")&amp;IF(AG267="","PAN missing; ","")&amp;IF(AP267="","Entity type missing; ","")&amp;IF(AND(AN267&lt;&gt;"",COUNTIF($AN$6:$AN$1005,AN267)&gt;1),"GSTIN repeated in this sheet; ","")&amp;IF(AND(AG267&lt;&gt;"",COUNTIF($AG$6:$AG$1005,AG267)&gt;1),"PAN repeated in this sheet (same client? put extra GSTINs in Other GSTINs); ","")&amp;IF(AND(AR267&gt;0,V267=""),"Financial year missing; ","")&amp;IF(AND(AR267=0,V267&lt;&gt;""),"Financial year given but no service is Yes; ","")&amp;IF(AND(W267="Yes",AN267=""),"GST needs a GSTIN; ","")&amp;IF(AND(W267="Yes",X267=""),"GST return frequency missing; ","")&amp;IF(AND(Y267="Yes",TRIM(H267)=""),"TDS needs a TAN; ","")&amp;IF(AND(AA267="Yes",AQ267&lt;&gt;"",AQ267&lt;&gt;"company",AQ267&lt;&gt;"llp"),"ROC is only for a company / LLP; ","")&amp;IF(AND(AA267="Yes",OR(AQ267="company",AQ267="llp"),TRIM(I267)=""),"ROC needs the CIN / LLPIN; ","")</f>
        <v/>
      </c>
    </row>
    <row r="268">
      <c r="A268" s="30" t="n"/>
      <c r="B268" s="31" t="n"/>
      <c r="C268" s="31" t="n"/>
      <c r="D268" s="31" t="n"/>
      <c r="E268" s="30" t="n"/>
      <c r="F268" s="30" t="n"/>
      <c r="G268" s="30" t="n"/>
      <c r="H268" s="30" t="n"/>
      <c r="I268" s="30" t="n"/>
      <c r="J268" s="32" t="n"/>
      <c r="K268" s="31" t="n"/>
      <c r="L268" s="30" t="n"/>
      <c r="M268" s="31" t="n"/>
      <c r="N268" s="31" t="n"/>
      <c r="O268" s="31" t="n"/>
      <c r="P268" s="30" t="n"/>
      <c r="Q268" s="31" t="n"/>
      <c r="R268" s="31" t="n"/>
      <c r="S268" s="31" t="n"/>
      <c r="T268" s="31" t="n"/>
      <c r="U268" s="30" t="n"/>
      <c r="V268" s="31" t="n"/>
      <c r="W268" s="31" t="n"/>
      <c r="X268" s="31" t="n"/>
      <c r="Y268" s="31" t="n"/>
      <c r="Z268" s="31" t="n"/>
      <c r="AA268" s="31" t="n"/>
      <c r="AB268" s="31" t="n"/>
      <c r="AC268" s="31" t="n"/>
      <c r="AD268" s="31" t="n"/>
      <c r="AE268" s="31" t="n"/>
      <c r="AF268" s="27">
        <f>IF(NOT(COUNTA(A268:AE268)&gt;0),"",IF(A268="","New client","Update"))</f>
        <v/>
      </c>
      <c r="AG268" s="27">
        <f>IF(AO268&lt;&gt;"",AO268,IF(LEN(AN268)=15,MID(AN268,3,10),""))</f>
        <v/>
      </c>
      <c r="AH268" s="27">
        <f>IF(AP268="","",AP268&amp;IF(D268="","  (guessed from PAN)",""))</f>
        <v/>
      </c>
      <c r="AI268" s="27">
        <f>IF(AN268="","",IFERROR(INDEX(Lists!$L$2:$L$38,MATCH(LEFT(AN268,2),Lists!$K$2:$K$38,0)),"Unknown code"))</f>
        <v/>
      </c>
      <c r="AJ268" s="27">
        <f>IF(AN268="","",IFERROR(IF(NOT(AND(LEN(AN268)=15,ISNUMBER(MATCH(LEFT(AN268,2),Lists!$K$2:$K$38,0)),SUMPRODUCT(--ISERROR(FIND(MID(MID(AN268,3,10),{1,2,3,4,5,10},1),"ABCDEFGHIJKLMNOPQRSTUVWXYZ")))=0,SUMPRODUCT(--ISERROR(FIND(MID(MID(AN268,3,10),{6,7,8,9},1),"0123456789")))=0,ISNUMBER(FIND(MID(AN268,13,1),"123456789ABCDEFGHIJKLMNOPQRSTUVWXYZ")),MID(AN268,14,1)="Z")),"Wrong format",IF(MID("0123456789ABCDEFGHIJKLMNOPQRSTUVWXYZ",MOD(36-MOD(SUMPRODUCT(INT((FIND(MID(AN268,{1,2,3,4,5,6,7,8,9,10,11,12,13,14},1),"0123456789ABCDEFGHIJKLMNOPQRSTUVWXYZ")-1)*{1,2,1,2,1,2,1,2,1,2,1,2,1,2}/36)+MOD((FIND(MID(AN268,{1,2,3,4,5,6,7,8,9,10,11,12,13,14},1),"0123456789ABCDEFGHIJKLMNOPQRSTUVWXYZ")-1)*{1,2,1,2,1,2,1,2,1,2,1,2,1,2},36)),36),36)+1,1)=MID(AN268,15,1),"OK","Typo? check digit wrong")),"Wrong format"))</f>
        <v/>
      </c>
      <c r="AK268" s="27">
        <f>IF(AO268="","",IF(AND(LEN(AO268)=10,SUMPRODUCT(--ISERROR(FIND(MID(AO268,{1,2,3,4,5,10},1),"ABCDEFGHIJKLMNOPQRSTUVWXYZ")))=0,SUMPRODUCT(--ISERROR(FIND(MID(AO268,{6,7,8,9},1),"0123456789")))=0),"OK","Wrong format"))</f>
        <v/>
      </c>
      <c r="AL268" s="27">
        <f>IF(TRIM(H268)="","",IF(AND(LEN(UPPER(TRIM(H268)))=10,SUMPRODUCT(--ISERROR(FIND(MID(UPPER(TRIM(H268)),{1,2,3,4,10},1),"ABCDEFGHIJKLMNOPQRSTUVWXYZ")))=0,SUMPRODUCT(--ISERROR(FIND(MID(UPPER(TRIM(H268)),{5,6,7,8,9},1),"0123456789")))=0),"OK","Wrong format"))</f>
        <v/>
      </c>
      <c r="AM268" s="28">
        <f>IF(NOT(COUNTA(A268:AE268)&gt;0),"",IF(AS268&lt;&gt;"","✖ "&amp;LEFT(AS268,LEN(AS268)-2),IF(AR268&gt;0,"✔ Ready — client + "&amp;AR268&amp;" service(s)","✔ Ready — client only")))</f>
        <v/>
      </c>
      <c r="AN268" s="29">
        <f>UPPER(SUBSTITUTE(TRIM(F268)," ",""))</f>
        <v/>
      </c>
      <c r="AO268" s="29">
        <f>UPPER(SUBSTITUTE(TRIM(E268)," ",""))</f>
        <v/>
      </c>
      <c r="AP268" s="29">
        <f>IF(D268&lt;&gt;"",D268,IFERROR(VLOOKUP(MID(AG268,4,1),Lists!$E$2:$F$8,2,FALSE),""))</f>
        <v/>
      </c>
      <c r="AQ268" s="29">
        <f>IFERROR(VLOOKUP(AP268,Lists!$A$2:$C$12,3,FALSE),"")</f>
        <v/>
      </c>
      <c r="AR268" s="29">
        <f>COUNTIF(W268:AC268,"Yes")</f>
        <v/>
      </c>
      <c r="AS268" s="29">
        <f>IF(TRIM(B268)="","Legal name missing; ","")&amp;IF(AND(AJ268&lt;&gt;"",AJ268&lt;&gt;"OK"),"GSTIN: "&amp;AJ268&amp;"; ","")&amp;IF(AND(AK268&lt;&gt;"",AK268&lt;&gt;"OK"),"PAN wrong format; ","")&amp;IF(AND(AO268&lt;&gt;"",LEN(AN268)=15,MID(AN268,3,10)&lt;&gt;AO268),"PAN does not match GSTIN; ","")&amp;IF(AND(AL268&lt;&gt;"",AL268&lt;&gt;"OK"),"TAN wrong format; ","")&amp;IF(AG268="","PAN missing; ","")&amp;IF(AP268="","Entity type missing; ","")&amp;IF(AND(AN268&lt;&gt;"",COUNTIF($AN$6:$AN$1005,AN268)&gt;1),"GSTIN repeated in this sheet; ","")&amp;IF(AND(AG268&lt;&gt;"",COUNTIF($AG$6:$AG$1005,AG268)&gt;1),"PAN repeated in this sheet (same client? put extra GSTINs in Other GSTINs); ","")&amp;IF(AND(AR268&gt;0,V268=""),"Financial year missing; ","")&amp;IF(AND(AR268=0,V268&lt;&gt;""),"Financial year given but no service is Yes; ","")&amp;IF(AND(W268="Yes",AN268=""),"GST needs a GSTIN; ","")&amp;IF(AND(W268="Yes",X268=""),"GST return frequency missing; ","")&amp;IF(AND(Y268="Yes",TRIM(H268)=""),"TDS needs a TAN; ","")&amp;IF(AND(AA268="Yes",AQ268&lt;&gt;"",AQ268&lt;&gt;"company",AQ268&lt;&gt;"llp"),"ROC is only for a company / LLP; ","")&amp;IF(AND(AA268="Yes",OR(AQ268="company",AQ268="llp"),TRIM(I268)=""),"ROC needs the CIN / LLPIN; ","")</f>
        <v/>
      </c>
    </row>
    <row r="269">
      <c r="A269" s="30" t="n"/>
      <c r="B269" s="31" t="n"/>
      <c r="C269" s="31" t="n"/>
      <c r="D269" s="31" t="n"/>
      <c r="E269" s="30" t="n"/>
      <c r="F269" s="30" t="n"/>
      <c r="G269" s="30" t="n"/>
      <c r="H269" s="30" t="n"/>
      <c r="I269" s="30" t="n"/>
      <c r="J269" s="32" t="n"/>
      <c r="K269" s="31" t="n"/>
      <c r="L269" s="30" t="n"/>
      <c r="M269" s="31" t="n"/>
      <c r="N269" s="31" t="n"/>
      <c r="O269" s="31" t="n"/>
      <c r="P269" s="30" t="n"/>
      <c r="Q269" s="31" t="n"/>
      <c r="R269" s="31" t="n"/>
      <c r="S269" s="31" t="n"/>
      <c r="T269" s="31" t="n"/>
      <c r="U269" s="30" t="n"/>
      <c r="V269" s="31" t="n"/>
      <c r="W269" s="31" t="n"/>
      <c r="X269" s="31" t="n"/>
      <c r="Y269" s="31" t="n"/>
      <c r="Z269" s="31" t="n"/>
      <c r="AA269" s="31" t="n"/>
      <c r="AB269" s="31" t="n"/>
      <c r="AC269" s="31" t="n"/>
      <c r="AD269" s="31" t="n"/>
      <c r="AE269" s="31" t="n"/>
      <c r="AF269" s="27">
        <f>IF(NOT(COUNTA(A269:AE269)&gt;0),"",IF(A269="","New client","Update"))</f>
        <v/>
      </c>
      <c r="AG269" s="27">
        <f>IF(AO269&lt;&gt;"",AO269,IF(LEN(AN269)=15,MID(AN269,3,10),""))</f>
        <v/>
      </c>
      <c r="AH269" s="27">
        <f>IF(AP269="","",AP269&amp;IF(D269="","  (guessed from PAN)",""))</f>
        <v/>
      </c>
      <c r="AI269" s="27">
        <f>IF(AN269="","",IFERROR(INDEX(Lists!$L$2:$L$38,MATCH(LEFT(AN269,2),Lists!$K$2:$K$38,0)),"Unknown code"))</f>
        <v/>
      </c>
      <c r="AJ269" s="27">
        <f>IF(AN269="","",IFERROR(IF(NOT(AND(LEN(AN269)=15,ISNUMBER(MATCH(LEFT(AN269,2),Lists!$K$2:$K$38,0)),SUMPRODUCT(--ISERROR(FIND(MID(MID(AN269,3,10),{1,2,3,4,5,10},1),"ABCDEFGHIJKLMNOPQRSTUVWXYZ")))=0,SUMPRODUCT(--ISERROR(FIND(MID(MID(AN269,3,10),{6,7,8,9},1),"0123456789")))=0,ISNUMBER(FIND(MID(AN269,13,1),"123456789ABCDEFGHIJKLMNOPQRSTUVWXYZ")),MID(AN269,14,1)="Z")),"Wrong format",IF(MID("0123456789ABCDEFGHIJKLMNOPQRSTUVWXYZ",MOD(36-MOD(SUMPRODUCT(INT((FIND(MID(AN269,{1,2,3,4,5,6,7,8,9,10,11,12,13,14},1),"0123456789ABCDEFGHIJKLMNOPQRSTUVWXYZ")-1)*{1,2,1,2,1,2,1,2,1,2,1,2,1,2}/36)+MOD((FIND(MID(AN269,{1,2,3,4,5,6,7,8,9,10,11,12,13,14},1),"0123456789ABCDEFGHIJKLMNOPQRSTUVWXYZ")-1)*{1,2,1,2,1,2,1,2,1,2,1,2,1,2},36)),36),36)+1,1)=MID(AN269,15,1),"OK","Typo? check digit wrong")),"Wrong format"))</f>
        <v/>
      </c>
      <c r="AK269" s="27">
        <f>IF(AO269="","",IF(AND(LEN(AO269)=10,SUMPRODUCT(--ISERROR(FIND(MID(AO269,{1,2,3,4,5,10},1),"ABCDEFGHIJKLMNOPQRSTUVWXYZ")))=0,SUMPRODUCT(--ISERROR(FIND(MID(AO269,{6,7,8,9},1),"0123456789")))=0),"OK","Wrong format"))</f>
        <v/>
      </c>
      <c r="AL269" s="27">
        <f>IF(TRIM(H269)="","",IF(AND(LEN(UPPER(TRIM(H269)))=10,SUMPRODUCT(--ISERROR(FIND(MID(UPPER(TRIM(H269)),{1,2,3,4,10},1),"ABCDEFGHIJKLMNOPQRSTUVWXYZ")))=0,SUMPRODUCT(--ISERROR(FIND(MID(UPPER(TRIM(H269)),{5,6,7,8,9},1),"0123456789")))=0),"OK","Wrong format"))</f>
        <v/>
      </c>
      <c r="AM269" s="28">
        <f>IF(NOT(COUNTA(A269:AE269)&gt;0),"",IF(AS269&lt;&gt;"","✖ "&amp;LEFT(AS269,LEN(AS269)-2),IF(AR269&gt;0,"✔ Ready — client + "&amp;AR269&amp;" service(s)","✔ Ready — client only")))</f>
        <v/>
      </c>
      <c r="AN269" s="29">
        <f>UPPER(SUBSTITUTE(TRIM(F269)," ",""))</f>
        <v/>
      </c>
      <c r="AO269" s="29">
        <f>UPPER(SUBSTITUTE(TRIM(E269)," ",""))</f>
        <v/>
      </c>
      <c r="AP269" s="29">
        <f>IF(D269&lt;&gt;"",D269,IFERROR(VLOOKUP(MID(AG269,4,1),Lists!$E$2:$F$8,2,FALSE),""))</f>
        <v/>
      </c>
      <c r="AQ269" s="29">
        <f>IFERROR(VLOOKUP(AP269,Lists!$A$2:$C$12,3,FALSE),"")</f>
        <v/>
      </c>
      <c r="AR269" s="29">
        <f>COUNTIF(W269:AC269,"Yes")</f>
        <v/>
      </c>
      <c r="AS269" s="29">
        <f>IF(TRIM(B269)="","Legal name missing; ","")&amp;IF(AND(AJ269&lt;&gt;"",AJ269&lt;&gt;"OK"),"GSTIN: "&amp;AJ269&amp;"; ","")&amp;IF(AND(AK269&lt;&gt;"",AK269&lt;&gt;"OK"),"PAN wrong format; ","")&amp;IF(AND(AO269&lt;&gt;"",LEN(AN269)=15,MID(AN269,3,10)&lt;&gt;AO269),"PAN does not match GSTIN; ","")&amp;IF(AND(AL269&lt;&gt;"",AL269&lt;&gt;"OK"),"TAN wrong format; ","")&amp;IF(AG269="","PAN missing; ","")&amp;IF(AP269="","Entity type missing; ","")&amp;IF(AND(AN269&lt;&gt;"",COUNTIF($AN$6:$AN$1005,AN269)&gt;1),"GSTIN repeated in this sheet; ","")&amp;IF(AND(AG269&lt;&gt;"",COUNTIF($AG$6:$AG$1005,AG269)&gt;1),"PAN repeated in this sheet (same client? put extra GSTINs in Other GSTINs); ","")&amp;IF(AND(AR269&gt;0,V269=""),"Financial year missing; ","")&amp;IF(AND(AR269=0,V269&lt;&gt;""),"Financial year given but no service is Yes; ","")&amp;IF(AND(W269="Yes",AN269=""),"GST needs a GSTIN; ","")&amp;IF(AND(W269="Yes",X269=""),"GST return frequency missing; ","")&amp;IF(AND(Y269="Yes",TRIM(H269)=""),"TDS needs a TAN; ","")&amp;IF(AND(AA269="Yes",AQ269&lt;&gt;"",AQ269&lt;&gt;"company",AQ269&lt;&gt;"llp"),"ROC is only for a company / LLP; ","")&amp;IF(AND(AA269="Yes",OR(AQ269="company",AQ269="llp"),TRIM(I269)=""),"ROC needs the CIN / LLPIN; ","")</f>
        <v/>
      </c>
    </row>
    <row r="270">
      <c r="A270" s="30" t="n"/>
      <c r="B270" s="31" t="n"/>
      <c r="C270" s="31" t="n"/>
      <c r="D270" s="31" t="n"/>
      <c r="E270" s="30" t="n"/>
      <c r="F270" s="30" t="n"/>
      <c r="G270" s="30" t="n"/>
      <c r="H270" s="30" t="n"/>
      <c r="I270" s="30" t="n"/>
      <c r="J270" s="32" t="n"/>
      <c r="K270" s="31" t="n"/>
      <c r="L270" s="30" t="n"/>
      <c r="M270" s="31" t="n"/>
      <c r="N270" s="31" t="n"/>
      <c r="O270" s="31" t="n"/>
      <c r="P270" s="30" t="n"/>
      <c r="Q270" s="31" t="n"/>
      <c r="R270" s="31" t="n"/>
      <c r="S270" s="31" t="n"/>
      <c r="T270" s="31" t="n"/>
      <c r="U270" s="30" t="n"/>
      <c r="V270" s="31" t="n"/>
      <c r="W270" s="31" t="n"/>
      <c r="X270" s="31" t="n"/>
      <c r="Y270" s="31" t="n"/>
      <c r="Z270" s="31" t="n"/>
      <c r="AA270" s="31" t="n"/>
      <c r="AB270" s="31" t="n"/>
      <c r="AC270" s="31" t="n"/>
      <c r="AD270" s="31" t="n"/>
      <c r="AE270" s="31" t="n"/>
      <c r="AF270" s="27">
        <f>IF(NOT(COUNTA(A270:AE270)&gt;0),"",IF(A270="","New client","Update"))</f>
        <v/>
      </c>
      <c r="AG270" s="27">
        <f>IF(AO270&lt;&gt;"",AO270,IF(LEN(AN270)=15,MID(AN270,3,10),""))</f>
        <v/>
      </c>
      <c r="AH270" s="27">
        <f>IF(AP270="","",AP270&amp;IF(D270="","  (guessed from PAN)",""))</f>
        <v/>
      </c>
      <c r="AI270" s="27">
        <f>IF(AN270="","",IFERROR(INDEX(Lists!$L$2:$L$38,MATCH(LEFT(AN270,2),Lists!$K$2:$K$38,0)),"Unknown code"))</f>
        <v/>
      </c>
      <c r="AJ270" s="27">
        <f>IF(AN270="","",IFERROR(IF(NOT(AND(LEN(AN270)=15,ISNUMBER(MATCH(LEFT(AN270,2),Lists!$K$2:$K$38,0)),SUMPRODUCT(--ISERROR(FIND(MID(MID(AN270,3,10),{1,2,3,4,5,10},1),"ABCDEFGHIJKLMNOPQRSTUVWXYZ")))=0,SUMPRODUCT(--ISERROR(FIND(MID(MID(AN270,3,10),{6,7,8,9},1),"0123456789")))=0,ISNUMBER(FIND(MID(AN270,13,1),"123456789ABCDEFGHIJKLMNOPQRSTUVWXYZ")),MID(AN270,14,1)="Z")),"Wrong format",IF(MID("0123456789ABCDEFGHIJKLMNOPQRSTUVWXYZ",MOD(36-MOD(SUMPRODUCT(INT((FIND(MID(AN270,{1,2,3,4,5,6,7,8,9,10,11,12,13,14},1),"0123456789ABCDEFGHIJKLMNOPQRSTUVWXYZ")-1)*{1,2,1,2,1,2,1,2,1,2,1,2,1,2}/36)+MOD((FIND(MID(AN270,{1,2,3,4,5,6,7,8,9,10,11,12,13,14},1),"0123456789ABCDEFGHIJKLMNOPQRSTUVWXYZ")-1)*{1,2,1,2,1,2,1,2,1,2,1,2,1,2},36)),36),36)+1,1)=MID(AN270,15,1),"OK","Typo? check digit wrong")),"Wrong format"))</f>
        <v/>
      </c>
      <c r="AK270" s="27">
        <f>IF(AO270="","",IF(AND(LEN(AO270)=10,SUMPRODUCT(--ISERROR(FIND(MID(AO270,{1,2,3,4,5,10},1),"ABCDEFGHIJKLMNOPQRSTUVWXYZ")))=0,SUMPRODUCT(--ISERROR(FIND(MID(AO270,{6,7,8,9},1),"0123456789")))=0),"OK","Wrong format"))</f>
        <v/>
      </c>
      <c r="AL270" s="27">
        <f>IF(TRIM(H270)="","",IF(AND(LEN(UPPER(TRIM(H270)))=10,SUMPRODUCT(--ISERROR(FIND(MID(UPPER(TRIM(H270)),{1,2,3,4,10},1),"ABCDEFGHIJKLMNOPQRSTUVWXYZ")))=0,SUMPRODUCT(--ISERROR(FIND(MID(UPPER(TRIM(H270)),{5,6,7,8,9},1),"0123456789")))=0),"OK","Wrong format"))</f>
        <v/>
      </c>
      <c r="AM270" s="28">
        <f>IF(NOT(COUNTA(A270:AE270)&gt;0),"",IF(AS270&lt;&gt;"","✖ "&amp;LEFT(AS270,LEN(AS270)-2),IF(AR270&gt;0,"✔ Ready — client + "&amp;AR270&amp;" service(s)","✔ Ready — client only")))</f>
        <v/>
      </c>
      <c r="AN270" s="29">
        <f>UPPER(SUBSTITUTE(TRIM(F270)," ",""))</f>
        <v/>
      </c>
      <c r="AO270" s="29">
        <f>UPPER(SUBSTITUTE(TRIM(E270)," ",""))</f>
        <v/>
      </c>
      <c r="AP270" s="29">
        <f>IF(D270&lt;&gt;"",D270,IFERROR(VLOOKUP(MID(AG270,4,1),Lists!$E$2:$F$8,2,FALSE),""))</f>
        <v/>
      </c>
      <c r="AQ270" s="29">
        <f>IFERROR(VLOOKUP(AP270,Lists!$A$2:$C$12,3,FALSE),"")</f>
        <v/>
      </c>
      <c r="AR270" s="29">
        <f>COUNTIF(W270:AC270,"Yes")</f>
        <v/>
      </c>
      <c r="AS270" s="29">
        <f>IF(TRIM(B270)="","Legal name missing; ","")&amp;IF(AND(AJ270&lt;&gt;"",AJ270&lt;&gt;"OK"),"GSTIN: "&amp;AJ270&amp;"; ","")&amp;IF(AND(AK270&lt;&gt;"",AK270&lt;&gt;"OK"),"PAN wrong format; ","")&amp;IF(AND(AO270&lt;&gt;"",LEN(AN270)=15,MID(AN270,3,10)&lt;&gt;AO270),"PAN does not match GSTIN; ","")&amp;IF(AND(AL270&lt;&gt;"",AL270&lt;&gt;"OK"),"TAN wrong format; ","")&amp;IF(AG270="","PAN missing; ","")&amp;IF(AP270="","Entity type missing; ","")&amp;IF(AND(AN270&lt;&gt;"",COUNTIF($AN$6:$AN$1005,AN270)&gt;1),"GSTIN repeated in this sheet; ","")&amp;IF(AND(AG270&lt;&gt;"",COUNTIF($AG$6:$AG$1005,AG270)&gt;1),"PAN repeated in this sheet (same client? put extra GSTINs in Other GSTINs); ","")&amp;IF(AND(AR270&gt;0,V270=""),"Financial year missing; ","")&amp;IF(AND(AR270=0,V270&lt;&gt;""),"Financial year given but no service is Yes; ","")&amp;IF(AND(W270="Yes",AN270=""),"GST needs a GSTIN; ","")&amp;IF(AND(W270="Yes",X270=""),"GST return frequency missing; ","")&amp;IF(AND(Y270="Yes",TRIM(H270)=""),"TDS needs a TAN; ","")&amp;IF(AND(AA270="Yes",AQ270&lt;&gt;"",AQ270&lt;&gt;"company",AQ270&lt;&gt;"llp"),"ROC is only for a company / LLP; ","")&amp;IF(AND(AA270="Yes",OR(AQ270="company",AQ270="llp"),TRIM(I270)=""),"ROC needs the CIN / LLPIN; ","")</f>
        <v/>
      </c>
    </row>
    <row r="271">
      <c r="A271" s="30" t="n"/>
      <c r="B271" s="31" t="n"/>
      <c r="C271" s="31" t="n"/>
      <c r="D271" s="31" t="n"/>
      <c r="E271" s="30" t="n"/>
      <c r="F271" s="30" t="n"/>
      <c r="G271" s="30" t="n"/>
      <c r="H271" s="30" t="n"/>
      <c r="I271" s="30" t="n"/>
      <c r="J271" s="32" t="n"/>
      <c r="K271" s="31" t="n"/>
      <c r="L271" s="30" t="n"/>
      <c r="M271" s="31" t="n"/>
      <c r="N271" s="31" t="n"/>
      <c r="O271" s="31" t="n"/>
      <c r="P271" s="30" t="n"/>
      <c r="Q271" s="31" t="n"/>
      <c r="R271" s="31" t="n"/>
      <c r="S271" s="31" t="n"/>
      <c r="T271" s="31" t="n"/>
      <c r="U271" s="30" t="n"/>
      <c r="V271" s="31" t="n"/>
      <c r="W271" s="31" t="n"/>
      <c r="X271" s="31" t="n"/>
      <c r="Y271" s="31" t="n"/>
      <c r="Z271" s="31" t="n"/>
      <c r="AA271" s="31" t="n"/>
      <c r="AB271" s="31" t="n"/>
      <c r="AC271" s="31" t="n"/>
      <c r="AD271" s="31" t="n"/>
      <c r="AE271" s="31" t="n"/>
      <c r="AF271" s="27">
        <f>IF(NOT(COUNTA(A271:AE271)&gt;0),"",IF(A271="","New client","Update"))</f>
        <v/>
      </c>
      <c r="AG271" s="27">
        <f>IF(AO271&lt;&gt;"",AO271,IF(LEN(AN271)=15,MID(AN271,3,10),""))</f>
        <v/>
      </c>
      <c r="AH271" s="27">
        <f>IF(AP271="","",AP271&amp;IF(D271="","  (guessed from PAN)",""))</f>
        <v/>
      </c>
      <c r="AI271" s="27">
        <f>IF(AN271="","",IFERROR(INDEX(Lists!$L$2:$L$38,MATCH(LEFT(AN271,2),Lists!$K$2:$K$38,0)),"Unknown code"))</f>
        <v/>
      </c>
      <c r="AJ271" s="27">
        <f>IF(AN271="","",IFERROR(IF(NOT(AND(LEN(AN271)=15,ISNUMBER(MATCH(LEFT(AN271,2),Lists!$K$2:$K$38,0)),SUMPRODUCT(--ISERROR(FIND(MID(MID(AN271,3,10),{1,2,3,4,5,10},1),"ABCDEFGHIJKLMNOPQRSTUVWXYZ")))=0,SUMPRODUCT(--ISERROR(FIND(MID(MID(AN271,3,10),{6,7,8,9},1),"0123456789")))=0,ISNUMBER(FIND(MID(AN271,13,1),"123456789ABCDEFGHIJKLMNOPQRSTUVWXYZ")),MID(AN271,14,1)="Z")),"Wrong format",IF(MID("0123456789ABCDEFGHIJKLMNOPQRSTUVWXYZ",MOD(36-MOD(SUMPRODUCT(INT((FIND(MID(AN271,{1,2,3,4,5,6,7,8,9,10,11,12,13,14},1),"0123456789ABCDEFGHIJKLMNOPQRSTUVWXYZ")-1)*{1,2,1,2,1,2,1,2,1,2,1,2,1,2}/36)+MOD((FIND(MID(AN271,{1,2,3,4,5,6,7,8,9,10,11,12,13,14},1),"0123456789ABCDEFGHIJKLMNOPQRSTUVWXYZ")-1)*{1,2,1,2,1,2,1,2,1,2,1,2,1,2},36)),36),36)+1,1)=MID(AN271,15,1),"OK","Typo? check digit wrong")),"Wrong format"))</f>
        <v/>
      </c>
      <c r="AK271" s="27">
        <f>IF(AO271="","",IF(AND(LEN(AO271)=10,SUMPRODUCT(--ISERROR(FIND(MID(AO271,{1,2,3,4,5,10},1),"ABCDEFGHIJKLMNOPQRSTUVWXYZ")))=0,SUMPRODUCT(--ISERROR(FIND(MID(AO271,{6,7,8,9},1),"0123456789")))=0),"OK","Wrong format"))</f>
        <v/>
      </c>
      <c r="AL271" s="27">
        <f>IF(TRIM(H271)="","",IF(AND(LEN(UPPER(TRIM(H271)))=10,SUMPRODUCT(--ISERROR(FIND(MID(UPPER(TRIM(H271)),{1,2,3,4,10},1),"ABCDEFGHIJKLMNOPQRSTUVWXYZ")))=0,SUMPRODUCT(--ISERROR(FIND(MID(UPPER(TRIM(H271)),{5,6,7,8,9},1),"0123456789")))=0),"OK","Wrong format"))</f>
        <v/>
      </c>
      <c r="AM271" s="28">
        <f>IF(NOT(COUNTA(A271:AE271)&gt;0),"",IF(AS271&lt;&gt;"","✖ "&amp;LEFT(AS271,LEN(AS271)-2),IF(AR271&gt;0,"✔ Ready — client + "&amp;AR271&amp;" service(s)","✔ Ready — client only")))</f>
        <v/>
      </c>
      <c r="AN271" s="29">
        <f>UPPER(SUBSTITUTE(TRIM(F271)," ",""))</f>
        <v/>
      </c>
      <c r="AO271" s="29">
        <f>UPPER(SUBSTITUTE(TRIM(E271)," ",""))</f>
        <v/>
      </c>
      <c r="AP271" s="29">
        <f>IF(D271&lt;&gt;"",D271,IFERROR(VLOOKUP(MID(AG271,4,1),Lists!$E$2:$F$8,2,FALSE),""))</f>
        <v/>
      </c>
      <c r="AQ271" s="29">
        <f>IFERROR(VLOOKUP(AP271,Lists!$A$2:$C$12,3,FALSE),"")</f>
        <v/>
      </c>
      <c r="AR271" s="29">
        <f>COUNTIF(W271:AC271,"Yes")</f>
        <v/>
      </c>
      <c r="AS271" s="29">
        <f>IF(TRIM(B271)="","Legal name missing; ","")&amp;IF(AND(AJ271&lt;&gt;"",AJ271&lt;&gt;"OK"),"GSTIN: "&amp;AJ271&amp;"; ","")&amp;IF(AND(AK271&lt;&gt;"",AK271&lt;&gt;"OK"),"PAN wrong format; ","")&amp;IF(AND(AO271&lt;&gt;"",LEN(AN271)=15,MID(AN271,3,10)&lt;&gt;AO271),"PAN does not match GSTIN; ","")&amp;IF(AND(AL271&lt;&gt;"",AL271&lt;&gt;"OK"),"TAN wrong format; ","")&amp;IF(AG271="","PAN missing; ","")&amp;IF(AP271="","Entity type missing; ","")&amp;IF(AND(AN271&lt;&gt;"",COUNTIF($AN$6:$AN$1005,AN271)&gt;1),"GSTIN repeated in this sheet; ","")&amp;IF(AND(AG271&lt;&gt;"",COUNTIF($AG$6:$AG$1005,AG271)&gt;1),"PAN repeated in this sheet (same client? put extra GSTINs in Other GSTINs); ","")&amp;IF(AND(AR271&gt;0,V271=""),"Financial year missing; ","")&amp;IF(AND(AR271=0,V271&lt;&gt;""),"Financial year given but no service is Yes; ","")&amp;IF(AND(W271="Yes",AN271=""),"GST needs a GSTIN; ","")&amp;IF(AND(W271="Yes",X271=""),"GST return frequency missing; ","")&amp;IF(AND(Y271="Yes",TRIM(H271)=""),"TDS needs a TAN; ","")&amp;IF(AND(AA271="Yes",AQ271&lt;&gt;"",AQ271&lt;&gt;"company",AQ271&lt;&gt;"llp"),"ROC is only for a company / LLP; ","")&amp;IF(AND(AA271="Yes",OR(AQ271="company",AQ271="llp"),TRIM(I271)=""),"ROC needs the CIN / LLPIN; ","")</f>
        <v/>
      </c>
    </row>
    <row r="272">
      <c r="A272" s="30" t="n"/>
      <c r="B272" s="31" t="n"/>
      <c r="C272" s="31" t="n"/>
      <c r="D272" s="31" t="n"/>
      <c r="E272" s="30" t="n"/>
      <c r="F272" s="30" t="n"/>
      <c r="G272" s="30" t="n"/>
      <c r="H272" s="30" t="n"/>
      <c r="I272" s="30" t="n"/>
      <c r="J272" s="32" t="n"/>
      <c r="K272" s="31" t="n"/>
      <c r="L272" s="30" t="n"/>
      <c r="M272" s="31" t="n"/>
      <c r="N272" s="31" t="n"/>
      <c r="O272" s="31" t="n"/>
      <c r="P272" s="30" t="n"/>
      <c r="Q272" s="31" t="n"/>
      <c r="R272" s="31" t="n"/>
      <c r="S272" s="31" t="n"/>
      <c r="T272" s="31" t="n"/>
      <c r="U272" s="30" t="n"/>
      <c r="V272" s="31" t="n"/>
      <c r="W272" s="31" t="n"/>
      <c r="X272" s="31" t="n"/>
      <c r="Y272" s="31" t="n"/>
      <c r="Z272" s="31" t="n"/>
      <c r="AA272" s="31" t="n"/>
      <c r="AB272" s="31" t="n"/>
      <c r="AC272" s="31" t="n"/>
      <c r="AD272" s="31" t="n"/>
      <c r="AE272" s="31" t="n"/>
      <c r="AF272" s="27">
        <f>IF(NOT(COUNTA(A272:AE272)&gt;0),"",IF(A272="","New client","Update"))</f>
        <v/>
      </c>
      <c r="AG272" s="27">
        <f>IF(AO272&lt;&gt;"",AO272,IF(LEN(AN272)=15,MID(AN272,3,10),""))</f>
        <v/>
      </c>
      <c r="AH272" s="27">
        <f>IF(AP272="","",AP272&amp;IF(D272="","  (guessed from PAN)",""))</f>
        <v/>
      </c>
      <c r="AI272" s="27">
        <f>IF(AN272="","",IFERROR(INDEX(Lists!$L$2:$L$38,MATCH(LEFT(AN272,2),Lists!$K$2:$K$38,0)),"Unknown code"))</f>
        <v/>
      </c>
      <c r="AJ272" s="27">
        <f>IF(AN272="","",IFERROR(IF(NOT(AND(LEN(AN272)=15,ISNUMBER(MATCH(LEFT(AN272,2),Lists!$K$2:$K$38,0)),SUMPRODUCT(--ISERROR(FIND(MID(MID(AN272,3,10),{1,2,3,4,5,10},1),"ABCDEFGHIJKLMNOPQRSTUVWXYZ")))=0,SUMPRODUCT(--ISERROR(FIND(MID(MID(AN272,3,10),{6,7,8,9},1),"0123456789")))=0,ISNUMBER(FIND(MID(AN272,13,1),"123456789ABCDEFGHIJKLMNOPQRSTUVWXYZ")),MID(AN272,14,1)="Z")),"Wrong format",IF(MID("0123456789ABCDEFGHIJKLMNOPQRSTUVWXYZ",MOD(36-MOD(SUMPRODUCT(INT((FIND(MID(AN272,{1,2,3,4,5,6,7,8,9,10,11,12,13,14},1),"0123456789ABCDEFGHIJKLMNOPQRSTUVWXYZ")-1)*{1,2,1,2,1,2,1,2,1,2,1,2,1,2}/36)+MOD((FIND(MID(AN272,{1,2,3,4,5,6,7,8,9,10,11,12,13,14},1),"0123456789ABCDEFGHIJKLMNOPQRSTUVWXYZ")-1)*{1,2,1,2,1,2,1,2,1,2,1,2,1,2},36)),36),36)+1,1)=MID(AN272,15,1),"OK","Typo? check digit wrong")),"Wrong format"))</f>
        <v/>
      </c>
      <c r="AK272" s="27">
        <f>IF(AO272="","",IF(AND(LEN(AO272)=10,SUMPRODUCT(--ISERROR(FIND(MID(AO272,{1,2,3,4,5,10},1),"ABCDEFGHIJKLMNOPQRSTUVWXYZ")))=0,SUMPRODUCT(--ISERROR(FIND(MID(AO272,{6,7,8,9},1),"0123456789")))=0),"OK","Wrong format"))</f>
        <v/>
      </c>
      <c r="AL272" s="27">
        <f>IF(TRIM(H272)="","",IF(AND(LEN(UPPER(TRIM(H272)))=10,SUMPRODUCT(--ISERROR(FIND(MID(UPPER(TRIM(H272)),{1,2,3,4,10},1),"ABCDEFGHIJKLMNOPQRSTUVWXYZ")))=0,SUMPRODUCT(--ISERROR(FIND(MID(UPPER(TRIM(H272)),{5,6,7,8,9},1),"0123456789")))=0),"OK","Wrong format"))</f>
        <v/>
      </c>
      <c r="AM272" s="28">
        <f>IF(NOT(COUNTA(A272:AE272)&gt;0),"",IF(AS272&lt;&gt;"","✖ "&amp;LEFT(AS272,LEN(AS272)-2),IF(AR272&gt;0,"✔ Ready — client + "&amp;AR272&amp;" service(s)","✔ Ready — client only")))</f>
        <v/>
      </c>
      <c r="AN272" s="29">
        <f>UPPER(SUBSTITUTE(TRIM(F272)," ",""))</f>
        <v/>
      </c>
      <c r="AO272" s="29">
        <f>UPPER(SUBSTITUTE(TRIM(E272)," ",""))</f>
        <v/>
      </c>
      <c r="AP272" s="29">
        <f>IF(D272&lt;&gt;"",D272,IFERROR(VLOOKUP(MID(AG272,4,1),Lists!$E$2:$F$8,2,FALSE),""))</f>
        <v/>
      </c>
      <c r="AQ272" s="29">
        <f>IFERROR(VLOOKUP(AP272,Lists!$A$2:$C$12,3,FALSE),"")</f>
        <v/>
      </c>
      <c r="AR272" s="29">
        <f>COUNTIF(W272:AC272,"Yes")</f>
        <v/>
      </c>
      <c r="AS272" s="29">
        <f>IF(TRIM(B272)="","Legal name missing; ","")&amp;IF(AND(AJ272&lt;&gt;"",AJ272&lt;&gt;"OK"),"GSTIN: "&amp;AJ272&amp;"; ","")&amp;IF(AND(AK272&lt;&gt;"",AK272&lt;&gt;"OK"),"PAN wrong format; ","")&amp;IF(AND(AO272&lt;&gt;"",LEN(AN272)=15,MID(AN272,3,10)&lt;&gt;AO272),"PAN does not match GSTIN; ","")&amp;IF(AND(AL272&lt;&gt;"",AL272&lt;&gt;"OK"),"TAN wrong format; ","")&amp;IF(AG272="","PAN missing; ","")&amp;IF(AP272="","Entity type missing; ","")&amp;IF(AND(AN272&lt;&gt;"",COUNTIF($AN$6:$AN$1005,AN272)&gt;1),"GSTIN repeated in this sheet; ","")&amp;IF(AND(AG272&lt;&gt;"",COUNTIF($AG$6:$AG$1005,AG272)&gt;1),"PAN repeated in this sheet (same client? put extra GSTINs in Other GSTINs); ","")&amp;IF(AND(AR272&gt;0,V272=""),"Financial year missing; ","")&amp;IF(AND(AR272=0,V272&lt;&gt;""),"Financial year given but no service is Yes; ","")&amp;IF(AND(W272="Yes",AN272=""),"GST needs a GSTIN; ","")&amp;IF(AND(W272="Yes",X272=""),"GST return frequency missing; ","")&amp;IF(AND(Y272="Yes",TRIM(H272)=""),"TDS needs a TAN; ","")&amp;IF(AND(AA272="Yes",AQ272&lt;&gt;"",AQ272&lt;&gt;"company",AQ272&lt;&gt;"llp"),"ROC is only for a company / LLP; ","")&amp;IF(AND(AA272="Yes",OR(AQ272="company",AQ272="llp"),TRIM(I272)=""),"ROC needs the CIN / LLPIN; ","")</f>
        <v/>
      </c>
    </row>
    <row r="273">
      <c r="A273" s="30" t="n"/>
      <c r="B273" s="31" t="n"/>
      <c r="C273" s="31" t="n"/>
      <c r="D273" s="31" t="n"/>
      <c r="E273" s="30" t="n"/>
      <c r="F273" s="30" t="n"/>
      <c r="G273" s="30" t="n"/>
      <c r="H273" s="30" t="n"/>
      <c r="I273" s="30" t="n"/>
      <c r="J273" s="32" t="n"/>
      <c r="K273" s="31" t="n"/>
      <c r="L273" s="30" t="n"/>
      <c r="M273" s="31" t="n"/>
      <c r="N273" s="31" t="n"/>
      <c r="O273" s="31" t="n"/>
      <c r="P273" s="30" t="n"/>
      <c r="Q273" s="31" t="n"/>
      <c r="R273" s="31" t="n"/>
      <c r="S273" s="31" t="n"/>
      <c r="T273" s="31" t="n"/>
      <c r="U273" s="30" t="n"/>
      <c r="V273" s="31" t="n"/>
      <c r="W273" s="31" t="n"/>
      <c r="X273" s="31" t="n"/>
      <c r="Y273" s="31" t="n"/>
      <c r="Z273" s="31" t="n"/>
      <c r="AA273" s="31" t="n"/>
      <c r="AB273" s="31" t="n"/>
      <c r="AC273" s="31" t="n"/>
      <c r="AD273" s="31" t="n"/>
      <c r="AE273" s="31" t="n"/>
      <c r="AF273" s="27">
        <f>IF(NOT(COUNTA(A273:AE273)&gt;0),"",IF(A273="","New client","Update"))</f>
        <v/>
      </c>
      <c r="AG273" s="27">
        <f>IF(AO273&lt;&gt;"",AO273,IF(LEN(AN273)=15,MID(AN273,3,10),""))</f>
        <v/>
      </c>
      <c r="AH273" s="27">
        <f>IF(AP273="","",AP273&amp;IF(D273="","  (guessed from PAN)",""))</f>
        <v/>
      </c>
      <c r="AI273" s="27">
        <f>IF(AN273="","",IFERROR(INDEX(Lists!$L$2:$L$38,MATCH(LEFT(AN273,2),Lists!$K$2:$K$38,0)),"Unknown code"))</f>
        <v/>
      </c>
      <c r="AJ273" s="27">
        <f>IF(AN273="","",IFERROR(IF(NOT(AND(LEN(AN273)=15,ISNUMBER(MATCH(LEFT(AN273,2),Lists!$K$2:$K$38,0)),SUMPRODUCT(--ISERROR(FIND(MID(MID(AN273,3,10),{1,2,3,4,5,10},1),"ABCDEFGHIJKLMNOPQRSTUVWXYZ")))=0,SUMPRODUCT(--ISERROR(FIND(MID(MID(AN273,3,10),{6,7,8,9},1),"0123456789")))=0,ISNUMBER(FIND(MID(AN273,13,1),"123456789ABCDEFGHIJKLMNOPQRSTUVWXYZ")),MID(AN273,14,1)="Z")),"Wrong format",IF(MID("0123456789ABCDEFGHIJKLMNOPQRSTUVWXYZ",MOD(36-MOD(SUMPRODUCT(INT((FIND(MID(AN273,{1,2,3,4,5,6,7,8,9,10,11,12,13,14},1),"0123456789ABCDEFGHIJKLMNOPQRSTUVWXYZ")-1)*{1,2,1,2,1,2,1,2,1,2,1,2,1,2}/36)+MOD((FIND(MID(AN273,{1,2,3,4,5,6,7,8,9,10,11,12,13,14},1),"0123456789ABCDEFGHIJKLMNOPQRSTUVWXYZ")-1)*{1,2,1,2,1,2,1,2,1,2,1,2,1,2},36)),36),36)+1,1)=MID(AN273,15,1),"OK","Typo? check digit wrong")),"Wrong format"))</f>
        <v/>
      </c>
      <c r="AK273" s="27">
        <f>IF(AO273="","",IF(AND(LEN(AO273)=10,SUMPRODUCT(--ISERROR(FIND(MID(AO273,{1,2,3,4,5,10},1),"ABCDEFGHIJKLMNOPQRSTUVWXYZ")))=0,SUMPRODUCT(--ISERROR(FIND(MID(AO273,{6,7,8,9},1),"0123456789")))=0),"OK","Wrong format"))</f>
        <v/>
      </c>
      <c r="AL273" s="27">
        <f>IF(TRIM(H273)="","",IF(AND(LEN(UPPER(TRIM(H273)))=10,SUMPRODUCT(--ISERROR(FIND(MID(UPPER(TRIM(H273)),{1,2,3,4,10},1),"ABCDEFGHIJKLMNOPQRSTUVWXYZ")))=0,SUMPRODUCT(--ISERROR(FIND(MID(UPPER(TRIM(H273)),{5,6,7,8,9},1),"0123456789")))=0),"OK","Wrong format"))</f>
        <v/>
      </c>
      <c r="AM273" s="28">
        <f>IF(NOT(COUNTA(A273:AE273)&gt;0),"",IF(AS273&lt;&gt;"","✖ "&amp;LEFT(AS273,LEN(AS273)-2),IF(AR273&gt;0,"✔ Ready — client + "&amp;AR273&amp;" service(s)","✔ Ready — client only")))</f>
        <v/>
      </c>
      <c r="AN273" s="29">
        <f>UPPER(SUBSTITUTE(TRIM(F273)," ",""))</f>
        <v/>
      </c>
      <c r="AO273" s="29">
        <f>UPPER(SUBSTITUTE(TRIM(E273)," ",""))</f>
        <v/>
      </c>
      <c r="AP273" s="29">
        <f>IF(D273&lt;&gt;"",D273,IFERROR(VLOOKUP(MID(AG273,4,1),Lists!$E$2:$F$8,2,FALSE),""))</f>
        <v/>
      </c>
      <c r="AQ273" s="29">
        <f>IFERROR(VLOOKUP(AP273,Lists!$A$2:$C$12,3,FALSE),"")</f>
        <v/>
      </c>
      <c r="AR273" s="29">
        <f>COUNTIF(W273:AC273,"Yes")</f>
        <v/>
      </c>
      <c r="AS273" s="29">
        <f>IF(TRIM(B273)="","Legal name missing; ","")&amp;IF(AND(AJ273&lt;&gt;"",AJ273&lt;&gt;"OK"),"GSTIN: "&amp;AJ273&amp;"; ","")&amp;IF(AND(AK273&lt;&gt;"",AK273&lt;&gt;"OK"),"PAN wrong format; ","")&amp;IF(AND(AO273&lt;&gt;"",LEN(AN273)=15,MID(AN273,3,10)&lt;&gt;AO273),"PAN does not match GSTIN; ","")&amp;IF(AND(AL273&lt;&gt;"",AL273&lt;&gt;"OK"),"TAN wrong format; ","")&amp;IF(AG273="","PAN missing; ","")&amp;IF(AP273="","Entity type missing; ","")&amp;IF(AND(AN273&lt;&gt;"",COUNTIF($AN$6:$AN$1005,AN273)&gt;1),"GSTIN repeated in this sheet; ","")&amp;IF(AND(AG273&lt;&gt;"",COUNTIF($AG$6:$AG$1005,AG273)&gt;1),"PAN repeated in this sheet (same client? put extra GSTINs in Other GSTINs); ","")&amp;IF(AND(AR273&gt;0,V273=""),"Financial year missing; ","")&amp;IF(AND(AR273=0,V273&lt;&gt;""),"Financial year given but no service is Yes; ","")&amp;IF(AND(W273="Yes",AN273=""),"GST needs a GSTIN; ","")&amp;IF(AND(W273="Yes",X273=""),"GST return frequency missing; ","")&amp;IF(AND(Y273="Yes",TRIM(H273)=""),"TDS needs a TAN; ","")&amp;IF(AND(AA273="Yes",AQ273&lt;&gt;"",AQ273&lt;&gt;"company",AQ273&lt;&gt;"llp"),"ROC is only for a company / LLP; ","")&amp;IF(AND(AA273="Yes",OR(AQ273="company",AQ273="llp"),TRIM(I273)=""),"ROC needs the CIN / LLPIN; ","")</f>
        <v/>
      </c>
    </row>
    <row r="274">
      <c r="A274" s="30" t="n"/>
      <c r="B274" s="31" t="n"/>
      <c r="C274" s="31" t="n"/>
      <c r="D274" s="31" t="n"/>
      <c r="E274" s="30" t="n"/>
      <c r="F274" s="30" t="n"/>
      <c r="G274" s="30" t="n"/>
      <c r="H274" s="30" t="n"/>
      <c r="I274" s="30" t="n"/>
      <c r="J274" s="32" t="n"/>
      <c r="K274" s="31" t="n"/>
      <c r="L274" s="30" t="n"/>
      <c r="M274" s="31" t="n"/>
      <c r="N274" s="31" t="n"/>
      <c r="O274" s="31" t="n"/>
      <c r="P274" s="30" t="n"/>
      <c r="Q274" s="31" t="n"/>
      <c r="R274" s="31" t="n"/>
      <c r="S274" s="31" t="n"/>
      <c r="T274" s="31" t="n"/>
      <c r="U274" s="30" t="n"/>
      <c r="V274" s="31" t="n"/>
      <c r="W274" s="31" t="n"/>
      <c r="X274" s="31" t="n"/>
      <c r="Y274" s="31" t="n"/>
      <c r="Z274" s="31" t="n"/>
      <c r="AA274" s="31" t="n"/>
      <c r="AB274" s="31" t="n"/>
      <c r="AC274" s="31" t="n"/>
      <c r="AD274" s="31" t="n"/>
      <c r="AE274" s="31" t="n"/>
      <c r="AF274" s="27">
        <f>IF(NOT(COUNTA(A274:AE274)&gt;0),"",IF(A274="","New client","Update"))</f>
        <v/>
      </c>
      <c r="AG274" s="27">
        <f>IF(AO274&lt;&gt;"",AO274,IF(LEN(AN274)=15,MID(AN274,3,10),""))</f>
        <v/>
      </c>
      <c r="AH274" s="27">
        <f>IF(AP274="","",AP274&amp;IF(D274="","  (guessed from PAN)",""))</f>
        <v/>
      </c>
      <c r="AI274" s="27">
        <f>IF(AN274="","",IFERROR(INDEX(Lists!$L$2:$L$38,MATCH(LEFT(AN274,2),Lists!$K$2:$K$38,0)),"Unknown code"))</f>
        <v/>
      </c>
      <c r="AJ274" s="27">
        <f>IF(AN274="","",IFERROR(IF(NOT(AND(LEN(AN274)=15,ISNUMBER(MATCH(LEFT(AN274,2),Lists!$K$2:$K$38,0)),SUMPRODUCT(--ISERROR(FIND(MID(MID(AN274,3,10),{1,2,3,4,5,10},1),"ABCDEFGHIJKLMNOPQRSTUVWXYZ")))=0,SUMPRODUCT(--ISERROR(FIND(MID(MID(AN274,3,10),{6,7,8,9},1),"0123456789")))=0,ISNUMBER(FIND(MID(AN274,13,1),"123456789ABCDEFGHIJKLMNOPQRSTUVWXYZ")),MID(AN274,14,1)="Z")),"Wrong format",IF(MID("0123456789ABCDEFGHIJKLMNOPQRSTUVWXYZ",MOD(36-MOD(SUMPRODUCT(INT((FIND(MID(AN274,{1,2,3,4,5,6,7,8,9,10,11,12,13,14},1),"0123456789ABCDEFGHIJKLMNOPQRSTUVWXYZ")-1)*{1,2,1,2,1,2,1,2,1,2,1,2,1,2}/36)+MOD((FIND(MID(AN274,{1,2,3,4,5,6,7,8,9,10,11,12,13,14},1),"0123456789ABCDEFGHIJKLMNOPQRSTUVWXYZ")-1)*{1,2,1,2,1,2,1,2,1,2,1,2,1,2},36)),36),36)+1,1)=MID(AN274,15,1),"OK","Typo? check digit wrong")),"Wrong format"))</f>
        <v/>
      </c>
      <c r="AK274" s="27">
        <f>IF(AO274="","",IF(AND(LEN(AO274)=10,SUMPRODUCT(--ISERROR(FIND(MID(AO274,{1,2,3,4,5,10},1),"ABCDEFGHIJKLMNOPQRSTUVWXYZ")))=0,SUMPRODUCT(--ISERROR(FIND(MID(AO274,{6,7,8,9},1),"0123456789")))=0),"OK","Wrong format"))</f>
        <v/>
      </c>
      <c r="AL274" s="27">
        <f>IF(TRIM(H274)="","",IF(AND(LEN(UPPER(TRIM(H274)))=10,SUMPRODUCT(--ISERROR(FIND(MID(UPPER(TRIM(H274)),{1,2,3,4,10},1),"ABCDEFGHIJKLMNOPQRSTUVWXYZ")))=0,SUMPRODUCT(--ISERROR(FIND(MID(UPPER(TRIM(H274)),{5,6,7,8,9},1),"0123456789")))=0),"OK","Wrong format"))</f>
        <v/>
      </c>
      <c r="AM274" s="28">
        <f>IF(NOT(COUNTA(A274:AE274)&gt;0),"",IF(AS274&lt;&gt;"","✖ "&amp;LEFT(AS274,LEN(AS274)-2),IF(AR274&gt;0,"✔ Ready — client + "&amp;AR274&amp;" service(s)","✔ Ready — client only")))</f>
        <v/>
      </c>
      <c r="AN274" s="29">
        <f>UPPER(SUBSTITUTE(TRIM(F274)," ",""))</f>
        <v/>
      </c>
      <c r="AO274" s="29">
        <f>UPPER(SUBSTITUTE(TRIM(E274)," ",""))</f>
        <v/>
      </c>
      <c r="AP274" s="29">
        <f>IF(D274&lt;&gt;"",D274,IFERROR(VLOOKUP(MID(AG274,4,1),Lists!$E$2:$F$8,2,FALSE),""))</f>
        <v/>
      </c>
      <c r="AQ274" s="29">
        <f>IFERROR(VLOOKUP(AP274,Lists!$A$2:$C$12,3,FALSE),"")</f>
        <v/>
      </c>
      <c r="AR274" s="29">
        <f>COUNTIF(W274:AC274,"Yes")</f>
        <v/>
      </c>
      <c r="AS274" s="29">
        <f>IF(TRIM(B274)="","Legal name missing; ","")&amp;IF(AND(AJ274&lt;&gt;"",AJ274&lt;&gt;"OK"),"GSTIN: "&amp;AJ274&amp;"; ","")&amp;IF(AND(AK274&lt;&gt;"",AK274&lt;&gt;"OK"),"PAN wrong format; ","")&amp;IF(AND(AO274&lt;&gt;"",LEN(AN274)=15,MID(AN274,3,10)&lt;&gt;AO274),"PAN does not match GSTIN; ","")&amp;IF(AND(AL274&lt;&gt;"",AL274&lt;&gt;"OK"),"TAN wrong format; ","")&amp;IF(AG274="","PAN missing; ","")&amp;IF(AP274="","Entity type missing; ","")&amp;IF(AND(AN274&lt;&gt;"",COUNTIF($AN$6:$AN$1005,AN274)&gt;1),"GSTIN repeated in this sheet; ","")&amp;IF(AND(AG274&lt;&gt;"",COUNTIF($AG$6:$AG$1005,AG274)&gt;1),"PAN repeated in this sheet (same client? put extra GSTINs in Other GSTINs); ","")&amp;IF(AND(AR274&gt;0,V274=""),"Financial year missing; ","")&amp;IF(AND(AR274=0,V274&lt;&gt;""),"Financial year given but no service is Yes; ","")&amp;IF(AND(W274="Yes",AN274=""),"GST needs a GSTIN; ","")&amp;IF(AND(W274="Yes",X274=""),"GST return frequency missing; ","")&amp;IF(AND(Y274="Yes",TRIM(H274)=""),"TDS needs a TAN; ","")&amp;IF(AND(AA274="Yes",AQ274&lt;&gt;"",AQ274&lt;&gt;"company",AQ274&lt;&gt;"llp"),"ROC is only for a company / LLP; ","")&amp;IF(AND(AA274="Yes",OR(AQ274="company",AQ274="llp"),TRIM(I274)=""),"ROC needs the CIN / LLPIN; ","")</f>
        <v/>
      </c>
    </row>
    <row r="275">
      <c r="A275" s="30" t="n"/>
      <c r="B275" s="31" t="n"/>
      <c r="C275" s="31" t="n"/>
      <c r="D275" s="31" t="n"/>
      <c r="E275" s="30" t="n"/>
      <c r="F275" s="30" t="n"/>
      <c r="G275" s="30" t="n"/>
      <c r="H275" s="30" t="n"/>
      <c r="I275" s="30" t="n"/>
      <c r="J275" s="32" t="n"/>
      <c r="K275" s="31" t="n"/>
      <c r="L275" s="30" t="n"/>
      <c r="M275" s="31" t="n"/>
      <c r="N275" s="31" t="n"/>
      <c r="O275" s="31" t="n"/>
      <c r="P275" s="30" t="n"/>
      <c r="Q275" s="31" t="n"/>
      <c r="R275" s="31" t="n"/>
      <c r="S275" s="31" t="n"/>
      <c r="T275" s="31" t="n"/>
      <c r="U275" s="30" t="n"/>
      <c r="V275" s="31" t="n"/>
      <c r="W275" s="31" t="n"/>
      <c r="X275" s="31" t="n"/>
      <c r="Y275" s="31" t="n"/>
      <c r="Z275" s="31" t="n"/>
      <c r="AA275" s="31" t="n"/>
      <c r="AB275" s="31" t="n"/>
      <c r="AC275" s="31" t="n"/>
      <c r="AD275" s="31" t="n"/>
      <c r="AE275" s="31" t="n"/>
      <c r="AF275" s="27">
        <f>IF(NOT(COUNTA(A275:AE275)&gt;0),"",IF(A275="","New client","Update"))</f>
        <v/>
      </c>
      <c r="AG275" s="27">
        <f>IF(AO275&lt;&gt;"",AO275,IF(LEN(AN275)=15,MID(AN275,3,10),""))</f>
        <v/>
      </c>
      <c r="AH275" s="27">
        <f>IF(AP275="","",AP275&amp;IF(D275="","  (guessed from PAN)",""))</f>
        <v/>
      </c>
      <c r="AI275" s="27">
        <f>IF(AN275="","",IFERROR(INDEX(Lists!$L$2:$L$38,MATCH(LEFT(AN275,2),Lists!$K$2:$K$38,0)),"Unknown code"))</f>
        <v/>
      </c>
      <c r="AJ275" s="27">
        <f>IF(AN275="","",IFERROR(IF(NOT(AND(LEN(AN275)=15,ISNUMBER(MATCH(LEFT(AN275,2),Lists!$K$2:$K$38,0)),SUMPRODUCT(--ISERROR(FIND(MID(MID(AN275,3,10),{1,2,3,4,5,10},1),"ABCDEFGHIJKLMNOPQRSTUVWXYZ")))=0,SUMPRODUCT(--ISERROR(FIND(MID(MID(AN275,3,10),{6,7,8,9},1),"0123456789")))=0,ISNUMBER(FIND(MID(AN275,13,1),"123456789ABCDEFGHIJKLMNOPQRSTUVWXYZ")),MID(AN275,14,1)="Z")),"Wrong format",IF(MID("0123456789ABCDEFGHIJKLMNOPQRSTUVWXYZ",MOD(36-MOD(SUMPRODUCT(INT((FIND(MID(AN275,{1,2,3,4,5,6,7,8,9,10,11,12,13,14},1),"0123456789ABCDEFGHIJKLMNOPQRSTUVWXYZ")-1)*{1,2,1,2,1,2,1,2,1,2,1,2,1,2}/36)+MOD((FIND(MID(AN275,{1,2,3,4,5,6,7,8,9,10,11,12,13,14},1),"0123456789ABCDEFGHIJKLMNOPQRSTUVWXYZ")-1)*{1,2,1,2,1,2,1,2,1,2,1,2,1,2},36)),36),36)+1,1)=MID(AN275,15,1),"OK","Typo? check digit wrong")),"Wrong format"))</f>
        <v/>
      </c>
      <c r="AK275" s="27">
        <f>IF(AO275="","",IF(AND(LEN(AO275)=10,SUMPRODUCT(--ISERROR(FIND(MID(AO275,{1,2,3,4,5,10},1),"ABCDEFGHIJKLMNOPQRSTUVWXYZ")))=0,SUMPRODUCT(--ISERROR(FIND(MID(AO275,{6,7,8,9},1),"0123456789")))=0),"OK","Wrong format"))</f>
        <v/>
      </c>
      <c r="AL275" s="27">
        <f>IF(TRIM(H275)="","",IF(AND(LEN(UPPER(TRIM(H275)))=10,SUMPRODUCT(--ISERROR(FIND(MID(UPPER(TRIM(H275)),{1,2,3,4,10},1),"ABCDEFGHIJKLMNOPQRSTUVWXYZ")))=0,SUMPRODUCT(--ISERROR(FIND(MID(UPPER(TRIM(H275)),{5,6,7,8,9},1),"0123456789")))=0),"OK","Wrong format"))</f>
        <v/>
      </c>
      <c r="AM275" s="28">
        <f>IF(NOT(COUNTA(A275:AE275)&gt;0),"",IF(AS275&lt;&gt;"","✖ "&amp;LEFT(AS275,LEN(AS275)-2),IF(AR275&gt;0,"✔ Ready — client + "&amp;AR275&amp;" service(s)","✔ Ready — client only")))</f>
        <v/>
      </c>
      <c r="AN275" s="29">
        <f>UPPER(SUBSTITUTE(TRIM(F275)," ",""))</f>
        <v/>
      </c>
      <c r="AO275" s="29">
        <f>UPPER(SUBSTITUTE(TRIM(E275)," ",""))</f>
        <v/>
      </c>
      <c r="AP275" s="29">
        <f>IF(D275&lt;&gt;"",D275,IFERROR(VLOOKUP(MID(AG275,4,1),Lists!$E$2:$F$8,2,FALSE),""))</f>
        <v/>
      </c>
      <c r="AQ275" s="29">
        <f>IFERROR(VLOOKUP(AP275,Lists!$A$2:$C$12,3,FALSE),"")</f>
        <v/>
      </c>
      <c r="AR275" s="29">
        <f>COUNTIF(W275:AC275,"Yes")</f>
        <v/>
      </c>
      <c r="AS275" s="29">
        <f>IF(TRIM(B275)="","Legal name missing; ","")&amp;IF(AND(AJ275&lt;&gt;"",AJ275&lt;&gt;"OK"),"GSTIN: "&amp;AJ275&amp;"; ","")&amp;IF(AND(AK275&lt;&gt;"",AK275&lt;&gt;"OK"),"PAN wrong format; ","")&amp;IF(AND(AO275&lt;&gt;"",LEN(AN275)=15,MID(AN275,3,10)&lt;&gt;AO275),"PAN does not match GSTIN; ","")&amp;IF(AND(AL275&lt;&gt;"",AL275&lt;&gt;"OK"),"TAN wrong format; ","")&amp;IF(AG275="","PAN missing; ","")&amp;IF(AP275="","Entity type missing; ","")&amp;IF(AND(AN275&lt;&gt;"",COUNTIF($AN$6:$AN$1005,AN275)&gt;1),"GSTIN repeated in this sheet; ","")&amp;IF(AND(AG275&lt;&gt;"",COUNTIF($AG$6:$AG$1005,AG275)&gt;1),"PAN repeated in this sheet (same client? put extra GSTINs in Other GSTINs); ","")&amp;IF(AND(AR275&gt;0,V275=""),"Financial year missing; ","")&amp;IF(AND(AR275=0,V275&lt;&gt;""),"Financial year given but no service is Yes; ","")&amp;IF(AND(W275="Yes",AN275=""),"GST needs a GSTIN; ","")&amp;IF(AND(W275="Yes",X275=""),"GST return frequency missing; ","")&amp;IF(AND(Y275="Yes",TRIM(H275)=""),"TDS needs a TAN; ","")&amp;IF(AND(AA275="Yes",AQ275&lt;&gt;"",AQ275&lt;&gt;"company",AQ275&lt;&gt;"llp"),"ROC is only for a company / LLP; ","")&amp;IF(AND(AA275="Yes",OR(AQ275="company",AQ275="llp"),TRIM(I275)=""),"ROC needs the CIN / LLPIN; ","")</f>
        <v/>
      </c>
    </row>
    <row r="276">
      <c r="A276" s="30" t="n"/>
      <c r="B276" s="31" t="n"/>
      <c r="C276" s="31" t="n"/>
      <c r="D276" s="31" t="n"/>
      <c r="E276" s="30" t="n"/>
      <c r="F276" s="30" t="n"/>
      <c r="G276" s="30" t="n"/>
      <c r="H276" s="30" t="n"/>
      <c r="I276" s="30" t="n"/>
      <c r="J276" s="32" t="n"/>
      <c r="K276" s="31" t="n"/>
      <c r="L276" s="30" t="n"/>
      <c r="M276" s="31" t="n"/>
      <c r="N276" s="31" t="n"/>
      <c r="O276" s="31" t="n"/>
      <c r="P276" s="30" t="n"/>
      <c r="Q276" s="31" t="n"/>
      <c r="R276" s="31" t="n"/>
      <c r="S276" s="31" t="n"/>
      <c r="T276" s="31" t="n"/>
      <c r="U276" s="30" t="n"/>
      <c r="V276" s="31" t="n"/>
      <c r="W276" s="31" t="n"/>
      <c r="X276" s="31" t="n"/>
      <c r="Y276" s="31" t="n"/>
      <c r="Z276" s="31" t="n"/>
      <c r="AA276" s="31" t="n"/>
      <c r="AB276" s="31" t="n"/>
      <c r="AC276" s="31" t="n"/>
      <c r="AD276" s="31" t="n"/>
      <c r="AE276" s="31" t="n"/>
      <c r="AF276" s="27">
        <f>IF(NOT(COUNTA(A276:AE276)&gt;0),"",IF(A276="","New client","Update"))</f>
        <v/>
      </c>
      <c r="AG276" s="27">
        <f>IF(AO276&lt;&gt;"",AO276,IF(LEN(AN276)=15,MID(AN276,3,10),""))</f>
        <v/>
      </c>
      <c r="AH276" s="27">
        <f>IF(AP276="","",AP276&amp;IF(D276="","  (guessed from PAN)",""))</f>
        <v/>
      </c>
      <c r="AI276" s="27">
        <f>IF(AN276="","",IFERROR(INDEX(Lists!$L$2:$L$38,MATCH(LEFT(AN276,2),Lists!$K$2:$K$38,0)),"Unknown code"))</f>
        <v/>
      </c>
      <c r="AJ276" s="27">
        <f>IF(AN276="","",IFERROR(IF(NOT(AND(LEN(AN276)=15,ISNUMBER(MATCH(LEFT(AN276,2),Lists!$K$2:$K$38,0)),SUMPRODUCT(--ISERROR(FIND(MID(MID(AN276,3,10),{1,2,3,4,5,10},1),"ABCDEFGHIJKLMNOPQRSTUVWXYZ")))=0,SUMPRODUCT(--ISERROR(FIND(MID(MID(AN276,3,10),{6,7,8,9},1),"0123456789")))=0,ISNUMBER(FIND(MID(AN276,13,1),"123456789ABCDEFGHIJKLMNOPQRSTUVWXYZ")),MID(AN276,14,1)="Z")),"Wrong format",IF(MID("0123456789ABCDEFGHIJKLMNOPQRSTUVWXYZ",MOD(36-MOD(SUMPRODUCT(INT((FIND(MID(AN276,{1,2,3,4,5,6,7,8,9,10,11,12,13,14},1),"0123456789ABCDEFGHIJKLMNOPQRSTUVWXYZ")-1)*{1,2,1,2,1,2,1,2,1,2,1,2,1,2}/36)+MOD((FIND(MID(AN276,{1,2,3,4,5,6,7,8,9,10,11,12,13,14},1),"0123456789ABCDEFGHIJKLMNOPQRSTUVWXYZ")-1)*{1,2,1,2,1,2,1,2,1,2,1,2,1,2},36)),36),36)+1,1)=MID(AN276,15,1),"OK","Typo? check digit wrong")),"Wrong format"))</f>
        <v/>
      </c>
      <c r="AK276" s="27">
        <f>IF(AO276="","",IF(AND(LEN(AO276)=10,SUMPRODUCT(--ISERROR(FIND(MID(AO276,{1,2,3,4,5,10},1),"ABCDEFGHIJKLMNOPQRSTUVWXYZ")))=0,SUMPRODUCT(--ISERROR(FIND(MID(AO276,{6,7,8,9},1),"0123456789")))=0),"OK","Wrong format"))</f>
        <v/>
      </c>
      <c r="AL276" s="27">
        <f>IF(TRIM(H276)="","",IF(AND(LEN(UPPER(TRIM(H276)))=10,SUMPRODUCT(--ISERROR(FIND(MID(UPPER(TRIM(H276)),{1,2,3,4,10},1),"ABCDEFGHIJKLMNOPQRSTUVWXYZ")))=0,SUMPRODUCT(--ISERROR(FIND(MID(UPPER(TRIM(H276)),{5,6,7,8,9},1),"0123456789")))=0),"OK","Wrong format"))</f>
        <v/>
      </c>
      <c r="AM276" s="28">
        <f>IF(NOT(COUNTA(A276:AE276)&gt;0),"",IF(AS276&lt;&gt;"","✖ "&amp;LEFT(AS276,LEN(AS276)-2),IF(AR276&gt;0,"✔ Ready — client + "&amp;AR276&amp;" service(s)","✔ Ready — client only")))</f>
        <v/>
      </c>
      <c r="AN276" s="29">
        <f>UPPER(SUBSTITUTE(TRIM(F276)," ",""))</f>
        <v/>
      </c>
      <c r="AO276" s="29">
        <f>UPPER(SUBSTITUTE(TRIM(E276)," ",""))</f>
        <v/>
      </c>
      <c r="AP276" s="29">
        <f>IF(D276&lt;&gt;"",D276,IFERROR(VLOOKUP(MID(AG276,4,1),Lists!$E$2:$F$8,2,FALSE),""))</f>
        <v/>
      </c>
      <c r="AQ276" s="29">
        <f>IFERROR(VLOOKUP(AP276,Lists!$A$2:$C$12,3,FALSE),"")</f>
        <v/>
      </c>
      <c r="AR276" s="29">
        <f>COUNTIF(W276:AC276,"Yes")</f>
        <v/>
      </c>
      <c r="AS276" s="29">
        <f>IF(TRIM(B276)="","Legal name missing; ","")&amp;IF(AND(AJ276&lt;&gt;"",AJ276&lt;&gt;"OK"),"GSTIN: "&amp;AJ276&amp;"; ","")&amp;IF(AND(AK276&lt;&gt;"",AK276&lt;&gt;"OK"),"PAN wrong format; ","")&amp;IF(AND(AO276&lt;&gt;"",LEN(AN276)=15,MID(AN276,3,10)&lt;&gt;AO276),"PAN does not match GSTIN; ","")&amp;IF(AND(AL276&lt;&gt;"",AL276&lt;&gt;"OK"),"TAN wrong format; ","")&amp;IF(AG276="","PAN missing; ","")&amp;IF(AP276="","Entity type missing; ","")&amp;IF(AND(AN276&lt;&gt;"",COUNTIF($AN$6:$AN$1005,AN276)&gt;1),"GSTIN repeated in this sheet; ","")&amp;IF(AND(AG276&lt;&gt;"",COUNTIF($AG$6:$AG$1005,AG276)&gt;1),"PAN repeated in this sheet (same client? put extra GSTINs in Other GSTINs); ","")&amp;IF(AND(AR276&gt;0,V276=""),"Financial year missing; ","")&amp;IF(AND(AR276=0,V276&lt;&gt;""),"Financial year given but no service is Yes; ","")&amp;IF(AND(W276="Yes",AN276=""),"GST needs a GSTIN; ","")&amp;IF(AND(W276="Yes",X276=""),"GST return frequency missing; ","")&amp;IF(AND(Y276="Yes",TRIM(H276)=""),"TDS needs a TAN; ","")&amp;IF(AND(AA276="Yes",AQ276&lt;&gt;"",AQ276&lt;&gt;"company",AQ276&lt;&gt;"llp"),"ROC is only for a company / LLP; ","")&amp;IF(AND(AA276="Yes",OR(AQ276="company",AQ276="llp"),TRIM(I276)=""),"ROC needs the CIN / LLPIN; ","")</f>
        <v/>
      </c>
    </row>
    <row r="277">
      <c r="A277" s="30" t="n"/>
      <c r="B277" s="31" t="n"/>
      <c r="C277" s="31" t="n"/>
      <c r="D277" s="31" t="n"/>
      <c r="E277" s="30" t="n"/>
      <c r="F277" s="30" t="n"/>
      <c r="G277" s="30" t="n"/>
      <c r="H277" s="30" t="n"/>
      <c r="I277" s="30" t="n"/>
      <c r="J277" s="32" t="n"/>
      <c r="K277" s="31" t="n"/>
      <c r="L277" s="30" t="n"/>
      <c r="M277" s="31" t="n"/>
      <c r="N277" s="31" t="n"/>
      <c r="O277" s="31" t="n"/>
      <c r="P277" s="30" t="n"/>
      <c r="Q277" s="31" t="n"/>
      <c r="R277" s="31" t="n"/>
      <c r="S277" s="31" t="n"/>
      <c r="T277" s="31" t="n"/>
      <c r="U277" s="30" t="n"/>
      <c r="V277" s="31" t="n"/>
      <c r="W277" s="31" t="n"/>
      <c r="X277" s="31" t="n"/>
      <c r="Y277" s="31" t="n"/>
      <c r="Z277" s="31" t="n"/>
      <c r="AA277" s="31" t="n"/>
      <c r="AB277" s="31" t="n"/>
      <c r="AC277" s="31" t="n"/>
      <c r="AD277" s="31" t="n"/>
      <c r="AE277" s="31" t="n"/>
      <c r="AF277" s="27">
        <f>IF(NOT(COUNTA(A277:AE277)&gt;0),"",IF(A277="","New client","Update"))</f>
        <v/>
      </c>
      <c r="AG277" s="27">
        <f>IF(AO277&lt;&gt;"",AO277,IF(LEN(AN277)=15,MID(AN277,3,10),""))</f>
        <v/>
      </c>
      <c r="AH277" s="27">
        <f>IF(AP277="","",AP277&amp;IF(D277="","  (guessed from PAN)",""))</f>
        <v/>
      </c>
      <c r="AI277" s="27">
        <f>IF(AN277="","",IFERROR(INDEX(Lists!$L$2:$L$38,MATCH(LEFT(AN277,2),Lists!$K$2:$K$38,0)),"Unknown code"))</f>
        <v/>
      </c>
      <c r="AJ277" s="27">
        <f>IF(AN277="","",IFERROR(IF(NOT(AND(LEN(AN277)=15,ISNUMBER(MATCH(LEFT(AN277,2),Lists!$K$2:$K$38,0)),SUMPRODUCT(--ISERROR(FIND(MID(MID(AN277,3,10),{1,2,3,4,5,10},1),"ABCDEFGHIJKLMNOPQRSTUVWXYZ")))=0,SUMPRODUCT(--ISERROR(FIND(MID(MID(AN277,3,10),{6,7,8,9},1),"0123456789")))=0,ISNUMBER(FIND(MID(AN277,13,1),"123456789ABCDEFGHIJKLMNOPQRSTUVWXYZ")),MID(AN277,14,1)="Z")),"Wrong format",IF(MID("0123456789ABCDEFGHIJKLMNOPQRSTUVWXYZ",MOD(36-MOD(SUMPRODUCT(INT((FIND(MID(AN277,{1,2,3,4,5,6,7,8,9,10,11,12,13,14},1),"0123456789ABCDEFGHIJKLMNOPQRSTUVWXYZ")-1)*{1,2,1,2,1,2,1,2,1,2,1,2,1,2}/36)+MOD((FIND(MID(AN277,{1,2,3,4,5,6,7,8,9,10,11,12,13,14},1),"0123456789ABCDEFGHIJKLMNOPQRSTUVWXYZ")-1)*{1,2,1,2,1,2,1,2,1,2,1,2,1,2},36)),36),36)+1,1)=MID(AN277,15,1),"OK","Typo? check digit wrong")),"Wrong format"))</f>
        <v/>
      </c>
      <c r="AK277" s="27">
        <f>IF(AO277="","",IF(AND(LEN(AO277)=10,SUMPRODUCT(--ISERROR(FIND(MID(AO277,{1,2,3,4,5,10},1),"ABCDEFGHIJKLMNOPQRSTUVWXYZ")))=0,SUMPRODUCT(--ISERROR(FIND(MID(AO277,{6,7,8,9},1),"0123456789")))=0),"OK","Wrong format"))</f>
        <v/>
      </c>
      <c r="AL277" s="27">
        <f>IF(TRIM(H277)="","",IF(AND(LEN(UPPER(TRIM(H277)))=10,SUMPRODUCT(--ISERROR(FIND(MID(UPPER(TRIM(H277)),{1,2,3,4,10},1),"ABCDEFGHIJKLMNOPQRSTUVWXYZ")))=0,SUMPRODUCT(--ISERROR(FIND(MID(UPPER(TRIM(H277)),{5,6,7,8,9},1),"0123456789")))=0),"OK","Wrong format"))</f>
        <v/>
      </c>
      <c r="AM277" s="28">
        <f>IF(NOT(COUNTA(A277:AE277)&gt;0),"",IF(AS277&lt;&gt;"","✖ "&amp;LEFT(AS277,LEN(AS277)-2),IF(AR277&gt;0,"✔ Ready — client + "&amp;AR277&amp;" service(s)","✔ Ready — client only")))</f>
        <v/>
      </c>
      <c r="AN277" s="29">
        <f>UPPER(SUBSTITUTE(TRIM(F277)," ",""))</f>
        <v/>
      </c>
      <c r="AO277" s="29">
        <f>UPPER(SUBSTITUTE(TRIM(E277)," ",""))</f>
        <v/>
      </c>
      <c r="AP277" s="29">
        <f>IF(D277&lt;&gt;"",D277,IFERROR(VLOOKUP(MID(AG277,4,1),Lists!$E$2:$F$8,2,FALSE),""))</f>
        <v/>
      </c>
      <c r="AQ277" s="29">
        <f>IFERROR(VLOOKUP(AP277,Lists!$A$2:$C$12,3,FALSE),"")</f>
        <v/>
      </c>
      <c r="AR277" s="29">
        <f>COUNTIF(W277:AC277,"Yes")</f>
        <v/>
      </c>
      <c r="AS277" s="29">
        <f>IF(TRIM(B277)="","Legal name missing; ","")&amp;IF(AND(AJ277&lt;&gt;"",AJ277&lt;&gt;"OK"),"GSTIN: "&amp;AJ277&amp;"; ","")&amp;IF(AND(AK277&lt;&gt;"",AK277&lt;&gt;"OK"),"PAN wrong format; ","")&amp;IF(AND(AO277&lt;&gt;"",LEN(AN277)=15,MID(AN277,3,10)&lt;&gt;AO277),"PAN does not match GSTIN; ","")&amp;IF(AND(AL277&lt;&gt;"",AL277&lt;&gt;"OK"),"TAN wrong format; ","")&amp;IF(AG277="","PAN missing; ","")&amp;IF(AP277="","Entity type missing; ","")&amp;IF(AND(AN277&lt;&gt;"",COUNTIF($AN$6:$AN$1005,AN277)&gt;1),"GSTIN repeated in this sheet; ","")&amp;IF(AND(AG277&lt;&gt;"",COUNTIF($AG$6:$AG$1005,AG277)&gt;1),"PAN repeated in this sheet (same client? put extra GSTINs in Other GSTINs); ","")&amp;IF(AND(AR277&gt;0,V277=""),"Financial year missing; ","")&amp;IF(AND(AR277=0,V277&lt;&gt;""),"Financial year given but no service is Yes; ","")&amp;IF(AND(W277="Yes",AN277=""),"GST needs a GSTIN; ","")&amp;IF(AND(W277="Yes",X277=""),"GST return frequency missing; ","")&amp;IF(AND(Y277="Yes",TRIM(H277)=""),"TDS needs a TAN; ","")&amp;IF(AND(AA277="Yes",AQ277&lt;&gt;"",AQ277&lt;&gt;"company",AQ277&lt;&gt;"llp"),"ROC is only for a company / LLP; ","")&amp;IF(AND(AA277="Yes",OR(AQ277="company",AQ277="llp"),TRIM(I277)=""),"ROC needs the CIN / LLPIN; ","")</f>
        <v/>
      </c>
    </row>
    <row r="278">
      <c r="A278" s="30" t="n"/>
      <c r="B278" s="31" t="n"/>
      <c r="C278" s="31" t="n"/>
      <c r="D278" s="31" t="n"/>
      <c r="E278" s="30" t="n"/>
      <c r="F278" s="30" t="n"/>
      <c r="G278" s="30" t="n"/>
      <c r="H278" s="30" t="n"/>
      <c r="I278" s="30" t="n"/>
      <c r="J278" s="32" t="n"/>
      <c r="K278" s="31" t="n"/>
      <c r="L278" s="30" t="n"/>
      <c r="M278" s="31" t="n"/>
      <c r="N278" s="31" t="n"/>
      <c r="O278" s="31" t="n"/>
      <c r="P278" s="30" t="n"/>
      <c r="Q278" s="31" t="n"/>
      <c r="R278" s="31" t="n"/>
      <c r="S278" s="31" t="n"/>
      <c r="T278" s="31" t="n"/>
      <c r="U278" s="30" t="n"/>
      <c r="V278" s="31" t="n"/>
      <c r="W278" s="31" t="n"/>
      <c r="X278" s="31" t="n"/>
      <c r="Y278" s="31" t="n"/>
      <c r="Z278" s="31" t="n"/>
      <c r="AA278" s="31" t="n"/>
      <c r="AB278" s="31" t="n"/>
      <c r="AC278" s="31" t="n"/>
      <c r="AD278" s="31" t="n"/>
      <c r="AE278" s="31" t="n"/>
      <c r="AF278" s="27">
        <f>IF(NOT(COUNTA(A278:AE278)&gt;0),"",IF(A278="","New client","Update"))</f>
        <v/>
      </c>
      <c r="AG278" s="27">
        <f>IF(AO278&lt;&gt;"",AO278,IF(LEN(AN278)=15,MID(AN278,3,10),""))</f>
        <v/>
      </c>
      <c r="AH278" s="27">
        <f>IF(AP278="","",AP278&amp;IF(D278="","  (guessed from PAN)",""))</f>
        <v/>
      </c>
      <c r="AI278" s="27">
        <f>IF(AN278="","",IFERROR(INDEX(Lists!$L$2:$L$38,MATCH(LEFT(AN278,2),Lists!$K$2:$K$38,0)),"Unknown code"))</f>
        <v/>
      </c>
      <c r="AJ278" s="27">
        <f>IF(AN278="","",IFERROR(IF(NOT(AND(LEN(AN278)=15,ISNUMBER(MATCH(LEFT(AN278,2),Lists!$K$2:$K$38,0)),SUMPRODUCT(--ISERROR(FIND(MID(MID(AN278,3,10),{1,2,3,4,5,10},1),"ABCDEFGHIJKLMNOPQRSTUVWXYZ")))=0,SUMPRODUCT(--ISERROR(FIND(MID(MID(AN278,3,10),{6,7,8,9},1),"0123456789")))=0,ISNUMBER(FIND(MID(AN278,13,1),"123456789ABCDEFGHIJKLMNOPQRSTUVWXYZ")),MID(AN278,14,1)="Z")),"Wrong format",IF(MID("0123456789ABCDEFGHIJKLMNOPQRSTUVWXYZ",MOD(36-MOD(SUMPRODUCT(INT((FIND(MID(AN278,{1,2,3,4,5,6,7,8,9,10,11,12,13,14},1),"0123456789ABCDEFGHIJKLMNOPQRSTUVWXYZ")-1)*{1,2,1,2,1,2,1,2,1,2,1,2,1,2}/36)+MOD((FIND(MID(AN278,{1,2,3,4,5,6,7,8,9,10,11,12,13,14},1),"0123456789ABCDEFGHIJKLMNOPQRSTUVWXYZ")-1)*{1,2,1,2,1,2,1,2,1,2,1,2,1,2},36)),36),36)+1,1)=MID(AN278,15,1),"OK","Typo? check digit wrong")),"Wrong format"))</f>
        <v/>
      </c>
      <c r="AK278" s="27">
        <f>IF(AO278="","",IF(AND(LEN(AO278)=10,SUMPRODUCT(--ISERROR(FIND(MID(AO278,{1,2,3,4,5,10},1),"ABCDEFGHIJKLMNOPQRSTUVWXYZ")))=0,SUMPRODUCT(--ISERROR(FIND(MID(AO278,{6,7,8,9},1),"0123456789")))=0),"OK","Wrong format"))</f>
        <v/>
      </c>
      <c r="AL278" s="27">
        <f>IF(TRIM(H278)="","",IF(AND(LEN(UPPER(TRIM(H278)))=10,SUMPRODUCT(--ISERROR(FIND(MID(UPPER(TRIM(H278)),{1,2,3,4,10},1),"ABCDEFGHIJKLMNOPQRSTUVWXYZ")))=0,SUMPRODUCT(--ISERROR(FIND(MID(UPPER(TRIM(H278)),{5,6,7,8,9},1),"0123456789")))=0),"OK","Wrong format"))</f>
        <v/>
      </c>
      <c r="AM278" s="28">
        <f>IF(NOT(COUNTA(A278:AE278)&gt;0),"",IF(AS278&lt;&gt;"","✖ "&amp;LEFT(AS278,LEN(AS278)-2),IF(AR278&gt;0,"✔ Ready — client + "&amp;AR278&amp;" service(s)","✔ Ready — client only")))</f>
        <v/>
      </c>
      <c r="AN278" s="29">
        <f>UPPER(SUBSTITUTE(TRIM(F278)," ",""))</f>
        <v/>
      </c>
      <c r="AO278" s="29">
        <f>UPPER(SUBSTITUTE(TRIM(E278)," ",""))</f>
        <v/>
      </c>
      <c r="AP278" s="29">
        <f>IF(D278&lt;&gt;"",D278,IFERROR(VLOOKUP(MID(AG278,4,1),Lists!$E$2:$F$8,2,FALSE),""))</f>
        <v/>
      </c>
      <c r="AQ278" s="29">
        <f>IFERROR(VLOOKUP(AP278,Lists!$A$2:$C$12,3,FALSE),"")</f>
        <v/>
      </c>
      <c r="AR278" s="29">
        <f>COUNTIF(W278:AC278,"Yes")</f>
        <v/>
      </c>
      <c r="AS278" s="29">
        <f>IF(TRIM(B278)="","Legal name missing; ","")&amp;IF(AND(AJ278&lt;&gt;"",AJ278&lt;&gt;"OK"),"GSTIN: "&amp;AJ278&amp;"; ","")&amp;IF(AND(AK278&lt;&gt;"",AK278&lt;&gt;"OK"),"PAN wrong format; ","")&amp;IF(AND(AO278&lt;&gt;"",LEN(AN278)=15,MID(AN278,3,10)&lt;&gt;AO278),"PAN does not match GSTIN; ","")&amp;IF(AND(AL278&lt;&gt;"",AL278&lt;&gt;"OK"),"TAN wrong format; ","")&amp;IF(AG278="","PAN missing; ","")&amp;IF(AP278="","Entity type missing; ","")&amp;IF(AND(AN278&lt;&gt;"",COUNTIF($AN$6:$AN$1005,AN278)&gt;1),"GSTIN repeated in this sheet; ","")&amp;IF(AND(AG278&lt;&gt;"",COUNTIF($AG$6:$AG$1005,AG278)&gt;1),"PAN repeated in this sheet (same client? put extra GSTINs in Other GSTINs); ","")&amp;IF(AND(AR278&gt;0,V278=""),"Financial year missing; ","")&amp;IF(AND(AR278=0,V278&lt;&gt;""),"Financial year given but no service is Yes; ","")&amp;IF(AND(W278="Yes",AN278=""),"GST needs a GSTIN; ","")&amp;IF(AND(W278="Yes",X278=""),"GST return frequency missing; ","")&amp;IF(AND(Y278="Yes",TRIM(H278)=""),"TDS needs a TAN; ","")&amp;IF(AND(AA278="Yes",AQ278&lt;&gt;"",AQ278&lt;&gt;"company",AQ278&lt;&gt;"llp"),"ROC is only for a company / LLP; ","")&amp;IF(AND(AA278="Yes",OR(AQ278="company",AQ278="llp"),TRIM(I278)=""),"ROC needs the CIN / LLPIN; ","")</f>
        <v/>
      </c>
    </row>
    <row r="279">
      <c r="A279" s="30" t="n"/>
      <c r="B279" s="31" t="n"/>
      <c r="C279" s="31" t="n"/>
      <c r="D279" s="31" t="n"/>
      <c r="E279" s="30" t="n"/>
      <c r="F279" s="30" t="n"/>
      <c r="G279" s="30" t="n"/>
      <c r="H279" s="30" t="n"/>
      <c r="I279" s="30" t="n"/>
      <c r="J279" s="32" t="n"/>
      <c r="K279" s="31" t="n"/>
      <c r="L279" s="30" t="n"/>
      <c r="M279" s="31" t="n"/>
      <c r="N279" s="31" t="n"/>
      <c r="O279" s="31" t="n"/>
      <c r="P279" s="30" t="n"/>
      <c r="Q279" s="31" t="n"/>
      <c r="R279" s="31" t="n"/>
      <c r="S279" s="31" t="n"/>
      <c r="T279" s="31" t="n"/>
      <c r="U279" s="30" t="n"/>
      <c r="V279" s="31" t="n"/>
      <c r="W279" s="31" t="n"/>
      <c r="X279" s="31" t="n"/>
      <c r="Y279" s="31" t="n"/>
      <c r="Z279" s="31" t="n"/>
      <c r="AA279" s="31" t="n"/>
      <c r="AB279" s="31" t="n"/>
      <c r="AC279" s="31" t="n"/>
      <c r="AD279" s="31" t="n"/>
      <c r="AE279" s="31" t="n"/>
      <c r="AF279" s="27">
        <f>IF(NOT(COUNTA(A279:AE279)&gt;0),"",IF(A279="","New client","Update"))</f>
        <v/>
      </c>
      <c r="AG279" s="27">
        <f>IF(AO279&lt;&gt;"",AO279,IF(LEN(AN279)=15,MID(AN279,3,10),""))</f>
        <v/>
      </c>
      <c r="AH279" s="27">
        <f>IF(AP279="","",AP279&amp;IF(D279="","  (guessed from PAN)",""))</f>
        <v/>
      </c>
      <c r="AI279" s="27">
        <f>IF(AN279="","",IFERROR(INDEX(Lists!$L$2:$L$38,MATCH(LEFT(AN279,2),Lists!$K$2:$K$38,0)),"Unknown code"))</f>
        <v/>
      </c>
      <c r="AJ279" s="27">
        <f>IF(AN279="","",IFERROR(IF(NOT(AND(LEN(AN279)=15,ISNUMBER(MATCH(LEFT(AN279,2),Lists!$K$2:$K$38,0)),SUMPRODUCT(--ISERROR(FIND(MID(MID(AN279,3,10),{1,2,3,4,5,10},1),"ABCDEFGHIJKLMNOPQRSTUVWXYZ")))=0,SUMPRODUCT(--ISERROR(FIND(MID(MID(AN279,3,10),{6,7,8,9},1),"0123456789")))=0,ISNUMBER(FIND(MID(AN279,13,1),"123456789ABCDEFGHIJKLMNOPQRSTUVWXYZ")),MID(AN279,14,1)="Z")),"Wrong format",IF(MID("0123456789ABCDEFGHIJKLMNOPQRSTUVWXYZ",MOD(36-MOD(SUMPRODUCT(INT((FIND(MID(AN279,{1,2,3,4,5,6,7,8,9,10,11,12,13,14},1),"0123456789ABCDEFGHIJKLMNOPQRSTUVWXYZ")-1)*{1,2,1,2,1,2,1,2,1,2,1,2,1,2}/36)+MOD((FIND(MID(AN279,{1,2,3,4,5,6,7,8,9,10,11,12,13,14},1),"0123456789ABCDEFGHIJKLMNOPQRSTUVWXYZ")-1)*{1,2,1,2,1,2,1,2,1,2,1,2,1,2},36)),36),36)+1,1)=MID(AN279,15,1),"OK","Typo? check digit wrong")),"Wrong format"))</f>
        <v/>
      </c>
      <c r="AK279" s="27">
        <f>IF(AO279="","",IF(AND(LEN(AO279)=10,SUMPRODUCT(--ISERROR(FIND(MID(AO279,{1,2,3,4,5,10},1),"ABCDEFGHIJKLMNOPQRSTUVWXYZ")))=0,SUMPRODUCT(--ISERROR(FIND(MID(AO279,{6,7,8,9},1),"0123456789")))=0),"OK","Wrong format"))</f>
        <v/>
      </c>
      <c r="AL279" s="27">
        <f>IF(TRIM(H279)="","",IF(AND(LEN(UPPER(TRIM(H279)))=10,SUMPRODUCT(--ISERROR(FIND(MID(UPPER(TRIM(H279)),{1,2,3,4,10},1),"ABCDEFGHIJKLMNOPQRSTUVWXYZ")))=0,SUMPRODUCT(--ISERROR(FIND(MID(UPPER(TRIM(H279)),{5,6,7,8,9},1),"0123456789")))=0),"OK","Wrong format"))</f>
        <v/>
      </c>
      <c r="AM279" s="28">
        <f>IF(NOT(COUNTA(A279:AE279)&gt;0),"",IF(AS279&lt;&gt;"","✖ "&amp;LEFT(AS279,LEN(AS279)-2),IF(AR279&gt;0,"✔ Ready — client + "&amp;AR279&amp;" service(s)","✔ Ready — client only")))</f>
        <v/>
      </c>
      <c r="AN279" s="29">
        <f>UPPER(SUBSTITUTE(TRIM(F279)," ",""))</f>
        <v/>
      </c>
      <c r="AO279" s="29">
        <f>UPPER(SUBSTITUTE(TRIM(E279)," ",""))</f>
        <v/>
      </c>
      <c r="AP279" s="29">
        <f>IF(D279&lt;&gt;"",D279,IFERROR(VLOOKUP(MID(AG279,4,1),Lists!$E$2:$F$8,2,FALSE),""))</f>
        <v/>
      </c>
      <c r="AQ279" s="29">
        <f>IFERROR(VLOOKUP(AP279,Lists!$A$2:$C$12,3,FALSE),"")</f>
        <v/>
      </c>
      <c r="AR279" s="29">
        <f>COUNTIF(W279:AC279,"Yes")</f>
        <v/>
      </c>
      <c r="AS279" s="29">
        <f>IF(TRIM(B279)="","Legal name missing; ","")&amp;IF(AND(AJ279&lt;&gt;"",AJ279&lt;&gt;"OK"),"GSTIN: "&amp;AJ279&amp;"; ","")&amp;IF(AND(AK279&lt;&gt;"",AK279&lt;&gt;"OK"),"PAN wrong format; ","")&amp;IF(AND(AO279&lt;&gt;"",LEN(AN279)=15,MID(AN279,3,10)&lt;&gt;AO279),"PAN does not match GSTIN; ","")&amp;IF(AND(AL279&lt;&gt;"",AL279&lt;&gt;"OK"),"TAN wrong format; ","")&amp;IF(AG279="","PAN missing; ","")&amp;IF(AP279="","Entity type missing; ","")&amp;IF(AND(AN279&lt;&gt;"",COUNTIF($AN$6:$AN$1005,AN279)&gt;1),"GSTIN repeated in this sheet; ","")&amp;IF(AND(AG279&lt;&gt;"",COUNTIF($AG$6:$AG$1005,AG279)&gt;1),"PAN repeated in this sheet (same client? put extra GSTINs in Other GSTINs); ","")&amp;IF(AND(AR279&gt;0,V279=""),"Financial year missing; ","")&amp;IF(AND(AR279=0,V279&lt;&gt;""),"Financial year given but no service is Yes; ","")&amp;IF(AND(W279="Yes",AN279=""),"GST needs a GSTIN; ","")&amp;IF(AND(W279="Yes",X279=""),"GST return frequency missing; ","")&amp;IF(AND(Y279="Yes",TRIM(H279)=""),"TDS needs a TAN; ","")&amp;IF(AND(AA279="Yes",AQ279&lt;&gt;"",AQ279&lt;&gt;"company",AQ279&lt;&gt;"llp"),"ROC is only for a company / LLP; ","")&amp;IF(AND(AA279="Yes",OR(AQ279="company",AQ279="llp"),TRIM(I279)=""),"ROC needs the CIN / LLPIN; ","")</f>
        <v/>
      </c>
    </row>
    <row r="280">
      <c r="A280" s="30" t="n"/>
      <c r="B280" s="31" t="n"/>
      <c r="C280" s="31" t="n"/>
      <c r="D280" s="31" t="n"/>
      <c r="E280" s="30" t="n"/>
      <c r="F280" s="30" t="n"/>
      <c r="G280" s="30" t="n"/>
      <c r="H280" s="30" t="n"/>
      <c r="I280" s="30" t="n"/>
      <c r="J280" s="32" t="n"/>
      <c r="K280" s="31" t="n"/>
      <c r="L280" s="30" t="n"/>
      <c r="M280" s="31" t="n"/>
      <c r="N280" s="31" t="n"/>
      <c r="O280" s="31" t="n"/>
      <c r="P280" s="30" t="n"/>
      <c r="Q280" s="31" t="n"/>
      <c r="R280" s="31" t="n"/>
      <c r="S280" s="31" t="n"/>
      <c r="T280" s="31" t="n"/>
      <c r="U280" s="30" t="n"/>
      <c r="V280" s="31" t="n"/>
      <c r="W280" s="31" t="n"/>
      <c r="X280" s="31" t="n"/>
      <c r="Y280" s="31" t="n"/>
      <c r="Z280" s="31" t="n"/>
      <c r="AA280" s="31" t="n"/>
      <c r="AB280" s="31" t="n"/>
      <c r="AC280" s="31" t="n"/>
      <c r="AD280" s="31" t="n"/>
      <c r="AE280" s="31" t="n"/>
      <c r="AF280" s="27">
        <f>IF(NOT(COUNTA(A280:AE280)&gt;0),"",IF(A280="","New client","Update"))</f>
        <v/>
      </c>
      <c r="AG280" s="27">
        <f>IF(AO280&lt;&gt;"",AO280,IF(LEN(AN280)=15,MID(AN280,3,10),""))</f>
        <v/>
      </c>
      <c r="AH280" s="27">
        <f>IF(AP280="","",AP280&amp;IF(D280="","  (guessed from PAN)",""))</f>
        <v/>
      </c>
      <c r="AI280" s="27">
        <f>IF(AN280="","",IFERROR(INDEX(Lists!$L$2:$L$38,MATCH(LEFT(AN280,2),Lists!$K$2:$K$38,0)),"Unknown code"))</f>
        <v/>
      </c>
      <c r="AJ280" s="27">
        <f>IF(AN280="","",IFERROR(IF(NOT(AND(LEN(AN280)=15,ISNUMBER(MATCH(LEFT(AN280,2),Lists!$K$2:$K$38,0)),SUMPRODUCT(--ISERROR(FIND(MID(MID(AN280,3,10),{1,2,3,4,5,10},1),"ABCDEFGHIJKLMNOPQRSTUVWXYZ")))=0,SUMPRODUCT(--ISERROR(FIND(MID(MID(AN280,3,10),{6,7,8,9},1),"0123456789")))=0,ISNUMBER(FIND(MID(AN280,13,1),"123456789ABCDEFGHIJKLMNOPQRSTUVWXYZ")),MID(AN280,14,1)="Z")),"Wrong format",IF(MID("0123456789ABCDEFGHIJKLMNOPQRSTUVWXYZ",MOD(36-MOD(SUMPRODUCT(INT((FIND(MID(AN280,{1,2,3,4,5,6,7,8,9,10,11,12,13,14},1),"0123456789ABCDEFGHIJKLMNOPQRSTUVWXYZ")-1)*{1,2,1,2,1,2,1,2,1,2,1,2,1,2}/36)+MOD((FIND(MID(AN280,{1,2,3,4,5,6,7,8,9,10,11,12,13,14},1),"0123456789ABCDEFGHIJKLMNOPQRSTUVWXYZ")-1)*{1,2,1,2,1,2,1,2,1,2,1,2,1,2},36)),36),36)+1,1)=MID(AN280,15,1),"OK","Typo? check digit wrong")),"Wrong format"))</f>
        <v/>
      </c>
      <c r="AK280" s="27">
        <f>IF(AO280="","",IF(AND(LEN(AO280)=10,SUMPRODUCT(--ISERROR(FIND(MID(AO280,{1,2,3,4,5,10},1),"ABCDEFGHIJKLMNOPQRSTUVWXYZ")))=0,SUMPRODUCT(--ISERROR(FIND(MID(AO280,{6,7,8,9},1),"0123456789")))=0),"OK","Wrong format"))</f>
        <v/>
      </c>
      <c r="AL280" s="27">
        <f>IF(TRIM(H280)="","",IF(AND(LEN(UPPER(TRIM(H280)))=10,SUMPRODUCT(--ISERROR(FIND(MID(UPPER(TRIM(H280)),{1,2,3,4,10},1),"ABCDEFGHIJKLMNOPQRSTUVWXYZ")))=0,SUMPRODUCT(--ISERROR(FIND(MID(UPPER(TRIM(H280)),{5,6,7,8,9},1),"0123456789")))=0),"OK","Wrong format"))</f>
        <v/>
      </c>
      <c r="AM280" s="28">
        <f>IF(NOT(COUNTA(A280:AE280)&gt;0),"",IF(AS280&lt;&gt;"","✖ "&amp;LEFT(AS280,LEN(AS280)-2),IF(AR280&gt;0,"✔ Ready — client + "&amp;AR280&amp;" service(s)","✔ Ready — client only")))</f>
        <v/>
      </c>
      <c r="AN280" s="29">
        <f>UPPER(SUBSTITUTE(TRIM(F280)," ",""))</f>
        <v/>
      </c>
      <c r="AO280" s="29">
        <f>UPPER(SUBSTITUTE(TRIM(E280)," ",""))</f>
        <v/>
      </c>
      <c r="AP280" s="29">
        <f>IF(D280&lt;&gt;"",D280,IFERROR(VLOOKUP(MID(AG280,4,1),Lists!$E$2:$F$8,2,FALSE),""))</f>
        <v/>
      </c>
      <c r="AQ280" s="29">
        <f>IFERROR(VLOOKUP(AP280,Lists!$A$2:$C$12,3,FALSE),"")</f>
        <v/>
      </c>
      <c r="AR280" s="29">
        <f>COUNTIF(W280:AC280,"Yes")</f>
        <v/>
      </c>
      <c r="AS280" s="29">
        <f>IF(TRIM(B280)="","Legal name missing; ","")&amp;IF(AND(AJ280&lt;&gt;"",AJ280&lt;&gt;"OK"),"GSTIN: "&amp;AJ280&amp;"; ","")&amp;IF(AND(AK280&lt;&gt;"",AK280&lt;&gt;"OK"),"PAN wrong format; ","")&amp;IF(AND(AO280&lt;&gt;"",LEN(AN280)=15,MID(AN280,3,10)&lt;&gt;AO280),"PAN does not match GSTIN; ","")&amp;IF(AND(AL280&lt;&gt;"",AL280&lt;&gt;"OK"),"TAN wrong format; ","")&amp;IF(AG280="","PAN missing; ","")&amp;IF(AP280="","Entity type missing; ","")&amp;IF(AND(AN280&lt;&gt;"",COUNTIF($AN$6:$AN$1005,AN280)&gt;1),"GSTIN repeated in this sheet; ","")&amp;IF(AND(AG280&lt;&gt;"",COUNTIF($AG$6:$AG$1005,AG280)&gt;1),"PAN repeated in this sheet (same client? put extra GSTINs in Other GSTINs); ","")&amp;IF(AND(AR280&gt;0,V280=""),"Financial year missing; ","")&amp;IF(AND(AR280=0,V280&lt;&gt;""),"Financial year given but no service is Yes; ","")&amp;IF(AND(W280="Yes",AN280=""),"GST needs a GSTIN; ","")&amp;IF(AND(W280="Yes",X280=""),"GST return frequency missing; ","")&amp;IF(AND(Y280="Yes",TRIM(H280)=""),"TDS needs a TAN; ","")&amp;IF(AND(AA280="Yes",AQ280&lt;&gt;"",AQ280&lt;&gt;"company",AQ280&lt;&gt;"llp"),"ROC is only for a company / LLP; ","")&amp;IF(AND(AA280="Yes",OR(AQ280="company",AQ280="llp"),TRIM(I280)=""),"ROC needs the CIN / LLPIN; ","")</f>
        <v/>
      </c>
    </row>
    <row r="281">
      <c r="A281" s="30" t="n"/>
      <c r="B281" s="31" t="n"/>
      <c r="C281" s="31" t="n"/>
      <c r="D281" s="31" t="n"/>
      <c r="E281" s="30" t="n"/>
      <c r="F281" s="30" t="n"/>
      <c r="G281" s="30" t="n"/>
      <c r="H281" s="30" t="n"/>
      <c r="I281" s="30" t="n"/>
      <c r="J281" s="32" t="n"/>
      <c r="K281" s="31" t="n"/>
      <c r="L281" s="30" t="n"/>
      <c r="M281" s="31" t="n"/>
      <c r="N281" s="31" t="n"/>
      <c r="O281" s="31" t="n"/>
      <c r="P281" s="30" t="n"/>
      <c r="Q281" s="31" t="n"/>
      <c r="R281" s="31" t="n"/>
      <c r="S281" s="31" t="n"/>
      <c r="T281" s="31" t="n"/>
      <c r="U281" s="30" t="n"/>
      <c r="V281" s="31" t="n"/>
      <c r="W281" s="31" t="n"/>
      <c r="X281" s="31" t="n"/>
      <c r="Y281" s="31" t="n"/>
      <c r="Z281" s="31" t="n"/>
      <c r="AA281" s="31" t="n"/>
      <c r="AB281" s="31" t="n"/>
      <c r="AC281" s="31" t="n"/>
      <c r="AD281" s="31" t="n"/>
      <c r="AE281" s="31" t="n"/>
      <c r="AF281" s="27">
        <f>IF(NOT(COUNTA(A281:AE281)&gt;0),"",IF(A281="","New client","Update"))</f>
        <v/>
      </c>
      <c r="AG281" s="27">
        <f>IF(AO281&lt;&gt;"",AO281,IF(LEN(AN281)=15,MID(AN281,3,10),""))</f>
        <v/>
      </c>
      <c r="AH281" s="27">
        <f>IF(AP281="","",AP281&amp;IF(D281="","  (guessed from PAN)",""))</f>
        <v/>
      </c>
      <c r="AI281" s="27">
        <f>IF(AN281="","",IFERROR(INDEX(Lists!$L$2:$L$38,MATCH(LEFT(AN281,2),Lists!$K$2:$K$38,0)),"Unknown code"))</f>
        <v/>
      </c>
      <c r="AJ281" s="27">
        <f>IF(AN281="","",IFERROR(IF(NOT(AND(LEN(AN281)=15,ISNUMBER(MATCH(LEFT(AN281,2),Lists!$K$2:$K$38,0)),SUMPRODUCT(--ISERROR(FIND(MID(MID(AN281,3,10),{1,2,3,4,5,10},1),"ABCDEFGHIJKLMNOPQRSTUVWXYZ")))=0,SUMPRODUCT(--ISERROR(FIND(MID(MID(AN281,3,10),{6,7,8,9},1),"0123456789")))=0,ISNUMBER(FIND(MID(AN281,13,1),"123456789ABCDEFGHIJKLMNOPQRSTUVWXYZ")),MID(AN281,14,1)="Z")),"Wrong format",IF(MID("0123456789ABCDEFGHIJKLMNOPQRSTUVWXYZ",MOD(36-MOD(SUMPRODUCT(INT((FIND(MID(AN281,{1,2,3,4,5,6,7,8,9,10,11,12,13,14},1),"0123456789ABCDEFGHIJKLMNOPQRSTUVWXYZ")-1)*{1,2,1,2,1,2,1,2,1,2,1,2,1,2}/36)+MOD((FIND(MID(AN281,{1,2,3,4,5,6,7,8,9,10,11,12,13,14},1),"0123456789ABCDEFGHIJKLMNOPQRSTUVWXYZ")-1)*{1,2,1,2,1,2,1,2,1,2,1,2,1,2},36)),36),36)+1,1)=MID(AN281,15,1),"OK","Typo? check digit wrong")),"Wrong format"))</f>
        <v/>
      </c>
      <c r="AK281" s="27">
        <f>IF(AO281="","",IF(AND(LEN(AO281)=10,SUMPRODUCT(--ISERROR(FIND(MID(AO281,{1,2,3,4,5,10},1),"ABCDEFGHIJKLMNOPQRSTUVWXYZ")))=0,SUMPRODUCT(--ISERROR(FIND(MID(AO281,{6,7,8,9},1),"0123456789")))=0),"OK","Wrong format"))</f>
        <v/>
      </c>
      <c r="AL281" s="27">
        <f>IF(TRIM(H281)="","",IF(AND(LEN(UPPER(TRIM(H281)))=10,SUMPRODUCT(--ISERROR(FIND(MID(UPPER(TRIM(H281)),{1,2,3,4,10},1),"ABCDEFGHIJKLMNOPQRSTUVWXYZ")))=0,SUMPRODUCT(--ISERROR(FIND(MID(UPPER(TRIM(H281)),{5,6,7,8,9},1),"0123456789")))=0),"OK","Wrong format"))</f>
        <v/>
      </c>
      <c r="AM281" s="28">
        <f>IF(NOT(COUNTA(A281:AE281)&gt;0),"",IF(AS281&lt;&gt;"","✖ "&amp;LEFT(AS281,LEN(AS281)-2),IF(AR281&gt;0,"✔ Ready — client + "&amp;AR281&amp;" service(s)","✔ Ready — client only")))</f>
        <v/>
      </c>
      <c r="AN281" s="29">
        <f>UPPER(SUBSTITUTE(TRIM(F281)," ",""))</f>
        <v/>
      </c>
      <c r="AO281" s="29">
        <f>UPPER(SUBSTITUTE(TRIM(E281)," ",""))</f>
        <v/>
      </c>
      <c r="AP281" s="29">
        <f>IF(D281&lt;&gt;"",D281,IFERROR(VLOOKUP(MID(AG281,4,1),Lists!$E$2:$F$8,2,FALSE),""))</f>
        <v/>
      </c>
      <c r="AQ281" s="29">
        <f>IFERROR(VLOOKUP(AP281,Lists!$A$2:$C$12,3,FALSE),"")</f>
        <v/>
      </c>
      <c r="AR281" s="29">
        <f>COUNTIF(W281:AC281,"Yes")</f>
        <v/>
      </c>
      <c r="AS281" s="29">
        <f>IF(TRIM(B281)="","Legal name missing; ","")&amp;IF(AND(AJ281&lt;&gt;"",AJ281&lt;&gt;"OK"),"GSTIN: "&amp;AJ281&amp;"; ","")&amp;IF(AND(AK281&lt;&gt;"",AK281&lt;&gt;"OK"),"PAN wrong format; ","")&amp;IF(AND(AO281&lt;&gt;"",LEN(AN281)=15,MID(AN281,3,10)&lt;&gt;AO281),"PAN does not match GSTIN; ","")&amp;IF(AND(AL281&lt;&gt;"",AL281&lt;&gt;"OK"),"TAN wrong format; ","")&amp;IF(AG281="","PAN missing; ","")&amp;IF(AP281="","Entity type missing; ","")&amp;IF(AND(AN281&lt;&gt;"",COUNTIF($AN$6:$AN$1005,AN281)&gt;1),"GSTIN repeated in this sheet; ","")&amp;IF(AND(AG281&lt;&gt;"",COUNTIF($AG$6:$AG$1005,AG281)&gt;1),"PAN repeated in this sheet (same client? put extra GSTINs in Other GSTINs); ","")&amp;IF(AND(AR281&gt;0,V281=""),"Financial year missing; ","")&amp;IF(AND(AR281=0,V281&lt;&gt;""),"Financial year given but no service is Yes; ","")&amp;IF(AND(W281="Yes",AN281=""),"GST needs a GSTIN; ","")&amp;IF(AND(W281="Yes",X281=""),"GST return frequency missing; ","")&amp;IF(AND(Y281="Yes",TRIM(H281)=""),"TDS needs a TAN; ","")&amp;IF(AND(AA281="Yes",AQ281&lt;&gt;"",AQ281&lt;&gt;"company",AQ281&lt;&gt;"llp"),"ROC is only for a company / LLP; ","")&amp;IF(AND(AA281="Yes",OR(AQ281="company",AQ281="llp"),TRIM(I281)=""),"ROC needs the CIN / LLPIN; ","")</f>
        <v/>
      </c>
    </row>
    <row r="282">
      <c r="A282" s="30" t="n"/>
      <c r="B282" s="31" t="n"/>
      <c r="C282" s="31" t="n"/>
      <c r="D282" s="31" t="n"/>
      <c r="E282" s="30" t="n"/>
      <c r="F282" s="30" t="n"/>
      <c r="G282" s="30" t="n"/>
      <c r="H282" s="30" t="n"/>
      <c r="I282" s="30" t="n"/>
      <c r="J282" s="32" t="n"/>
      <c r="K282" s="31" t="n"/>
      <c r="L282" s="30" t="n"/>
      <c r="M282" s="31" t="n"/>
      <c r="N282" s="31" t="n"/>
      <c r="O282" s="31" t="n"/>
      <c r="P282" s="30" t="n"/>
      <c r="Q282" s="31" t="n"/>
      <c r="R282" s="31" t="n"/>
      <c r="S282" s="31" t="n"/>
      <c r="T282" s="31" t="n"/>
      <c r="U282" s="30" t="n"/>
      <c r="V282" s="31" t="n"/>
      <c r="W282" s="31" t="n"/>
      <c r="X282" s="31" t="n"/>
      <c r="Y282" s="31" t="n"/>
      <c r="Z282" s="31" t="n"/>
      <c r="AA282" s="31" t="n"/>
      <c r="AB282" s="31" t="n"/>
      <c r="AC282" s="31" t="n"/>
      <c r="AD282" s="31" t="n"/>
      <c r="AE282" s="31" t="n"/>
      <c r="AF282" s="27">
        <f>IF(NOT(COUNTA(A282:AE282)&gt;0),"",IF(A282="","New client","Update"))</f>
        <v/>
      </c>
      <c r="AG282" s="27">
        <f>IF(AO282&lt;&gt;"",AO282,IF(LEN(AN282)=15,MID(AN282,3,10),""))</f>
        <v/>
      </c>
      <c r="AH282" s="27">
        <f>IF(AP282="","",AP282&amp;IF(D282="","  (guessed from PAN)",""))</f>
        <v/>
      </c>
      <c r="AI282" s="27">
        <f>IF(AN282="","",IFERROR(INDEX(Lists!$L$2:$L$38,MATCH(LEFT(AN282,2),Lists!$K$2:$K$38,0)),"Unknown code"))</f>
        <v/>
      </c>
      <c r="AJ282" s="27">
        <f>IF(AN282="","",IFERROR(IF(NOT(AND(LEN(AN282)=15,ISNUMBER(MATCH(LEFT(AN282,2),Lists!$K$2:$K$38,0)),SUMPRODUCT(--ISERROR(FIND(MID(MID(AN282,3,10),{1,2,3,4,5,10},1),"ABCDEFGHIJKLMNOPQRSTUVWXYZ")))=0,SUMPRODUCT(--ISERROR(FIND(MID(MID(AN282,3,10),{6,7,8,9},1),"0123456789")))=0,ISNUMBER(FIND(MID(AN282,13,1),"123456789ABCDEFGHIJKLMNOPQRSTUVWXYZ")),MID(AN282,14,1)="Z")),"Wrong format",IF(MID("0123456789ABCDEFGHIJKLMNOPQRSTUVWXYZ",MOD(36-MOD(SUMPRODUCT(INT((FIND(MID(AN282,{1,2,3,4,5,6,7,8,9,10,11,12,13,14},1),"0123456789ABCDEFGHIJKLMNOPQRSTUVWXYZ")-1)*{1,2,1,2,1,2,1,2,1,2,1,2,1,2}/36)+MOD((FIND(MID(AN282,{1,2,3,4,5,6,7,8,9,10,11,12,13,14},1),"0123456789ABCDEFGHIJKLMNOPQRSTUVWXYZ")-1)*{1,2,1,2,1,2,1,2,1,2,1,2,1,2},36)),36),36)+1,1)=MID(AN282,15,1),"OK","Typo? check digit wrong")),"Wrong format"))</f>
        <v/>
      </c>
      <c r="AK282" s="27">
        <f>IF(AO282="","",IF(AND(LEN(AO282)=10,SUMPRODUCT(--ISERROR(FIND(MID(AO282,{1,2,3,4,5,10},1),"ABCDEFGHIJKLMNOPQRSTUVWXYZ")))=0,SUMPRODUCT(--ISERROR(FIND(MID(AO282,{6,7,8,9},1),"0123456789")))=0),"OK","Wrong format"))</f>
        <v/>
      </c>
      <c r="AL282" s="27">
        <f>IF(TRIM(H282)="","",IF(AND(LEN(UPPER(TRIM(H282)))=10,SUMPRODUCT(--ISERROR(FIND(MID(UPPER(TRIM(H282)),{1,2,3,4,10},1),"ABCDEFGHIJKLMNOPQRSTUVWXYZ")))=0,SUMPRODUCT(--ISERROR(FIND(MID(UPPER(TRIM(H282)),{5,6,7,8,9},1),"0123456789")))=0),"OK","Wrong format"))</f>
        <v/>
      </c>
      <c r="AM282" s="28">
        <f>IF(NOT(COUNTA(A282:AE282)&gt;0),"",IF(AS282&lt;&gt;"","✖ "&amp;LEFT(AS282,LEN(AS282)-2),IF(AR282&gt;0,"✔ Ready — client + "&amp;AR282&amp;" service(s)","✔ Ready — client only")))</f>
        <v/>
      </c>
      <c r="AN282" s="29">
        <f>UPPER(SUBSTITUTE(TRIM(F282)," ",""))</f>
        <v/>
      </c>
      <c r="AO282" s="29">
        <f>UPPER(SUBSTITUTE(TRIM(E282)," ",""))</f>
        <v/>
      </c>
      <c r="AP282" s="29">
        <f>IF(D282&lt;&gt;"",D282,IFERROR(VLOOKUP(MID(AG282,4,1),Lists!$E$2:$F$8,2,FALSE),""))</f>
        <v/>
      </c>
      <c r="AQ282" s="29">
        <f>IFERROR(VLOOKUP(AP282,Lists!$A$2:$C$12,3,FALSE),"")</f>
        <v/>
      </c>
      <c r="AR282" s="29">
        <f>COUNTIF(W282:AC282,"Yes")</f>
        <v/>
      </c>
      <c r="AS282" s="29">
        <f>IF(TRIM(B282)="","Legal name missing; ","")&amp;IF(AND(AJ282&lt;&gt;"",AJ282&lt;&gt;"OK"),"GSTIN: "&amp;AJ282&amp;"; ","")&amp;IF(AND(AK282&lt;&gt;"",AK282&lt;&gt;"OK"),"PAN wrong format; ","")&amp;IF(AND(AO282&lt;&gt;"",LEN(AN282)=15,MID(AN282,3,10)&lt;&gt;AO282),"PAN does not match GSTIN; ","")&amp;IF(AND(AL282&lt;&gt;"",AL282&lt;&gt;"OK"),"TAN wrong format; ","")&amp;IF(AG282="","PAN missing; ","")&amp;IF(AP282="","Entity type missing; ","")&amp;IF(AND(AN282&lt;&gt;"",COUNTIF($AN$6:$AN$1005,AN282)&gt;1),"GSTIN repeated in this sheet; ","")&amp;IF(AND(AG282&lt;&gt;"",COUNTIF($AG$6:$AG$1005,AG282)&gt;1),"PAN repeated in this sheet (same client? put extra GSTINs in Other GSTINs); ","")&amp;IF(AND(AR282&gt;0,V282=""),"Financial year missing; ","")&amp;IF(AND(AR282=0,V282&lt;&gt;""),"Financial year given but no service is Yes; ","")&amp;IF(AND(W282="Yes",AN282=""),"GST needs a GSTIN; ","")&amp;IF(AND(W282="Yes",X282=""),"GST return frequency missing; ","")&amp;IF(AND(Y282="Yes",TRIM(H282)=""),"TDS needs a TAN; ","")&amp;IF(AND(AA282="Yes",AQ282&lt;&gt;"",AQ282&lt;&gt;"company",AQ282&lt;&gt;"llp"),"ROC is only for a company / LLP; ","")&amp;IF(AND(AA282="Yes",OR(AQ282="company",AQ282="llp"),TRIM(I282)=""),"ROC needs the CIN / LLPIN; ","")</f>
        <v/>
      </c>
    </row>
    <row r="283">
      <c r="A283" s="30" t="n"/>
      <c r="B283" s="31" t="n"/>
      <c r="C283" s="31" t="n"/>
      <c r="D283" s="31" t="n"/>
      <c r="E283" s="30" t="n"/>
      <c r="F283" s="30" t="n"/>
      <c r="G283" s="30" t="n"/>
      <c r="H283" s="30" t="n"/>
      <c r="I283" s="30" t="n"/>
      <c r="J283" s="32" t="n"/>
      <c r="K283" s="31" t="n"/>
      <c r="L283" s="30" t="n"/>
      <c r="M283" s="31" t="n"/>
      <c r="N283" s="31" t="n"/>
      <c r="O283" s="31" t="n"/>
      <c r="P283" s="30" t="n"/>
      <c r="Q283" s="31" t="n"/>
      <c r="R283" s="31" t="n"/>
      <c r="S283" s="31" t="n"/>
      <c r="T283" s="31" t="n"/>
      <c r="U283" s="30" t="n"/>
      <c r="V283" s="31" t="n"/>
      <c r="W283" s="31" t="n"/>
      <c r="X283" s="31" t="n"/>
      <c r="Y283" s="31" t="n"/>
      <c r="Z283" s="31" t="n"/>
      <c r="AA283" s="31" t="n"/>
      <c r="AB283" s="31" t="n"/>
      <c r="AC283" s="31" t="n"/>
      <c r="AD283" s="31" t="n"/>
      <c r="AE283" s="31" t="n"/>
      <c r="AF283" s="27">
        <f>IF(NOT(COUNTA(A283:AE283)&gt;0),"",IF(A283="","New client","Update"))</f>
        <v/>
      </c>
      <c r="AG283" s="27">
        <f>IF(AO283&lt;&gt;"",AO283,IF(LEN(AN283)=15,MID(AN283,3,10),""))</f>
        <v/>
      </c>
      <c r="AH283" s="27">
        <f>IF(AP283="","",AP283&amp;IF(D283="","  (guessed from PAN)",""))</f>
        <v/>
      </c>
      <c r="AI283" s="27">
        <f>IF(AN283="","",IFERROR(INDEX(Lists!$L$2:$L$38,MATCH(LEFT(AN283,2),Lists!$K$2:$K$38,0)),"Unknown code"))</f>
        <v/>
      </c>
      <c r="AJ283" s="27">
        <f>IF(AN283="","",IFERROR(IF(NOT(AND(LEN(AN283)=15,ISNUMBER(MATCH(LEFT(AN283,2),Lists!$K$2:$K$38,0)),SUMPRODUCT(--ISERROR(FIND(MID(MID(AN283,3,10),{1,2,3,4,5,10},1),"ABCDEFGHIJKLMNOPQRSTUVWXYZ")))=0,SUMPRODUCT(--ISERROR(FIND(MID(MID(AN283,3,10),{6,7,8,9},1),"0123456789")))=0,ISNUMBER(FIND(MID(AN283,13,1),"123456789ABCDEFGHIJKLMNOPQRSTUVWXYZ")),MID(AN283,14,1)="Z")),"Wrong format",IF(MID("0123456789ABCDEFGHIJKLMNOPQRSTUVWXYZ",MOD(36-MOD(SUMPRODUCT(INT((FIND(MID(AN283,{1,2,3,4,5,6,7,8,9,10,11,12,13,14},1),"0123456789ABCDEFGHIJKLMNOPQRSTUVWXYZ")-1)*{1,2,1,2,1,2,1,2,1,2,1,2,1,2}/36)+MOD((FIND(MID(AN283,{1,2,3,4,5,6,7,8,9,10,11,12,13,14},1),"0123456789ABCDEFGHIJKLMNOPQRSTUVWXYZ")-1)*{1,2,1,2,1,2,1,2,1,2,1,2,1,2},36)),36),36)+1,1)=MID(AN283,15,1),"OK","Typo? check digit wrong")),"Wrong format"))</f>
        <v/>
      </c>
      <c r="AK283" s="27">
        <f>IF(AO283="","",IF(AND(LEN(AO283)=10,SUMPRODUCT(--ISERROR(FIND(MID(AO283,{1,2,3,4,5,10},1),"ABCDEFGHIJKLMNOPQRSTUVWXYZ")))=0,SUMPRODUCT(--ISERROR(FIND(MID(AO283,{6,7,8,9},1),"0123456789")))=0),"OK","Wrong format"))</f>
        <v/>
      </c>
      <c r="AL283" s="27">
        <f>IF(TRIM(H283)="","",IF(AND(LEN(UPPER(TRIM(H283)))=10,SUMPRODUCT(--ISERROR(FIND(MID(UPPER(TRIM(H283)),{1,2,3,4,10},1),"ABCDEFGHIJKLMNOPQRSTUVWXYZ")))=0,SUMPRODUCT(--ISERROR(FIND(MID(UPPER(TRIM(H283)),{5,6,7,8,9},1),"0123456789")))=0),"OK","Wrong format"))</f>
        <v/>
      </c>
      <c r="AM283" s="28">
        <f>IF(NOT(COUNTA(A283:AE283)&gt;0),"",IF(AS283&lt;&gt;"","✖ "&amp;LEFT(AS283,LEN(AS283)-2),IF(AR283&gt;0,"✔ Ready — client + "&amp;AR283&amp;" service(s)","✔ Ready — client only")))</f>
        <v/>
      </c>
      <c r="AN283" s="29">
        <f>UPPER(SUBSTITUTE(TRIM(F283)," ",""))</f>
        <v/>
      </c>
      <c r="AO283" s="29">
        <f>UPPER(SUBSTITUTE(TRIM(E283)," ",""))</f>
        <v/>
      </c>
      <c r="AP283" s="29">
        <f>IF(D283&lt;&gt;"",D283,IFERROR(VLOOKUP(MID(AG283,4,1),Lists!$E$2:$F$8,2,FALSE),""))</f>
        <v/>
      </c>
      <c r="AQ283" s="29">
        <f>IFERROR(VLOOKUP(AP283,Lists!$A$2:$C$12,3,FALSE),"")</f>
        <v/>
      </c>
      <c r="AR283" s="29">
        <f>COUNTIF(W283:AC283,"Yes")</f>
        <v/>
      </c>
      <c r="AS283" s="29">
        <f>IF(TRIM(B283)="","Legal name missing; ","")&amp;IF(AND(AJ283&lt;&gt;"",AJ283&lt;&gt;"OK"),"GSTIN: "&amp;AJ283&amp;"; ","")&amp;IF(AND(AK283&lt;&gt;"",AK283&lt;&gt;"OK"),"PAN wrong format; ","")&amp;IF(AND(AO283&lt;&gt;"",LEN(AN283)=15,MID(AN283,3,10)&lt;&gt;AO283),"PAN does not match GSTIN; ","")&amp;IF(AND(AL283&lt;&gt;"",AL283&lt;&gt;"OK"),"TAN wrong format; ","")&amp;IF(AG283="","PAN missing; ","")&amp;IF(AP283="","Entity type missing; ","")&amp;IF(AND(AN283&lt;&gt;"",COUNTIF($AN$6:$AN$1005,AN283)&gt;1),"GSTIN repeated in this sheet; ","")&amp;IF(AND(AG283&lt;&gt;"",COUNTIF($AG$6:$AG$1005,AG283)&gt;1),"PAN repeated in this sheet (same client? put extra GSTINs in Other GSTINs); ","")&amp;IF(AND(AR283&gt;0,V283=""),"Financial year missing; ","")&amp;IF(AND(AR283=0,V283&lt;&gt;""),"Financial year given but no service is Yes; ","")&amp;IF(AND(W283="Yes",AN283=""),"GST needs a GSTIN; ","")&amp;IF(AND(W283="Yes",X283=""),"GST return frequency missing; ","")&amp;IF(AND(Y283="Yes",TRIM(H283)=""),"TDS needs a TAN; ","")&amp;IF(AND(AA283="Yes",AQ283&lt;&gt;"",AQ283&lt;&gt;"company",AQ283&lt;&gt;"llp"),"ROC is only for a company / LLP; ","")&amp;IF(AND(AA283="Yes",OR(AQ283="company",AQ283="llp"),TRIM(I283)=""),"ROC needs the CIN / LLPIN; ","")</f>
        <v/>
      </c>
    </row>
    <row r="284">
      <c r="A284" s="30" t="n"/>
      <c r="B284" s="31" t="n"/>
      <c r="C284" s="31" t="n"/>
      <c r="D284" s="31" t="n"/>
      <c r="E284" s="30" t="n"/>
      <c r="F284" s="30" t="n"/>
      <c r="G284" s="30" t="n"/>
      <c r="H284" s="30" t="n"/>
      <c r="I284" s="30" t="n"/>
      <c r="J284" s="32" t="n"/>
      <c r="K284" s="31" t="n"/>
      <c r="L284" s="30" t="n"/>
      <c r="M284" s="31" t="n"/>
      <c r="N284" s="31" t="n"/>
      <c r="O284" s="31" t="n"/>
      <c r="P284" s="30" t="n"/>
      <c r="Q284" s="31" t="n"/>
      <c r="R284" s="31" t="n"/>
      <c r="S284" s="31" t="n"/>
      <c r="T284" s="31" t="n"/>
      <c r="U284" s="30" t="n"/>
      <c r="V284" s="31" t="n"/>
      <c r="W284" s="31" t="n"/>
      <c r="X284" s="31" t="n"/>
      <c r="Y284" s="31" t="n"/>
      <c r="Z284" s="31" t="n"/>
      <c r="AA284" s="31" t="n"/>
      <c r="AB284" s="31" t="n"/>
      <c r="AC284" s="31" t="n"/>
      <c r="AD284" s="31" t="n"/>
      <c r="AE284" s="31" t="n"/>
      <c r="AF284" s="27">
        <f>IF(NOT(COUNTA(A284:AE284)&gt;0),"",IF(A284="","New client","Update"))</f>
        <v/>
      </c>
      <c r="AG284" s="27">
        <f>IF(AO284&lt;&gt;"",AO284,IF(LEN(AN284)=15,MID(AN284,3,10),""))</f>
        <v/>
      </c>
      <c r="AH284" s="27">
        <f>IF(AP284="","",AP284&amp;IF(D284="","  (guessed from PAN)",""))</f>
        <v/>
      </c>
      <c r="AI284" s="27">
        <f>IF(AN284="","",IFERROR(INDEX(Lists!$L$2:$L$38,MATCH(LEFT(AN284,2),Lists!$K$2:$K$38,0)),"Unknown code"))</f>
        <v/>
      </c>
      <c r="AJ284" s="27">
        <f>IF(AN284="","",IFERROR(IF(NOT(AND(LEN(AN284)=15,ISNUMBER(MATCH(LEFT(AN284,2),Lists!$K$2:$K$38,0)),SUMPRODUCT(--ISERROR(FIND(MID(MID(AN284,3,10),{1,2,3,4,5,10},1),"ABCDEFGHIJKLMNOPQRSTUVWXYZ")))=0,SUMPRODUCT(--ISERROR(FIND(MID(MID(AN284,3,10),{6,7,8,9},1),"0123456789")))=0,ISNUMBER(FIND(MID(AN284,13,1),"123456789ABCDEFGHIJKLMNOPQRSTUVWXYZ")),MID(AN284,14,1)="Z")),"Wrong format",IF(MID("0123456789ABCDEFGHIJKLMNOPQRSTUVWXYZ",MOD(36-MOD(SUMPRODUCT(INT((FIND(MID(AN284,{1,2,3,4,5,6,7,8,9,10,11,12,13,14},1),"0123456789ABCDEFGHIJKLMNOPQRSTUVWXYZ")-1)*{1,2,1,2,1,2,1,2,1,2,1,2,1,2}/36)+MOD((FIND(MID(AN284,{1,2,3,4,5,6,7,8,9,10,11,12,13,14},1),"0123456789ABCDEFGHIJKLMNOPQRSTUVWXYZ")-1)*{1,2,1,2,1,2,1,2,1,2,1,2,1,2},36)),36),36)+1,1)=MID(AN284,15,1),"OK","Typo? check digit wrong")),"Wrong format"))</f>
        <v/>
      </c>
      <c r="AK284" s="27">
        <f>IF(AO284="","",IF(AND(LEN(AO284)=10,SUMPRODUCT(--ISERROR(FIND(MID(AO284,{1,2,3,4,5,10},1),"ABCDEFGHIJKLMNOPQRSTUVWXYZ")))=0,SUMPRODUCT(--ISERROR(FIND(MID(AO284,{6,7,8,9},1),"0123456789")))=0),"OK","Wrong format"))</f>
        <v/>
      </c>
      <c r="AL284" s="27">
        <f>IF(TRIM(H284)="","",IF(AND(LEN(UPPER(TRIM(H284)))=10,SUMPRODUCT(--ISERROR(FIND(MID(UPPER(TRIM(H284)),{1,2,3,4,10},1),"ABCDEFGHIJKLMNOPQRSTUVWXYZ")))=0,SUMPRODUCT(--ISERROR(FIND(MID(UPPER(TRIM(H284)),{5,6,7,8,9},1),"0123456789")))=0),"OK","Wrong format"))</f>
        <v/>
      </c>
      <c r="AM284" s="28">
        <f>IF(NOT(COUNTA(A284:AE284)&gt;0),"",IF(AS284&lt;&gt;"","✖ "&amp;LEFT(AS284,LEN(AS284)-2),IF(AR284&gt;0,"✔ Ready — client + "&amp;AR284&amp;" service(s)","✔ Ready — client only")))</f>
        <v/>
      </c>
      <c r="AN284" s="29">
        <f>UPPER(SUBSTITUTE(TRIM(F284)," ",""))</f>
        <v/>
      </c>
      <c r="AO284" s="29">
        <f>UPPER(SUBSTITUTE(TRIM(E284)," ",""))</f>
        <v/>
      </c>
      <c r="AP284" s="29">
        <f>IF(D284&lt;&gt;"",D284,IFERROR(VLOOKUP(MID(AG284,4,1),Lists!$E$2:$F$8,2,FALSE),""))</f>
        <v/>
      </c>
      <c r="AQ284" s="29">
        <f>IFERROR(VLOOKUP(AP284,Lists!$A$2:$C$12,3,FALSE),"")</f>
        <v/>
      </c>
      <c r="AR284" s="29">
        <f>COUNTIF(W284:AC284,"Yes")</f>
        <v/>
      </c>
      <c r="AS284" s="29">
        <f>IF(TRIM(B284)="","Legal name missing; ","")&amp;IF(AND(AJ284&lt;&gt;"",AJ284&lt;&gt;"OK"),"GSTIN: "&amp;AJ284&amp;"; ","")&amp;IF(AND(AK284&lt;&gt;"",AK284&lt;&gt;"OK"),"PAN wrong format; ","")&amp;IF(AND(AO284&lt;&gt;"",LEN(AN284)=15,MID(AN284,3,10)&lt;&gt;AO284),"PAN does not match GSTIN; ","")&amp;IF(AND(AL284&lt;&gt;"",AL284&lt;&gt;"OK"),"TAN wrong format; ","")&amp;IF(AG284="","PAN missing; ","")&amp;IF(AP284="","Entity type missing; ","")&amp;IF(AND(AN284&lt;&gt;"",COUNTIF($AN$6:$AN$1005,AN284)&gt;1),"GSTIN repeated in this sheet; ","")&amp;IF(AND(AG284&lt;&gt;"",COUNTIF($AG$6:$AG$1005,AG284)&gt;1),"PAN repeated in this sheet (same client? put extra GSTINs in Other GSTINs); ","")&amp;IF(AND(AR284&gt;0,V284=""),"Financial year missing; ","")&amp;IF(AND(AR284=0,V284&lt;&gt;""),"Financial year given but no service is Yes; ","")&amp;IF(AND(W284="Yes",AN284=""),"GST needs a GSTIN; ","")&amp;IF(AND(W284="Yes",X284=""),"GST return frequency missing; ","")&amp;IF(AND(Y284="Yes",TRIM(H284)=""),"TDS needs a TAN; ","")&amp;IF(AND(AA284="Yes",AQ284&lt;&gt;"",AQ284&lt;&gt;"company",AQ284&lt;&gt;"llp"),"ROC is only for a company / LLP; ","")&amp;IF(AND(AA284="Yes",OR(AQ284="company",AQ284="llp"),TRIM(I284)=""),"ROC needs the CIN / LLPIN; ","")</f>
        <v/>
      </c>
    </row>
    <row r="285">
      <c r="A285" s="30" t="n"/>
      <c r="B285" s="31" t="n"/>
      <c r="C285" s="31" t="n"/>
      <c r="D285" s="31" t="n"/>
      <c r="E285" s="30" t="n"/>
      <c r="F285" s="30" t="n"/>
      <c r="G285" s="30" t="n"/>
      <c r="H285" s="30" t="n"/>
      <c r="I285" s="30" t="n"/>
      <c r="J285" s="32" t="n"/>
      <c r="K285" s="31" t="n"/>
      <c r="L285" s="30" t="n"/>
      <c r="M285" s="31" t="n"/>
      <c r="N285" s="31" t="n"/>
      <c r="O285" s="31" t="n"/>
      <c r="P285" s="30" t="n"/>
      <c r="Q285" s="31" t="n"/>
      <c r="R285" s="31" t="n"/>
      <c r="S285" s="31" t="n"/>
      <c r="T285" s="31" t="n"/>
      <c r="U285" s="30" t="n"/>
      <c r="V285" s="31" t="n"/>
      <c r="W285" s="31" t="n"/>
      <c r="X285" s="31" t="n"/>
      <c r="Y285" s="31" t="n"/>
      <c r="Z285" s="31" t="n"/>
      <c r="AA285" s="31" t="n"/>
      <c r="AB285" s="31" t="n"/>
      <c r="AC285" s="31" t="n"/>
      <c r="AD285" s="31" t="n"/>
      <c r="AE285" s="31" t="n"/>
      <c r="AF285" s="27">
        <f>IF(NOT(COUNTA(A285:AE285)&gt;0),"",IF(A285="","New client","Update"))</f>
        <v/>
      </c>
      <c r="AG285" s="27">
        <f>IF(AO285&lt;&gt;"",AO285,IF(LEN(AN285)=15,MID(AN285,3,10),""))</f>
        <v/>
      </c>
      <c r="AH285" s="27">
        <f>IF(AP285="","",AP285&amp;IF(D285="","  (guessed from PAN)",""))</f>
        <v/>
      </c>
      <c r="AI285" s="27">
        <f>IF(AN285="","",IFERROR(INDEX(Lists!$L$2:$L$38,MATCH(LEFT(AN285,2),Lists!$K$2:$K$38,0)),"Unknown code"))</f>
        <v/>
      </c>
      <c r="AJ285" s="27">
        <f>IF(AN285="","",IFERROR(IF(NOT(AND(LEN(AN285)=15,ISNUMBER(MATCH(LEFT(AN285,2),Lists!$K$2:$K$38,0)),SUMPRODUCT(--ISERROR(FIND(MID(MID(AN285,3,10),{1,2,3,4,5,10},1),"ABCDEFGHIJKLMNOPQRSTUVWXYZ")))=0,SUMPRODUCT(--ISERROR(FIND(MID(MID(AN285,3,10),{6,7,8,9},1),"0123456789")))=0,ISNUMBER(FIND(MID(AN285,13,1),"123456789ABCDEFGHIJKLMNOPQRSTUVWXYZ")),MID(AN285,14,1)="Z")),"Wrong format",IF(MID("0123456789ABCDEFGHIJKLMNOPQRSTUVWXYZ",MOD(36-MOD(SUMPRODUCT(INT((FIND(MID(AN285,{1,2,3,4,5,6,7,8,9,10,11,12,13,14},1),"0123456789ABCDEFGHIJKLMNOPQRSTUVWXYZ")-1)*{1,2,1,2,1,2,1,2,1,2,1,2,1,2}/36)+MOD((FIND(MID(AN285,{1,2,3,4,5,6,7,8,9,10,11,12,13,14},1),"0123456789ABCDEFGHIJKLMNOPQRSTUVWXYZ")-1)*{1,2,1,2,1,2,1,2,1,2,1,2,1,2},36)),36),36)+1,1)=MID(AN285,15,1),"OK","Typo? check digit wrong")),"Wrong format"))</f>
        <v/>
      </c>
      <c r="AK285" s="27">
        <f>IF(AO285="","",IF(AND(LEN(AO285)=10,SUMPRODUCT(--ISERROR(FIND(MID(AO285,{1,2,3,4,5,10},1),"ABCDEFGHIJKLMNOPQRSTUVWXYZ")))=0,SUMPRODUCT(--ISERROR(FIND(MID(AO285,{6,7,8,9},1),"0123456789")))=0),"OK","Wrong format"))</f>
        <v/>
      </c>
      <c r="AL285" s="27">
        <f>IF(TRIM(H285)="","",IF(AND(LEN(UPPER(TRIM(H285)))=10,SUMPRODUCT(--ISERROR(FIND(MID(UPPER(TRIM(H285)),{1,2,3,4,10},1),"ABCDEFGHIJKLMNOPQRSTUVWXYZ")))=0,SUMPRODUCT(--ISERROR(FIND(MID(UPPER(TRIM(H285)),{5,6,7,8,9},1),"0123456789")))=0),"OK","Wrong format"))</f>
        <v/>
      </c>
      <c r="AM285" s="28">
        <f>IF(NOT(COUNTA(A285:AE285)&gt;0),"",IF(AS285&lt;&gt;"","✖ "&amp;LEFT(AS285,LEN(AS285)-2),IF(AR285&gt;0,"✔ Ready — client + "&amp;AR285&amp;" service(s)","✔ Ready — client only")))</f>
        <v/>
      </c>
      <c r="AN285" s="29">
        <f>UPPER(SUBSTITUTE(TRIM(F285)," ",""))</f>
        <v/>
      </c>
      <c r="AO285" s="29">
        <f>UPPER(SUBSTITUTE(TRIM(E285)," ",""))</f>
        <v/>
      </c>
      <c r="AP285" s="29">
        <f>IF(D285&lt;&gt;"",D285,IFERROR(VLOOKUP(MID(AG285,4,1),Lists!$E$2:$F$8,2,FALSE),""))</f>
        <v/>
      </c>
      <c r="AQ285" s="29">
        <f>IFERROR(VLOOKUP(AP285,Lists!$A$2:$C$12,3,FALSE),"")</f>
        <v/>
      </c>
      <c r="AR285" s="29">
        <f>COUNTIF(W285:AC285,"Yes")</f>
        <v/>
      </c>
      <c r="AS285" s="29">
        <f>IF(TRIM(B285)="","Legal name missing; ","")&amp;IF(AND(AJ285&lt;&gt;"",AJ285&lt;&gt;"OK"),"GSTIN: "&amp;AJ285&amp;"; ","")&amp;IF(AND(AK285&lt;&gt;"",AK285&lt;&gt;"OK"),"PAN wrong format; ","")&amp;IF(AND(AO285&lt;&gt;"",LEN(AN285)=15,MID(AN285,3,10)&lt;&gt;AO285),"PAN does not match GSTIN; ","")&amp;IF(AND(AL285&lt;&gt;"",AL285&lt;&gt;"OK"),"TAN wrong format; ","")&amp;IF(AG285="","PAN missing; ","")&amp;IF(AP285="","Entity type missing; ","")&amp;IF(AND(AN285&lt;&gt;"",COUNTIF($AN$6:$AN$1005,AN285)&gt;1),"GSTIN repeated in this sheet; ","")&amp;IF(AND(AG285&lt;&gt;"",COUNTIF($AG$6:$AG$1005,AG285)&gt;1),"PAN repeated in this sheet (same client? put extra GSTINs in Other GSTINs); ","")&amp;IF(AND(AR285&gt;0,V285=""),"Financial year missing; ","")&amp;IF(AND(AR285=0,V285&lt;&gt;""),"Financial year given but no service is Yes; ","")&amp;IF(AND(W285="Yes",AN285=""),"GST needs a GSTIN; ","")&amp;IF(AND(W285="Yes",X285=""),"GST return frequency missing; ","")&amp;IF(AND(Y285="Yes",TRIM(H285)=""),"TDS needs a TAN; ","")&amp;IF(AND(AA285="Yes",AQ285&lt;&gt;"",AQ285&lt;&gt;"company",AQ285&lt;&gt;"llp"),"ROC is only for a company / LLP; ","")&amp;IF(AND(AA285="Yes",OR(AQ285="company",AQ285="llp"),TRIM(I285)=""),"ROC needs the CIN / LLPIN; ","")</f>
        <v/>
      </c>
    </row>
    <row r="286">
      <c r="A286" s="30" t="n"/>
      <c r="B286" s="31" t="n"/>
      <c r="C286" s="31" t="n"/>
      <c r="D286" s="31" t="n"/>
      <c r="E286" s="30" t="n"/>
      <c r="F286" s="30" t="n"/>
      <c r="G286" s="30" t="n"/>
      <c r="H286" s="30" t="n"/>
      <c r="I286" s="30" t="n"/>
      <c r="J286" s="32" t="n"/>
      <c r="K286" s="31" t="n"/>
      <c r="L286" s="30" t="n"/>
      <c r="M286" s="31" t="n"/>
      <c r="N286" s="31" t="n"/>
      <c r="O286" s="31" t="n"/>
      <c r="P286" s="30" t="n"/>
      <c r="Q286" s="31" t="n"/>
      <c r="R286" s="31" t="n"/>
      <c r="S286" s="31" t="n"/>
      <c r="T286" s="31" t="n"/>
      <c r="U286" s="30" t="n"/>
      <c r="V286" s="31" t="n"/>
      <c r="W286" s="31" t="n"/>
      <c r="X286" s="31" t="n"/>
      <c r="Y286" s="31" t="n"/>
      <c r="Z286" s="31" t="n"/>
      <c r="AA286" s="31" t="n"/>
      <c r="AB286" s="31" t="n"/>
      <c r="AC286" s="31" t="n"/>
      <c r="AD286" s="31" t="n"/>
      <c r="AE286" s="31" t="n"/>
      <c r="AF286" s="27">
        <f>IF(NOT(COUNTA(A286:AE286)&gt;0),"",IF(A286="","New client","Update"))</f>
        <v/>
      </c>
      <c r="AG286" s="27">
        <f>IF(AO286&lt;&gt;"",AO286,IF(LEN(AN286)=15,MID(AN286,3,10),""))</f>
        <v/>
      </c>
      <c r="AH286" s="27">
        <f>IF(AP286="","",AP286&amp;IF(D286="","  (guessed from PAN)",""))</f>
        <v/>
      </c>
      <c r="AI286" s="27">
        <f>IF(AN286="","",IFERROR(INDEX(Lists!$L$2:$L$38,MATCH(LEFT(AN286,2),Lists!$K$2:$K$38,0)),"Unknown code"))</f>
        <v/>
      </c>
      <c r="AJ286" s="27">
        <f>IF(AN286="","",IFERROR(IF(NOT(AND(LEN(AN286)=15,ISNUMBER(MATCH(LEFT(AN286,2),Lists!$K$2:$K$38,0)),SUMPRODUCT(--ISERROR(FIND(MID(MID(AN286,3,10),{1,2,3,4,5,10},1),"ABCDEFGHIJKLMNOPQRSTUVWXYZ")))=0,SUMPRODUCT(--ISERROR(FIND(MID(MID(AN286,3,10),{6,7,8,9},1),"0123456789")))=0,ISNUMBER(FIND(MID(AN286,13,1),"123456789ABCDEFGHIJKLMNOPQRSTUVWXYZ")),MID(AN286,14,1)="Z")),"Wrong format",IF(MID("0123456789ABCDEFGHIJKLMNOPQRSTUVWXYZ",MOD(36-MOD(SUMPRODUCT(INT((FIND(MID(AN286,{1,2,3,4,5,6,7,8,9,10,11,12,13,14},1),"0123456789ABCDEFGHIJKLMNOPQRSTUVWXYZ")-1)*{1,2,1,2,1,2,1,2,1,2,1,2,1,2}/36)+MOD((FIND(MID(AN286,{1,2,3,4,5,6,7,8,9,10,11,12,13,14},1),"0123456789ABCDEFGHIJKLMNOPQRSTUVWXYZ")-1)*{1,2,1,2,1,2,1,2,1,2,1,2,1,2},36)),36),36)+1,1)=MID(AN286,15,1),"OK","Typo? check digit wrong")),"Wrong format"))</f>
        <v/>
      </c>
      <c r="AK286" s="27">
        <f>IF(AO286="","",IF(AND(LEN(AO286)=10,SUMPRODUCT(--ISERROR(FIND(MID(AO286,{1,2,3,4,5,10},1),"ABCDEFGHIJKLMNOPQRSTUVWXYZ")))=0,SUMPRODUCT(--ISERROR(FIND(MID(AO286,{6,7,8,9},1),"0123456789")))=0),"OK","Wrong format"))</f>
        <v/>
      </c>
      <c r="AL286" s="27">
        <f>IF(TRIM(H286)="","",IF(AND(LEN(UPPER(TRIM(H286)))=10,SUMPRODUCT(--ISERROR(FIND(MID(UPPER(TRIM(H286)),{1,2,3,4,10},1),"ABCDEFGHIJKLMNOPQRSTUVWXYZ")))=0,SUMPRODUCT(--ISERROR(FIND(MID(UPPER(TRIM(H286)),{5,6,7,8,9},1),"0123456789")))=0),"OK","Wrong format"))</f>
        <v/>
      </c>
      <c r="AM286" s="28">
        <f>IF(NOT(COUNTA(A286:AE286)&gt;0),"",IF(AS286&lt;&gt;"","✖ "&amp;LEFT(AS286,LEN(AS286)-2),IF(AR286&gt;0,"✔ Ready — client + "&amp;AR286&amp;" service(s)","✔ Ready — client only")))</f>
        <v/>
      </c>
      <c r="AN286" s="29">
        <f>UPPER(SUBSTITUTE(TRIM(F286)," ",""))</f>
        <v/>
      </c>
      <c r="AO286" s="29">
        <f>UPPER(SUBSTITUTE(TRIM(E286)," ",""))</f>
        <v/>
      </c>
      <c r="AP286" s="29">
        <f>IF(D286&lt;&gt;"",D286,IFERROR(VLOOKUP(MID(AG286,4,1),Lists!$E$2:$F$8,2,FALSE),""))</f>
        <v/>
      </c>
      <c r="AQ286" s="29">
        <f>IFERROR(VLOOKUP(AP286,Lists!$A$2:$C$12,3,FALSE),"")</f>
        <v/>
      </c>
      <c r="AR286" s="29">
        <f>COUNTIF(W286:AC286,"Yes")</f>
        <v/>
      </c>
      <c r="AS286" s="29">
        <f>IF(TRIM(B286)="","Legal name missing; ","")&amp;IF(AND(AJ286&lt;&gt;"",AJ286&lt;&gt;"OK"),"GSTIN: "&amp;AJ286&amp;"; ","")&amp;IF(AND(AK286&lt;&gt;"",AK286&lt;&gt;"OK"),"PAN wrong format; ","")&amp;IF(AND(AO286&lt;&gt;"",LEN(AN286)=15,MID(AN286,3,10)&lt;&gt;AO286),"PAN does not match GSTIN; ","")&amp;IF(AND(AL286&lt;&gt;"",AL286&lt;&gt;"OK"),"TAN wrong format; ","")&amp;IF(AG286="","PAN missing; ","")&amp;IF(AP286="","Entity type missing; ","")&amp;IF(AND(AN286&lt;&gt;"",COUNTIF($AN$6:$AN$1005,AN286)&gt;1),"GSTIN repeated in this sheet; ","")&amp;IF(AND(AG286&lt;&gt;"",COUNTIF($AG$6:$AG$1005,AG286)&gt;1),"PAN repeated in this sheet (same client? put extra GSTINs in Other GSTINs); ","")&amp;IF(AND(AR286&gt;0,V286=""),"Financial year missing; ","")&amp;IF(AND(AR286=0,V286&lt;&gt;""),"Financial year given but no service is Yes; ","")&amp;IF(AND(W286="Yes",AN286=""),"GST needs a GSTIN; ","")&amp;IF(AND(W286="Yes",X286=""),"GST return frequency missing; ","")&amp;IF(AND(Y286="Yes",TRIM(H286)=""),"TDS needs a TAN; ","")&amp;IF(AND(AA286="Yes",AQ286&lt;&gt;"",AQ286&lt;&gt;"company",AQ286&lt;&gt;"llp"),"ROC is only for a company / LLP; ","")&amp;IF(AND(AA286="Yes",OR(AQ286="company",AQ286="llp"),TRIM(I286)=""),"ROC needs the CIN / LLPIN; ","")</f>
        <v/>
      </c>
    </row>
    <row r="287">
      <c r="A287" s="30" t="n"/>
      <c r="B287" s="31" t="n"/>
      <c r="C287" s="31" t="n"/>
      <c r="D287" s="31" t="n"/>
      <c r="E287" s="30" t="n"/>
      <c r="F287" s="30" t="n"/>
      <c r="G287" s="30" t="n"/>
      <c r="H287" s="30" t="n"/>
      <c r="I287" s="30" t="n"/>
      <c r="J287" s="32" t="n"/>
      <c r="K287" s="31" t="n"/>
      <c r="L287" s="30" t="n"/>
      <c r="M287" s="31" t="n"/>
      <c r="N287" s="31" t="n"/>
      <c r="O287" s="31" t="n"/>
      <c r="P287" s="30" t="n"/>
      <c r="Q287" s="31" t="n"/>
      <c r="R287" s="31" t="n"/>
      <c r="S287" s="31" t="n"/>
      <c r="T287" s="31" t="n"/>
      <c r="U287" s="30" t="n"/>
      <c r="V287" s="31" t="n"/>
      <c r="W287" s="31" t="n"/>
      <c r="X287" s="31" t="n"/>
      <c r="Y287" s="31" t="n"/>
      <c r="Z287" s="31" t="n"/>
      <c r="AA287" s="31" t="n"/>
      <c r="AB287" s="31" t="n"/>
      <c r="AC287" s="31" t="n"/>
      <c r="AD287" s="31" t="n"/>
      <c r="AE287" s="31" t="n"/>
      <c r="AF287" s="27">
        <f>IF(NOT(COUNTA(A287:AE287)&gt;0),"",IF(A287="","New client","Update"))</f>
        <v/>
      </c>
      <c r="AG287" s="27">
        <f>IF(AO287&lt;&gt;"",AO287,IF(LEN(AN287)=15,MID(AN287,3,10),""))</f>
        <v/>
      </c>
      <c r="AH287" s="27">
        <f>IF(AP287="","",AP287&amp;IF(D287="","  (guessed from PAN)",""))</f>
        <v/>
      </c>
      <c r="AI287" s="27">
        <f>IF(AN287="","",IFERROR(INDEX(Lists!$L$2:$L$38,MATCH(LEFT(AN287,2),Lists!$K$2:$K$38,0)),"Unknown code"))</f>
        <v/>
      </c>
      <c r="AJ287" s="27">
        <f>IF(AN287="","",IFERROR(IF(NOT(AND(LEN(AN287)=15,ISNUMBER(MATCH(LEFT(AN287,2),Lists!$K$2:$K$38,0)),SUMPRODUCT(--ISERROR(FIND(MID(MID(AN287,3,10),{1,2,3,4,5,10},1),"ABCDEFGHIJKLMNOPQRSTUVWXYZ")))=0,SUMPRODUCT(--ISERROR(FIND(MID(MID(AN287,3,10),{6,7,8,9},1),"0123456789")))=0,ISNUMBER(FIND(MID(AN287,13,1),"123456789ABCDEFGHIJKLMNOPQRSTUVWXYZ")),MID(AN287,14,1)="Z")),"Wrong format",IF(MID("0123456789ABCDEFGHIJKLMNOPQRSTUVWXYZ",MOD(36-MOD(SUMPRODUCT(INT((FIND(MID(AN287,{1,2,3,4,5,6,7,8,9,10,11,12,13,14},1),"0123456789ABCDEFGHIJKLMNOPQRSTUVWXYZ")-1)*{1,2,1,2,1,2,1,2,1,2,1,2,1,2}/36)+MOD((FIND(MID(AN287,{1,2,3,4,5,6,7,8,9,10,11,12,13,14},1),"0123456789ABCDEFGHIJKLMNOPQRSTUVWXYZ")-1)*{1,2,1,2,1,2,1,2,1,2,1,2,1,2},36)),36),36)+1,1)=MID(AN287,15,1),"OK","Typo? check digit wrong")),"Wrong format"))</f>
        <v/>
      </c>
      <c r="AK287" s="27">
        <f>IF(AO287="","",IF(AND(LEN(AO287)=10,SUMPRODUCT(--ISERROR(FIND(MID(AO287,{1,2,3,4,5,10},1),"ABCDEFGHIJKLMNOPQRSTUVWXYZ")))=0,SUMPRODUCT(--ISERROR(FIND(MID(AO287,{6,7,8,9},1),"0123456789")))=0),"OK","Wrong format"))</f>
        <v/>
      </c>
      <c r="AL287" s="27">
        <f>IF(TRIM(H287)="","",IF(AND(LEN(UPPER(TRIM(H287)))=10,SUMPRODUCT(--ISERROR(FIND(MID(UPPER(TRIM(H287)),{1,2,3,4,10},1),"ABCDEFGHIJKLMNOPQRSTUVWXYZ")))=0,SUMPRODUCT(--ISERROR(FIND(MID(UPPER(TRIM(H287)),{5,6,7,8,9},1),"0123456789")))=0),"OK","Wrong format"))</f>
        <v/>
      </c>
      <c r="AM287" s="28">
        <f>IF(NOT(COUNTA(A287:AE287)&gt;0),"",IF(AS287&lt;&gt;"","✖ "&amp;LEFT(AS287,LEN(AS287)-2),IF(AR287&gt;0,"✔ Ready — client + "&amp;AR287&amp;" service(s)","✔ Ready — client only")))</f>
        <v/>
      </c>
      <c r="AN287" s="29">
        <f>UPPER(SUBSTITUTE(TRIM(F287)," ",""))</f>
        <v/>
      </c>
      <c r="AO287" s="29">
        <f>UPPER(SUBSTITUTE(TRIM(E287)," ",""))</f>
        <v/>
      </c>
      <c r="AP287" s="29">
        <f>IF(D287&lt;&gt;"",D287,IFERROR(VLOOKUP(MID(AG287,4,1),Lists!$E$2:$F$8,2,FALSE),""))</f>
        <v/>
      </c>
      <c r="AQ287" s="29">
        <f>IFERROR(VLOOKUP(AP287,Lists!$A$2:$C$12,3,FALSE),"")</f>
        <v/>
      </c>
      <c r="AR287" s="29">
        <f>COUNTIF(W287:AC287,"Yes")</f>
        <v/>
      </c>
      <c r="AS287" s="29">
        <f>IF(TRIM(B287)="","Legal name missing; ","")&amp;IF(AND(AJ287&lt;&gt;"",AJ287&lt;&gt;"OK"),"GSTIN: "&amp;AJ287&amp;"; ","")&amp;IF(AND(AK287&lt;&gt;"",AK287&lt;&gt;"OK"),"PAN wrong format; ","")&amp;IF(AND(AO287&lt;&gt;"",LEN(AN287)=15,MID(AN287,3,10)&lt;&gt;AO287),"PAN does not match GSTIN; ","")&amp;IF(AND(AL287&lt;&gt;"",AL287&lt;&gt;"OK"),"TAN wrong format; ","")&amp;IF(AG287="","PAN missing; ","")&amp;IF(AP287="","Entity type missing; ","")&amp;IF(AND(AN287&lt;&gt;"",COUNTIF($AN$6:$AN$1005,AN287)&gt;1),"GSTIN repeated in this sheet; ","")&amp;IF(AND(AG287&lt;&gt;"",COUNTIF($AG$6:$AG$1005,AG287)&gt;1),"PAN repeated in this sheet (same client? put extra GSTINs in Other GSTINs); ","")&amp;IF(AND(AR287&gt;0,V287=""),"Financial year missing; ","")&amp;IF(AND(AR287=0,V287&lt;&gt;""),"Financial year given but no service is Yes; ","")&amp;IF(AND(W287="Yes",AN287=""),"GST needs a GSTIN; ","")&amp;IF(AND(W287="Yes",X287=""),"GST return frequency missing; ","")&amp;IF(AND(Y287="Yes",TRIM(H287)=""),"TDS needs a TAN; ","")&amp;IF(AND(AA287="Yes",AQ287&lt;&gt;"",AQ287&lt;&gt;"company",AQ287&lt;&gt;"llp"),"ROC is only for a company / LLP; ","")&amp;IF(AND(AA287="Yes",OR(AQ287="company",AQ287="llp"),TRIM(I287)=""),"ROC needs the CIN / LLPIN; ","")</f>
        <v/>
      </c>
    </row>
    <row r="288">
      <c r="A288" s="30" t="n"/>
      <c r="B288" s="31" t="n"/>
      <c r="C288" s="31" t="n"/>
      <c r="D288" s="31" t="n"/>
      <c r="E288" s="30" t="n"/>
      <c r="F288" s="30" t="n"/>
      <c r="G288" s="30" t="n"/>
      <c r="H288" s="30" t="n"/>
      <c r="I288" s="30" t="n"/>
      <c r="J288" s="32" t="n"/>
      <c r="K288" s="31" t="n"/>
      <c r="L288" s="30" t="n"/>
      <c r="M288" s="31" t="n"/>
      <c r="N288" s="31" t="n"/>
      <c r="O288" s="31" t="n"/>
      <c r="P288" s="30" t="n"/>
      <c r="Q288" s="31" t="n"/>
      <c r="R288" s="31" t="n"/>
      <c r="S288" s="31" t="n"/>
      <c r="T288" s="31" t="n"/>
      <c r="U288" s="30" t="n"/>
      <c r="V288" s="31" t="n"/>
      <c r="W288" s="31" t="n"/>
      <c r="X288" s="31" t="n"/>
      <c r="Y288" s="31" t="n"/>
      <c r="Z288" s="31" t="n"/>
      <c r="AA288" s="31" t="n"/>
      <c r="AB288" s="31" t="n"/>
      <c r="AC288" s="31" t="n"/>
      <c r="AD288" s="31" t="n"/>
      <c r="AE288" s="31" t="n"/>
      <c r="AF288" s="27">
        <f>IF(NOT(COUNTA(A288:AE288)&gt;0),"",IF(A288="","New client","Update"))</f>
        <v/>
      </c>
      <c r="AG288" s="27">
        <f>IF(AO288&lt;&gt;"",AO288,IF(LEN(AN288)=15,MID(AN288,3,10),""))</f>
        <v/>
      </c>
      <c r="AH288" s="27">
        <f>IF(AP288="","",AP288&amp;IF(D288="","  (guessed from PAN)",""))</f>
        <v/>
      </c>
      <c r="AI288" s="27">
        <f>IF(AN288="","",IFERROR(INDEX(Lists!$L$2:$L$38,MATCH(LEFT(AN288,2),Lists!$K$2:$K$38,0)),"Unknown code"))</f>
        <v/>
      </c>
      <c r="AJ288" s="27">
        <f>IF(AN288="","",IFERROR(IF(NOT(AND(LEN(AN288)=15,ISNUMBER(MATCH(LEFT(AN288,2),Lists!$K$2:$K$38,0)),SUMPRODUCT(--ISERROR(FIND(MID(MID(AN288,3,10),{1,2,3,4,5,10},1),"ABCDEFGHIJKLMNOPQRSTUVWXYZ")))=0,SUMPRODUCT(--ISERROR(FIND(MID(MID(AN288,3,10),{6,7,8,9},1),"0123456789")))=0,ISNUMBER(FIND(MID(AN288,13,1),"123456789ABCDEFGHIJKLMNOPQRSTUVWXYZ")),MID(AN288,14,1)="Z")),"Wrong format",IF(MID("0123456789ABCDEFGHIJKLMNOPQRSTUVWXYZ",MOD(36-MOD(SUMPRODUCT(INT((FIND(MID(AN288,{1,2,3,4,5,6,7,8,9,10,11,12,13,14},1),"0123456789ABCDEFGHIJKLMNOPQRSTUVWXYZ")-1)*{1,2,1,2,1,2,1,2,1,2,1,2,1,2}/36)+MOD((FIND(MID(AN288,{1,2,3,4,5,6,7,8,9,10,11,12,13,14},1),"0123456789ABCDEFGHIJKLMNOPQRSTUVWXYZ")-1)*{1,2,1,2,1,2,1,2,1,2,1,2,1,2},36)),36),36)+1,1)=MID(AN288,15,1),"OK","Typo? check digit wrong")),"Wrong format"))</f>
        <v/>
      </c>
      <c r="AK288" s="27">
        <f>IF(AO288="","",IF(AND(LEN(AO288)=10,SUMPRODUCT(--ISERROR(FIND(MID(AO288,{1,2,3,4,5,10},1),"ABCDEFGHIJKLMNOPQRSTUVWXYZ")))=0,SUMPRODUCT(--ISERROR(FIND(MID(AO288,{6,7,8,9},1),"0123456789")))=0),"OK","Wrong format"))</f>
        <v/>
      </c>
      <c r="AL288" s="27">
        <f>IF(TRIM(H288)="","",IF(AND(LEN(UPPER(TRIM(H288)))=10,SUMPRODUCT(--ISERROR(FIND(MID(UPPER(TRIM(H288)),{1,2,3,4,10},1),"ABCDEFGHIJKLMNOPQRSTUVWXYZ")))=0,SUMPRODUCT(--ISERROR(FIND(MID(UPPER(TRIM(H288)),{5,6,7,8,9},1),"0123456789")))=0),"OK","Wrong format"))</f>
        <v/>
      </c>
      <c r="AM288" s="28">
        <f>IF(NOT(COUNTA(A288:AE288)&gt;0),"",IF(AS288&lt;&gt;"","✖ "&amp;LEFT(AS288,LEN(AS288)-2),IF(AR288&gt;0,"✔ Ready — client + "&amp;AR288&amp;" service(s)","✔ Ready — client only")))</f>
        <v/>
      </c>
      <c r="AN288" s="29">
        <f>UPPER(SUBSTITUTE(TRIM(F288)," ",""))</f>
        <v/>
      </c>
      <c r="AO288" s="29">
        <f>UPPER(SUBSTITUTE(TRIM(E288)," ",""))</f>
        <v/>
      </c>
      <c r="AP288" s="29">
        <f>IF(D288&lt;&gt;"",D288,IFERROR(VLOOKUP(MID(AG288,4,1),Lists!$E$2:$F$8,2,FALSE),""))</f>
        <v/>
      </c>
      <c r="AQ288" s="29">
        <f>IFERROR(VLOOKUP(AP288,Lists!$A$2:$C$12,3,FALSE),"")</f>
        <v/>
      </c>
      <c r="AR288" s="29">
        <f>COUNTIF(W288:AC288,"Yes")</f>
        <v/>
      </c>
      <c r="AS288" s="29">
        <f>IF(TRIM(B288)="","Legal name missing; ","")&amp;IF(AND(AJ288&lt;&gt;"",AJ288&lt;&gt;"OK"),"GSTIN: "&amp;AJ288&amp;"; ","")&amp;IF(AND(AK288&lt;&gt;"",AK288&lt;&gt;"OK"),"PAN wrong format; ","")&amp;IF(AND(AO288&lt;&gt;"",LEN(AN288)=15,MID(AN288,3,10)&lt;&gt;AO288),"PAN does not match GSTIN; ","")&amp;IF(AND(AL288&lt;&gt;"",AL288&lt;&gt;"OK"),"TAN wrong format; ","")&amp;IF(AG288="","PAN missing; ","")&amp;IF(AP288="","Entity type missing; ","")&amp;IF(AND(AN288&lt;&gt;"",COUNTIF($AN$6:$AN$1005,AN288)&gt;1),"GSTIN repeated in this sheet; ","")&amp;IF(AND(AG288&lt;&gt;"",COUNTIF($AG$6:$AG$1005,AG288)&gt;1),"PAN repeated in this sheet (same client? put extra GSTINs in Other GSTINs); ","")&amp;IF(AND(AR288&gt;0,V288=""),"Financial year missing; ","")&amp;IF(AND(AR288=0,V288&lt;&gt;""),"Financial year given but no service is Yes; ","")&amp;IF(AND(W288="Yes",AN288=""),"GST needs a GSTIN; ","")&amp;IF(AND(W288="Yes",X288=""),"GST return frequency missing; ","")&amp;IF(AND(Y288="Yes",TRIM(H288)=""),"TDS needs a TAN; ","")&amp;IF(AND(AA288="Yes",AQ288&lt;&gt;"",AQ288&lt;&gt;"company",AQ288&lt;&gt;"llp"),"ROC is only for a company / LLP; ","")&amp;IF(AND(AA288="Yes",OR(AQ288="company",AQ288="llp"),TRIM(I288)=""),"ROC needs the CIN / LLPIN; ","")</f>
        <v/>
      </c>
    </row>
    <row r="289">
      <c r="A289" s="30" t="n"/>
      <c r="B289" s="31" t="n"/>
      <c r="C289" s="31" t="n"/>
      <c r="D289" s="31" t="n"/>
      <c r="E289" s="30" t="n"/>
      <c r="F289" s="30" t="n"/>
      <c r="G289" s="30" t="n"/>
      <c r="H289" s="30" t="n"/>
      <c r="I289" s="30" t="n"/>
      <c r="J289" s="32" t="n"/>
      <c r="K289" s="31" t="n"/>
      <c r="L289" s="30" t="n"/>
      <c r="M289" s="31" t="n"/>
      <c r="N289" s="31" t="n"/>
      <c r="O289" s="31" t="n"/>
      <c r="P289" s="30" t="n"/>
      <c r="Q289" s="31" t="n"/>
      <c r="R289" s="31" t="n"/>
      <c r="S289" s="31" t="n"/>
      <c r="T289" s="31" t="n"/>
      <c r="U289" s="30" t="n"/>
      <c r="V289" s="31" t="n"/>
      <c r="W289" s="31" t="n"/>
      <c r="X289" s="31" t="n"/>
      <c r="Y289" s="31" t="n"/>
      <c r="Z289" s="31" t="n"/>
      <c r="AA289" s="31" t="n"/>
      <c r="AB289" s="31" t="n"/>
      <c r="AC289" s="31" t="n"/>
      <c r="AD289" s="31" t="n"/>
      <c r="AE289" s="31" t="n"/>
      <c r="AF289" s="27">
        <f>IF(NOT(COUNTA(A289:AE289)&gt;0),"",IF(A289="","New client","Update"))</f>
        <v/>
      </c>
      <c r="AG289" s="27">
        <f>IF(AO289&lt;&gt;"",AO289,IF(LEN(AN289)=15,MID(AN289,3,10),""))</f>
        <v/>
      </c>
      <c r="AH289" s="27">
        <f>IF(AP289="","",AP289&amp;IF(D289="","  (guessed from PAN)",""))</f>
        <v/>
      </c>
      <c r="AI289" s="27">
        <f>IF(AN289="","",IFERROR(INDEX(Lists!$L$2:$L$38,MATCH(LEFT(AN289,2),Lists!$K$2:$K$38,0)),"Unknown code"))</f>
        <v/>
      </c>
      <c r="AJ289" s="27">
        <f>IF(AN289="","",IFERROR(IF(NOT(AND(LEN(AN289)=15,ISNUMBER(MATCH(LEFT(AN289,2),Lists!$K$2:$K$38,0)),SUMPRODUCT(--ISERROR(FIND(MID(MID(AN289,3,10),{1,2,3,4,5,10},1),"ABCDEFGHIJKLMNOPQRSTUVWXYZ")))=0,SUMPRODUCT(--ISERROR(FIND(MID(MID(AN289,3,10),{6,7,8,9},1),"0123456789")))=0,ISNUMBER(FIND(MID(AN289,13,1),"123456789ABCDEFGHIJKLMNOPQRSTUVWXYZ")),MID(AN289,14,1)="Z")),"Wrong format",IF(MID("0123456789ABCDEFGHIJKLMNOPQRSTUVWXYZ",MOD(36-MOD(SUMPRODUCT(INT((FIND(MID(AN289,{1,2,3,4,5,6,7,8,9,10,11,12,13,14},1),"0123456789ABCDEFGHIJKLMNOPQRSTUVWXYZ")-1)*{1,2,1,2,1,2,1,2,1,2,1,2,1,2}/36)+MOD((FIND(MID(AN289,{1,2,3,4,5,6,7,8,9,10,11,12,13,14},1),"0123456789ABCDEFGHIJKLMNOPQRSTUVWXYZ")-1)*{1,2,1,2,1,2,1,2,1,2,1,2,1,2},36)),36),36)+1,1)=MID(AN289,15,1),"OK","Typo? check digit wrong")),"Wrong format"))</f>
        <v/>
      </c>
      <c r="AK289" s="27">
        <f>IF(AO289="","",IF(AND(LEN(AO289)=10,SUMPRODUCT(--ISERROR(FIND(MID(AO289,{1,2,3,4,5,10},1),"ABCDEFGHIJKLMNOPQRSTUVWXYZ")))=0,SUMPRODUCT(--ISERROR(FIND(MID(AO289,{6,7,8,9},1),"0123456789")))=0),"OK","Wrong format"))</f>
        <v/>
      </c>
      <c r="AL289" s="27">
        <f>IF(TRIM(H289)="","",IF(AND(LEN(UPPER(TRIM(H289)))=10,SUMPRODUCT(--ISERROR(FIND(MID(UPPER(TRIM(H289)),{1,2,3,4,10},1),"ABCDEFGHIJKLMNOPQRSTUVWXYZ")))=0,SUMPRODUCT(--ISERROR(FIND(MID(UPPER(TRIM(H289)),{5,6,7,8,9},1),"0123456789")))=0),"OK","Wrong format"))</f>
        <v/>
      </c>
      <c r="AM289" s="28">
        <f>IF(NOT(COUNTA(A289:AE289)&gt;0),"",IF(AS289&lt;&gt;"","✖ "&amp;LEFT(AS289,LEN(AS289)-2),IF(AR289&gt;0,"✔ Ready — client + "&amp;AR289&amp;" service(s)","✔ Ready — client only")))</f>
        <v/>
      </c>
      <c r="AN289" s="29">
        <f>UPPER(SUBSTITUTE(TRIM(F289)," ",""))</f>
        <v/>
      </c>
      <c r="AO289" s="29">
        <f>UPPER(SUBSTITUTE(TRIM(E289)," ",""))</f>
        <v/>
      </c>
      <c r="AP289" s="29">
        <f>IF(D289&lt;&gt;"",D289,IFERROR(VLOOKUP(MID(AG289,4,1),Lists!$E$2:$F$8,2,FALSE),""))</f>
        <v/>
      </c>
      <c r="AQ289" s="29">
        <f>IFERROR(VLOOKUP(AP289,Lists!$A$2:$C$12,3,FALSE),"")</f>
        <v/>
      </c>
      <c r="AR289" s="29">
        <f>COUNTIF(W289:AC289,"Yes")</f>
        <v/>
      </c>
      <c r="AS289" s="29">
        <f>IF(TRIM(B289)="","Legal name missing; ","")&amp;IF(AND(AJ289&lt;&gt;"",AJ289&lt;&gt;"OK"),"GSTIN: "&amp;AJ289&amp;"; ","")&amp;IF(AND(AK289&lt;&gt;"",AK289&lt;&gt;"OK"),"PAN wrong format; ","")&amp;IF(AND(AO289&lt;&gt;"",LEN(AN289)=15,MID(AN289,3,10)&lt;&gt;AO289),"PAN does not match GSTIN; ","")&amp;IF(AND(AL289&lt;&gt;"",AL289&lt;&gt;"OK"),"TAN wrong format; ","")&amp;IF(AG289="","PAN missing; ","")&amp;IF(AP289="","Entity type missing; ","")&amp;IF(AND(AN289&lt;&gt;"",COUNTIF($AN$6:$AN$1005,AN289)&gt;1),"GSTIN repeated in this sheet; ","")&amp;IF(AND(AG289&lt;&gt;"",COUNTIF($AG$6:$AG$1005,AG289)&gt;1),"PAN repeated in this sheet (same client? put extra GSTINs in Other GSTINs); ","")&amp;IF(AND(AR289&gt;0,V289=""),"Financial year missing; ","")&amp;IF(AND(AR289=0,V289&lt;&gt;""),"Financial year given but no service is Yes; ","")&amp;IF(AND(W289="Yes",AN289=""),"GST needs a GSTIN; ","")&amp;IF(AND(W289="Yes",X289=""),"GST return frequency missing; ","")&amp;IF(AND(Y289="Yes",TRIM(H289)=""),"TDS needs a TAN; ","")&amp;IF(AND(AA289="Yes",AQ289&lt;&gt;"",AQ289&lt;&gt;"company",AQ289&lt;&gt;"llp"),"ROC is only for a company / LLP; ","")&amp;IF(AND(AA289="Yes",OR(AQ289="company",AQ289="llp"),TRIM(I289)=""),"ROC needs the CIN / LLPIN; ","")</f>
        <v/>
      </c>
    </row>
    <row r="290">
      <c r="A290" s="30" t="n"/>
      <c r="B290" s="31" t="n"/>
      <c r="C290" s="31" t="n"/>
      <c r="D290" s="31" t="n"/>
      <c r="E290" s="30" t="n"/>
      <c r="F290" s="30" t="n"/>
      <c r="G290" s="30" t="n"/>
      <c r="H290" s="30" t="n"/>
      <c r="I290" s="30" t="n"/>
      <c r="J290" s="32" t="n"/>
      <c r="K290" s="31" t="n"/>
      <c r="L290" s="30" t="n"/>
      <c r="M290" s="31" t="n"/>
      <c r="N290" s="31" t="n"/>
      <c r="O290" s="31" t="n"/>
      <c r="P290" s="30" t="n"/>
      <c r="Q290" s="31" t="n"/>
      <c r="R290" s="31" t="n"/>
      <c r="S290" s="31" t="n"/>
      <c r="T290" s="31" t="n"/>
      <c r="U290" s="30" t="n"/>
      <c r="V290" s="31" t="n"/>
      <c r="W290" s="31" t="n"/>
      <c r="X290" s="31" t="n"/>
      <c r="Y290" s="31" t="n"/>
      <c r="Z290" s="31" t="n"/>
      <c r="AA290" s="31" t="n"/>
      <c r="AB290" s="31" t="n"/>
      <c r="AC290" s="31" t="n"/>
      <c r="AD290" s="31" t="n"/>
      <c r="AE290" s="31" t="n"/>
      <c r="AF290" s="27">
        <f>IF(NOT(COUNTA(A290:AE290)&gt;0),"",IF(A290="","New client","Update"))</f>
        <v/>
      </c>
      <c r="AG290" s="27">
        <f>IF(AO290&lt;&gt;"",AO290,IF(LEN(AN290)=15,MID(AN290,3,10),""))</f>
        <v/>
      </c>
      <c r="AH290" s="27">
        <f>IF(AP290="","",AP290&amp;IF(D290="","  (guessed from PAN)",""))</f>
        <v/>
      </c>
      <c r="AI290" s="27">
        <f>IF(AN290="","",IFERROR(INDEX(Lists!$L$2:$L$38,MATCH(LEFT(AN290,2),Lists!$K$2:$K$38,0)),"Unknown code"))</f>
        <v/>
      </c>
      <c r="AJ290" s="27">
        <f>IF(AN290="","",IFERROR(IF(NOT(AND(LEN(AN290)=15,ISNUMBER(MATCH(LEFT(AN290,2),Lists!$K$2:$K$38,0)),SUMPRODUCT(--ISERROR(FIND(MID(MID(AN290,3,10),{1,2,3,4,5,10},1),"ABCDEFGHIJKLMNOPQRSTUVWXYZ")))=0,SUMPRODUCT(--ISERROR(FIND(MID(MID(AN290,3,10),{6,7,8,9},1),"0123456789")))=0,ISNUMBER(FIND(MID(AN290,13,1),"123456789ABCDEFGHIJKLMNOPQRSTUVWXYZ")),MID(AN290,14,1)="Z")),"Wrong format",IF(MID("0123456789ABCDEFGHIJKLMNOPQRSTUVWXYZ",MOD(36-MOD(SUMPRODUCT(INT((FIND(MID(AN290,{1,2,3,4,5,6,7,8,9,10,11,12,13,14},1),"0123456789ABCDEFGHIJKLMNOPQRSTUVWXYZ")-1)*{1,2,1,2,1,2,1,2,1,2,1,2,1,2}/36)+MOD((FIND(MID(AN290,{1,2,3,4,5,6,7,8,9,10,11,12,13,14},1),"0123456789ABCDEFGHIJKLMNOPQRSTUVWXYZ")-1)*{1,2,1,2,1,2,1,2,1,2,1,2,1,2},36)),36),36)+1,1)=MID(AN290,15,1),"OK","Typo? check digit wrong")),"Wrong format"))</f>
        <v/>
      </c>
      <c r="AK290" s="27">
        <f>IF(AO290="","",IF(AND(LEN(AO290)=10,SUMPRODUCT(--ISERROR(FIND(MID(AO290,{1,2,3,4,5,10},1),"ABCDEFGHIJKLMNOPQRSTUVWXYZ")))=0,SUMPRODUCT(--ISERROR(FIND(MID(AO290,{6,7,8,9},1),"0123456789")))=0),"OK","Wrong format"))</f>
        <v/>
      </c>
      <c r="AL290" s="27">
        <f>IF(TRIM(H290)="","",IF(AND(LEN(UPPER(TRIM(H290)))=10,SUMPRODUCT(--ISERROR(FIND(MID(UPPER(TRIM(H290)),{1,2,3,4,10},1),"ABCDEFGHIJKLMNOPQRSTUVWXYZ")))=0,SUMPRODUCT(--ISERROR(FIND(MID(UPPER(TRIM(H290)),{5,6,7,8,9},1),"0123456789")))=0),"OK","Wrong format"))</f>
        <v/>
      </c>
      <c r="AM290" s="28">
        <f>IF(NOT(COUNTA(A290:AE290)&gt;0),"",IF(AS290&lt;&gt;"","✖ "&amp;LEFT(AS290,LEN(AS290)-2),IF(AR290&gt;0,"✔ Ready — client + "&amp;AR290&amp;" service(s)","✔ Ready — client only")))</f>
        <v/>
      </c>
      <c r="AN290" s="29">
        <f>UPPER(SUBSTITUTE(TRIM(F290)," ",""))</f>
        <v/>
      </c>
      <c r="AO290" s="29">
        <f>UPPER(SUBSTITUTE(TRIM(E290)," ",""))</f>
        <v/>
      </c>
      <c r="AP290" s="29">
        <f>IF(D290&lt;&gt;"",D290,IFERROR(VLOOKUP(MID(AG290,4,1),Lists!$E$2:$F$8,2,FALSE),""))</f>
        <v/>
      </c>
      <c r="AQ290" s="29">
        <f>IFERROR(VLOOKUP(AP290,Lists!$A$2:$C$12,3,FALSE),"")</f>
        <v/>
      </c>
      <c r="AR290" s="29">
        <f>COUNTIF(W290:AC290,"Yes")</f>
        <v/>
      </c>
      <c r="AS290" s="29">
        <f>IF(TRIM(B290)="","Legal name missing; ","")&amp;IF(AND(AJ290&lt;&gt;"",AJ290&lt;&gt;"OK"),"GSTIN: "&amp;AJ290&amp;"; ","")&amp;IF(AND(AK290&lt;&gt;"",AK290&lt;&gt;"OK"),"PAN wrong format; ","")&amp;IF(AND(AO290&lt;&gt;"",LEN(AN290)=15,MID(AN290,3,10)&lt;&gt;AO290),"PAN does not match GSTIN; ","")&amp;IF(AND(AL290&lt;&gt;"",AL290&lt;&gt;"OK"),"TAN wrong format; ","")&amp;IF(AG290="","PAN missing; ","")&amp;IF(AP290="","Entity type missing; ","")&amp;IF(AND(AN290&lt;&gt;"",COUNTIF($AN$6:$AN$1005,AN290)&gt;1),"GSTIN repeated in this sheet; ","")&amp;IF(AND(AG290&lt;&gt;"",COUNTIF($AG$6:$AG$1005,AG290)&gt;1),"PAN repeated in this sheet (same client? put extra GSTINs in Other GSTINs); ","")&amp;IF(AND(AR290&gt;0,V290=""),"Financial year missing; ","")&amp;IF(AND(AR290=0,V290&lt;&gt;""),"Financial year given but no service is Yes; ","")&amp;IF(AND(W290="Yes",AN290=""),"GST needs a GSTIN; ","")&amp;IF(AND(W290="Yes",X290=""),"GST return frequency missing; ","")&amp;IF(AND(Y290="Yes",TRIM(H290)=""),"TDS needs a TAN; ","")&amp;IF(AND(AA290="Yes",AQ290&lt;&gt;"",AQ290&lt;&gt;"company",AQ290&lt;&gt;"llp"),"ROC is only for a company / LLP; ","")&amp;IF(AND(AA290="Yes",OR(AQ290="company",AQ290="llp"),TRIM(I290)=""),"ROC needs the CIN / LLPIN; ","")</f>
        <v/>
      </c>
    </row>
    <row r="291">
      <c r="A291" s="30" t="n"/>
      <c r="B291" s="31" t="n"/>
      <c r="C291" s="31" t="n"/>
      <c r="D291" s="31" t="n"/>
      <c r="E291" s="30" t="n"/>
      <c r="F291" s="30" t="n"/>
      <c r="G291" s="30" t="n"/>
      <c r="H291" s="30" t="n"/>
      <c r="I291" s="30" t="n"/>
      <c r="J291" s="32" t="n"/>
      <c r="K291" s="31" t="n"/>
      <c r="L291" s="30" t="n"/>
      <c r="M291" s="31" t="n"/>
      <c r="N291" s="31" t="n"/>
      <c r="O291" s="31" t="n"/>
      <c r="P291" s="30" t="n"/>
      <c r="Q291" s="31" t="n"/>
      <c r="R291" s="31" t="n"/>
      <c r="S291" s="31" t="n"/>
      <c r="T291" s="31" t="n"/>
      <c r="U291" s="30" t="n"/>
      <c r="V291" s="31" t="n"/>
      <c r="W291" s="31" t="n"/>
      <c r="X291" s="31" t="n"/>
      <c r="Y291" s="31" t="n"/>
      <c r="Z291" s="31" t="n"/>
      <c r="AA291" s="31" t="n"/>
      <c r="AB291" s="31" t="n"/>
      <c r="AC291" s="31" t="n"/>
      <c r="AD291" s="31" t="n"/>
      <c r="AE291" s="31" t="n"/>
      <c r="AF291" s="27">
        <f>IF(NOT(COUNTA(A291:AE291)&gt;0),"",IF(A291="","New client","Update"))</f>
        <v/>
      </c>
      <c r="AG291" s="27">
        <f>IF(AO291&lt;&gt;"",AO291,IF(LEN(AN291)=15,MID(AN291,3,10),""))</f>
        <v/>
      </c>
      <c r="AH291" s="27">
        <f>IF(AP291="","",AP291&amp;IF(D291="","  (guessed from PAN)",""))</f>
        <v/>
      </c>
      <c r="AI291" s="27">
        <f>IF(AN291="","",IFERROR(INDEX(Lists!$L$2:$L$38,MATCH(LEFT(AN291,2),Lists!$K$2:$K$38,0)),"Unknown code"))</f>
        <v/>
      </c>
      <c r="AJ291" s="27">
        <f>IF(AN291="","",IFERROR(IF(NOT(AND(LEN(AN291)=15,ISNUMBER(MATCH(LEFT(AN291,2),Lists!$K$2:$K$38,0)),SUMPRODUCT(--ISERROR(FIND(MID(MID(AN291,3,10),{1,2,3,4,5,10},1),"ABCDEFGHIJKLMNOPQRSTUVWXYZ")))=0,SUMPRODUCT(--ISERROR(FIND(MID(MID(AN291,3,10),{6,7,8,9},1),"0123456789")))=0,ISNUMBER(FIND(MID(AN291,13,1),"123456789ABCDEFGHIJKLMNOPQRSTUVWXYZ")),MID(AN291,14,1)="Z")),"Wrong format",IF(MID("0123456789ABCDEFGHIJKLMNOPQRSTUVWXYZ",MOD(36-MOD(SUMPRODUCT(INT((FIND(MID(AN291,{1,2,3,4,5,6,7,8,9,10,11,12,13,14},1),"0123456789ABCDEFGHIJKLMNOPQRSTUVWXYZ")-1)*{1,2,1,2,1,2,1,2,1,2,1,2,1,2}/36)+MOD((FIND(MID(AN291,{1,2,3,4,5,6,7,8,9,10,11,12,13,14},1),"0123456789ABCDEFGHIJKLMNOPQRSTUVWXYZ")-1)*{1,2,1,2,1,2,1,2,1,2,1,2,1,2},36)),36),36)+1,1)=MID(AN291,15,1),"OK","Typo? check digit wrong")),"Wrong format"))</f>
        <v/>
      </c>
      <c r="AK291" s="27">
        <f>IF(AO291="","",IF(AND(LEN(AO291)=10,SUMPRODUCT(--ISERROR(FIND(MID(AO291,{1,2,3,4,5,10},1),"ABCDEFGHIJKLMNOPQRSTUVWXYZ")))=0,SUMPRODUCT(--ISERROR(FIND(MID(AO291,{6,7,8,9},1),"0123456789")))=0),"OK","Wrong format"))</f>
        <v/>
      </c>
      <c r="AL291" s="27">
        <f>IF(TRIM(H291)="","",IF(AND(LEN(UPPER(TRIM(H291)))=10,SUMPRODUCT(--ISERROR(FIND(MID(UPPER(TRIM(H291)),{1,2,3,4,10},1),"ABCDEFGHIJKLMNOPQRSTUVWXYZ")))=0,SUMPRODUCT(--ISERROR(FIND(MID(UPPER(TRIM(H291)),{5,6,7,8,9},1),"0123456789")))=0),"OK","Wrong format"))</f>
        <v/>
      </c>
      <c r="AM291" s="28">
        <f>IF(NOT(COUNTA(A291:AE291)&gt;0),"",IF(AS291&lt;&gt;"","✖ "&amp;LEFT(AS291,LEN(AS291)-2),IF(AR291&gt;0,"✔ Ready — client + "&amp;AR291&amp;" service(s)","✔ Ready — client only")))</f>
        <v/>
      </c>
      <c r="AN291" s="29">
        <f>UPPER(SUBSTITUTE(TRIM(F291)," ",""))</f>
        <v/>
      </c>
      <c r="AO291" s="29">
        <f>UPPER(SUBSTITUTE(TRIM(E291)," ",""))</f>
        <v/>
      </c>
      <c r="AP291" s="29">
        <f>IF(D291&lt;&gt;"",D291,IFERROR(VLOOKUP(MID(AG291,4,1),Lists!$E$2:$F$8,2,FALSE),""))</f>
        <v/>
      </c>
      <c r="AQ291" s="29">
        <f>IFERROR(VLOOKUP(AP291,Lists!$A$2:$C$12,3,FALSE),"")</f>
        <v/>
      </c>
      <c r="AR291" s="29">
        <f>COUNTIF(W291:AC291,"Yes")</f>
        <v/>
      </c>
      <c r="AS291" s="29">
        <f>IF(TRIM(B291)="","Legal name missing; ","")&amp;IF(AND(AJ291&lt;&gt;"",AJ291&lt;&gt;"OK"),"GSTIN: "&amp;AJ291&amp;"; ","")&amp;IF(AND(AK291&lt;&gt;"",AK291&lt;&gt;"OK"),"PAN wrong format; ","")&amp;IF(AND(AO291&lt;&gt;"",LEN(AN291)=15,MID(AN291,3,10)&lt;&gt;AO291),"PAN does not match GSTIN; ","")&amp;IF(AND(AL291&lt;&gt;"",AL291&lt;&gt;"OK"),"TAN wrong format; ","")&amp;IF(AG291="","PAN missing; ","")&amp;IF(AP291="","Entity type missing; ","")&amp;IF(AND(AN291&lt;&gt;"",COUNTIF($AN$6:$AN$1005,AN291)&gt;1),"GSTIN repeated in this sheet; ","")&amp;IF(AND(AG291&lt;&gt;"",COUNTIF($AG$6:$AG$1005,AG291)&gt;1),"PAN repeated in this sheet (same client? put extra GSTINs in Other GSTINs); ","")&amp;IF(AND(AR291&gt;0,V291=""),"Financial year missing; ","")&amp;IF(AND(AR291=0,V291&lt;&gt;""),"Financial year given but no service is Yes; ","")&amp;IF(AND(W291="Yes",AN291=""),"GST needs a GSTIN; ","")&amp;IF(AND(W291="Yes",X291=""),"GST return frequency missing; ","")&amp;IF(AND(Y291="Yes",TRIM(H291)=""),"TDS needs a TAN; ","")&amp;IF(AND(AA291="Yes",AQ291&lt;&gt;"",AQ291&lt;&gt;"company",AQ291&lt;&gt;"llp"),"ROC is only for a company / LLP; ","")&amp;IF(AND(AA291="Yes",OR(AQ291="company",AQ291="llp"),TRIM(I291)=""),"ROC needs the CIN / LLPIN; ","")</f>
        <v/>
      </c>
    </row>
    <row r="292">
      <c r="A292" s="30" t="n"/>
      <c r="B292" s="31" t="n"/>
      <c r="C292" s="31" t="n"/>
      <c r="D292" s="31" t="n"/>
      <c r="E292" s="30" t="n"/>
      <c r="F292" s="30" t="n"/>
      <c r="G292" s="30" t="n"/>
      <c r="H292" s="30" t="n"/>
      <c r="I292" s="30" t="n"/>
      <c r="J292" s="32" t="n"/>
      <c r="K292" s="31" t="n"/>
      <c r="L292" s="30" t="n"/>
      <c r="M292" s="31" t="n"/>
      <c r="N292" s="31" t="n"/>
      <c r="O292" s="31" t="n"/>
      <c r="P292" s="30" t="n"/>
      <c r="Q292" s="31" t="n"/>
      <c r="R292" s="31" t="n"/>
      <c r="S292" s="31" t="n"/>
      <c r="T292" s="31" t="n"/>
      <c r="U292" s="30" t="n"/>
      <c r="V292" s="31" t="n"/>
      <c r="W292" s="31" t="n"/>
      <c r="X292" s="31" t="n"/>
      <c r="Y292" s="31" t="n"/>
      <c r="Z292" s="31" t="n"/>
      <c r="AA292" s="31" t="n"/>
      <c r="AB292" s="31" t="n"/>
      <c r="AC292" s="31" t="n"/>
      <c r="AD292" s="31" t="n"/>
      <c r="AE292" s="31" t="n"/>
      <c r="AF292" s="27">
        <f>IF(NOT(COUNTA(A292:AE292)&gt;0),"",IF(A292="","New client","Update"))</f>
        <v/>
      </c>
      <c r="AG292" s="27">
        <f>IF(AO292&lt;&gt;"",AO292,IF(LEN(AN292)=15,MID(AN292,3,10),""))</f>
        <v/>
      </c>
      <c r="AH292" s="27">
        <f>IF(AP292="","",AP292&amp;IF(D292="","  (guessed from PAN)",""))</f>
        <v/>
      </c>
      <c r="AI292" s="27">
        <f>IF(AN292="","",IFERROR(INDEX(Lists!$L$2:$L$38,MATCH(LEFT(AN292,2),Lists!$K$2:$K$38,0)),"Unknown code"))</f>
        <v/>
      </c>
      <c r="AJ292" s="27">
        <f>IF(AN292="","",IFERROR(IF(NOT(AND(LEN(AN292)=15,ISNUMBER(MATCH(LEFT(AN292,2),Lists!$K$2:$K$38,0)),SUMPRODUCT(--ISERROR(FIND(MID(MID(AN292,3,10),{1,2,3,4,5,10},1),"ABCDEFGHIJKLMNOPQRSTUVWXYZ")))=0,SUMPRODUCT(--ISERROR(FIND(MID(MID(AN292,3,10),{6,7,8,9},1),"0123456789")))=0,ISNUMBER(FIND(MID(AN292,13,1),"123456789ABCDEFGHIJKLMNOPQRSTUVWXYZ")),MID(AN292,14,1)="Z")),"Wrong format",IF(MID("0123456789ABCDEFGHIJKLMNOPQRSTUVWXYZ",MOD(36-MOD(SUMPRODUCT(INT((FIND(MID(AN292,{1,2,3,4,5,6,7,8,9,10,11,12,13,14},1),"0123456789ABCDEFGHIJKLMNOPQRSTUVWXYZ")-1)*{1,2,1,2,1,2,1,2,1,2,1,2,1,2}/36)+MOD((FIND(MID(AN292,{1,2,3,4,5,6,7,8,9,10,11,12,13,14},1),"0123456789ABCDEFGHIJKLMNOPQRSTUVWXYZ")-1)*{1,2,1,2,1,2,1,2,1,2,1,2,1,2},36)),36),36)+1,1)=MID(AN292,15,1),"OK","Typo? check digit wrong")),"Wrong format"))</f>
        <v/>
      </c>
      <c r="AK292" s="27">
        <f>IF(AO292="","",IF(AND(LEN(AO292)=10,SUMPRODUCT(--ISERROR(FIND(MID(AO292,{1,2,3,4,5,10},1),"ABCDEFGHIJKLMNOPQRSTUVWXYZ")))=0,SUMPRODUCT(--ISERROR(FIND(MID(AO292,{6,7,8,9},1),"0123456789")))=0),"OK","Wrong format"))</f>
        <v/>
      </c>
      <c r="AL292" s="27">
        <f>IF(TRIM(H292)="","",IF(AND(LEN(UPPER(TRIM(H292)))=10,SUMPRODUCT(--ISERROR(FIND(MID(UPPER(TRIM(H292)),{1,2,3,4,10},1),"ABCDEFGHIJKLMNOPQRSTUVWXYZ")))=0,SUMPRODUCT(--ISERROR(FIND(MID(UPPER(TRIM(H292)),{5,6,7,8,9},1),"0123456789")))=0),"OK","Wrong format"))</f>
        <v/>
      </c>
      <c r="AM292" s="28">
        <f>IF(NOT(COUNTA(A292:AE292)&gt;0),"",IF(AS292&lt;&gt;"","✖ "&amp;LEFT(AS292,LEN(AS292)-2),IF(AR292&gt;0,"✔ Ready — client + "&amp;AR292&amp;" service(s)","✔ Ready — client only")))</f>
        <v/>
      </c>
      <c r="AN292" s="29">
        <f>UPPER(SUBSTITUTE(TRIM(F292)," ",""))</f>
        <v/>
      </c>
      <c r="AO292" s="29">
        <f>UPPER(SUBSTITUTE(TRIM(E292)," ",""))</f>
        <v/>
      </c>
      <c r="AP292" s="29">
        <f>IF(D292&lt;&gt;"",D292,IFERROR(VLOOKUP(MID(AG292,4,1),Lists!$E$2:$F$8,2,FALSE),""))</f>
        <v/>
      </c>
      <c r="AQ292" s="29">
        <f>IFERROR(VLOOKUP(AP292,Lists!$A$2:$C$12,3,FALSE),"")</f>
        <v/>
      </c>
      <c r="AR292" s="29">
        <f>COUNTIF(W292:AC292,"Yes")</f>
        <v/>
      </c>
      <c r="AS292" s="29">
        <f>IF(TRIM(B292)="","Legal name missing; ","")&amp;IF(AND(AJ292&lt;&gt;"",AJ292&lt;&gt;"OK"),"GSTIN: "&amp;AJ292&amp;"; ","")&amp;IF(AND(AK292&lt;&gt;"",AK292&lt;&gt;"OK"),"PAN wrong format; ","")&amp;IF(AND(AO292&lt;&gt;"",LEN(AN292)=15,MID(AN292,3,10)&lt;&gt;AO292),"PAN does not match GSTIN; ","")&amp;IF(AND(AL292&lt;&gt;"",AL292&lt;&gt;"OK"),"TAN wrong format; ","")&amp;IF(AG292="","PAN missing; ","")&amp;IF(AP292="","Entity type missing; ","")&amp;IF(AND(AN292&lt;&gt;"",COUNTIF($AN$6:$AN$1005,AN292)&gt;1),"GSTIN repeated in this sheet; ","")&amp;IF(AND(AG292&lt;&gt;"",COUNTIF($AG$6:$AG$1005,AG292)&gt;1),"PAN repeated in this sheet (same client? put extra GSTINs in Other GSTINs); ","")&amp;IF(AND(AR292&gt;0,V292=""),"Financial year missing; ","")&amp;IF(AND(AR292=0,V292&lt;&gt;""),"Financial year given but no service is Yes; ","")&amp;IF(AND(W292="Yes",AN292=""),"GST needs a GSTIN; ","")&amp;IF(AND(W292="Yes",X292=""),"GST return frequency missing; ","")&amp;IF(AND(Y292="Yes",TRIM(H292)=""),"TDS needs a TAN; ","")&amp;IF(AND(AA292="Yes",AQ292&lt;&gt;"",AQ292&lt;&gt;"company",AQ292&lt;&gt;"llp"),"ROC is only for a company / LLP; ","")&amp;IF(AND(AA292="Yes",OR(AQ292="company",AQ292="llp"),TRIM(I292)=""),"ROC needs the CIN / LLPIN; ","")</f>
        <v/>
      </c>
    </row>
    <row r="293">
      <c r="A293" s="30" t="n"/>
      <c r="B293" s="31" t="n"/>
      <c r="C293" s="31" t="n"/>
      <c r="D293" s="31" t="n"/>
      <c r="E293" s="30" t="n"/>
      <c r="F293" s="30" t="n"/>
      <c r="G293" s="30" t="n"/>
      <c r="H293" s="30" t="n"/>
      <c r="I293" s="30" t="n"/>
      <c r="J293" s="32" t="n"/>
      <c r="K293" s="31" t="n"/>
      <c r="L293" s="30" t="n"/>
      <c r="M293" s="31" t="n"/>
      <c r="N293" s="31" t="n"/>
      <c r="O293" s="31" t="n"/>
      <c r="P293" s="30" t="n"/>
      <c r="Q293" s="31" t="n"/>
      <c r="R293" s="31" t="n"/>
      <c r="S293" s="31" t="n"/>
      <c r="T293" s="31" t="n"/>
      <c r="U293" s="30" t="n"/>
      <c r="V293" s="31" t="n"/>
      <c r="W293" s="31" t="n"/>
      <c r="X293" s="31" t="n"/>
      <c r="Y293" s="31" t="n"/>
      <c r="Z293" s="31" t="n"/>
      <c r="AA293" s="31" t="n"/>
      <c r="AB293" s="31" t="n"/>
      <c r="AC293" s="31" t="n"/>
      <c r="AD293" s="31" t="n"/>
      <c r="AE293" s="31" t="n"/>
      <c r="AF293" s="27">
        <f>IF(NOT(COUNTA(A293:AE293)&gt;0),"",IF(A293="","New client","Update"))</f>
        <v/>
      </c>
      <c r="AG293" s="27">
        <f>IF(AO293&lt;&gt;"",AO293,IF(LEN(AN293)=15,MID(AN293,3,10),""))</f>
        <v/>
      </c>
      <c r="AH293" s="27">
        <f>IF(AP293="","",AP293&amp;IF(D293="","  (guessed from PAN)",""))</f>
        <v/>
      </c>
      <c r="AI293" s="27">
        <f>IF(AN293="","",IFERROR(INDEX(Lists!$L$2:$L$38,MATCH(LEFT(AN293,2),Lists!$K$2:$K$38,0)),"Unknown code"))</f>
        <v/>
      </c>
      <c r="AJ293" s="27">
        <f>IF(AN293="","",IFERROR(IF(NOT(AND(LEN(AN293)=15,ISNUMBER(MATCH(LEFT(AN293,2),Lists!$K$2:$K$38,0)),SUMPRODUCT(--ISERROR(FIND(MID(MID(AN293,3,10),{1,2,3,4,5,10},1),"ABCDEFGHIJKLMNOPQRSTUVWXYZ")))=0,SUMPRODUCT(--ISERROR(FIND(MID(MID(AN293,3,10),{6,7,8,9},1),"0123456789")))=0,ISNUMBER(FIND(MID(AN293,13,1),"123456789ABCDEFGHIJKLMNOPQRSTUVWXYZ")),MID(AN293,14,1)="Z")),"Wrong format",IF(MID("0123456789ABCDEFGHIJKLMNOPQRSTUVWXYZ",MOD(36-MOD(SUMPRODUCT(INT((FIND(MID(AN293,{1,2,3,4,5,6,7,8,9,10,11,12,13,14},1),"0123456789ABCDEFGHIJKLMNOPQRSTUVWXYZ")-1)*{1,2,1,2,1,2,1,2,1,2,1,2,1,2}/36)+MOD((FIND(MID(AN293,{1,2,3,4,5,6,7,8,9,10,11,12,13,14},1),"0123456789ABCDEFGHIJKLMNOPQRSTUVWXYZ")-1)*{1,2,1,2,1,2,1,2,1,2,1,2,1,2},36)),36),36)+1,1)=MID(AN293,15,1),"OK","Typo? check digit wrong")),"Wrong format"))</f>
        <v/>
      </c>
      <c r="AK293" s="27">
        <f>IF(AO293="","",IF(AND(LEN(AO293)=10,SUMPRODUCT(--ISERROR(FIND(MID(AO293,{1,2,3,4,5,10},1),"ABCDEFGHIJKLMNOPQRSTUVWXYZ")))=0,SUMPRODUCT(--ISERROR(FIND(MID(AO293,{6,7,8,9},1),"0123456789")))=0),"OK","Wrong format"))</f>
        <v/>
      </c>
      <c r="AL293" s="27">
        <f>IF(TRIM(H293)="","",IF(AND(LEN(UPPER(TRIM(H293)))=10,SUMPRODUCT(--ISERROR(FIND(MID(UPPER(TRIM(H293)),{1,2,3,4,10},1),"ABCDEFGHIJKLMNOPQRSTUVWXYZ")))=0,SUMPRODUCT(--ISERROR(FIND(MID(UPPER(TRIM(H293)),{5,6,7,8,9},1),"0123456789")))=0),"OK","Wrong format"))</f>
        <v/>
      </c>
      <c r="AM293" s="28">
        <f>IF(NOT(COUNTA(A293:AE293)&gt;0),"",IF(AS293&lt;&gt;"","✖ "&amp;LEFT(AS293,LEN(AS293)-2),IF(AR293&gt;0,"✔ Ready — client + "&amp;AR293&amp;" service(s)","✔ Ready — client only")))</f>
        <v/>
      </c>
      <c r="AN293" s="29">
        <f>UPPER(SUBSTITUTE(TRIM(F293)," ",""))</f>
        <v/>
      </c>
      <c r="AO293" s="29">
        <f>UPPER(SUBSTITUTE(TRIM(E293)," ",""))</f>
        <v/>
      </c>
      <c r="AP293" s="29">
        <f>IF(D293&lt;&gt;"",D293,IFERROR(VLOOKUP(MID(AG293,4,1),Lists!$E$2:$F$8,2,FALSE),""))</f>
        <v/>
      </c>
      <c r="AQ293" s="29">
        <f>IFERROR(VLOOKUP(AP293,Lists!$A$2:$C$12,3,FALSE),"")</f>
        <v/>
      </c>
      <c r="AR293" s="29">
        <f>COUNTIF(W293:AC293,"Yes")</f>
        <v/>
      </c>
      <c r="AS293" s="29">
        <f>IF(TRIM(B293)="","Legal name missing; ","")&amp;IF(AND(AJ293&lt;&gt;"",AJ293&lt;&gt;"OK"),"GSTIN: "&amp;AJ293&amp;"; ","")&amp;IF(AND(AK293&lt;&gt;"",AK293&lt;&gt;"OK"),"PAN wrong format; ","")&amp;IF(AND(AO293&lt;&gt;"",LEN(AN293)=15,MID(AN293,3,10)&lt;&gt;AO293),"PAN does not match GSTIN; ","")&amp;IF(AND(AL293&lt;&gt;"",AL293&lt;&gt;"OK"),"TAN wrong format; ","")&amp;IF(AG293="","PAN missing; ","")&amp;IF(AP293="","Entity type missing; ","")&amp;IF(AND(AN293&lt;&gt;"",COUNTIF($AN$6:$AN$1005,AN293)&gt;1),"GSTIN repeated in this sheet; ","")&amp;IF(AND(AG293&lt;&gt;"",COUNTIF($AG$6:$AG$1005,AG293)&gt;1),"PAN repeated in this sheet (same client? put extra GSTINs in Other GSTINs); ","")&amp;IF(AND(AR293&gt;0,V293=""),"Financial year missing; ","")&amp;IF(AND(AR293=0,V293&lt;&gt;""),"Financial year given but no service is Yes; ","")&amp;IF(AND(W293="Yes",AN293=""),"GST needs a GSTIN; ","")&amp;IF(AND(W293="Yes",X293=""),"GST return frequency missing; ","")&amp;IF(AND(Y293="Yes",TRIM(H293)=""),"TDS needs a TAN; ","")&amp;IF(AND(AA293="Yes",AQ293&lt;&gt;"",AQ293&lt;&gt;"company",AQ293&lt;&gt;"llp"),"ROC is only for a company / LLP; ","")&amp;IF(AND(AA293="Yes",OR(AQ293="company",AQ293="llp"),TRIM(I293)=""),"ROC needs the CIN / LLPIN; ","")</f>
        <v/>
      </c>
    </row>
    <row r="294">
      <c r="A294" s="30" t="n"/>
      <c r="B294" s="31" t="n"/>
      <c r="C294" s="31" t="n"/>
      <c r="D294" s="31" t="n"/>
      <c r="E294" s="30" t="n"/>
      <c r="F294" s="30" t="n"/>
      <c r="G294" s="30" t="n"/>
      <c r="H294" s="30" t="n"/>
      <c r="I294" s="30" t="n"/>
      <c r="J294" s="32" t="n"/>
      <c r="K294" s="31" t="n"/>
      <c r="L294" s="30" t="n"/>
      <c r="M294" s="31" t="n"/>
      <c r="N294" s="31" t="n"/>
      <c r="O294" s="31" t="n"/>
      <c r="P294" s="30" t="n"/>
      <c r="Q294" s="31" t="n"/>
      <c r="R294" s="31" t="n"/>
      <c r="S294" s="31" t="n"/>
      <c r="T294" s="31" t="n"/>
      <c r="U294" s="30" t="n"/>
      <c r="V294" s="31" t="n"/>
      <c r="W294" s="31" t="n"/>
      <c r="X294" s="31" t="n"/>
      <c r="Y294" s="31" t="n"/>
      <c r="Z294" s="31" t="n"/>
      <c r="AA294" s="31" t="n"/>
      <c r="AB294" s="31" t="n"/>
      <c r="AC294" s="31" t="n"/>
      <c r="AD294" s="31" t="n"/>
      <c r="AE294" s="31" t="n"/>
      <c r="AF294" s="27">
        <f>IF(NOT(COUNTA(A294:AE294)&gt;0),"",IF(A294="","New client","Update"))</f>
        <v/>
      </c>
      <c r="AG294" s="27">
        <f>IF(AO294&lt;&gt;"",AO294,IF(LEN(AN294)=15,MID(AN294,3,10),""))</f>
        <v/>
      </c>
      <c r="AH294" s="27">
        <f>IF(AP294="","",AP294&amp;IF(D294="","  (guessed from PAN)",""))</f>
        <v/>
      </c>
      <c r="AI294" s="27">
        <f>IF(AN294="","",IFERROR(INDEX(Lists!$L$2:$L$38,MATCH(LEFT(AN294,2),Lists!$K$2:$K$38,0)),"Unknown code"))</f>
        <v/>
      </c>
      <c r="AJ294" s="27">
        <f>IF(AN294="","",IFERROR(IF(NOT(AND(LEN(AN294)=15,ISNUMBER(MATCH(LEFT(AN294,2),Lists!$K$2:$K$38,0)),SUMPRODUCT(--ISERROR(FIND(MID(MID(AN294,3,10),{1,2,3,4,5,10},1),"ABCDEFGHIJKLMNOPQRSTUVWXYZ")))=0,SUMPRODUCT(--ISERROR(FIND(MID(MID(AN294,3,10),{6,7,8,9},1),"0123456789")))=0,ISNUMBER(FIND(MID(AN294,13,1),"123456789ABCDEFGHIJKLMNOPQRSTUVWXYZ")),MID(AN294,14,1)="Z")),"Wrong format",IF(MID("0123456789ABCDEFGHIJKLMNOPQRSTUVWXYZ",MOD(36-MOD(SUMPRODUCT(INT((FIND(MID(AN294,{1,2,3,4,5,6,7,8,9,10,11,12,13,14},1),"0123456789ABCDEFGHIJKLMNOPQRSTUVWXYZ")-1)*{1,2,1,2,1,2,1,2,1,2,1,2,1,2}/36)+MOD((FIND(MID(AN294,{1,2,3,4,5,6,7,8,9,10,11,12,13,14},1),"0123456789ABCDEFGHIJKLMNOPQRSTUVWXYZ")-1)*{1,2,1,2,1,2,1,2,1,2,1,2,1,2},36)),36),36)+1,1)=MID(AN294,15,1),"OK","Typo? check digit wrong")),"Wrong format"))</f>
        <v/>
      </c>
      <c r="AK294" s="27">
        <f>IF(AO294="","",IF(AND(LEN(AO294)=10,SUMPRODUCT(--ISERROR(FIND(MID(AO294,{1,2,3,4,5,10},1),"ABCDEFGHIJKLMNOPQRSTUVWXYZ")))=0,SUMPRODUCT(--ISERROR(FIND(MID(AO294,{6,7,8,9},1),"0123456789")))=0),"OK","Wrong format"))</f>
        <v/>
      </c>
      <c r="AL294" s="27">
        <f>IF(TRIM(H294)="","",IF(AND(LEN(UPPER(TRIM(H294)))=10,SUMPRODUCT(--ISERROR(FIND(MID(UPPER(TRIM(H294)),{1,2,3,4,10},1),"ABCDEFGHIJKLMNOPQRSTUVWXYZ")))=0,SUMPRODUCT(--ISERROR(FIND(MID(UPPER(TRIM(H294)),{5,6,7,8,9},1),"0123456789")))=0),"OK","Wrong format"))</f>
        <v/>
      </c>
      <c r="AM294" s="28">
        <f>IF(NOT(COUNTA(A294:AE294)&gt;0),"",IF(AS294&lt;&gt;"","✖ "&amp;LEFT(AS294,LEN(AS294)-2),IF(AR294&gt;0,"✔ Ready — client + "&amp;AR294&amp;" service(s)","✔ Ready — client only")))</f>
        <v/>
      </c>
      <c r="AN294" s="29">
        <f>UPPER(SUBSTITUTE(TRIM(F294)," ",""))</f>
        <v/>
      </c>
      <c r="AO294" s="29">
        <f>UPPER(SUBSTITUTE(TRIM(E294)," ",""))</f>
        <v/>
      </c>
      <c r="AP294" s="29">
        <f>IF(D294&lt;&gt;"",D294,IFERROR(VLOOKUP(MID(AG294,4,1),Lists!$E$2:$F$8,2,FALSE),""))</f>
        <v/>
      </c>
      <c r="AQ294" s="29">
        <f>IFERROR(VLOOKUP(AP294,Lists!$A$2:$C$12,3,FALSE),"")</f>
        <v/>
      </c>
      <c r="AR294" s="29">
        <f>COUNTIF(W294:AC294,"Yes")</f>
        <v/>
      </c>
      <c r="AS294" s="29">
        <f>IF(TRIM(B294)="","Legal name missing; ","")&amp;IF(AND(AJ294&lt;&gt;"",AJ294&lt;&gt;"OK"),"GSTIN: "&amp;AJ294&amp;"; ","")&amp;IF(AND(AK294&lt;&gt;"",AK294&lt;&gt;"OK"),"PAN wrong format; ","")&amp;IF(AND(AO294&lt;&gt;"",LEN(AN294)=15,MID(AN294,3,10)&lt;&gt;AO294),"PAN does not match GSTIN; ","")&amp;IF(AND(AL294&lt;&gt;"",AL294&lt;&gt;"OK"),"TAN wrong format; ","")&amp;IF(AG294="","PAN missing; ","")&amp;IF(AP294="","Entity type missing; ","")&amp;IF(AND(AN294&lt;&gt;"",COUNTIF($AN$6:$AN$1005,AN294)&gt;1),"GSTIN repeated in this sheet; ","")&amp;IF(AND(AG294&lt;&gt;"",COUNTIF($AG$6:$AG$1005,AG294)&gt;1),"PAN repeated in this sheet (same client? put extra GSTINs in Other GSTINs); ","")&amp;IF(AND(AR294&gt;0,V294=""),"Financial year missing; ","")&amp;IF(AND(AR294=0,V294&lt;&gt;""),"Financial year given but no service is Yes; ","")&amp;IF(AND(W294="Yes",AN294=""),"GST needs a GSTIN; ","")&amp;IF(AND(W294="Yes",X294=""),"GST return frequency missing; ","")&amp;IF(AND(Y294="Yes",TRIM(H294)=""),"TDS needs a TAN; ","")&amp;IF(AND(AA294="Yes",AQ294&lt;&gt;"",AQ294&lt;&gt;"company",AQ294&lt;&gt;"llp"),"ROC is only for a company / LLP; ","")&amp;IF(AND(AA294="Yes",OR(AQ294="company",AQ294="llp"),TRIM(I294)=""),"ROC needs the CIN / LLPIN; ","")</f>
        <v/>
      </c>
    </row>
    <row r="295">
      <c r="A295" s="30" t="n"/>
      <c r="B295" s="31" t="n"/>
      <c r="C295" s="31" t="n"/>
      <c r="D295" s="31" t="n"/>
      <c r="E295" s="30" t="n"/>
      <c r="F295" s="30" t="n"/>
      <c r="G295" s="30" t="n"/>
      <c r="H295" s="30" t="n"/>
      <c r="I295" s="30" t="n"/>
      <c r="J295" s="32" t="n"/>
      <c r="K295" s="31" t="n"/>
      <c r="L295" s="30" t="n"/>
      <c r="M295" s="31" t="n"/>
      <c r="N295" s="31" t="n"/>
      <c r="O295" s="31" t="n"/>
      <c r="P295" s="30" t="n"/>
      <c r="Q295" s="31" t="n"/>
      <c r="R295" s="31" t="n"/>
      <c r="S295" s="31" t="n"/>
      <c r="T295" s="31" t="n"/>
      <c r="U295" s="30" t="n"/>
      <c r="V295" s="31" t="n"/>
      <c r="W295" s="31" t="n"/>
      <c r="X295" s="31" t="n"/>
      <c r="Y295" s="31" t="n"/>
      <c r="Z295" s="31" t="n"/>
      <c r="AA295" s="31" t="n"/>
      <c r="AB295" s="31" t="n"/>
      <c r="AC295" s="31" t="n"/>
      <c r="AD295" s="31" t="n"/>
      <c r="AE295" s="31" t="n"/>
      <c r="AF295" s="27">
        <f>IF(NOT(COUNTA(A295:AE295)&gt;0),"",IF(A295="","New client","Update"))</f>
        <v/>
      </c>
      <c r="AG295" s="27">
        <f>IF(AO295&lt;&gt;"",AO295,IF(LEN(AN295)=15,MID(AN295,3,10),""))</f>
        <v/>
      </c>
      <c r="AH295" s="27">
        <f>IF(AP295="","",AP295&amp;IF(D295="","  (guessed from PAN)",""))</f>
        <v/>
      </c>
      <c r="AI295" s="27">
        <f>IF(AN295="","",IFERROR(INDEX(Lists!$L$2:$L$38,MATCH(LEFT(AN295,2),Lists!$K$2:$K$38,0)),"Unknown code"))</f>
        <v/>
      </c>
      <c r="AJ295" s="27">
        <f>IF(AN295="","",IFERROR(IF(NOT(AND(LEN(AN295)=15,ISNUMBER(MATCH(LEFT(AN295,2),Lists!$K$2:$K$38,0)),SUMPRODUCT(--ISERROR(FIND(MID(MID(AN295,3,10),{1,2,3,4,5,10},1),"ABCDEFGHIJKLMNOPQRSTUVWXYZ")))=0,SUMPRODUCT(--ISERROR(FIND(MID(MID(AN295,3,10),{6,7,8,9},1),"0123456789")))=0,ISNUMBER(FIND(MID(AN295,13,1),"123456789ABCDEFGHIJKLMNOPQRSTUVWXYZ")),MID(AN295,14,1)="Z")),"Wrong format",IF(MID("0123456789ABCDEFGHIJKLMNOPQRSTUVWXYZ",MOD(36-MOD(SUMPRODUCT(INT((FIND(MID(AN295,{1,2,3,4,5,6,7,8,9,10,11,12,13,14},1),"0123456789ABCDEFGHIJKLMNOPQRSTUVWXYZ")-1)*{1,2,1,2,1,2,1,2,1,2,1,2,1,2}/36)+MOD((FIND(MID(AN295,{1,2,3,4,5,6,7,8,9,10,11,12,13,14},1),"0123456789ABCDEFGHIJKLMNOPQRSTUVWXYZ")-1)*{1,2,1,2,1,2,1,2,1,2,1,2,1,2},36)),36),36)+1,1)=MID(AN295,15,1),"OK","Typo? check digit wrong")),"Wrong format"))</f>
        <v/>
      </c>
      <c r="AK295" s="27">
        <f>IF(AO295="","",IF(AND(LEN(AO295)=10,SUMPRODUCT(--ISERROR(FIND(MID(AO295,{1,2,3,4,5,10},1),"ABCDEFGHIJKLMNOPQRSTUVWXYZ")))=0,SUMPRODUCT(--ISERROR(FIND(MID(AO295,{6,7,8,9},1),"0123456789")))=0),"OK","Wrong format"))</f>
        <v/>
      </c>
      <c r="AL295" s="27">
        <f>IF(TRIM(H295)="","",IF(AND(LEN(UPPER(TRIM(H295)))=10,SUMPRODUCT(--ISERROR(FIND(MID(UPPER(TRIM(H295)),{1,2,3,4,10},1),"ABCDEFGHIJKLMNOPQRSTUVWXYZ")))=0,SUMPRODUCT(--ISERROR(FIND(MID(UPPER(TRIM(H295)),{5,6,7,8,9},1),"0123456789")))=0),"OK","Wrong format"))</f>
        <v/>
      </c>
      <c r="AM295" s="28">
        <f>IF(NOT(COUNTA(A295:AE295)&gt;0),"",IF(AS295&lt;&gt;"","✖ "&amp;LEFT(AS295,LEN(AS295)-2),IF(AR295&gt;0,"✔ Ready — client + "&amp;AR295&amp;" service(s)","✔ Ready — client only")))</f>
        <v/>
      </c>
      <c r="AN295" s="29">
        <f>UPPER(SUBSTITUTE(TRIM(F295)," ",""))</f>
        <v/>
      </c>
      <c r="AO295" s="29">
        <f>UPPER(SUBSTITUTE(TRIM(E295)," ",""))</f>
        <v/>
      </c>
      <c r="AP295" s="29">
        <f>IF(D295&lt;&gt;"",D295,IFERROR(VLOOKUP(MID(AG295,4,1),Lists!$E$2:$F$8,2,FALSE),""))</f>
        <v/>
      </c>
      <c r="AQ295" s="29">
        <f>IFERROR(VLOOKUP(AP295,Lists!$A$2:$C$12,3,FALSE),"")</f>
        <v/>
      </c>
      <c r="AR295" s="29">
        <f>COUNTIF(W295:AC295,"Yes")</f>
        <v/>
      </c>
      <c r="AS295" s="29">
        <f>IF(TRIM(B295)="","Legal name missing; ","")&amp;IF(AND(AJ295&lt;&gt;"",AJ295&lt;&gt;"OK"),"GSTIN: "&amp;AJ295&amp;"; ","")&amp;IF(AND(AK295&lt;&gt;"",AK295&lt;&gt;"OK"),"PAN wrong format; ","")&amp;IF(AND(AO295&lt;&gt;"",LEN(AN295)=15,MID(AN295,3,10)&lt;&gt;AO295),"PAN does not match GSTIN; ","")&amp;IF(AND(AL295&lt;&gt;"",AL295&lt;&gt;"OK"),"TAN wrong format; ","")&amp;IF(AG295="","PAN missing; ","")&amp;IF(AP295="","Entity type missing; ","")&amp;IF(AND(AN295&lt;&gt;"",COUNTIF($AN$6:$AN$1005,AN295)&gt;1),"GSTIN repeated in this sheet; ","")&amp;IF(AND(AG295&lt;&gt;"",COUNTIF($AG$6:$AG$1005,AG295)&gt;1),"PAN repeated in this sheet (same client? put extra GSTINs in Other GSTINs); ","")&amp;IF(AND(AR295&gt;0,V295=""),"Financial year missing; ","")&amp;IF(AND(AR295=0,V295&lt;&gt;""),"Financial year given but no service is Yes; ","")&amp;IF(AND(W295="Yes",AN295=""),"GST needs a GSTIN; ","")&amp;IF(AND(W295="Yes",X295=""),"GST return frequency missing; ","")&amp;IF(AND(Y295="Yes",TRIM(H295)=""),"TDS needs a TAN; ","")&amp;IF(AND(AA295="Yes",AQ295&lt;&gt;"",AQ295&lt;&gt;"company",AQ295&lt;&gt;"llp"),"ROC is only for a company / LLP; ","")&amp;IF(AND(AA295="Yes",OR(AQ295="company",AQ295="llp"),TRIM(I295)=""),"ROC needs the CIN / LLPIN; ","")</f>
        <v/>
      </c>
    </row>
    <row r="296">
      <c r="A296" s="30" t="n"/>
      <c r="B296" s="31" t="n"/>
      <c r="C296" s="31" t="n"/>
      <c r="D296" s="31" t="n"/>
      <c r="E296" s="30" t="n"/>
      <c r="F296" s="30" t="n"/>
      <c r="G296" s="30" t="n"/>
      <c r="H296" s="30" t="n"/>
      <c r="I296" s="30" t="n"/>
      <c r="J296" s="32" t="n"/>
      <c r="K296" s="31" t="n"/>
      <c r="L296" s="30" t="n"/>
      <c r="M296" s="31" t="n"/>
      <c r="N296" s="31" t="n"/>
      <c r="O296" s="31" t="n"/>
      <c r="P296" s="30" t="n"/>
      <c r="Q296" s="31" t="n"/>
      <c r="R296" s="31" t="n"/>
      <c r="S296" s="31" t="n"/>
      <c r="T296" s="31" t="n"/>
      <c r="U296" s="30" t="n"/>
      <c r="V296" s="31" t="n"/>
      <c r="W296" s="31" t="n"/>
      <c r="X296" s="31" t="n"/>
      <c r="Y296" s="31" t="n"/>
      <c r="Z296" s="31" t="n"/>
      <c r="AA296" s="31" t="n"/>
      <c r="AB296" s="31" t="n"/>
      <c r="AC296" s="31" t="n"/>
      <c r="AD296" s="31" t="n"/>
      <c r="AE296" s="31" t="n"/>
      <c r="AF296" s="27">
        <f>IF(NOT(COUNTA(A296:AE296)&gt;0),"",IF(A296="","New client","Update"))</f>
        <v/>
      </c>
      <c r="AG296" s="27">
        <f>IF(AO296&lt;&gt;"",AO296,IF(LEN(AN296)=15,MID(AN296,3,10),""))</f>
        <v/>
      </c>
      <c r="AH296" s="27">
        <f>IF(AP296="","",AP296&amp;IF(D296="","  (guessed from PAN)",""))</f>
        <v/>
      </c>
      <c r="AI296" s="27">
        <f>IF(AN296="","",IFERROR(INDEX(Lists!$L$2:$L$38,MATCH(LEFT(AN296,2),Lists!$K$2:$K$38,0)),"Unknown code"))</f>
        <v/>
      </c>
      <c r="AJ296" s="27">
        <f>IF(AN296="","",IFERROR(IF(NOT(AND(LEN(AN296)=15,ISNUMBER(MATCH(LEFT(AN296,2),Lists!$K$2:$K$38,0)),SUMPRODUCT(--ISERROR(FIND(MID(MID(AN296,3,10),{1,2,3,4,5,10},1),"ABCDEFGHIJKLMNOPQRSTUVWXYZ")))=0,SUMPRODUCT(--ISERROR(FIND(MID(MID(AN296,3,10),{6,7,8,9},1),"0123456789")))=0,ISNUMBER(FIND(MID(AN296,13,1),"123456789ABCDEFGHIJKLMNOPQRSTUVWXYZ")),MID(AN296,14,1)="Z")),"Wrong format",IF(MID("0123456789ABCDEFGHIJKLMNOPQRSTUVWXYZ",MOD(36-MOD(SUMPRODUCT(INT((FIND(MID(AN296,{1,2,3,4,5,6,7,8,9,10,11,12,13,14},1),"0123456789ABCDEFGHIJKLMNOPQRSTUVWXYZ")-1)*{1,2,1,2,1,2,1,2,1,2,1,2,1,2}/36)+MOD((FIND(MID(AN296,{1,2,3,4,5,6,7,8,9,10,11,12,13,14},1),"0123456789ABCDEFGHIJKLMNOPQRSTUVWXYZ")-1)*{1,2,1,2,1,2,1,2,1,2,1,2,1,2},36)),36),36)+1,1)=MID(AN296,15,1),"OK","Typo? check digit wrong")),"Wrong format"))</f>
        <v/>
      </c>
      <c r="AK296" s="27">
        <f>IF(AO296="","",IF(AND(LEN(AO296)=10,SUMPRODUCT(--ISERROR(FIND(MID(AO296,{1,2,3,4,5,10},1),"ABCDEFGHIJKLMNOPQRSTUVWXYZ")))=0,SUMPRODUCT(--ISERROR(FIND(MID(AO296,{6,7,8,9},1),"0123456789")))=0),"OK","Wrong format"))</f>
        <v/>
      </c>
      <c r="AL296" s="27">
        <f>IF(TRIM(H296)="","",IF(AND(LEN(UPPER(TRIM(H296)))=10,SUMPRODUCT(--ISERROR(FIND(MID(UPPER(TRIM(H296)),{1,2,3,4,10},1),"ABCDEFGHIJKLMNOPQRSTUVWXYZ")))=0,SUMPRODUCT(--ISERROR(FIND(MID(UPPER(TRIM(H296)),{5,6,7,8,9},1),"0123456789")))=0),"OK","Wrong format"))</f>
        <v/>
      </c>
      <c r="AM296" s="28">
        <f>IF(NOT(COUNTA(A296:AE296)&gt;0),"",IF(AS296&lt;&gt;"","✖ "&amp;LEFT(AS296,LEN(AS296)-2),IF(AR296&gt;0,"✔ Ready — client + "&amp;AR296&amp;" service(s)","✔ Ready — client only")))</f>
        <v/>
      </c>
      <c r="AN296" s="29">
        <f>UPPER(SUBSTITUTE(TRIM(F296)," ",""))</f>
        <v/>
      </c>
      <c r="AO296" s="29">
        <f>UPPER(SUBSTITUTE(TRIM(E296)," ",""))</f>
        <v/>
      </c>
      <c r="AP296" s="29">
        <f>IF(D296&lt;&gt;"",D296,IFERROR(VLOOKUP(MID(AG296,4,1),Lists!$E$2:$F$8,2,FALSE),""))</f>
        <v/>
      </c>
      <c r="AQ296" s="29">
        <f>IFERROR(VLOOKUP(AP296,Lists!$A$2:$C$12,3,FALSE),"")</f>
        <v/>
      </c>
      <c r="AR296" s="29">
        <f>COUNTIF(W296:AC296,"Yes")</f>
        <v/>
      </c>
      <c r="AS296" s="29">
        <f>IF(TRIM(B296)="","Legal name missing; ","")&amp;IF(AND(AJ296&lt;&gt;"",AJ296&lt;&gt;"OK"),"GSTIN: "&amp;AJ296&amp;"; ","")&amp;IF(AND(AK296&lt;&gt;"",AK296&lt;&gt;"OK"),"PAN wrong format; ","")&amp;IF(AND(AO296&lt;&gt;"",LEN(AN296)=15,MID(AN296,3,10)&lt;&gt;AO296),"PAN does not match GSTIN; ","")&amp;IF(AND(AL296&lt;&gt;"",AL296&lt;&gt;"OK"),"TAN wrong format; ","")&amp;IF(AG296="","PAN missing; ","")&amp;IF(AP296="","Entity type missing; ","")&amp;IF(AND(AN296&lt;&gt;"",COUNTIF($AN$6:$AN$1005,AN296)&gt;1),"GSTIN repeated in this sheet; ","")&amp;IF(AND(AG296&lt;&gt;"",COUNTIF($AG$6:$AG$1005,AG296)&gt;1),"PAN repeated in this sheet (same client? put extra GSTINs in Other GSTINs); ","")&amp;IF(AND(AR296&gt;0,V296=""),"Financial year missing; ","")&amp;IF(AND(AR296=0,V296&lt;&gt;""),"Financial year given but no service is Yes; ","")&amp;IF(AND(W296="Yes",AN296=""),"GST needs a GSTIN; ","")&amp;IF(AND(W296="Yes",X296=""),"GST return frequency missing; ","")&amp;IF(AND(Y296="Yes",TRIM(H296)=""),"TDS needs a TAN; ","")&amp;IF(AND(AA296="Yes",AQ296&lt;&gt;"",AQ296&lt;&gt;"company",AQ296&lt;&gt;"llp"),"ROC is only for a company / LLP; ","")&amp;IF(AND(AA296="Yes",OR(AQ296="company",AQ296="llp"),TRIM(I296)=""),"ROC needs the CIN / LLPIN; ","")</f>
        <v/>
      </c>
    </row>
    <row r="297">
      <c r="A297" s="30" t="n"/>
      <c r="B297" s="31" t="n"/>
      <c r="C297" s="31" t="n"/>
      <c r="D297" s="31" t="n"/>
      <c r="E297" s="30" t="n"/>
      <c r="F297" s="30" t="n"/>
      <c r="G297" s="30" t="n"/>
      <c r="H297" s="30" t="n"/>
      <c r="I297" s="30" t="n"/>
      <c r="J297" s="32" t="n"/>
      <c r="K297" s="31" t="n"/>
      <c r="L297" s="30" t="n"/>
      <c r="M297" s="31" t="n"/>
      <c r="N297" s="31" t="n"/>
      <c r="O297" s="31" t="n"/>
      <c r="P297" s="30" t="n"/>
      <c r="Q297" s="31" t="n"/>
      <c r="R297" s="31" t="n"/>
      <c r="S297" s="31" t="n"/>
      <c r="T297" s="31" t="n"/>
      <c r="U297" s="30" t="n"/>
      <c r="V297" s="31" t="n"/>
      <c r="W297" s="31" t="n"/>
      <c r="X297" s="31" t="n"/>
      <c r="Y297" s="31" t="n"/>
      <c r="Z297" s="31" t="n"/>
      <c r="AA297" s="31" t="n"/>
      <c r="AB297" s="31" t="n"/>
      <c r="AC297" s="31" t="n"/>
      <c r="AD297" s="31" t="n"/>
      <c r="AE297" s="31" t="n"/>
      <c r="AF297" s="27">
        <f>IF(NOT(COUNTA(A297:AE297)&gt;0),"",IF(A297="","New client","Update"))</f>
        <v/>
      </c>
      <c r="AG297" s="27">
        <f>IF(AO297&lt;&gt;"",AO297,IF(LEN(AN297)=15,MID(AN297,3,10),""))</f>
        <v/>
      </c>
      <c r="AH297" s="27">
        <f>IF(AP297="","",AP297&amp;IF(D297="","  (guessed from PAN)",""))</f>
        <v/>
      </c>
      <c r="AI297" s="27">
        <f>IF(AN297="","",IFERROR(INDEX(Lists!$L$2:$L$38,MATCH(LEFT(AN297,2),Lists!$K$2:$K$38,0)),"Unknown code"))</f>
        <v/>
      </c>
      <c r="AJ297" s="27">
        <f>IF(AN297="","",IFERROR(IF(NOT(AND(LEN(AN297)=15,ISNUMBER(MATCH(LEFT(AN297,2),Lists!$K$2:$K$38,0)),SUMPRODUCT(--ISERROR(FIND(MID(MID(AN297,3,10),{1,2,3,4,5,10},1),"ABCDEFGHIJKLMNOPQRSTUVWXYZ")))=0,SUMPRODUCT(--ISERROR(FIND(MID(MID(AN297,3,10),{6,7,8,9},1),"0123456789")))=0,ISNUMBER(FIND(MID(AN297,13,1),"123456789ABCDEFGHIJKLMNOPQRSTUVWXYZ")),MID(AN297,14,1)="Z")),"Wrong format",IF(MID("0123456789ABCDEFGHIJKLMNOPQRSTUVWXYZ",MOD(36-MOD(SUMPRODUCT(INT((FIND(MID(AN297,{1,2,3,4,5,6,7,8,9,10,11,12,13,14},1),"0123456789ABCDEFGHIJKLMNOPQRSTUVWXYZ")-1)*{1,2,1,2,1,2,1,2,1,2,1,2,1,2}/36)+MOD((FIND(MID(AN297,{1,2,3,4,5,6,7,8,9,10,11,12,13,14},1),"0123456789ABCDEFGHIJKLMNOPQRSTUVWXYZ")-1)*{1,2,1,2,1,2,1,2,1,2,1,2,1,2},36)),36),36)+1,1)=MID(AN297,15,1),"OK","Typo? check digit wrong")),"Wrong format"))</f>
        <v/>
      </c>
      <c r="AK297" s="27">
        <f>IF(AO297="","",IF(AND(LEN(AO297)=10,SUMPRODUCT(--ISERROR(FIND(MID(AO297,{1,2,3,4,5,10},1),"ABCDEFGHIJKLMNOPQRSTUVWXYZ")))=0,SUMPRODUCT(--ISERROR(FIND(MID(AO297,{6,7,8,9},1),"0123456789")))=0),"OK","Wrong format"))</f>
        <v/>
      </c>
      <c r="AL297" s="27">
        <f>IF(TRIM(H297)="","",IF(AND(LEN(UPPER(TRIM(H297)))=10,SUMPRODUCT(--ISERROR(FIND(MID(UPPER(TRIM(H297)),{1,2,3,4,10},1),"ABCDEFGHIJKLMNOPQRSTUVWXYZ")))=0,SUMPRODUCT(--ISERROR(FIND(MID(UPPER(TRIM(H297)),{5,6,7,8,9},1),"0123456789")))=0),"OK","Wrong format"))</f>
        <v/>
      </c>
      <c r="AM297" s="28">
        <f>IF(NOT(COUNTA(A297:AE297)&gt;0),"",IF(AS297&lt;&gt;"","✖ "&amp;LEFT(AS297,LEN(AS297)-2),IF(AR297&gt;0,"✔ Ready — client + "&amp;AR297&amp;" service(s)","✔ Ready — client only")))</f>
        <v/>
      </c>
      <c r="AN297" s="29">
        <f>UPPER(SUBSTITUTE(TRIM(F297)," ",""))</f>
        <v/>
      </c>
      <c r="AO297" s="29">
        <f>UPPER(SUBSTITUTE(TRIM(E297)," ",""))</f>
        <v/>
      </c>
      <c r="AP297" s="29">
        <f>IF(D297&lt;&gt;"",D297,IFERROR(VLOOKUP(MID(AG297,4,1),Lists!$E$2:$F$8,2,FALSE),""))</f>
        <v/>
      </c>
      <c r="AQ297" s="29">
        <f>IFERROR(VLOOKUP(AP297,Lists!$A$2:$C$12,3,FALSE),"")</f>
        <v/>
      </c>
      <c r="AR297" s="29">
        <f>COUNTIF(W297:AC297,"Yes")</f>
        <v/>
      </c>
      <c r="AS297" s="29">
        <f>IF(TRIM(B297)="","Legal name missing; ","")&amp;IF(AND(AJ297&lt;&gt;"",AJ297&lt;&gt;"OK"),"GSTIN: "&amp;AJ297&amp;"; ","")&amp;IF(AND(AK297&lt;&gt;"",AK297&lt;&gt;"OK"),"PAN wrong format; ","")&amp;IF(AND(AO297&lt;&gt;"",LEN(AN297)=15,MID(AN297,3,10)&lt;&gt;AO297),"PAN does not match GSTIN; ","")&amp;IF(AND(AL297&lt;&gt;"",AL297&lt;&gt;"OK"),"TAN wrong format; ","")&amp;IF(AG297="","PAN missing; ","")&amp;IF(AP297="","Entity type missing; ","")&amp;IF(AND(AN297&lt;&gt;"",COUNTIF($AN$6:$AN$1005,AN297)&gt;1),"GSTIN repeated in this sheet; ","")&amp;IF(AND(AG297&lt;&gt;"",COUNTIF($AG$6:$AG$1005,AG297)&gt;1),"PAN repeated in this sheet (same client? put extra GSTINs in Other GSTINs); ","")&amp;IF(AND(AR297&gt;0,V297=""),"Financial year missing; ","")&amp;IF(AND(AR297=0,V297&lt;&gt;""),"Financial year given but no service is Yes; ","")&amp;IF(AND(W297="Yes",AN297=""),"GST needs a GSTIN; ","")&amp;IF(AND(W297="Yes",X297=""),"GST return frequency missing; ","")&amp;IF(AND(Y297="Yes",TRIM(H297)=""),"TDS needs a TAN; ","")&amp;IF(AND(AA297="Yes",AQ297&lt;&gt;"",AQ297&lt;&gt;"company",AQ297&lt;&gt;"llp"),"ROC is only for a company / LLP; ","")&amp;IF(AND(AA297="Yes",OR(AQ297="company",AQ297="llp"),TRIM(I297)=""),"ROC needs the CIN / LLPIN; ","")</f>
        <v/>
      </c>
    </row>
    <row r="298">
      <c r="A298" s="30" t="n"/>
      <c r="B298" s="31" t="n"/>
      <c r="C298" s="31" t="n"/>
      <c r="D298" s="31" t="n"/>
      <c r="E298" s="30" t="n"/>
      <c r="F298" s="30" t="n"/>
      <c r="G298" s="30" t="n"/>
      <c r="H298" s="30" t="n"/>
      <c r="I298" s="30" t="n"/>
      <c r="J298" s="32" t="n"/>
      <c r="K298" s="31" t="n"/>
      <c r="L298" s="30" t="n"/>
      <c r="M298" s="31" t="n"/>
      <c r="N298" s="31" t="n"/>
      <c r="O298" s="31" t="n"/>
      <c r="P298" s="30" t="n"/>
      <c r="Q298" s="31" t="n"/>
      <c r="R298" s="31" t="n"/>
      <c r="S298" s="31" t="n"/>
      <c r="T298" s="31" t="n"/>
      <c r="U298" s="30" t="n"/>
      <c r="V298" s="31" t="n"/>
      <c r="W298" s="31" t="n"/>
      <c r="X298" s="31" t="n"/>
      <c r="Y298" s="31" t="n"/>
      <c r="Z298" s="31" t="n"/>
      <c r="AA298" s="31" t="n"/>
      <c r="AB298" s="31" t="n"/>
      <c r="AC298" s="31" t="n"/>
      <c r="AD298" s="31" t="n"/>
      <c r="AE298" s="31" t="n"/>
      <c r="AF298" s="27">
        <f>IF(NOT(COUNTA(A298:AE298)&gt;0),"",IF(A298="","New client","Update"))</f>
        <v/>
      </c>
      <c r="AG298" s="27">
        <f>IF(AO298&lt;&gt;"",AO298,IF(LEN(AN298)=15,MID(AN298,3,10),""))</f>
        <v/>
      </c>
      <c r="AH298" s="27">
        <f>IF(AP298="","",AP298&amp;IF(D298="","  (guessed from PAN)",""))</f>
        <v/>
      </c>
      <c r="AI298" s="27">
        <f>IF(AN298="","",IFERROR(INDEX(Lists!$L$2:$L$38,MATCH(LEFT(AN298,2),Lists!$K$2:$K$38,0)),"Unknown code"))</f>
        <v/>
      </c>
      <c r="AJ298" s="27">
        <f>IF(AN298="","",IFERROR(IF(NOT(AND(LEN(AN298)=15,ISNUMBER(MATCH(LEFT(AN298,2),Lists!$K$2:$K$38,0)),SUMPRODUCT(--ISERROR(FIND(MID(MID(AN298,3,10),{1,2,3,4,5,10},1),"ABCDEFGHIJKLMNOPQRSTUVWXYZ")))=0,SUMPRODUCT(--ISERROR(FIND(MID(MID(AN298,3,10),{6,7,8,9},1),"0123456789")))=0,ISNUMBER(FIND(MID(AN298,13,1),"123456789ABCDEFGHIJKLMNOPQRSTUVWXYZ")),MID(AN298,14,1)="Z")),"Wrong format",IF(MID("0123456789ABCDEFGHIJKLMNOPQRSTUVWXYZ",MOD(36-MOD(SUMPRODUCT(INT((FIND(MID(AN298,{1,2,3,4,5,6,7,8,9,10,11,12,13,14},1),"0123456789ABCDEFGHIJKLMNOPQRSTUVWXYZ")-1)*{1,2,1,2,1,2,1,2,1,2,1,2,1,2}/36)+MOD((FIND(MID(AN298,{1,2,3,4,5,6,7,8,9,10,11,12,13,14},1),"0123456789ABCDEFGHIJKLMNOPQRSTUVWXYZ")-1)*{1,2,1,2,1,2,1,2,1,2,1,2,1,2},36)),36),36)+1,1)=MID(AN298,15,1),"OK","Typo? check digit wrong")),"Wrong format"))</f>
        <v/>
      </c>
      <c r="AK298" s="27">
        <f>IF(AO298="","",IF(AND(LEN(AO298)=10,SUMPRODUCT(--ISERROR(FIND(MID(AO298,{1,2,3,4,5,10},1),"ABCDEFGHIJKLMNOPQRSTUVWXYZ")))=0,SUMPRODUCT(--ISERROR(FIND(MID(AO298,{6,7,8,9},1),"0123456789")))=0),"OK","Wrong format"))</f>
        <v/>
      </c>
      <c r="AL298" s="27">
        <f>IF(TRIM(H298)="","",IF(AND(LEN(UPPER(TRIM(H298)))=10,SUMPRODUCT(--ISERROR(FIND(MID(UPPER(TRIM(H298)),{1,2,3,4,10},1),"ABCDEFGHIJKLMNOPQRSTUVWXYZ")))=0,SUMPRODUCT(--ISERROR(FIND(MID(UPPER(TRIM(H298)),{5,6,7,8,9},1),"0123456789")))=0),"OK","Wrong format"))</f>
        <v/>
      </c>
      <c r="AM298" s="28">
        <f>IF(NOT(COUNTA(A298:AE298)&gt;0),"",IF(AS298&lt;&gt;"","✖ "&amp;LEFT(AS298,LEN(AS298)-2),IF(AR298&gt;0,"✔ Ready — client + "&amp;AR298&amp;" service(s)","✔ Ready — client only")))</f>
        <v/>
      </c>
      <c r="AN298" s="29">
        <f>UPPER(SUBSTITUTE(TRIM(F298)," ",""))</f>
        <v/>
      </c>
      <c r="AO298" s="29">
        <f>UPPER(SUBSTITUTE(TRIM(E298)," ",""))</f>
        <v/>
      </c>
      <c r="AP298" s="29">
        <f>IF(D298&lt;&gt;"",D298,IFERROR(VLOOKUP(MID(AG298,4,1),Lists!$E$2:$F$8,2,FALSE),""))</f>
        <v/>
      </c>
      <c r="AQ298" s="29">
        <f>IFERROR(VLOOKUP(AP298,Lists!$A$2:$C$12,3,FALSE),"")</f>
        <v/>
      </c>
      <c r="AR298" s="29">
        <f>COUNTIF(W298:AC298,"Yes")</f>
        <v/>
      </c>
      <c r="AS298" s="29">
        <f>IF(TRIM(B298)="","Legal name missing; ","")&amp;IF(AND(AJ298&lt;&gt;"",AJ298&lt;&gt;"OK"),"GSTIN: "&amp;AJ298&amp;"; ","")&amp;IF(AND(AK298&lt;&gt;"",AK298&lt;&gt;"OK"),"PAN wrong format; ","")&amp;IF(AND(AO298&lt;&gt;"",LEN(AN298)=15,MID(AN298,3,10)&lt;&gt;AO298),"PAN does not match GSTIN; ","")&amp;IF(AND(AL298&lt;&gt;"",AL298&lt;&gt;"OK"),"TAN wrong format; ","")&amp;IF(AG298="","PAN missing; ","")&amp;IF(AP298="","Entity type missing; ","")&amp;IF(AND(AN298&lt;&gt;"",COUNTIF($AN$6:$AN$1005,AN298)&gt;1),"GSTIN repeated in this sheet; ","")&amp;IF(AND(AG298&lt;&gt;"",COUNTIF($AG$6:$AG$1005,AG298)&gt;1),"PAN repeated in this sheet (same client? put extra GSTINs in Other GSTINs); ","")&amp;IF(AND(AR298&gt;0,V298=""),"Financial year missing; ","")&amp;IF(AND(AR298=0,V298&lt;&gt;""),"Financial year given but no service is Yes; ","")&amp;IF(AND(W298="Yes",AN298=""),"GST needs a GSTIN; ","")&amp;IF(AND(W298="Yes",X298=""),"GST return frequency missing; ","")&amp;IF(AND(Y298="Yes",TRIM(H298)=""),"TDS needs a TAN; ","")&amp;IF(AND(AA298="Yes",AQ298&lt;&gt;"",AQ298&lt;&gt;"company",AQ298&lt;&gt;"llp"),"ROC is only for a company / LLP; ","")&amp;IF(AND(AA298="Yes",OR(AQ298="company",AQ298="llp"),TRIM(I298)=""),"ROC needs the CIN / LLPIN; ","")</f>
        <v/>
      </c>
    </row>
    <row r="299">
      <c r="A299" s="30" t="n"/>
      <c r="B299" s="31" t="n"/>
      <c r="C299" s="31" t="n"/>
      <c r="D299" s="31" t="n"/>
      <c r="E299" s="30" t="n"/>
      <c r="F299" s="30" t="n"/>
      <c r="G299" s="30" t="n"/>
      <c r="H299" s="30" t="n"/>
      <c r="I299" s="30" t="n"/>
      <c r="J299" s="32" t="n"/>
      <c r="K299" s="31" t="n"/>
      <c r="L299" s="30" t="n"/>
      <c r="M299" s="31" t="n"/>
      <c r="N299" s="31" t="n"/>
      <c r="O299" s="31" t="n"/>
      <c r="P299" s="30" t="n"/>
      <c r="Q299" s="31" t="n"/>
      <c r="R299" s="31" t="n"/>
      <c r="S299" s="31" t="n"/>
      <c r="T299" s="31" t="n"/>
      <c r="U299" s="30" t="n"/>
      <c r="V299" s="31" t="n"/>
      <c r="W299" s="31" t="n"/>
      <c r="X299" s="31" t="n"/>
      <c r="Y299" s="31" t="n"/>
      <c r="Z299" s="31" t="n"/>
      <c r="AA299" s="31" t="n"/>
      <c r="AB299" s="31" t="n"/>
      <c r="AC299" s="31" t="n"/>
      <c r="AD299" s="31" t="n"/>
      <c r="AE299" s="31" t="n"/>
      <c r="AF299" s="27">
        <f>IF(NOT(COUNTA(A299:AE299)&gt;0),"",IF(A299="","New client","Update"))</f>
        <v/>
      </c>
      <c r="AG299" s="27">
        <f>IF(AO299&lt;&gt;"",AO299,IF(LEN(AN299)=15,MID(AN299,3,10),""))</f>
        <v/>
      </c>
      <c r="AH299" s="27">
        <f>IF(AP299="","",AP299&amp;IF(D299="","  (guessed from PAN)",""))</f>
        <v/>
      </c>
      <c r="AI299" s="27">
        <f>IF(AN299="","",IFERROR(INDEX(Lists!$L$2:$L$38,MATCH(LEFT(AN299,2),Lists!$K$2:$K$38,0)),"Unknown code"))</f>
        <v/>
      </c>
      <c r="AJ299" s="27">
        <f>IF(AN299="","",IFERROR(IF(NOT(AND(LEN(AN299)=15,ISNUMBER(MATCH(LEFT(AN299,2),Lists!$K$2:$K$38,0)),SUMPRODUCT(--ISERROR(FIND(MID(MID(AN299,3,10),{1,2,3,4,5,10},1),"ABCDEFGHIJKLMNOPQRSTUVWXYZ")))=0,SUMPRODUCT(--ISERROR(FIND(MID(MID(AN299,3,10),{6,7,8,9},1),"0123456789")))=0,ISNUMBER(FIND(MID(AN299,13,1),"123456789ABCDEFGHIJKLMNOPQRSTUVWXYZ")),MID(AN299,14,1)="Z")),"Wrong format",IF(MID("0123456789ABCDEFGHIJKLMNOPQRSTUVWXYZ",MOD(36-MOD(SUMPRODUCT(INT((FIND(MID(AN299,{1,2,3,4,5,6,7,8,9,10,11,12,13,14},1),"0123456789ABCDEFGHIJKLMNOPQRSTUVWXYZ")-1)*{1,2,1,2,1,2,1,2,1,2,1,2,1,2}/36)+MOD((FIND(MID(AN299,{1,2,3,4,5,6,7,8,9,10,11,12,13,14},1),"0123456789ABCDEFGHIJKLMNOPQRSTUVWXYZ")-1)*{1,2,1,2,1,2,1,2,1,2,1,2,1,2},36)),36),36)+1,1)=MID(AN299,15,1),"OK","Typo? check digit wrong")),"Wrong format"))</f>
        <v/>
      </c>
      <c r="AK299" s="27">
        <f>IF(AO299="","",IF(AND(LEN(AO299)=10,SUMPRODUCT(--ISERROR(FIND(MID(AO299,{1,2,3,4,5,10},1),"ABCDEFGHIJKLMNOPQRSTUVWXYZ")))=0,SUMPRODUCT(--ISERROR(FIND(MID(AO299,{6,7,8,9},1),"0123456789")))=0),"OK","Wrong format"))</f>
        <v/>
      </c>
      <c r="AL299" s="27">
        <f>IF(TRIM(H299)="","",IF(AND(LEN(UPPER(TRIM(H299)))=10,SUMPRODUCT(--ISERROR(FIND(MID(UPPER(TRIM(H299)),{1,2,3,4,10},1),"ABCDEFGHIJKLMNOPQRSTUVWXYZ")))=0,SUMPRODUCT(--ISERROR(FIND(MID(UPPER(TRIM(H299)),{5,6,7,8,9},1),"0123456789")))=0),"OK","Wrong format"))</f>
        <v/>
      </c>
      <c r="AM299" s="28">
        <f>IF(NOT(COUNTA(A299:AE299)&gt;0),"",IF(AS299&lt;&gt;"","✖ "&amp;LEFT(AS299,LEN(AS299)-2),IF(AR299&gt;0,"✔ Ready — client + "&amp;AR299&amp;" service(s)","✔ Ready — client only")))</f>
        <v/>
      </c>
      <c r="AN299" s="29">
        <f>UPPER(SUBSTITUTE(TRIM(F299)," ",""))</f>
        <v/>
      </c>
      <c r="AO299" s="29">
        <f>UPPER(SUBSTITUTE(TRIM(E299)," ",""))</f>
        <v/>
      </c>
      <c r="AP299" s="29">
        <f>IF(D299&lt;&gt;"",D299,IFERROR(VLOOKUP(MID(AG299,4,1),Lists!$E$2:$F$8,2,FALSE),""))</f>
        <v/>
      </c>
      <c r="AQ299" s="29">
        <f>IFERROR(VLOOKUP(AP299,Lists!$A$2:$C$12,3,FALSE),"")</f>
        <v/>
      </c>
      <c r="AR299" s="29">
        <f>COUNTIF(W299:AC299,"Yes")</f>
        <v/>
      </c>
      <c r="AS299" s="29">
        <f>IF(TRIM(B299)="","Legal name missing; ","")&amp;IF(AND(AJ299&lt;&gt;"",AJ299&lt;&gt;"OK"),"GSTIN: "&amp;AJ299&amp;"; ","")&amp;IF(AND(AK299&lt;&gt;"",AK299&lt;&gt;"OK"),"PAN wrong format; ","")&amp;IF(AND(AO299&lt;&gt;"",LEN(AN299)=15,MID(AN299,3,10)&lt;&gt;AO299),"PAN does not match GSTIN; ","")&amp;IF(AND(AL299&lt;&gt;"",AL299&lt;&gt;"OK"),"TAN wrong format; ","")&amp;IF(AG299="","PAN missing; ","")&amp;IF(AP299="","Entity type missing; ","")&amp;IF(AND(AN299&lt;&gt;"",COUNTIF($AN$6:$AN$1005,AN299)&gt;1),"GSTIN repeated in this sheet; ","")&amp;IF(AND(AG299&lt;&gt;"",COUNTIF($AG$6:$AG$1005,AG299)&gt;1),"PAN repeated in this sheet (same client? put extra GSTINs in Other GSTINs); ","")&amp;IF(AND(AR299&gt;0,V299=""),"Financial year missing; ","")&amp;IF(AND(AR299=0,V299&lt;&gt;""),"Financial year given but no service is Yes; ","")&amp;IF(AND(W299="Yes",AN299=""),"GST needs a GSTIN; ","")&amp;IF(AND(W299="Yes",X299=""),"GST return frequency missing; ","")&amp;IF(AND(Y299="Yes",TRIM(H299)=""),"TDS needs a TAN; ","")&amp;IF(AND(AA299="Yes",AQ299&lt;&gt;"",AQ299&lt;&gt;"company",AQ299&lt;&gt;"llp"),"ROC is only for a company / LLP; ","")&amp;IF(AND(AA299="Yes",OR(AQ299="company",AQ299="llp"),TRIM(I299)=""),"ROC needs the CIN / LLPIN; ","")</f>
        <v/>
      </c>
    </row>
    <row r="300">
      <c r="A300" s="30" t="n"/>
      <c r="B300" s="31" t="n"/>
      <c r="C300" s="31" t="n"/>
      <c r="D300" s="31" t="n"/>
      <c r="E300" s="30" t="n"/>
      <c r="F300" s="30" t="n"/>
      <c r="G300" s="30" t="n"/>
      <c r="H300" s="30" t="n"/>
      <c r="I300" s="30" t="n"/>
      <c r="J300" s="32" t="n"/>
      <c r="K300" s="31" t="n"/>
      <c r="L300" s="30" t="n"/>
      <c r="M300" s="31" t="n"/>
      <c r="N300" s="31" t="n"/>
      <c r="O300" s="31" t="n"/>
      <c r="P300" s="30" t="n"/>
      <c r="Q300" s="31" t="n"/>
      <c r="R300" s="31" t="n"/>
      <c r="S300" s="31" t="n"/>
      <c r="T300" s="31" t="n"/>
      <c r="U300" s="30" t="n"/>
      <c r="V300" s="31" t="n"/>
      <c r="W300" s="31" t="n"/>
      <c r="X300" s="31" t="n"/>
      <c r="Y300" s="31" t="n"/>
      <c r="Z300" s="31" t="n"/>
      <c r="AA300" s="31" t="n"/>
      <c r="AB300" s="31" t="n"/>
      <c r="AC300" s="31" t="n"/>
      <c r="AD300" s="31" t="n"/>
      <c r="AE300" s="31" t="n"/>
      <c r="AF300" s="27">
        <f>IF(NOT(COUNTA(A300:AE300)&gt;0),"",IF(A300="","New client","Update"))</f>
        <v/>
      </c>
      <c r="AG300" s="27">
        <f>IF(AO300&lt;&gt;"",AO300,IF(LEN(AN300)=15,MID(AN300,3,10),""))</f>
        <v/>
      </c>
      <c r="AH300" s="27">
        <f>IF(AP300="","",AP300&amp;IF(D300="","  (guessed from PAN)",""))</f>
        <v/>
      </c>
      <c r="AI300" s="27">
        <f>IF(AN300="","",IFERROR(INDEX(Lists!$L$2:$L$38,MATCH(LEFT(AN300,2),Lists!$K$2:$K$38,0)),"Unknown code"))</f>
        <v/>
      </c>
      <c r="AJ300" s="27">
        <f>IF(AN300="","",IFERROR(IF(NOT(AND(LEN(AN300)=15,ISNUMBER(MATCH(LEFT(AN300,2),Lists!$K$2:$K$38,0)),SUMPRODUCT(--ISERROR(FIND(MID(MID(AN300,3,10),{1,2,3,4,5,10},1),"ABCDEFGHIJKLMNOPQRSTUVWXYZ")))=0,SUMPRODUCT(--ISERROR(FIND(MID(MID(AN300,3,10),{6,7,8,9},1),"0123456789")))=0,ISNUMBER(FIND(MID(AN300,13,1),"123456789ABCDEFGHIJKLMNOPQRSTUVWXYZ")),MID(AN300,14,1)="Z")),"Wrong format",IF(MID("0123456789ABCDEFGHIJKLMNOPQRSTUVWXYZ",MOD(36-MOD(SUMPRODUCT(INT((FIND(MID(AN300,{1,2,3,4,5,6,7,8,9,10,11,12,13,14},1),"0123456789ABCDEFGHIJKLMNOPQRSTUVWXYZ")-1)*{1,2,1,2,1,2,1,2,1,2,1,2,1,2}/36)+MOD((FIND(MID(AN300,{1,2,3,4,5,6,7,8,9,10,11,12,13,14},1),"0123456789ABCDEFGHIJKLMNOPQRSTUVWXYZ")-1)*{1,2,1,2,1,2,1,2,1,2,1,2,1,2},36)),36),36)+1,1)=MID(AN300,15,1),"OK","Typo? check digit wrong")),"Wrong format"))</f>
        <v/>
      </c>
      <c r="AK300" s="27">
        <f>IF(AO300="","",IF(AND(LEN(AO300)=10,SUMPRODUCT(--ISERROR(FIND(MID(AO300,{1,2,3,4,5,10},1),"ABCDEFGHIJKLMNOPQRSTUVWXYZ")))=0,SUMPRODUCT(--ISERROR(FIND(MID(AO300,{6,7,8,9},1),"0123456789")))=0),"OK","Wrong format"))</f>
        <v/>
      </c>
      <c r="AL300" s="27">
        <f>IF(TRIM(H300)="","",IF(AND(LEN(UPPER(TRIM(H300)))=10,SUMPRODUCT(--ISERROR(FIND(MID(UPPER(TRIM(H300)),{1,2,3,4,10},1),"ABCDEFGHIJKLMNOPQRSTUVWXYZ")))=0,SUMPRODUCT(--ISERROR(FIND(MID(UPPER(TRIM(H300)),{5,6,7,8,9},1),"0123456789")))=0),"OK","Wrong format"))</f>
        <v/>
      </c>
      <c r="AM300" s="28">
        <f>IF(NOT(COUNTA(A300:AE300)&gt;0),"",IF(AS300&lt;&gt;"","✖ "&amp;LEFT(AS300,LEN(AS300)-2),IF(AR300&gt;0,"✔ Ready — client + "&amp;AR300&amp;" service(s)","✔ Ready — client only")))</f>
        <v/>
      </c>
      <c r="AN300" s="29">
        <f>UPPER(SUBSTITUTE(TRIM(F300)," ",""))</f>
        <v/>
      </c>
      <c r="AO300" s="29">
        <f>UPPER(SUBSTITUTE(TRIM(E300)," ",""))</f>
        <v/>
      </c>
      <c r="AP300" s="29">
        <f>IF(D300&lt;&gt;"",D300,IFERROR(VLOOKUP(MID(AG300,4,1),Lists!$E$2:$F$8,2,FALSE),""))</f>
        <v/>
      </c>
      <c r="AQ300" s="29">
        <f>IFERROR(VLOOKUP(AP300,Lists!$A$2:$C$12,3,FALSE),"")</f>
        <v/>
      </c>
      <c r="AR300" s="29">
        <f>COUNTIF(W300:AC300,"Yes")</f>
        <v/>
      </c>
      <c r="AS300" s="29">
        <f>IF(TRIM(B300)="","Legal name missing; ","")&amp;IF(AND(AJ300&lt;&gt;"",AJ300&lt;&gt;"OK"),"GSTIN: "&amp;AJ300&amp;"; ","")&amp;IF(AND(AK300&lt;&gt;"",AK300&lt;&gt;"OK"),"PAN wrong format; ","")&amp;IF(AND(AO300&lt;&gt;"",LEN(AN300)=15,MID(AN300,3,10)&lt;&gt;AO300),"PAN does not match GSTIN; ","")&amp;IF(AND(AL300&lt;&gt;"",AL300&lt;&gt;"OK"),"TAN wrong format; ","")&amp;IF(AG300="","PAN missing; ","")&amp;IF(AP300="","Entity type missing; ","")&amp;IF(AND(AN300&lt;&gt;"",COUNTIF($AN$6:$AN$1005,AN300)&gt;1),"GSTIN repeated in this sheet; ","")&amp;IF(AND(AG300&lt;&gt;"",COUNTIF($AG$6:$AG$1005,AG300)&gt;1),"PAN repeated in this sheet (same client? put extra GSTINs in Other GSTINs); ","")&amp;IF(AND(AR300&gt;0,V300=""),"Financial year missing; ","")&amp;IF(AND(AR300=0,V300&lt;&gt;""),"Financial year given but no service is Yes; ","")&amp;IF(AND(W300="Yes",AN300=""),"GST needs a GSTIN; ","")&amp;IF(AND(W300="Yes",X300=""),"GST return frequency missing; ","")&amp;IF(AND(Y300="Yes",TRIM(H300)=""),"TDS needs a TAN; ","")&amp;IF(AND(AA300="Yes",AQ300&lt;&gt;"",AQ300&lt;&gt;"company",AQ300&lt;&gt;"llp"),"ROC is only for a company / LLP; ","")&amp;IF(AND(AA300="Yes",OR(AQ300="company",AQ300="llp"),TRIM(I300)=""),"ROC needs the CIN / LLPIN; ","")</f>
        <v/>
      </c>
    </row>
    <row r="301">
      <c r="A301" s="30" t="n"/>
      <c r="B301" s="31" t="n"/>
      <c r="C301" s="31" t="n"/>
      <c r="D301" s="31" t="n"/>
      <c r="E301" s="30" t="n"/>
      <c r="F301" s="30" t="n"/>
      <c r="G301" s="30" t="n"/>
      <c r="H301" s="30" t="n"/>
      <c r="I301" s="30" t="n"/>
      <c r="J301" s="32" t="n"/>
      <c r="K301" s="31" t="n"/>
      <c r="L301" s="30" t="n"/>
      <c r="M301" s="31" t="n"/>
      <c r="N301" s="31" t="n"/>
      <c r="O301" s="31" t="n"/>
      <c r="P301" s="30" t="n"/>
      <c r="Q301" s="31" t="n"/>
      <c r="R301" s="31" t="n"/>
      <c r="S301" s="31" t="n"/>
      <c r="T301" s="31" t="n"/>
      <c r="U301" s="30" t="n"/>
      <c r="V301" s="31" t="n"/>
      <c r="W301" s="31" t="n"/>
      <c r="X301" s="31" t="n"/>
      <c r="Y301" s="31" t="n"/>
      <c r="Z301" s="31" t="n"/>
      <c r="AA301" s="31" t="n"/>
      <c r="AB301" s="31" t="n"/>
      <c r="AC301" s="31" t="n"/>
      <c r="AD301" s="31" t="n"/>
      <c r="AE301" s="31" t="n"/>
      <c r="AF301" s="27">
        <f>IF(NOT(COUNTA(A301:AE301)&gt;0),"",IF(A301="","New client","Update"))</f>
        <v/>
      </c>
      <c r="AG301" s="27">
        <f>IF(AO301&lt;&gt;"",AO301,IF(LEN(AN301)=15,MID(AN301,3,10),""))</f>
        <v/>
      </c>
      <c r="AH301" s="27">
        <f>IF(AP301="","",AP301&amp;IF(D301="","  (guessed from PAN)",""))</f>
        <v/>
      </c>
      <c r="AI301" s="27">
        <f>IF(AN301="","",IFERROR(INDEX(Lists!$L$2:$L$38,MATCH(LEFT(AN301,2),Lists!$K$2:$K$38,0)),"Unknown code"))</f>
        <v/>
      </c>
      <c r="AJ301" s="27">
        <f>IF(AN301="","",IFERROR(IF(NOT(AND(LEN(AN301)=15,ISNUMBER(MATCH(LEFT(AN301,2),Lists!$K$2:$K$38,0)),SUMPRODUCT(--ISERROR(FIND(MID(MID(AN301,3,10),{1,2,3,4,5,10},1),"ABCDEFGHIJKLMNOPQRSTUVWXYZ")))=0,SUMPRODUCT(--ISERROR(FIND(MID(MID(AN301,3,10),{6,7,8,9},1),"0123456789")))=0,ISNUMBER(FIND(MID(AN301,13,1),"123456789ABCDEFGHIJKLMNOPQRSTUVWXYZ")),MID(AN301,14,1)="Z")),"Wrong format",IF(MID("0123456789ABCDEFGHIJKLMNOPQRSTUVWXYZ",MOD(36-MOD(SUMPRODUCT(INT((FIND(MID(AN301,{1,2,3,4,5,6,7,8,9,10,11,12,13,14},1),"0123456789ABCDEFGHIJKLMNOPQRSTUVWXYZ")-1)*{1,2,1,2,1,2,1,2,1,2,1,2,1,2}/36)+MOD((FIND(MID(AN301,{1,2,3,4,5,6,7,8,9,10,11,12,13,14},1),"0123456789ABCDEFGHIJKLMNOPQRSTUVWXYZ")-1)*{1,2,1,2,1,2,1,2,1,2,1,2,1,2},36)),36),36)+1,1)=MID(AN301,15,1),"OK","Typo? check digit wrong")),"Wrong format"))</f>
        <v/>
      </c>
      <c r="AK301" s="27">
        <f>IF(AO301="","",IF(AND(LEN(AO301)=10,SUMPRODUCT(--ISERROR(FIND(MID(AO301,{1,2,3,4,5,10},1),"ABCDEFGHIJKLMNOPQRSTUVWXYZ")))=0,SUMPRODUCT(--ISERROR(FIND(MID(AO301,{6,7,8,9},1),"0123456789")))=0),"OK","Wrong format"))</f>
        <v/>
      </c>
      <c r="AL301" s="27">
        <f>IF(TRIM(H301)="","",IF(AND(LEN(UPPER(TRIM(H301)))=10,SUMPRODUCT(--ISERROR(FIND(MID(UPPER(TRIM(H301)),{1,2,3,4,10},1),"ABCDEFGHIJKLMNOPQRSTUVWXYZ")))=0,SUMPRODUCT(--ISERROR(FIND(MID(UPPER(TRIM(H301)),{5,6,7,8,9},1),"0123456789")))=0),"OK","Wrong format"))</f>
        <v/>
      </c>
      <c r="AM301" s="28">
        <f>IF(NOT(COUNTA(A301:AE301)&gt;0),"",IF(AS301&lt;&gt;"","✖ "&amp;LEFT(AS301,LEN(AS301)-2),IF(AR301&gt;0,"✔ Ready — client + "&amp;AR301&amp;" service(s)","✔ Ready — client only")))</f>
        <v/>
      </c>
      <c r="AN301" s="29">
        <f>UPPER(SUBSTITUTE(TRIM(F301)," ",""))</f>
        <v/>
      </c>
      <c r="AO301" s="29">
        <f>UPPER(SUBSTITUTE(TRIM(E301)," ",""))</f>
        <v/>
      </c>
      <c r="AP301" s="29">
        <f>IF(D301&lt;&gt;"",D301,IFERROR(VLOOKUP(MID(AG301,4,1),Lists!$E$2:$F$8,2,FALSE),""))</f>
        <v/>
      </c>
      <c r="AQ301" s="29">
        <f>IFERROR(VLOOKUP(AP301,Lists!$A$2:$C$12,3,FALSE),"")</f>
        <v/>
      </c>
      <c r="AR301" s="29">
        <f>COUNTIF(W301:AC301,"Yes")</f>
        <v/>
      </c>
      <c r="AS301" s="29">
        <f>IF(TRIM(B301)="","Legal name missing; ","")&amp;IF(AND(AJ301&lt;&gt;"",AJ301&lt;&gt;"OK"),"GSTIN: "&amp;AJ301&amp;"; ","")&amp;IF(AND(AK301&lt;&gt;"",AK301&lt;&gt;"OK"),"PAN wrong format; ","")&amp;IF(AND(AO301&lt;&gt;"",LEN(AN301)=15,MID(AN301,3,10)&lt;&gt;AO301),"PAN does not match GSTIN; ","")&amp;IF(AND(AL301&lt;&gt;"",AL301&lt;&gt;"OK"),"TAN wrong format; ","")&amp;IF(AG301="","PAN missing; ","")&amp;IF(AP301="","Entity type missing; ","")&amp;IF(AND(AN301&lt;&gt;"",COUNTIF($AN$6:$AN$1005,AN301)&gt;1),"GSTIN repeated in this sheet; ","")&amp;IF(AND(AG301&lt;&gt;"",COUNTIF($AG$6:$AG$1005,AG301)&gt;1),"PAN repeated in this sheet (same client? put extra GSTINs in Other GSTINs); ","")&amp;IF(AND(AR301&gt;0,V301=""),"Financial year missing; ","")&amp;IF(AND(AR301=0,V301&lt;&gt;""),"Financial year given but no service is Yes; ","")&amp;IF(AND(W301="Yes",AN301=""),"GST needs a GSTIN; ","")&amp;IF(AND(W301="Yes",X301=""),"GST return frequency missing; ","")&amp;IF(AND(Y301="Yes",TRIM(H301)=""),"TDS needs a TAN; ","")&amp;IF(AND(AA301="Yes",AQ301&lt;&gt;"",AQ301&lt;&gt;"company",AQ301&lt;&gt;"llp"),"ROC is only for a company / LLP; ","")&amp;IF(AND(AA301="Yes",OR(AQ301="company",AQ301="llp"),TRIM(I301)=""),"ROC needs the CIN / LLPIN; ","")</f>
        <v/>
      </c>
    </row>
    <row r="302">
      <c r="A302" s="30" t="n"/>
      <c r="B302" s="31" t="n"/>
      <c r="C302" s="31" t="n"/>
      <c r="D302" s="31" t="n"/>
      <c r="E302" s="30" t="n"/>
      <c r="F302" s="30" t="n"/>
      <c r="G302" s="30" t="n"/>
      <c r="H302" s="30" t="n"/>
      <c r="I302" s="30" t="n"/>
      <c r="J302" s="32" t="n"/>
      <c r="K302" s="31" t="n"/>
      <c r="L302" s="30" t="n"/>
      <c r="M302" s="31" t="n"/>
      <c r="N302" s="31" t="n"/>
      <c r="O302" s="31" t="n"/>
      <c r="P302" s="30" t="n"/>
      <c r="Q302" s="31" t="n"/>
      <c r="R302" s="31" t="n"/>
      <c r="S302" s="31" t="n"/>
      <c r="T302" s="31" t="n"/>
      <c r="U302" s="30" t="n"/>
      <c r="V302" s="31" t="n"/>
      <c r="W302" s="31" t="n"/>
      <c r="X302" s="31" t="n"/>
      <c r="Y302" s="31" t="n"/>
      <c r="Z302" s="31" t="n"/>
      <c r="AA302" s="31" t="n"/>
      <c r="AB302" s="31" t="n"/>
      <c r="AC302" s="31" t="n"/>
      <c r="AD302" s="31" t="n"/>
      <c r="AE302" s="31" t="n"/>
      <c r="AF302" s="27">
        <f>IF(NOT(COUNTA(A302:AE302)&gt;0),"",IF(A302="","New client","Update"))</f>
        <v/>
      </c>
      <c r="AG302" s="27">
        <f>IF(AO302&lt;&gt;"",AO302,IF(LEN(AN302)=15,MID(AN302,3,10),""))</f>
        <v/>
      </c>
      <c r="AH302" s="27">
        <f>IF(AP302="","",AP302&amp;IF(D302="","  (guessed from PAN)",""))</f>
        <v/>
      </c>
      <c r="AI302" s="27">
        <f>IF(AN302="","",IFERROR(INDEX(Lists!$L$2:$L$38,MATCH(LEFT(AN302,2),Lists!$K$2:$K$38,0)),"Unknown code"))</f>
        <v/>
      </c>
      <c r="AJ302" s="27">
        <f>IF(AN302="","",IFERROR(IF(NOT(AND(LEN(AN302)=15,ISNUMBER(MATCH(LEFT(AN302,2),Lists!$K$2:$K$38,0)),SUMPRODUCT(--ISERROR(FIND(MID(MID(AN302,3,10),{1,2,3,4,5,10},1),"ABCDEFGHIJKLMNOPQRSTUVWXYZ")))=0,SUMPRODUCT(--ISERROR(FIND(MID(MID(AN302,3,10),{6,7,8,9},1),"0123456789")))=0,ISNUMBER(FIND(MID(AN302,13,1),"123456789ABCDEFGHIJKLMNOPQRSTUVWXYZ")),MID(AN302,14,1)="Z")),"Wrong format",IF(MID("0123456789ABCDEFGHIJKLMNOPQRSTUVWXYZ",MOD(36-MOD(SUMPRODUCT(INT((FIND(MID(AN302,{1,2,3,4,5,6,7,8,9,10,11,12,13,14},1),"0123456789ABCDEFGHIJKLMNOPQRSTUVWXYZ")-1)*{1,2,1,2,1,2,1,2,1,2,1,2,1,2}/36)+MOD((FIND(MID(AN302,{1,2,3,4,5,6,7,8,9,10,11,12,13,14},1),"0123456789ABCDEFGHIJKLMNOPQRSTUVWXYZ")-1)*{1,2,1,2,1,2,1,2,1,2,1,2,1,2},36)),36),36)+1,1)=MID(AN302,15,1),"OK","Typo? check digit wrong")),"Wrong format"))</f>
        <v/>
      </c>
      <c r="AK302" s="27">
        <f>IF(AO302="","",IF(AND(LEN(AO302)=10,SUMPRODUCT(--ISERROR(FIND(MID(AO302,{1,2,3,4,5,10},1),"ABCDEFGHIJKLMNOPQRSTUVWXYZ")))=0,SUMPRODUCT(--ISERROR(FIND(MID(AO302,{6,7,8,9},1),"0123456789")))=0),"OK","Wrong format"))</f>
        <v/>
      </c>
      <c r="AL302" s="27">
        <f>IF(TRIM(H302)="","",IF(AND(LEN(UPPER(TRIM(H302)))=10,SUMPRODUCT(--ISERROR(FIND(MID(UPPER(TRIM(H302)),{1,2,3,4,10},1),"ABCDEFGHIJKLMNOPQRSTUVWXYZ")))=0,SUMPRODUCT(--ISERROR(FIND(MID(UPPER(TRIM(H302)),{5,6,7,8,9},1),"0123456789")))=0),"OK","Wrong format"))</f>
        <v/>
      </c>
      <c r="AM302" s="28">
        <f>IF(NOT(COUNTA(A302:AE302)&gt;0),"",IF(AS302&lt;&gt;"","✖ "&amp;LEFT(AS302,LEN(AS302)-2),IF(AR302&gt;0,"✔ Ready — client + "&amp;AR302&amp;" service(s)","✔ Ready — client only")))</f>
        <v/>
      </c>
      <c r="AN302" s="29">
        <f>UPPER(SUBSTITUTE(TRIM(F302)," ",""))</f>
        <v/>
      </c>
      <c r="AO302" s="29">
        <f>UPPER(SUBSTITUTE(TRIM(E302)," ",""))</f>
        <v/>
      </c>
      <c r="AP302" s="29">
        <f>IF(D302&lt;&gt;"",D302,IFERROR(VLOOKUP(MID(AG302,4,1),Lists!$E$2:$F$8,2,FALSE),""))</f>
        <v/>
      </c>
      <c r="AQ302" s="29">
        <f>IFERROR(VLOOKUP(AP302,Lists!$A$2:$C$12,3,FALSE),"")</f>
        <v/>
      </c>
      <c r="AR302" s="29">
        <f>COUNTIF(W302:AC302,"Yes")</f>
        <v/>
      </c>
      <c r="AS302" s="29">
        <f>IF(TRIM(B302)="","Legal name missing; ","")&amp;IF(AND(AJ302&lt;&gt;"",AJ302&lt;&gt;"OK"),"GSTIN: "&amp;AJ302&amp;"; ","")&amp;IF(AND(AK302&lt;&gt;"",AK302&lt;&gt;"OK"),"PAN wrong format; ","")&amp;IF(AND(AO302&lt;&gt;"",LEN(AN302)=15,MID(AN302,3,10)&lt;&gt;AO302),"PAN does not match GSTIN; ","")&amp;IF(AND(AL302&lt;&gt;"",AL302&lt;&gt;"OK"),"TAN wrong format; ","")&amp;IF(AG302="","PAN missing; ","")&amp;IF(AP302="","Entity type missing; ","")&amp;IF(AND(AN302&lt;&gt;"",COUNTIF($AN$6:$AN$1005,AN302)&gt;1),"GSTIN repeated in this sheet; ","")&amp;IF(AND(AG302&lt;&gt;"",COUNTIF($AG$6:$AG$1005,AG302)&gt;1),"PAN repeated in this sheet (same client? put extra GSTINs in Other GSTINs); ","")&amp;IF(AND(AR302&gt;0,V302=""),"Financial year missing; ","")&amp;IF(AND(AR302=0,V302&lt;&gt;""),"Financial year given but no service is Yes; ","")&amp;IF(AND(W302="Yes",AN302=""),"GST needs a GSTIN; ","")&amp;IF(AND(W302="Yes",X302=""),"GST return frequency missing; ","")&amp;IF(AND(Y302="Yes",TRIM(H302)=""),"TDS needs a TAN; ","")&amp;IF(AND(AA302="Yes",AQ302&lt;&gt;"",AQ302&lt;&gt;"company",AQ302&lt;&gt;"llp"),"ROC is only for a company / LLP; ","")&amp;IF(AND(AA302="Yes",OR(AQ302="company",AQ302="llp"),TRIM(I302)=""),"ROC needs the CIN / LLPIN; ","")</f>
        <v/>
      </c>
    </row>
    <row r="303">
      <c r="A303" s="30" t="n"/>
      <c r="B303" s="31" t="n"/>
      <c r="C303" s="31" t="n"/>
      <c r="D303" s="31" t="n"/>
      <c r="E303" s="30" t="n"/>
      <c r="F303" s="30" t="n"/>
      <c r="G303" s="30" t="n"/>
      <c r="H303" s="30" t="n"/>
      <c r="I303" s="30" t="n"/>
      <c r="J303" s="32" t="n"/>
      <c r="K303" s="31" t="n"/>
      <c r="L303" s="30" t="n"/>
      <c r="M303" s="31" t="n"/>
      <c r="N303" s="31" t="n"/>
      <c r="O303" s="31" t="n"/>
      <c r="P303" s="30" t="n"/>
      <c r="Q303" s="31" t="n"/>
      <c r="R303" s="31" t="n"/>
      <c r="S303" s="31" t="n"/>
      <c r="T303" s="31" t="n"/>
      <c r="U303" s="30" t="n"/>
      <c r="V303" s="31" t="n"/>
      <c r="W303" s="31" t="n"/>
      <c r="X303" s="31" t="n"/>
      <c r="Y303" s="31" t="n"/>
      <c r="Z303" s="31" t="n"/>
      <c r="AA303" s="31" t="n"/>
      <c r="AB303" s="31" t="n"/>
      <c r="AC303" s="31" t="n"/>
      <c r="AD303" s="31" t="n"/>
      <c r="AE303" s="31" t="n"/>
      <c r="AF303" s="27">
        <f>IF(NOT(COUNTA(A303:AE303)&gt;0),"",IF(A303="","New client","Update"))</f>
        <v/>
      </c>
      <c r="AG303" s="27">
        <f>IF(AO303&lt;&gt;"",AO303,IF(LEN(AN303)=15,MID(AN303,3,10),""))</f>
        <v/>
      </c>
      <c r="AH303" s="27">
        <f>IF(AP303="","",AP303&amp;IF(D303="","  (guessed from PAN)",""))</f>
        <v/>
      </c>
      <c r="AI303" s="27">
        <f>IF(AN303="","",IFERROR(INDEX(Lists!$L$2:$L$38,MATCH(LEFT(AN303,2),Lists!$K$2:$K$38,0)),"Unknown code"))</f>
        <v/>
      </c>
      <c r="AJ303" s="27">
        <f>IF(AN303="","",IFERROR(IF(NOT(AND(LEN(AN303)=15,ISNUMBER(MATCH(LEFT(AN303,2),Lists!$K$2:$K$38,0)),SUMPRODUCT(--ISERROR(FIND(MID(MID(AN303,3,10),{1,2,3,4,5,10},1),"ABCDEFGHIJKLMNOPQRSTUVWXYZ")))=0,SUMPRODUCT(--ISERROR(FIND(MID(MID(AN303,3,10),{6,7,8,9},1),"0123456789")))=0,ISNUMBER(FIND(MID(AN303,13,1),"123456789ABCDEFGHIJKLMNOPQRSTUVWXYZ")),MID(AN303,14,1)="Z")),"Wrong format",IF(MID("0123456789ABCDEFGHIJKLMNOPQRSTUVWXYZ",MOD(36-MOD(SUMPRODUCT(INT((FIND(MID(AN303,{1,2,3,4,5,6,7,8,9,10,11,12,13,14},1),"0123456789ABCDEFGHIJKLMNOPQRSTUVWXYZ")-1)*{1,2,1,2,1,2,1,2,1,2,1,2,1,2}/36)+MOD((FIND(MID(AN303,{1,2,3,4,5,6,7,8,9,10,11,12,13,14},1),"0123456789ABCDEFGHIJKLMNOPQRSTUVWXYZ")-1)*{1,2,1,2,1,2,1,2,1,2,1,2,1,2},36)),36),36)+1,1)=MID(AN303,15,1),"OK","Typo? check digit wrong")),"Wrong format"))</f>
        <v/>
      </c>
      <c r="AK303" s="27">
        <f>IF(AO303="","",IF(AND(LEN(AO303)=10,SUMPRODUCT(--ISERROR(FIND(MID(AO303,{1,2,3,4,5,10},1),"ABCDEFGHIJKLMNOPQRSTUVWXYZ")))=0,SUMPRODUCT(--ISERROR(FIND(MID(AO303,{6,7,8,9},1),"0123456789")))=0),"OK","Wrong format"))</f>
        <v/>
      </c>
      <c r="AL303" s="27">
        <f>IF(TRIM(H303)="","",IF(AND(LEN(UPPER(TRIM(H303)))=10,SUMPRODUCT(--ISERROR(FIND(MID(UPPER(TRIM(H303)),{1,2,3,4,10},1),"ABCDEFGHIJKLMNOPQRSTUVWXYZ")))=0,SUMPRODUCT(--ISERROR(FIND(MID(UPPER(TRIM(H303)),{5,6,7,8,9},1),"0123456789")))=0),"OK","Wrong format"))</f>
        <v/>
      </c>
      <c r="AM303" s="28">
        <f>IF(NOT(COUNTA(A303:AE303)&gt;0),"",IF(AS303&lt;&gt;"","✖ "&amp;LEFT(AS303,LEN(AS303)-2),IF(AR303&gt;0,"✔ Ready — client + "&amp;AR303&amp;" service(s)","✔ Ready — client only")))</f>
        <v/>
      </c>
      <c r="AN303" s="29">
        <f>UPPER(SUBSTITUTE(TRIM(F303)," ",""))</f>
        <v/>
      </c>
      <c r="AO303" s="29">
        <f>UPPER(SUBSTITUTE(TRIM(E303)," ",""))</f>
        <v/>
      </c>
      <c r="AP303" s="29">
        <f>IF(D303&lt;&gt;"",D303,IFERROR(VLOOKUP(MID(AG303,4,1),Lists!$E$2:$F$8,2,FALSE),""))</f>
        <v/>
      </c>
      <c r="AQ303" s="29">
        <f>IFERROR(VLOOKUP(AP303,Lists!$A$2:$C$12,3,FALSE),"")</f>
        <v/>
      </c>
      <c r="AR303" s="29">
        <f>COUNTIF(W303:AC303,"Yes")</f>
        <v/>
      </c>
      <c r="AS303" s="29">
        <f>IF(TRIM(B303)="","Legal name missing; ","")&amp;IF(AND(AJ303&lt;&gt;"",AJ303&lt;&gt;"OK"),"GSTIN: "&amp;AJ303&amp;"; ","")&amp;IF(AND(AK303&lt;&gt;"",AK303&lt;&gt;"OK"),"PAN wrong format; ","")&amp;IF(AND(AO303&lt;&gt;"",LEN(AN303)=15,MID(AN303,3,10)&lt;&gt;AO303),"PAN does not match GSTIN; ","")&amp;IF(AND(AL303&lt;&gt;"",AL303&lt;&gt;"OK"),"TAN wrong format; ","")&amp;IF(AG303="","PAN missing; ","")&amp;IF(AP303="","Entity type missing; ","")&amp;IF(AND(AN303&lt;&gt;"",COUNTIF($AN$6:$AN$1005,AN303)&gt;1),"GSTIN repeated in this sheet; ","")&amp;IF(AND(AG303&lt;&gt;"",COUNTIF($AG$6:$AG$1005,AG303)&gt;1),"PAN repeated in this sheet (same client? put extra GSTINs in Other GSTINs); ","")&amp;IF(AND(AR303&gt;0,V303=""),"Financial year missing; ","")&amp;IF(AND(AR303=0,V303&lt;&gt;""),"Financial year given but no service is Yes; ","")&amp;IF(AND(W303="Yes",AN303=""),"GST needs a GSTIN; ","")&amp;IF(AND(W303="Yes",X303=""),"GST return frequency missing; ","")&amp;IF(AND(Y303="Yes",TRIM(H303)=""),"TDS needs a TAN; ","")&amp;IF(AND(AA303="Yes",AQ303&lt;&gt;"",AQ303&lt;&gt;"company",AQ303&lt;&gt;"llp"),"ROC is only for a company / LLP; ","")&amp;IF(AND(AA303="Yes",OR(AQ303="company",AQ303="llp"),TRIM(I303)=""),"ROC needs the CIN / LLPIN; ","")</f>
        <v/>
      </c>
    </row>
    <row r="304">
      <c r="A304" s="30" t="n"/>
      <c r="B304" s="31" t="n"/>
      <c r="C304" s="31" t="n"/>
      <c r="D304" s="31" t="n"/>
      <c r="E304" s="30" t="n"/>
      <c r="F304" s="30" t="n"/>
      <c r="G304" s="30" t="n"/>
      <c r="H304" s="30" t="n"/>
      <c r="I304" s="30" t="n"/>
      <c r="J304" s="32" t="n"/>
      <c r="K304" s="31" t="n"/>
      <c r="L304" s="30" t="n"/>
      <c r="M304" s="31" t="n"/>
      <c r="N304" s="31" t="n"/>
      <c r="O304" s="31" t="n"/>
      <c r="P304" s="30" t="n"/>
      <c r="Q304" s="31" t="n"/>
      <c r="R304" s="31" t="n"/>
      <c r="S304" s="31" t="n"/>
      <c r="T304" s="31" t="n"/>
      <c r="U304" s="30" t="n"/>
      <c r="V304" s="31" t="n"/>
      <c r="W304" s="31" t="n"/>
      <c r="X304" s="31" t="n"/>
      <c r="Y304" s="31" t="n"/>
      <c r="Z304" s="31" t="n"/>
      <c r="AA304" s="31" t="n"/>
      <c r="AB304" s="31" t="n"/>
      <c r="AC304" s="31" t="n"/>
      <c r="AD304" s="31" t="n"/>
      <c r="AE304" s="31" t="n"/>
      <c r="AF304" s="27">
        <f>IF(NOT(COUNTA(A304:AE304)&gt;0),"",IF(A304="","New client","Update"))</f>
        <v/>
      </c>
      <c r="AG304" s="27">
        <f>IF(AO304&lt;&gt;"",AO304,IF(LEN(AN304)=15,MID(AN304,3,10),""))</f>
        <v/>
      </c>
      <c r="AH304" s="27">
        <f>IF(AP304="","",AP304&amp;IF(D304="","  (guessed from PAN)",""))</f>
        <v/>
      </c>
      <c r="AI304" s="27">
        <f>IF(AN304="","",IFERROR(INDEX(Lists!$L$2:$L$38,MATCH(LEFT(AN304,2),Lists!$K$2:$K$38,0)),"Unknown code"))</f>
        <v/>
      </c>
      <c r="AJ304" s="27">
        <f>IF(AN304="","",IFERROR(IF(NOT(AND(LEN(AN304)=15,ISNUMBER(MATCH(LEFT(AN304,2),Lists!$K$2:$K$38,0)),SUMPRODUCT(--ISERROR(FIND(MID(MID(AN304,3,10),{1,2,3,4,5,10},1),"ABCDEFGHIJKLMNOPQRSTUVWXYZ")))=0,SUMPRODUCT(--ISERROR(FIND(MID(MID(AN304,3,10),{6,7,8,9},1),"0123456789")))=0,ISNUMBER(FIND(MID(AN304,13,1),"123456789ABCDEFGHIJKLMNOPQRSTUVWXYZ")),MID(AN304,14,1)="Z")),"Wrong format",IF(MID("0123456789ABCDEFGHIJKLMNOPQRSTUVWXYZ",MOD(36-MOD(SUMPRODUCT(INT((FIND(MID(AN304,{1,2,3,4,5,6,7,8,9,10,11,12,13,14},1),"0123456789ABCDEFGHIJKLMNOPQRSTUVWXYZ")-1)*{1,2,1,2,1,2,1,2,1,2,1,2,1,2}/36)+MOD((FIND(MID(AN304,{1,2,3,4,5,6,7,8,9,10,11,12,13,14},1),"0123456789ABCDEFGHIJKLMNOPQRSTUVWXYZ")-1)*{1,2,1,2,1,2,1,2,1,2,1,2,1,2},36)),36),36)+1,1)=MID(AN304,15,1),"OK","Typo? check digit wrong")),"Wrong format"))</f>
        <v/>
      </c>
      <c r="AK304" s="27">
        <f>IF(AO304="","",IF(AND(LEN(AO304)=10,SUMPRODUCT(--ISERROR(FIND(MID(AO304,{1,2,3,4,5,10},1),"ABCDEFGHIJKLMNOPQRSTUVWXYZ")))=0,SUMPRODUCT(--ISERROR(FIND(MID(AO304,{6,7,8,9},1),"0123456789")))=0),"OK","Wrong format"))</f>
        <v/>
      </c>
      <c r="AL304" s="27">
        <f>IF(TRIM(H304)="","",IF(AND(LEN(UPPER(TRIM(H304)))=10,SUMPRODUCT(--ISERROR(FIND(MID(UPPER(TRIM(H304)),{1,2,3,4,10},1),"ABCDEFGHIJKLMNOPQRSTUVWXYZ")))=0,SUMPRODUCT(--ISERROR(FIND(MID(UPPER(TRIM(H304)),{5,6,7,8,9},1),"0123456789")))=0),"OK","Wrong format"))</f>
        <v/>
      </c>
      <c r="AM304" s="28">
        <f>IF(NOT(COUNTA(A304:AE304)&gt;0),"",IF(AS304&lt;&gt;"","✖ "&amp;LEFT(AS304,LEN(AS304)-2),IF(AR304&gt;0,"✔ Ready — client + "&amp;AR304&amp;" service(s)","✔ Ready — client only")))</f>
        <v/>
      </c>
      <c r="AN304" s="29">
        <f>UPPER(SUBSTITUTE(TRIM(F304)," ",""))</f>
        <v/>
      </c>
      <c r="AO304" s="29">
        <f>UPPER(SUBSTITUTE(TRIM(E304)," ",""))</f>
        <v/>
      </c>
      <c r="AP304" s="29">
        <f>IF(D304&lt;&gt;"",D304,IFERROR(VLOOKUP(MID(AG304,4,1),Lists!$E$2:$F$8,2,FALSE),""))</f>
        <v/>
      </c>
      <c r="AQ304" s="29">
        <f>IFERROR(VLOOKUP(AP304,Lists!$A$2:$C$12,3,FALSE),"")</f>
        <v/>
      </c>
      <c r="AR304" s="29">
        <f>COUNTIF(W304:AC304,"Yes")</f>
        <v/>
      </c>
      <c r="AS304" s="29">
        <f>IF(TRIM(B304)="","Legal name missing; ","")&amp;IF(AND(AJ304&lt;&gt;"",AJ304&lt;&gt;"OK"),"GSTIN: "&amp;AJ304&amp;"; ","")&amp;IF(AND(AK304&lt;&gt;"",AK304&lt;&gt;"OK"),"PAN wrong format; ","")&amp;IF(AND(AO304&lt;&gt;"",LEN(AN304)=15,MID(AN304,3,10)&lt;&gt;AO304),"PAN does not match GSTIN; ","")&amp;IF(AND(AL304&lt;&gt;"",AL304&lt;&gt;"OK"),"TAN wrong format; ","")&amp;IF(AG304="","PAN missing; ","")&amp;IF(AP304="","Entity type missing; ","")&amp;IF(AND(AN304&lt;&gt;"",COUNTIF($AN$6:$AN$1005,AN304)&gt;1),"GSTIN repeated in this sheet; ","")&amp;IF(AND(AG304&lt;&gt;"",COUNTIF($AG$6:$AG$1005,AG304)&gt;1),"PAN repeated in this sheet (same client? put extra GSTINs in Other GSTINs); ","")&amp;IF(AND(AR304&gt;0,V304=""),"Financial year missing; ","")&amp;IF(AND(AR304=0,V304&lt;&gt;""),"Financial year given but no service is Yes; ","")&amp;IF(AND(W304="Yes",AN304=""),"GST needs a GSTIN; ","")&amp;IF(AND(W304="Yes",X304=""),"GST return frequency missing; ","")&amp;IF(AND(Y304="Yes",TRIM(H304)=""),"TDS needs a TAN; ","")&amp;IF(AND(AA304="Yes",AQ304&lt;&gt;"",AQ304&lt;&gt;"company",AQ304&lt;&gt;"llp"),"ROC is only for a company / LLP; ","")&amp;IF(AND(AA304="Yes",OR(AQ304="company",AQ304="llp"),TRIM(I304)=""),"ROC needs the CIN / LLPIN; ","")</f>
        <v/>
      </c>
    </row>
    <row r="305">
      <c r="A305" s="30" t="n"/>
      <c r="B305" s="31" t="n"/>
      <c r="C305" s="31" t="n"/>
      <c r="D305" s="31" t="n"/>
      <c r="E305" s="30" t="n"/>
      <c r="F305" s="30" t="n"/>
      <c r="G305" s="30" t="n"/>
      <c r="H305" s="30" t="n"/>
      <c r="I305" s="30" t="n"/>
      <c r="J305" s="32" t="n"/>
      <c r="K305" s="31" t="n"/>
      <c r="L305" s="30" t="n"/>
      <c r="M305" s="31" t="n"/>
      <c r="N305" s="31" t="n"/>
      <c r="O305" s="31" t="n"/>
      <c r="P305" s="30" t="n"/>
      <c r="Q305" s="31" t="n"/>
      <c r="R305" s="31" t="n"/>
      <c r="S305" s="31" t="n"/>
      <c r="T305" s="31" t="n"/>
      <c r="U305" s="30" t="n"/>
      <c r="V305" s="31" t="n"/>
      <c r="W305" s="31" t="n"/>
      <c r="X305" s="31" t="n"/>
      <c r="Y305" s="31" t="n"/>
      <c r="Z305" s="31" t="n"/>
      <c r="AA305" s="31" t="n"/>
      <c r="AB305" s="31" t="n"/>
      <c r="AC305" s="31" t="n"/>
      <c r="AD305" s="31" t="n"/>
      <c r="AE305" s="31" t="n"/>
      <c r="AF305" s="27">
        <f>IF(NOT(COUNTA(A305:AE305)&gt;0),"",IF(A305="","New client","Update"))</f>
        <v/>
      </c>
      <c r="AG305" s="27">
        <f>IF(AO305&lt;&gt;"",AO305,IF(LEN(AN305)=15,MID(AN305,3,10),""))</f>
        <v/>
      </c>
      <c r="AH305" s="27">
        <f>IF(AP305="","",AP305&amp;IF(D305="","  (guessed from PAN)",""))</f>
        <v/>
      </c>
      <c r="AI305" s="27">
        <f>IF(AN305="","",IFERROR(INDEX(Lists!$L$2:$L$38,MATCH(LEFT(AN305,2),Lists!$K$2:$K$38,0)),"Unknown code"))</f>
        <v/>
      </c>
      <c r="AJ305" s="27">
        <f>IF(AN305="","",IFERROR(IF(NOT(AND(LEN(AN305)=15,ISNUMBER(MATCH(LEFT(AN305,2),Lists!$K$2:$K$38,0)),SUMPRODUCT(--ISERROR(FIND(MID(MID(AN305,3,10),{1,2,3,4,5,10},1),"ABCDEFGHIJKLMNOPQRSTUVWXYZ")))=0,SUMPRODUCT(--ISERROR(FIND(MID(MID(AN305,3,10),{6,7,8,9},1),"0123456789")))=0,ISNUMBER(FIND(MID(AN305,13,1),"123456789ABCDEFGHIJKLMNOPQRSTUVWXYZ")),MID(AN305,14,1)="Z")),"Wrong format",IF(MID("0123456789ABCDEFGHIJKLMNOPQRSTUVWXYZ",MOD(36-MOD(SUMPRODUCT(INT((FIND(MID(AN305,{1,2,3,4,5,6,7,8,9,10,11,12,13,14},1),"0123456789ABCDEFGHIJKLMNOPQRSTUVWXYZ")-1)*{1,2,1,2,1,2,1,2,1,2,1,2,1,2}/36)+MOD((FIND(MID(AN305,{1,2,3,4,5,6,7,8,9,10,11,12,13,14},1),"0123456789ABCDEFGHIJKLMNOPQRSTUVWXYZ")-1)*{1,2,1,2,1,2,1,2,1,2,1,2,1,2},36)),36),36)+1,1)=MID(AN305,15,1),"OK","Typo? check digit wrong")),"Wrong format"))</f>
        <v/>
      </c>
      <c r="AK305" s="27">
        <f>IF(AO305="","",IF(AND(LEN(AO305)=10,SUMPRODUCT(--ISERROR(FIND(MID(AO305,{1,2,3,4,5,10},1),"ABCDEFGHIJKLMNOPQRSTUVWXYZ")))=0,SUMPRODUCT(--ISERROR(FIND(MID(AO305,{6,7,8,9},1),"0123456789")))=0),"OK","Wrong format"))</f>
        <v/>
      </c>
      <c r="AL305" s="27">
        <f>IF(TRIM(H305)="","",IF(AND(LEN(UPPER(TRIM(H305)))=10,SUMPRODUCT(--ISERROR(FIND(MID(UPPER(TRIM(H305)),{1,2,3,4,10},1),"ABCDEFGHIJKLMNOPQRSTUVWXYZ")))=0,SUMPRODUCT(--ISERROR(FIND(MID(UPPER(TRIM(H305)),{5,6,7,8,9},1),"0123456789")))=0),"OK","Wrong format"))</f>
        <v/>
      </c>
      <c r="AM305" s="28">
        <f>IF(NOT(COUNTA(A305:AE305)&gt;0),"",IF(AS305&lt;&gt;"","✖ "&amp;LEFT(AS305,LEN(AS305)-2),IF(AR305&gt;0,"✔ Ready — client + "&amp;AR305&amp;" service(s)","✔ Ready — client only")))</f>
        <v/>
      </c>
      <c r="AN305" s="29">
        <f>UPPER(SUBSTITUTE(TRIM(F305)," ",""))</f>
        <v/>
      </c>
      <c r="AO305" s="29">
        <f>UPPER(SUBSTITUTE(TRIM(E305)," ",""))</f>
        <v/>
      </c>
      <c r="AP305" s="29">
        <f>IF(D305&lt;&gt;"",D305,IFERROR(VLOOKUP(MID(AG305,4,1),Lists!$E$2:$F$8,2,FALSE),""))</f>
        <v/>
      </c>
      <c r="AQ305" s="29">
        <f>IFERROR(VLOOKUP(AP305,Lists!$A$2:$C$12,3,FALSE),"")</f>
        <v/>
      </c>
      <c r="AR305" s="29">
        <f>COUNTIF(W305:AC305,"Yes")</f>
        <v/>
      </c>
      <c r="AS305" s="29">
        <f>IF(TRIM(B305)="","Legal name missing; ","")&amp;IF(AND(AJ305&lt;&gt;"",AJ305&lt;&gt;"OK"),"GSTIN: "&amp;AJ305&amp;"; ","")&amp;IF(AND(AK305&lt;&gt;"",AK305&lt;&gt;"OK"),"PAN wrong format; ","")&amp;IF(AND(AO305&lt;&gt;"",LEN(AN305)=15,MID(AN305,3,10)&lt;&gt;AO305),"PAN does not match GSTIN; ","")&amp;IF(AND(AL305&lt;&gt;"",AL305&lt;&gt;"OK"),"TAN wrong format; ","")&amp;IF(AG305="","PAN missing; ","")&amp;IF(AP305="","Entity type missing; ","")&amp;IF(AND(AN305&lt;&gt;"",COUNTIF($AN$6:$AN$1005,AN305)&gt;1),"GSTIN repeated in this sheet; ","")&amp;IF(AND(AG305&lt;&gt;"",COUNTIF($AG$6:$AG$1005,AG305)&gt;1),"PAN repeated in this sheet (same client? put extra GSTINs in Other GSTINs); ","")&amp;IF(AND(AR305&gt;0,V305=""),"Financial year missing; ","")&amp;IF(AND(AR305=0,V305&lt;&gt;""),"Financial year given but no service is Yes; ","")&amp;IF(AND(W305="Yes",AN305=""),"GST needs a GSTIN; ","")&amp;IF(AND(W305="Yes",X305=""),"GST return frequency missing; ","")&amp;IF(AND(Y305="Yes",TRIM(H305)=""),"TDS needs a TAN; ","")&amp;IF(AND(AA305="Yes",AQ305&lt;&gt;"",AQ305&lt;&gt;"company",AQ305&lt;&gt;"llp"),"ROC is only for a company / LLP; ","")&amp;IF(AND(AA305="Yes",OR(AQ305="company",AQ305="llp"),TRIM(I305)=""),"ROC needs the CIN / LLPIN; ","")</f>
        <v/>
      </c>
    </row>
    <row r="306">
      <c r="A306" s="30" t="n"/>
      <c r="B306" s="31" t="n"/>
      <c r="C306" s="31" t="n"/>
      <c r="D306" s="31" t="n"/>
      <c r="E306" s="30" t="n"/>
      <c r="F306" s="30" t="n"/>
      <c r="G306" s="30" t="n"/>
      <c r="H306" s="30" t="n"/>
      <c r="I306" s="30" t="n"/>
      <c r="J306" s="32" t="n"/>
      <c r="K306" s="31" t="n"/>
      <c r="L306" s="30" t="n"/>
      <c r="M306" s="31" t="n"/>
      <c r="N306" s="31" t="n"/>
      <c r="O306" s="31" t="n"/>
      <c r="P306" s="30" t="n"/>
      <c r="Q306" s="31" t="n"/>
      <c r="R306" s="31" t="n"/>
      <c r="S306" s="31" t="n"/>
      <c r="T306" s="31" t="n"/>
      <c r="U306" s="30" t="n"/>
      <c r="V306" s="31" t="n"/>
      <c r="W306" s="31" t="n"/>
      <c r="X306" s="31" t="n"/>
      <c r="Y306" s="31" t="n"/>
      <c r="Z306" s="31" t="n"/>
      <c r="AA306" s="31" t="n"/>
      <c r="AB306" s="31" t="n"/>
      <c r="AC306" s="31" t="n"/>
      <c r="AD306" s="31" t="n"/>
      <c r="AE306" s="31" t="n"/>
      <c r="AF306" s="27">
        <f>IF(NOT(COUNTA(A306:AE306)&gt;0),"",IF(A306="","New client","Update"))</f>
        <v/>
      </c>
      <c r="AG306" s="27">
        <f>IF(AO306&lt;&gt;"",AO306,IF(LEN(AN306)=15,MID(AN306,3,10),""))</f>
        <v/>
      </c>
      <c r="AH306" s="27">
        <f>IF(AP306="","",AP306&amp;IF(D306="","  (guessed from PAN)",""))</f>
        <v/>
      </c>
      <c r="AI306" s="27">
        <f>IF(AN306="","",IFERROR(INDEX(Lists!$L$2:$L$38,MATCH(LEFT(AN306,2),Lists!$K$2:$K$38,0)),"Unknown code"))</f>
        <v/>
      </c>
      <c r="AJ306" s="27">
        <f>IF(AN306="","",IFERROR(IF(NOT(AND(LEN(AN306)=15,ISNUMBER(MATCH(LEFT(AN306,2),Lists!$K$2:$K$38,0)),SUMPRODUCT(--ISERROR(FIND(MID(MID(AN306,3,10),{1,2,3,4,5,10},1),"ABCDEFGHIJKLMNOPQRSTUVWXYZ")))=0,SUMPRODUCT(--ISERROR(FIND(MID(MID(AN306,3,10),{6,7,8,9},1),"0123456789")))=0,ISNUMBER(FIND(MID(AN306,13,1),"123456789ABCDEFGHIJKLMNOPQRSTUVWXYZ")),MID(AN306,14,1)="Z")),"Wrong format",IF(MID("0123456789ABCDEFGHIJKLMNOPQRSTUVWXYZ",MOD(36-MOD(SUMPRODUCT(INT((FIND(MID(AN306,{1,2,3,4,5,6,7,8,9,10,11,12,13,14},1),"0123456789ABCDEFGHIJKLMNOPQRSTUVWXYZ")-1)*{1,2,1,2,1,2,1,2,1,2,1,2,1,2}/36)+MOD((FIND(MID(AN306,{1,2,3,4,5,6,7,8,9,10,11,12,13,14},1),"0123456789ABCDEFGHIJKLMNOPQRSTUVWXYZ")-1)*{1,2,1,2,1,2,1,2,1,2,1,2,1,2},36)),36),36)+1,1)=MID(AN306,15,1),"OK","Typo? check digit wrong")),"Wrong format"))</f>
        <v/>
      </c>
      <c r="AK306" s="27">
        <f>IF(AO306="","",IF(AND(LEN(AO306)=10,SUMPRODUCT(--ISERROR(FIND(MID(AO306,{1,2,3,4,5,10},1),"ABCDEFGHIJKLMNOPQRSTUVWXYZ")))=0,SUMPRODUCT(--ISERROR(FIND(MID(AO306,{6,7,8,9},1),"0123456789")))=0),"OK","Wrong format"))</f>
        <v/>
      </c>
      <c r="AL306" s="27">
        <f>IF(TRIM(H306)="","",IF(AND(LEN(UPPER(TRIM(H306)))=10,SUMPRODUCT(--ISERROR(FIND(MID(UPPER(TRIM(H306)),{1,2,3,4,10},1),"ABCDEFGHIJKLMNOPQRSTUVWXYZ")))=0,SUMPRODUCT(--ISERROR(FIND(MID(UPPER(TRIM(H306)),{5,6,7,8,9},1),"0123456789")))=0),"OK","Wrong format"))</f>
        <v/>
      </c>
      <c r="AM306" s="28">
        <f>IF(NOT(COUNTA(A306:AE306)&gt;0),"",IF(AS306&lt;&gt;"","✖ "&amp;LEFT(AS306,LEN(AS306)-2),IF(AR306&gt;0,"✔ Ready — client + "&amp;AR306&amp;" service(s)","✔ Ready — client only")))</f>
        <v/>
      </c>
      <c r="AN306" s="29">
        <f>UPPER(SUBSTITUTE(TRIM(F306)," ",""))</f>
        <v/>
      </c>
      <c r="AO306" s="29">
        <f>UPPER(SUBSTITUTE(TRIM(E306)," ",""))</f>
        <v/>
      </c>
      <c r="AP306" s="29">
        <f>IF(D306&lt;&gt;"",D306,IFERROR(VLOOKUP(MID(AG306,4,1),Lists!$E$2:$F$8,2,FALSE),""))</f>
        <v/>
      </c>
      <c r="AQ306" s="29">
        <f>IFERROR(VLOOKUP(AP306,Lists!$A$2:$C$12,3,FALSE),"")</f>
        <v/>
      </c>
      <c r="AR306" s="29">
        <f>COUNTIF(W306:AC306,"Yes")</f>
        <v/>
      </c>
      <c r="AS306" s="29">
        <f>IF(TRIM(B306)="","Legal name missing; ","")&amp;IF(AND(AJ306&lt;&gt;"",AJ306&lt;&gt;"OK"),"GSTIN: "&amp;AJ306&amp;"; ","")&amp;IF(AND(AK306&lt;&gt;"",AK306&lt;&gt;"OK"),"PAN wrong format; ","")&amp;IF(AND(AO306&lt;&gt;"",LEN(AN306)=15,MID(AN306,3,10)&lt;&gt;AO306),"PAN does not match GSTIN; ","")&amp;IF(AND(AL306&lt;&gt;"",AL306&lt;&gt;"OK"),"TAN wrong format; ","")&amp;IF(AG306="","PAN missing; ","")&amp;IF(AP306="","Entity type missing; ","")&amp;IF(AND(AN306&lt;&gt;"",COUNTIF($AN$6:$AN$1005,AN306)&gt;1),"GSTIN repeated in this sheet; ","")&amp;IF(AND(AG306&lt;&gt;"",COUNTIF($AG$6:$AG$1005,AG306)&gt;1),"PAN repeated in this sheet (same client? put extra GSTINs in Other GSTINs); ","")&amp;IF(AND(AR306&gt;0,V306=""),"Financial year missing; ","")&amp;IF(AND(AR306=0,V306&lt;&gt;""),"Financial year given but no service is Yes; ","")&amp;IF(AND(W306="Yes",AN306=""),"GST needs a GSTIN; ","")&amp;IF(AND(W306="Yes",X306=""),"GST return frequency missing; ","")&amp;IF(AND(Y306="Yes",TRIM(H306)=""),"TDS needs a TAN; ","")&amp;IF(AND(AA306="Yes",AQ306&lt;&gt;"",AQ306&lt;&gt;"company",AQ306&lt;&gt;"llp"),"ROC is only for a company / LLP; ","")&amp;IF(AND(AA306="Yes",OR(AQ306="company",AQ306="llp"),TRIM(I306)=""),"ROC needs the CIN / LLPIN; ","")</f>
        <v/>
      </c>
    </row>
    <row r="307">
      <c r="A307" s="30" t="n"/>
      <c r="B307" s="31" t="n"/>
      <c r="C307" s="31" t="n"/>
      <c r="D307" s="31" t="n"/>
      <c r="E307" s="30" t="n"/>
      <c r="F307" s="30" t="n"/>
      <c r="G307" s="30" t="n"/>
      <c r="H307" s="30" t="n"/>
      <c r="I307" s="30" t="n"/>
      <c r="J307" s="32" t="n"/>
      <c r="K307" s="31" t="n"/>
      <c r="L307" s="30" t="n"/>
      <c r="M307" s="31" t="n"/>
      <c r="N307" s="31" t="n"/>
      <c r="O307" s="31" t="n"/>
      <c r="P307" s="30" t="n"/>
      <c r="Q307" s="31" t="n"/>
      <c r="R307" s="31" t="n"/>
      <c r="S307" s="31" t="n"/>
      <c r="T307" s="31" t="n"/>
      <c r="U307" s="30" t="n"/>
      <c r="V307" s="31" t="n"/>
      <c r="W307" s="31" t="n"/>
      <c r="X307" s="31" t="n"/>
      <c r="Y307" s="31" t="n"/>
      <c r="Z307" s="31" t="n"/>
      <c r="AA307" s="31" t="n"/>
      <c r="AB307" s="31" t="n"/>
      <c r="AC307" s="31" t="n"/>
      <c r="AD307" s="31" t="n"/>
      <c r="AE307" s="31" t="n"/>
      <c r="AF307" s="27">
        <f>IF(NOT(COUNTA(A307:AE307)&gt;0),"",IF(A307="","New client","Update"))</f>
        <v/>
      </c>
      <c r="AG307" s="27">
        <f>IF(AO307&lt;&gt;"",AO307,IF(LEN(AN307)=15,MID(AN307,3,10),""))</f>
        <v/>
      </c>
      <c r="AH307" s="27">
        <f>IF(AP307="","",AP307&amp;IF(D307="","  (guessed from PAN)",""))</f>
        <v/>
      </c>
      <c r="AI307" s="27">
        <f>IF(AN307="","",IFERROR(INDEX(Lists!$L$2:$L$38,MATCH(LEFT(AN307,2),Lists!$K$2:$K$38,0)),"Unknown code"))</f>
        <v/>
      </c>
      <c r="AJ307" s="27">
        <f>IF(AN307="","",IFERROR(IF(NOT(AND(LEN(AN307)=15,ISNUMBER(MATCH(LEFT(AN307,2),Lists!$K$2:$K$38,0)),SUMPRODUCT(--ISERROR(FIND(MID(MID(AN307,3,10),{1,2,3,4,5,10},1),"ABCDEFGHIJKLMNOPQRSTUVWXYZ")))=0,SUMPRODUCT(--ISERROR(FIND(MID(MID(AN307,3,10),{6,7,8,9},1),"0123456789")))=0,ISNUMBER(FIND(MID(AN307,13,1),"123456789ABCDEFGHIJKLMNOPQRSTUVWXYZ")),MID(AN307,14,1)="Z")),"Wrong format",IF(MID("0123456789ABCDEFGHIJKLMNOPQRSTUVWXYZ",MOD(36-MOD(SUMPRODUCT(INT((FIND(MID(AN307,{1,2,3,4,5,6,7,8,9,10,11,12,13,14},1),"0123456789ABCDEFGHIJKLMNOPQRSTUVWXYZ")-1)*{1,2,1,2,1,2,1,2,1,2,1,2,1,2}/36)+MOD((FIND(MID(AN307,{1,2,3,4,5,6,7,8,9,10,11,12,13,14},1),"0123456789ABCDEFGHIJKLMNOPQRSTUVWXYZ")-1)*{1,2,1,2,1,2,1,2,1,2,1,2,1,2},36)),36),36)+1,1)=MID(AN307,15,1),"OK","Typo? check digit wrong")),"Wrong format"))</f>
        <v/>
      </c>
      <c r="AK307" s="27">
        <f>IF(AO307="","",IF(AND(LEN(AO307)=10,SUMPRODUCT(--ISERROR(FIND(MID(AO307,{1,2,3,4,5,10},1),"ABCDEFGHIJKLMNOPQRSTUVWXYZ")))=0,SUMPRODUCT(--ISERROR(FIND(MID(AO307,{6,7,8,9},1),"0123456789")))=0),"OK","Wrong format"))</f>
        <v/>
      </c>
      <c r="AL307" s="27">
        <f>IF(TRIM(H307)="","",IF(AND(LEN(UPPER(TRIM(H307)))=10,SUMPRODUCT(--ISERROR(FIND(MID(UPPER(TRIM(H307)),{1,2,3,4,10},1),"ABCDEFGHIJKLMNOPQRSTUVWXYZ")))=0,SUMPRODUCT(--ISERROR(FIND(MID(UPPER(TRIM(H307)),{5,6,7,8,9},1),"0123456789")))=0),"OK","Wrong format"))</f>
        <v/>
      </c>
      <c r="AM307" s="28">
        <f>IF(NOT(COUNTA(A307:AE307)&gt;0),"",IF(AS307&lt;&gt;"","✖ "&amp;LEFT(AS307,LEN(AS307)-2),IF(AR307&gt;0,"✔ Ready — client + "&amp;AR307&amp;" service(s)","✔ Ready — client only")))</f>
        <v/>
      </c>
      <c r="AN307" s="29">
        <f>UPPER(SUBSTITUTE(TRIM(F307)," ",""))</f>
        <v/>
      </c>
      <c r="AO307" s="29">
        <f>UPPER(SUBSTITUTE(TRIM(E307)," ",""))</f>
        <v/>
      </c>
      <c r="AP307" s="29">
        <f>IF(D307&lt;&gt;"",D307,IFERROR(VLOOKUP(MID(AG307,4,1),Lists!$E$2:$F$8,2,FALSE),""))</f>
        <v/>
      </c>
      <c r="AQ307" s="29">
        <f>IFERROR(VLOOKUP(AP307,Lists!$A$2:$C$12,3,FALSE),"")</f>
        <v/>
      </c>
      <c r="AR307" s="29">
        <f>COUNTIF(W307:AC307,"Yes")</f>
        <v/>
      </c>
      <c r="AS307" s="29">
        <f>IF(TRIM(B307)="","Legal name missing; ","")&amp;IF(AND(AJ307&lt;&gt;"",AJ307&lt;&gt;"OK"),"GSTIN: "&amp;AJ307&amp;"; ","")&amp;IF(AND(AK307&lt;&gt;"",AK307&lt;&gt;"OK"),"PAN wrong format; ","")&amp;IF(AND(AO307&lt;&gt;"",LEN(AN307)=15,MID(AN307,3,10)&lt;&gt;AO307),"PAN does not match GSTIN; ","")&amp;IF(AND(AL307&lt;&gt;"",AL307&lt;&gt;"OK"),"TAN wrong format; ","")&amp;IF(AG307="","PAN missing; ","")&amp;IF(AP307="","Entity type missing; ","")&amp;IF(AND(AN307&lt;&gt;"",COUNTIF($AN$6:$AN$1005,AN307)&gt;1),"GSTIN repeated in this sheet; ","")&amp;IF(AND(AG307&lt;&gt;"",COUNTIF($AG$6:$AG$1005,AG307)&gt;1),"PAN repeated in this sheet (same client? put extra GSTINs in Other GSTINs); ","")&amp;IF(AND(AR307&gt;0,V307=""),"Financial year missing; ","")&amp;IF(AND(AR307=0,V307&lt;&gt;""),"Financial year given but no service is Yes; ","")&amp;IF(AND(W307="Yes",AN307=""),"GST needs a GSTIN; ","")&amp;IF(AND(W307="Yes",X307=""),"GST return frequency missing; ","")&amp;IF(AND(Y307="Yes",TRIM(H307)=""),"TDS needs a TAN; ","")&amp;IF(AND(AA307="Yes",AQ307&lt;&gt;"",AQ307&lt;&gt;"company",AQ307&lt;&gt;"llp"),"ROC is only for a company / LLP; ","")&amp;IF(AND(AA307="Yes",OR(AQ307="company",AQ307="llp"),TRIM(I307)=""),"ROC needs the CIN / LLPIN; ","")</f>
        <v/>
      </c>
    </row>
    <row r="308">
      <c r="A308" s="30" t="n"/>
      <c r="B308" s="31" t="n"/>
      <c r="C308" s="31" t="n"/>
      <c r="D308" s="31" t="n"/>
      <c r="E308" s="30" t="n"/>
      <c r="F308" s="30" t="n"/>
      <c r="G308" s="30" t="n"/>
      <c r="H308" s="30" t="n"/>
      <c r="I308" s="30" t="n"/>
      <c r="J308" s="32" t="n"/>
      <c r="K308" s="31" t="n"/>
      <c r="L308" s="30" t="n"/>
      <c r="M308" s="31" t="n"/>
      <c r="N308" s="31" t="n"/>
      <c r="O308" s="31" t="n"/>
      <c r="P308" s="30" t="n"/>
      <c r="Q308" s="31" t="n"/>
      <c r="R308" s="31" t="n"/>
      <c r="S308" s="31" t="n"/>
      <c r="T308" s="31" t="n"/>
      <c r="U308" s="30" t="n"/>
      <c r="V308" s="31" t="n"/>
      <c r="W308" s="31" t="n"/>
      <c r="X308" s="31" t="n"/>
      <c r="Y308" s="31" t="n"/>
      <c r="Z308" s="31" t="n"/>
      <c r="AA308" s="31" t="n"/>
      <c r="AB308" s="31" t="n"/>
      <c r="AC308" s="31" t="n"/>
      <c r="AD308" s="31" t="n"/>
      <c r="AE308" s="31" t="n"/>
      <c r="AF308" s="27">
        <f>IF(NOT(COUNTA(A308:AE308)&gt;0),"",IF(A308="","New client","Update"))</f>
        <v/>
      </c>
      <c r="AG308" s="27">
        <f>IF(AO308&lt;&gt;"",AO308,IF(LEN(AN308)=15,MID(AN308,3,10),""))</f>
        <v/>
      </c>
      <c r="AH308" s="27">
        <f>IF(AP308="","",AP308&amp;IF(D308="","  (guessed from PAN)",""))</f>
        <v/>
      </c>
      <c r="AI308" s="27">
        <f>IF(AN308="","",IFERROR(INDEX(Lists!$L$2:$L$38,MATCH(LEFT(AN308,2),Lists!$K$2:$K$38,0)),"Unknown code"))</f>
        <v/>
      </c>
      <c r="AJ308" s="27">
        <f>IF(AN308="","",IFERROR(IF(NOT(AND(LEN(AN308)=15,ISNUMBER(MATCH(LEFT(AN308,2),Lists!$K$2:$K$38,0)),SUMPRODUCT(--ISERROR(FIND(MID(MID(AN308,3,10),{1,2,3,4,5,10},1),"ABCDEFGHIJKLMNOPQRSTUVWXYZ")))=0,SUMPRODUCT(--ISERROR(FIND(MID(MID(AN308,3,10),{6,7,8,9},1),"0123456789")))=0,ISNUMBER(FIND(MID(AN308,13,1),"123456789ABCDEFGHIJKLMNOPQRSTUVWXYZ")),MID(AN308,14,1)="Z")),"Wrong format",IF(MID("0123456789ABCDEFGHIJKLMNOPQRSTUVWXYZ",MOD(36-MOD(SUMPRODUCT(INT((FIND(MID(AN308,{1,2,3,4,5,6,7,8,9,10,11,12,13,14},1),"0123456789ABCDEFGHIJKLMNOPQRSTUVWXYZ")-1)*{1,2,1,2,1,2,1,2,1,2,1,2,1,2}/36)+MOD((FIND(MID(AN308,{1,2,3,4,5,6,7,8,9,10,11,12,13,14},1),"0123456789ABCDEFGHIJKLMNOPQRSTUVWXYZ")-1)*{1,2,1,2,1,2,1,2,1,2,1,2,1,2},36)),36),36)+1,1)=MID(AN308,15,1),"OK","Typo? check digit wrong")),"Wrong format"))</f>
        <v/>
      </c>
      <c r="AK308" s="27">
        <f>IF(AO308="","",IF(AND(LEN(AO308)=10,SUMPRODUCT(--ISERROR(FIND(MID(AO308,{1,2,3,4,5,10},1),"ABCDEFGHIJKLMNOPQRSTUVWXYZ")))=0,SUMPRODUCT(--ISERROR(FIND(MID(AO308,{6,7,8,9},1),"0123456789")))=0),"OK","Wrong format"))</f>
        <v/>
      </c>
      <c r="AL308" s="27">
        <f>IF(TRIM(H308)="","",IF(AND(LEN(UPPER(TRIM(H308)))=10,SUMPRODUCT(--ISERROR(FIND(MID(UPPER(TRIM(H308)),{1,2,3,4,10},1),"ABCDEFGHIJKLMNOPQRSTUVWXYZ")))=0,SUMPRODUCT(--ISERROR(FIND(MID(UPPER(TRIM(H308)),{5,6,7,8,9},1),"0123456789")))=0),"OK","Wrong format"))</f>
        <v/>
      </c>
      <c r="AM308" s="28">
        <f>IF(NOT(COUNTA(A308:AE308)&gt;0),"",IF(AS308&lt;&gt;"","✖ "&amp;LEFT(AS308,LEN(AS308)-2),IF(AR308&gt;0,"✔ Ready — client + "&amp;AR308&amp;" service(s)","✔ Ready — client only")))</f>
        <v/>
      </c>
      <c r="AN308" s="29">
        <f>UPPER(SUBSTITUTE(TRIM(F308)," ",""))</f>
        <v/>
      </c>
      <c r="AO308" s="29">
        <f>UPPER(SUBSTITUTE(TRIM(E308)," ",""))</f>
        <v/>
      </c>
      <c r="AP308" s="29">
        <f>IF(D308&lt;&gt;"",D308,IFERROR(VLOOKUP(MID(AG308,4,1),Lists!$E$2:$F$8,2,FALSE),""))</f>
        <v/>
      </c>
      <c r="AQ308" s="29">
        <f>IFERROR(VLOOKUP(AP308,Lists!$A$2:$C$12,3,FALSE),"")</f>
        <v/>
      </c>
      <c r="AR308" s="29">
        <f>COUNTIF(W308:AC308,"Yes")</f>
        <v/>
      </c>
      <c r="AS308" s="29">
        <f>IF(TRIM(B308)="","Legal name missing; ","")&amp;IF(AND(AJ308&lt;&gt;"",AJ308&lt;&gt;"OK"),"GSTIN: "&amp;AJ308&amp;"; ","")&amp;IF(AND(AK308&lt;&gt;"",AK308&lt;&gt;"OK"),"PAN wrong format; ","")&amp;IF(AND(AO308&lt;&gt;"",LEN(AN308)=15,MID(AN308,3,10)&lt;&gt;AO308),"PAN does not match GSTIN; ","")&amp;IF(AND(AL308&lt;&gt;"",AL308&lt;&gt;"OK"),"TAN wrong format; ","")&amp;IF(AG308="","PAN missing; ","")&amp;IF(AP308="","Entity type missing; ","")&amp;IF(AND(AN308&lt;&gt;"",COUNTIF($AN$6:$AN$1005,AN308)&gt;1),"GSTIN repeated in this sheet; ","")&amp;IF(AND(AG308&lt;&gt;"",COUNTIF($AG$6:$AG$1005,AG308)&gt;1),"PAN repeated in this sheet (same client? put extra GSTINs in Other GSTINs); ","")&amp;IF(AND(AR308&gt;0,V308=""),"Financial year missing; ","")&amp;IF(AND(AR308=0,V308&lt;&gt;""),"Financial year given but no service is Yes; ","")&amp;IF(AND(W308="Yes",AN308=""),"GST needs a GSTIN; ","")&amp;IF(AND(W308="Yes",X308=""),"GST return frequency missing; ","")&amp;IF(AND(Y308="Yes",TRIM(H308)=""),"TDS needs a TAN; ","")&amp;IF(AND(AA308="Yes",AQ308&lt;&gt;"",AQ308&lt;&gt;"company",AQ308&lt;&gt;"llp"),"ROC is only for a company / LLP; ","")&amp;IF(AND(AA308="Yes",OR(AQ308="company",AQ308="llp"),TRIM(I308)=""),"ROC needs the CIN / LLPIN; ","")</f>
        <v/>
      </c>
    </row>
    <row r="309">
      <c r="A309" s="30" t="n"/>
      <c r="B309" s="31" t="n"/>
      <c r="C309" s="31" t="n"/>
      <c r="D309" s="31" t="n"/>
      <c r="E309" s="30" t="n"/>
      <c r="F309" s="30" t="n"/>
      <c r="G309" s="30" t="n"/>
      <c r="H309" s="30" t="n"/>
      <c r="I309" s="30" t="n"/>
      <c r="J309" s="32" t="n"/>
      <c r="K309" s="31" t="n"/>
      <c r="L309" s="30" t="n"/>
      <c r="M309" s="31" t="n"/>
      <c r="N309" s="31" t="n"/>
      <c r="O309" s="31" t="n"/>
      <c r="P309" s="30" t="n"/>
      <c r="Q309" s="31" t="n"/>
      <c r="R309" s="31" t="n"/>
      <c r="S309" s="31" t="n"/>
      <c r="T309" s="31" t="n"/>
      <c r="U309" s="30" t="n"/>
      <c r="V309" s="31" t="n"/>
      <c r="W309" s="31" t="n"/>
      <c r="X309" s="31" t="n"/>
      <c r="Y309" s="31" t="n"/>
      <c r="Z309" s="31" t="n"/>
      <c r="AA309" s="31" t="n"/>
      <c r="AB309" s="31" t="n"/>
      <c r="AC309" s="31" t="n"/>
      <c r="AD309" s="31" t="n"/>
      <c r="AE309" s="31" t="n"/>
      <c r="AF309" s="27">
        <f>IF(NOT(COUNTA(A309:AE309)&gt;0),"",IF(A309="","New client","Update"))</f>
        <v/>
      </c>
      <c r="AG309" s="27">
        <f>IF(AO309&lt;&gt;"",AO309,IF(LEN(AN309)=15,MID(AN309,3,10),""))</f>
        <v/>
      </c>
      <c r="AH309" s="27">
        <f>IF(AP309="","",AP309&amp;IF(D309="","  (guessed from PAN)",""))</f>
        <v/>
      </c>
      <c r="AI309" s="27">
        <f>IF(AN309="","",IFERROR(INDEX(Lists!$L$2:$L$38,MATCH(LEFT(AN309,2),Lists!$K$2:$K$38,0)),"Unknown code"))</f>
        <v/>
      </c>
      <c r="AJ309" s="27">
        <f>IF(AN309="","",IFERROR(IF(NOT(AND(LEN(AN309)=15,ISNUMBER(MATCH(LEFT(AN309,2),Lists!$K$2:$K$38,0)),SUMPRODUCT(--ISERROR(FIND(MID(MID(AN309,3,10),{1,2,3,4,5,10},1),"ABCDEFGHIJKLMNOPQRSTUVWXYZ")))=0,SUMPRODUCT(--ISERROR(FIND(MID(MID(AN309,3,10),{6,7,8,9},1),"0123456789")))=0,ISNUMBER(FIND(MID(AN309,13,1),"123456789ABCDEFGHIJKLMNOPQRSTUVWXYZ")),MID(AN309,14,1)="Z")),"Wrong format",IF(MID("0123456789ABCDEFGHIJKLMNOPQRSTUVWXYZ",MOD(36-MOD(SUMPRODUCT(INT((FIND(MID(AN309,{1,2,3,4,5,6,7,8,9,10,11,12,13,14},1),"0123456789ABCDEFGHIJKLMNOPQRSTUVWXYZ")-1)*{1,2,1,2,1,2,1,2,1,2,1,2,1,2}/36)+MOD((FIND(MID(AN309,{1,2,3,4,5,6,7,8,9,10,11,12,13,14},1),"0123456789ABCDEFGHIJKLMNOPQRSTUVWXYZ")-1)*{1,2,1,2,1,2,1,2,1,2,1,2,1,2},36)),36),36)+1,1)=MID(AN309,15,1),"OK","Typo? check digit wrong")),"Wrong format"))</f>
        <v/>
      </c>
      <c r="AK309" s="27">
        <f>IF(AO309="","",IF(AND(LEN(AO309)=10,SUMPRODUCT(--ISERROR(FIND(MID(AO309,{1,2,3,4,5,10},1),"ABCDEFGHIJKLMNOPQRSTUVWXYZ")))=0,SUMPRODUCT(--ISERROR(FIND(MID(AO309,{6,7,8,9},1),"0123456789")))=0),"OK","Wrong format"))</f>
        <v/>
      </c>
      <c r="AL309" s="27">
        <f>IF(TRIM(H309)="","",IF(AND(LEN(UPPER(TRIM(H309)))=10,SUMPRODUCT(--ISERROR(FIND(MID(UPPER(TRIM(H309)),{1,2,3,4,10},1),"ABCDEFGHIJKLMNOPQRSTUVWXYZ")))=0,SUMPRODUCT(--ISERROR(FIND(MID(UPPER(TRIM(H309)),{5,6,7,8,9},1),"0123456789")))=0),"OK","Wrong format"))</f>
        <v/>
      </c>
      <c r="AM309" s="28">
        <f>IF(NOT(COUNTA(A309:AE309)&gt;0),"",IF(AS309&lt;&gt;"","✖ "&amp;LEFT(AS309,LEN(AS309)-2),IF(AR309&gt;0,"✔ Ready — client + "&amp;AR309&amp;" service(s)","✔ Ready — client only")))</f>
        <v/>
      </c>
      <c r="AN309" s="29">
        <f>UPPER(SUBSTITUTE(TRIM(F309)," ",""))</f>
        <v/>
      </c>
      <c r="AO309" s="29">
        <f>UPPER(SUBSTITUTE(TRIM(E309)," ",""))</f>
        <v/>
      </c>
      <c r="AP309" s="29">
        <f>IF(D309&lt;&gt;"",D309,IFERROR(VLOOKUP(MID(AG309,4,1),Lists!$E$2:$F$8,2,FALSE),""))</f>
        <v/>
      </c>
      <c r="AQ309" s="29">
        <f>IFERROR(VLOOKUP(AP309,Lists!$A$2:$C$12,3,FALSE),"")</f>
        <v/>
      </c>
      <c r="AR309" s="29">
        <f>COUNTIF(W309:AC309,"Yes")</f>
        <v/>
      </c>
      <c r="AS309" s="29">
        <f>IF(TRIM(B309)="","Legal name missing; ","")&amp;IF(AND(AJ309&lt;&gt;"",AJ309&lt;&gt;"OK"),"GSTIN: "&amp;AJ309&amp;"; ","")&amp;IF(AND(AK309&lt;&gt;"",AK309&lt;&gt;"OK"),"PAN wrong format; ","")&amp;IF(AND(AO309&lt;&gt;"",LEN(AN309)=15,MID(AN309,3,10)&lt;&gt;AO309),"PAN does not match GSTIN; ","")&amp;IF(AND(AL309&lt;&gt;"",AL309&lt;&gt;"OK"),"TAN wrong format; ","")&amp;IF(AG309="","PAN missing; ","")&amp;IF(AP309="","Entity type missing; ","")&amp;IF(AND(AN309&lt;&gt;"",COUNTIF($AN$6:$AN$1005,AN309)&gt;1),"GSTIN repeated in this sheet; ","")&amp;IF(AND(AG309&lt;&gt;"",COUNTIF($AG$6:$AG$1005,AG309)&gt;1),"PAN repeated in this sheet (same client? put extra GSTINs in Other GSTINs); ","")&amp;IF(AND(AR309&gt;0,V309=""),"Financial year missing; ","")&amp;IF(AND(AR309=0,V309&lt;&gt;""),"Financial year given but no service is Yes; ","")&amp;IF(AND(W309="Yes",AN309=""),"GST needs a GSTIN; ","")&amp;IF(AND(W309="Yes",X309=""),"GST return frequency missing; ","")&amp;IF(AND(Y309="Yes",TRIM(H309)=""),"TDS needs a TAN; ","")&amp;IF(AND(AA309="Yes",AQ309&lt;&gt;"",AQ309&lt;&gt;"company",AQ309&lt;&gt;"llp"),"ROC is only for a company / LLP; ","")&amp;IF(AND(AA309="Yes",OR(AQ309="company",AQ309="llp"),TRIM(I309)=""),"ROC needs the CIN / LLPIN; ","")</f>
        <v/>
      </c>
    </row>
    <row r="310">
      <c r="A310" s="30" t="n"/>
      <c r="B310" s="31" t="n"/>
      <c r="C310" s="31" t="n"/>
      <c r="D310" s="31" t="n"/>
      <c r="E310" s="30" t="n"/>
      <c r="F310" s="30" t="n"/>
      <c r="G310" s="30" t="n"/>
      <c r="H310" s="30" t="n"/>
      <c r="I310" s="30" t="n"/>
      <c r="J310" s="32" t="n"/>
      <c r="K310" s="31" t="n"/>
      <c r="L310" s="30" t="n"/>
      <c r="M310" s="31" t="n"/>
      <c r="N310" s="31" t="n"/>
      <c r="O310" s="31" t="n"/>
      <c r="P310" s="30" t="n"/>
      <c r="Q310" s="31" t="n"/>
      <c r="R310" s="31" t="n"/>
      <c r="S310" s="31" t="n"/>
      <c r="T310" s="31" t="n"/>
      <c r="U310" s="30" t="n"/>
      <c r="V310" s="31" t="n"/>
      <c r="W310" s="31" t="n"/>
      <c r="X310" s="31" t="n"/>
      <c r="Y310" s="31" t="n"/>
      <c r="Z310" s="31" t="n"/>
      <c r="AA310" s="31" t="n"/>
      <c r="AB310" s="31" t="n"/>
      <c r="AC310" s="31" t="n"/>
      <c r="AD310" s="31" t="n"/>
      <c r="AE310" s="31" t="n"/>
      <c r="AF310" s="27">
        <f>IF(NOT(COUNTA(A310:AE310)&gt;0),"",IF(A310="","New client","Update"))</f>
        <v/>
      </c>
      <c r="AG310" s="27">
        <f>IF(AO310&lt;&gt;"",AO310,IF(LEN(AN310)=15,MID(AN310,3,10),""))</f>
        <v/>
      </c>
      <c r="AH310" s="27">
        <f>IF(AP310="","",AP310&amp;IF(D310="","  (guessed from PAN)",""))</f>
        <v/>
      </c>
      <c r="AI310" s="27">
        <f>IF(AN310="","",IFERROR(INDEX(Lists!$L$2:$L$38,MATCH(LEFT(AN310,2),Lists!$K$2:$K$38,0)),"Unknown code"))</f>
        <v/>
      </c>
      <c r="AJ310" s="27">
        <f>IF(AN310="","",IFERROR(IF(NOT(AND(LEN(AN310)=15,ISNUMBER(MATCH(LEFT(AN310,2),Lists!$K$2:$K$38,0)),SUMPRODUCT(--ISERROR(FIND(MID(MID(AN310,3,10),{1,2,3,4,5,10},1),"ABCDEFGHIJKLMNOPQRSTUVWXYZ")))=0,SUMPRODUCT(--ISERROR(FIND(MID(MID(AN310,3,10),{6,7,8,9},1),"0123456789")))=0,ISNUMBER(FIND(MID(AN310,13,1),"123456789ABCDEFGHIJKLMNOPQRSTUVWXYZ")),MID(AN310,14,1)="Z")),"Wrong format",IF(MID("0123456789ABCDEFGHIJKLMNOPQRSTUVWXYZ",MOD(36-MOD(SUMPRODUCT(INT((FIND(MID(AN310,{1,2,3,4,5,6,7,8,9,10,11,12,13,14},1),"0123456789ABCDEFGHIJKLMNOPQRSTUVWXYZ")-1)*{1,2,1,2,1,2,1,2,1,2,1,2,1,2}/36)+MOD((FIND(MID(AN310,{1,2,3,4,5,6,7,8,9,10,11,12,13,14},1),"0123456789ABCDEFGHIJKLMNOPQRSTUVWXYZ")-1)*{1,2,1,2,1,2,1,2,1,2,1,2,1,2},36)),36),36)+1,1)=MID(AN310,15,1),"OK","Typo? check digit wrong")),"Wrong format"))</f>
        <v/>
      </c>
      <c r="AK310" s="27">
        <f>IF(AO310="","",IF(AND(LEN(AO310)=10,SUMPRODUCT(--ISERROR(FIND(MID(AO310,{1,2,3,4,5,10},1),"ABCDEFGHIJKLMNOPQRSTUVWXYZ")))=0,SUMPRODUCT(--ISERROR(FIND(MID(AO310,{6,7,8,9},1),"0123456789")))=0),"OK","Wrong format"))</f>
        <v/>
      </c>
      <c r="AL310" s="27">
        <f>IF(TRIM(H310)="","",IF(AND(LEN(UPPER(TRIM(H310)))=10,SUMPRODUCT(--ISERROR(FIND(MID(UPPER(TRIM(H310)),{1,2,3,4,10},1),"ABCDEFGHIJKLMNOPQRSTUVWXYZ")))=0,SUMPRODUCT(--ISERROR(FIND(MID(UPPER(TRIM(H310)),{5,6,7,8,9},1),"0123456789")))=0),"OK","Wrong format"))</f>
        <v/>
      </c>
      <c r="AM310" s="28">
        <f>IF(NOT(COUNTA(A310:AE310)&gt;0),"",IF(AS310&lt;&gt;"","✖ "&amp;LEFT(AS310,LEN(AS310)-2),IF(AR310&gt;0,"✔ Ready — client + "&amp;AR310&amp;" service(s)","✔ Ready — client only")))</f>
        <v/>
      </c>
      <c r="AN310" s="29">
        <f>UPPER(SUBSTITUTE(TRIM(F310)," ",""))</f>
        <v/>
      </c>
      <c r="AO310" s="29">
        <f>UPPER(SUBSTITUTE(TRIM(E310)," ",""))</f>
        <v/>
      </c>
      <c r="AP310" s="29">
        <f>IF(D310&lt;&gt;"",D310,IFERROR(VLOOKUP(MID(AG310,4,1),Lists!$E$2:$F$8,2,FALSE),""))</f>
        <v/>
      </c>
      <c r="AQ310" s="29">
        <f>IFERROR(VLOOKUP(AP310,Lists!$A$2:$C$12,3,FALSE),"")</f>
        <v/>
      </c>
      <c r="AR310" s="29">
        <f>COUNTIF(W310:AC310,"Yes")</f>
        <v/>
      </c>
      <c r="AS310" s="29">
        <f>IF(TRIM(B310)="","Legal name missing; ","")&amp;IF(AND(AJ310&lt;&gt;"",AJ310&lt;&gt;"OK"),"GSTIN: "&amp;AJ310&amp;"; ","")&amp;IF(AND(AK310&lt;&gt;"",AK310&lt;&gt;"OK"),"PAN wrong format; ","")&amp;IF(AND(AO310&lt;&gt;"",LEN(AN310)=15,MID(AN310,3,10)&lt;&gt;AO310),"PAN does not match GSTIN; ","")&amp;IF(AND(AL310&lt;&gt;"",AL310&lt;&gt;"OK"),"TAN wrong format; ","")&amp;IF(AG310="","PAN missing; ","")&amp;IF(AP310="","Entity type missing; ","")&amp;IF(AND(AN310&lt;&gt;"",COUNTIF($AN$6:$AN$1005,AN310)&gt;1),"GSTIN repeated in this sheet; ","")&amp;IF(AND(AG310&lt;&gt;"",COUNTIF($AG$6:$AG$1005,AG310)&gt;1),"PAN repeated in this sheet (same client? put extra GSTINs in Other GSTINs); ","")&amp;IF(AND(AR310&gt;0,V310=""),"Financial year missing; ","")&amp;IF(AND(AR310=0,V310&lt;&gt;""),"Financial year given but no service is Yes; ","")&amp;IF(AND(W310="Yes",AN310=""),"GST needs a GSTIN; ","")&amp;IF(AND(W310="Yes",X310=""),"GST return frequency missing; ","")&amp;IF(AND(Y310="Yes",TRIM(H310)=""),"TDS needs a TAN; ","")&amp;IF(AND(AA310="Yes",AQ310&lt;&gt;"",AQ310&lt;&gt;"company",AQ310&lt;&gt;"llp"),"ROC is only for a company / LLP; ","")&amp;IF(AND(AA310="Yes",OR(AQ310="company",AQ310="llp"),TRIM(I310)=""),"ROC needs the CIN / LLPIN; ","")</f>
        <v/>
      </c>
    </row>
    <row r="311">
      <c r="A311" s="30" t="n"/>
      <c r="B311" s="31" t="n"/>
      <c r="C311" s="31" t="n"/>
      <c r="D311" s="31" t="n"/>
      <c r="E311" s="30" t="n"/>
      <c r="F311" s="30" t="n"/>
      <c r="G311" s="30" t="n"/>
      <c r="H311" s="30" t="n"/>
      <c r="I311" s="30" t="n"/>
      <c r="J311" s="32" t="n"/>
      <c r="K311" s="31" t="n"/>
      <c r="L311" s="30" t="n"/>
      <c r="M311" s="31" t="n"/>
      <c r="N311" s="31" t="n"/>
      <c r="O311" s="31" t="n"/>
      <c r="P311" s="30" t="n"/>
      <c r="Q311" s="31" t="n"/>
      <c r="R311" s="31" t="n"/>
      <c r="S311" s="31" t="n"/>
      <c r="T311" s="31" t="n"/>
      <c r="U311" s="30" t="n"/>
      <c r="V311" s="31" t="n"/>
      <c r="W311" s="31" t="n"/>
      <c r="X311" s="31" t="n"/>
      <c r="Y311" s="31" t="n"/>
      <c r="Z311" s="31" t="n"/>
      <c r="AA311" s="31" t="n"/>
      <c r="AB311" s="31" t="n"/>
      <c r="AC311" s="31" t="n"/>
      <c r="AD311" s="31" t="n"/>
      <c r="AE311" s="31" t="n"/>
      <c r="AF311" s="27">
        <f>IF(NOT(COUNTA(A311:AE311)&gt;0),"",IF(A311="","New client","Update"))</f>
        <v/>
      </c>
      <c r="AG311" s="27">
        <f>IF(AO311&lt;&gt;"",AO311,IF(LEN(AN311)=15,MID(AN311,3,10),""))</f>
        <v/>
      </c>
      <c r="AH311" s="27">
        <f>IF(AP311="","",AP311&amp;IF(D311="","  (guessed from PAN)",""))</f>
        <v/>
      </c>
      <c r="AI311" s="27">
        <f>IF(AN311="","",IFERROR(INDEX(Lists!$L$2:$L$38,MATCH(LEFT(AN311,2),Lists!$K$2:$K$38,0)),"Unknown code"))</f>
        <v/>
      </c>
      <c r="AJ311" s="27">
        <f>IF(AN311="","",IFERROR(IF(NOT(AND(LEN(AN311)=15,ISNUMBER(MATCH(LEFT(AN311,2),Lists!$K$2:$K$38,0)),SUMPRODUCT(--ISERROR(FIND(MID(MID(AN311,3,10),{1,2,3,4,5,10},1),"ABCDEFGHIJKLMNOPQRSTUVWXYZ")))=0,SUMPRODUCT(--ISERROR(FIND(MID(MID(AN311,3,10),{6,7,8,9},1),"0123456789")))=0,ISNUMBER(FIND(MID(AN311,13,1),"123456789ABCDEFGHIJKLMNOPQRSTUVWXYZ")),MID(AN311,14,1)="Z")),"Wrong format",IF(MID("0123456789ABCDEFGHIJKLMNOPQRSTUVWXYZ",MOD(36-MOD(SUMPRODUCT(INT((FIND(MID(AN311,{1,2,3,4,5,6,7,8,9,10,11,12,13,14},1),"0123456789ABCDEFGHIJKLMNOPQRSTUVWXYZ")-1)*{1,2,1,2,1,2,1,2,1,2,1,2,1,2}/36)+MOD((FIND(MID(AN311,{1,2,3,4,5,6,7,8,9,10,11,12,13,14},1),"0123456789ABCDEFGHIJKLMNOPQRSTUVWXYZ")-1)*{1,2,1,2,1,2,1,2,1,2,1,2,1,2},36)),36),36)+1,1)=MID(AN311,15,1),"OK","Typo? check digit wrong")),"Wrong format"))</f>
        <v/>
      </c>
      <c r="AK311" s="27">
        <f>IF(AO311="","",IF(AND(LEN(AO311)=10,SUMPRODUCT(--ISERROR(FIND(MID(AO311,{1,2,3,4,5,10},1),"ABCDEFGHIJKLMNOPQRSTUVWXYZ")))=0,SUMPRODUCT(--ISERROR(FIND(MID(AO311,{6,7,8,9},1),"0123456789")))=0),"OK","Wrong format"))</f>
        <v/>
      </c>
      <c r="AL311" s="27">
        <f>IF(TRIM(H311)="","",IF(AND(LEN(UPPER(TRIM(H311)))=10,SUMPRODUCT(--ISERROR(FIND(MID(UPPER(TRIM(H311)),{1,2,3,4,10},1),"ABCDEFGHIJKLMNOPQRSTUVWXYZ")))=0,SUMPRODUCT(--ISERROR(FIND(MID(UPPER(TRIM(H311)),{5,6,7,8,9},1),"0123456789")))=0),"OK","Wrong format"))</f>
        <v/>
      </c>
      <c r="AM311" s="28">
        <f>IF(NOT(COUNTA(A311:AE311)&gt;0),"",IF(AS311&lt;&gt;"","✖ "&amp;LEFT(AS311,LEN(AS311)-2),IF(AR311&gt;0,"✔ Ready — client + "&amp;AR311&amp;" service(s)","✔ Ready — client only")))</f>
        <v/>
      </c>
      <c r="AN311" s="29">
        <f>UPPER(SUBSTITUTE(TRIM(F311)," ",""))</f>
        <v/>
      </c>
      <c r="AO311" s="29">
        <f>UPPER(SUBSTITUTE(TRIM(E311)," ",""))</f>
        <v/>
      </c>
      <c r="AP311" s="29">
        <f>IF(D311&lt;&gt;"",D311,IFERROR(VLOOKUP(MID(AG311,4,1),Lists!$E$2:$F$8,2,FALSE),""))</f>
        <v/>
      </c>
      <c r="AQ311" s="29">
        <f>IFERROR(VLOOKUP(AP311,Lists!$A$2:$C$12,3,FALSE),"")</f>
        <v/>
      </c>
      <c r="AR311" s="29">
        <f>COUNTIF(W311:AC311,"Yes")</f>
        <v/>
      </c>
      <c r="AS311" s="29">
        <f>IF(TRIM(B311)="","Legal name missing; ","")&amp;IF(AND(AJ311&lt;&gt;"",AJ311&lt;&gt;"OK"),"GSTIN: "&amp;AJ311&amp;"; ","")&amp;IF(AND(AK311&lt;&gt;"",AK311&lt;&gt;"OK"),"PAN wrong format; ","")&amp;IF(AND(AO311&lt;&gt;"",LEN(AN311)=15,MID(AN311,3,10)&lt;&gt;AO311),"PAN does not match GSTIN; ","")&amp;IF(AND(AL311&lt;&gt;"",AL311&lt;&gt;"OK"),"TAN wrong format; ","")&amp;IF(AG311="","PAN missing; ","")&amp;IF(AP311="","Entity type missing; ","")&amp;IF(AND(AN311&lt;&gt;"",COUNTIF($AN$6:$AN$1005,AN311)&gt;1),"GSTIN repeated in this sheet; ","")&amp;IF(AND(AG311&lt;&gt;"",COUNTIF($AG$6:$AG$1005,AG311)&gt;1),"PAN repeated in this sheet (same client? put extra GSTINs in Other GSTINs); ","")&amp;IF(AND(AR311&gt;0,V311=""),"Financial year missing; ","")&amp;IF(AND(AR311=0,V311&lt;&gt;""),"Financial year given but no service is Yes; ","")&amp;IF(AND(W311="Yes",AN311=""),"GST needs a GSTIN; ","")&amp;IF(AND(W311="Yes",X311=""),"GST return frequency missing; ","")&amp;IF(AND(Y311="Yes",TRIM(H311)=""),"TDS needs a TAN; ","")&amp;IF(AND(AA311="Yes",AQ311&lt;&gt;"",AQ311&lt;&gt;"company",AQ311&lt;&gt;"llp"),"ROC is only for a company / LLP; ","")&amp;IF(AND(AA311="Yes",OR(AQ311="company",AQ311="llp"),TRIM(I311)=""),"ROC needs the CIN / LLPIN; ","")</f>
        <v/>
      </c>
    </row>
    <row r="312">
      <c r="A312" s="30" t="n"/>
      <c r="B312" s="31" t="n"/>
      <c r="C312" s="31" t="n"/>
      <c r="D312" s="31" t="n"/>
      <c r="E312" s="30" t="n"/>
      <c r="F312" s="30" t="n"/>
      <c r="G312" s="30" t="n"/>
      <c r="H312" s="30" t="n"/>
      <c r="I312" s="30" t="n"/>
      <c r="J312" s="32" t="n"/>
      <c r="K312" s="31" t="n"/>
      <c r="L312" s="30" t="n"/>
      <c r="M312" s="31" t="n"/>
      <c r="N312" s="31" t="n"/>
      <c r="O312" s="31" t="n"/>
      <c r="P312" s="30" t="n"/>
      <c r="Q312" s="31" t="n"/>
      <c r="R312" s="31" t="n"/>
      <c r="S312" s="31" t="n"/>
      <c r="T312" s="31" t="n"/>
      <c r="U312" s="30" t="n"/>
      <c r="V312" s="31" t="n"/>
      <c r="W312" s="31" t="n"/>
      <c r="X312" s="31" t="n"/>
      <c r="Y312" s="31" t="n"/>
      <c r="Z312" s="31" t="n"/>
      <c r="AA312" s="31" t="n"/>
      <c r="AB312" s="31" t="n"/>
      <c r="AC312" s="31" t="n"/>
      <c r="AD312" s="31" t="n"/>
      <c r="AE312" s="31" t="n"/>
      <c r="AF312" s="27">
        <f>IF(NOT(COUNTA(A312:AE312)&gt;0),"",IF(A312="","New client","Update"))</f>
        <v/>
      </c>
      <c r="AG312" s="27">
        <f>IF(AO312&lt;&gt;"",AO312,IF(LEN(AN312)=15,MID(AN312,3,10),""))</f>
        <v/>
      </c>
      <c r="AH312" s="27">
        <f>IF(AP312="","",AP312&amp;IF(D312="","  (guessed from PAN)",""))</f>
        <v/>
      </c>
      <c r="AI312" s="27">
        <f>IF(AN312="","",IFERROR(INDEX(Lists!$L$2:$L$38,MATCH(LEFT(AN312,2),Lists!$K$2:$K$38,0)),"Unknown code"))</f>
        <v/>
      </c>
      <c r="AJ312" s="27">
        <f>IF(AN312="","",IFERROR(IF(NOT(AND(LEN(AN312)=15,ISNUMBER(MATCH(LEFT(AN312,2),Lists!$K$2:$K$38,0)),SUMPRODUCT(--ISERROR(FIND(MID(MID(AN312,3,10),{1,2,3,4,5,10},1),"ABCDEFGHIJKLMNOPQRSTUVWXYZ")))=0,SUMPRODUCT(--ISERROR(FIND(MID(MID(AN312,3,10),{6,7,8,9},1),"0123456789")))=0,ISNUMBER(FIND(MID(AN312,13,1),"123456789ABCDEFGHIJKLMNOPQRSTUVWXYZ")),MID(AN312,14,1)="Z")),"Wrong format",IF(MID("0123456789ABCDEFGHIJKLMNOPQRSTUVWXYZ",MOD(36-MOD(SUMPRODUCT(INT((FIND(MID(AN312,{1,2,3,4,5,6,7,8,9,10,11,12,13,14},1),"0123456789ABCDEFGHIJKLMNOPQRSTUVWXYZ")-1)*{1,2,1,2,1,2,1,2,1,2,1,2,1,2}/36)+MOD((FIND(MID(AN312,{1,2,3,4,5,6,7,8,9,10,11,12,13,14},1),"0123456789ABCDEFGHIJKLMNOPQRSTUVWXYZ")-1)*{1,2,1,2,1,2,1,2,1,2,1,2,1,2},36)),36),36)+1,1)=MID(AN312,15,1),"OK","Typo? check digit wrong")),"Wrong format"))</f>
        <v/>
      </c>
      <c r="AK312" s="27">
        <f>IF(AO312="","",IF(AND(LEN(AO312)=10,SUMPRODUCT(--ISERROR(FIND(MID(AO312,{1,2,3,4,5,10},1),"ABCDEFGHIJKLMNOPQRSTUVWXYZ")))=0,SUMPRODUCT(--ISERROR(FIND(MID(AO312,{6,7,8,9},1),"0123456789")))=0),"OK","Wrong format"))</f>
        <v/>
      </c>
      <c r="AL312" s="27">
        <f>IF(TRIM(H312)="","",IF(AND(LEN(UPPER(TRIM(H312)))=10,SUMPRODUCT(--ISERROR(FIND(MID(UPPER(TRIM(H312)),{1,2,3,4,10},1),"ABCDEFGHIJKLMNOPQRSTUVWXYZ")))=0,SUMPRODUCT(--ISERROR(FIND(MID(UPPER(TRIM(H312)),{5,6,7,8,9},1),"0123456789")))=0),"OK","Wrong format"))</f>
        <v/>
      </c>
      <c r="AM312" s="28">
        <f>IF(NOT(COUNTA(A312:AE312)&gt;0),"",IF(AS312&lt;&gt;"","✖ "&amp;LEFT(AS312,LEN(AS312)-2),IF(AR312&gt;0,"✔ Ready — client + "&amp;AR312&amp;" service(s)","✔ Ready — client only")))</f>
        <v/>
      </c>
      <c r="AN312" s="29">
        <f>UPPER(SUBSTITUTE(TRIM(F312)," ",""))</f>
        <v/>
      </c>
      <c r="AO312" s="29">
        <f>UPPER(SUBSTITUTE(TRIM(E312)," ",""))</f>
        <v/>
      </c>
      <c r="AP312" s="29">
        <f>IF(D312&lt;&gt;"",D312,IFERROR(VLOOKUP(MID(AG312,4,1),Lists!$E$2:$F$8,2,FALSE),""))</f>
        <v/>
      </c>
      <c r="AQ312" s="29">
        <f>IFERROR(VLOOKUP(AP312,Lists!$A$2:$C$12,3,FALSE),"")</f>
        <v/>
      </c>
      <c r="AR312" s="29">
        <f>COUNTIF(W312:AC312,"Yes")</f>
        <v/>
      </c>
      <c r="AS312" s="29">
        <f>IF(TRIM(B312)="","Legal name missing; ","")&amp;IF(AND(AJ312&lt;&gt;"",AJ312&lt;&gt;"OK"),"GSTIN: "&amp;AJ312&amp;"; ","")&amp;IF(AND(AK312&lt;&gt;"",AK312&lt;&gt;"OK"),"PAN wrong format; ","")&amp;IF(AND(AO312&lt;&gt;"",LEN(AN312)=15,MID(AN312,3,10)&lt;&gt;AO312),"PAN does not match GSTIN; ","")&amp;IF(AND(AL312&lt;&gt;"",AL312&lt;&gt;"OK"),"TAN wrong format; ","")&amp;IF(AG312="","PAN missing; ","")&amp;IF(AP312="","Entity type missing; ","")&amp;IF(AND(AN312&lt;&gt;"",COUNTIF($AN$6:$AN$1005,AN312)&gt;1),"GSTIN repeated in this sheet; ","")&amp;IF(AND(AG312&lt;&gt;"",COUNTIF($AG$6:$AG$1005,AG312)&gt;1),"PAN repeated in this sheet (same client? put extra GSTINs in Other GSTINs); ","")&amp;IF(AND(AR312&gt;0,V312=""),"Financial year missing; ","")&amp;IF(AND(AR312=0,V312&lt;&gt;""),"Financial year given but no service is Yes; ","")&amp;IF(AND(W312="Yes",AN312=""),"GST needs a GSTIN; ","")&amp;IF(AND(W312="Yes",X312=""),"GST return frequency missing; ","")&amp;IF(AND(Y312="Yes",TRIM(H312)=""),"TDS needs a TAN; ","")&amp;IF(AND(AA312="Yes",AQ312&lt;&gt;"",AQ312&lt;&gt;"company",AQ312&lt;&gt;"llp"),"ROC is only for a company / LLP; ","")&amp;IF(AND(AA312="Yes",OR(AQ312="company",AQ312="llp"),TRIM(I312)=""),"ROC needs the CIN / LLPIN; ","")</f>
        <v/>
      </c>
    </row>
    <row r="313">
      <c r="A313" s="30" t="n"/>
      <c r="B313" s="31" t="n"/>
      <c r="C313" s="31" t="n"/>
      <c r="D313" s="31" t="n"/>
      <c r="E313" s="30" t="n"/>
      <c r="F313" s="30" t="n"/>
      <c r="G313" s="30" t="n"/>
      <c r="H313" s="30" t="n"/>
      <c r="I313" s="30" t="n"/>
      <c r="J313" s="32" t="n"/>
      <c r="K313" s="31" t="n"/>
      <c r="L313" s="30" t="n"/>
      <c r="M313" s="31" t="n"/>
      <c r="N313" s="31" t="n"/>
      <c r="O313" s="31" t="n"/>
      <c r="P313" s="30" t="n"/>
      <c r="Q313" s="31" t="n"/>
      <c r="R313" s="31" t="n"/>
      <c r="S313" s="31" t="n"/>
      <c r="T313" s="31" t="n"/>
      <c r="U313" s="30" t="n"/>
      <c r="V313" s="31" t="n"/>
      <c r="W313" s="31" t="n"/>
      <c r="X313" s="31" t="n"/>
      <c r="Y313" s="31" t="n"/>
      <c r="Z313" s="31" t="n"/>
      <c r="AA313" s="31" t="n"/>
      <c r="AB313" s="31" t="n"/>
      <c r="AC313" s="31" t="n"/>
      <c r="AD313" s="31" t="n"/>
      <c r="AE313" s="31" t="n"/>
      <c r="AF313" s="27">
        <f>IF(NOT(COUNTA(A313:AE313)&gt;0),"",IF(A313="","New client","Update"))</f>
        <v/>
      </c>
      <c r="AG313" s="27">
        <f>IF(AO313&lt;&gt;"",AO313,IF(LEN(AN313)=15,MID(AN313,3,10),""))</f>
        <v/>
      </c>
      <c r="AH313" s="27">
        <f>IF(AP313="","",AP313&amp;IF(D313="","  (guessed from PAN)",""))</f>
        <v/>
      </c>
      <c r="AI313" s="27">
        <f>IF(AN313="","",IFERROR(INDEX(Lists!$L$2:$L$38,MATCH(LEFT(AN313,2),Lists!$K$2:$K$38,0)),"Unknown code"))</f>
        <v/>
      </c>
      <c r="AJ313" s="27">
        <f>IF(AN313="","",IFERROR(IF(NOT(AND(LEN(AN313)=15,ISNUMBER(MATCH(LEFT(AN313,2),Lists!$K$2:$K$38,0)),SUMPRODUCT(--ISERROR(FIND(MID(MID(AN313,3,10),{1,2,3,4,5,10},1),"ABCDEFGHIJKLMNOPQRSTUVWXYZ")))=0,SUMPRODUCT(--ISERROR(FIND(MID(MID(AN313,3,10),{6,7,8,9},1),"0123456789")))=0,ISNUMBER(FIND(MID(AN313,13,1),"123456789ABCDEFGHIJKLMNOPQRSTUVWXYZ")),MID(AN313,14,1)="Z")),"Wrong format",IF(MID("0123456789ABCDEFGHIJKLMNOPQRSTUVWXYZ",MOD(36-MOD(SUMPRODUCT(INT((FIND(MID(AN313,{1,2,3,4,5,6,7,8,9,10,11,12,13,14},1),"0123456789ABCDEFGHIJKLMNOPQRSTUVWXYZ")-1)*{1,2,1,2,1,2,1,2,1,2,1,2,1,2}/36)+MOD((FIND(MID(AN313,{1,2,3,4,5,6,7,8,9,10,11,12,13,14},1),"0123456789ABCDEFGHIJKLMNOPQRSTUVWXYZ")-1)*{1,2,1,2,1,2,1,2,1,2,1,2,1,2},36)),36),36)+1,1)=MID(AN313,15,1),"OK","Typo? check digit wrong")),"Wrong format"))</f>
        <v/>
      </c>
      <c r="AK313" s="27">
        <f>IF(AO313="","",IF(AND(LEN(AO313)=10,SUMPRODUCT(--ISERROR(FIND(MID(AO313,{1,2,3,4,5,10},1),"ABCDEFGHIJKLMNOPQRSTUVWXYZ")))=0,SUMPRODUCT(--ISERROR(FIND(MID(AO313,{6,7,8,9},1),"0123456789")))=0),"OK","Wrong format"))</f>
        <v/>
      </c>
      <c r="AL313" s="27">
        <f>IF(TRIM(H313)="","",IF(AND(LEN(UPPER(TRIM(H313)))=10,SUMPRODUCT(--ISERROR(FIND(MID(UPPER(TRIM(H313)),{1,2,3,4,10},1),"ABCDEFGHIJKLMNOPQRSTUVWXYZ")))=0,SUMPRODUCT(--ISERROR(FIND(MID(UPPER(TRIM(H313)),{5,6,7,8,9},1),"0123456789")))=0),"OK","Wrong format"))</f>
        <v/>
      </c>
      <c r="AM313" s="28">
        <f>IF(NOT(COUNTA(A313:AE313)&gt;0),"",IF(AS313&lt;&gt;"","✖ "&amp;LEFT(AS313,LEN(AS313)-2),IF(AR313&gt;0,"✔ Ready — client + "&amp;AR313&amp;" service(s)","✔ Ready — client only")))</f>
        <v/>
      </c>
      <c r="AN313" s="29">
        <f>UPPER(SUBSTITUTE(TRIM(F313)," ",""))</f>
        <v/>
      </c>
      <c r="AO313" s="29">
        <f>UPPER(SUBSTITUTE(TRIM(E313)," ",""))</f>
        <v/>
      </c>
      <c r="AP313" s="29">
        <f>IF(D313&lt;&gt;"",D313,IFERROR(VLOOKUP(MID(AG313,4,1),Lists!$E$2:$F$8,2,FALSE),""))</f>
        <v/>
      </c>
      <c r="AQ313" s="29">
        <f>IFERROR(VLOOKUP(AP313,Lists!$A$2:$C$12,3,FALSE),"")</f>
        <v/>
      </c>
      <c r="AR313" s="29">
        <f>COUNTIF(W313:AC313,"Yes")</f>
        <v/>
      </c>
      <c r="AS313" s="29">
        <f>IF(TRIM(B313)="","Legal name missing; ","")&amp;IF(AND(AJ313&lt;&gt;"",AJ313&lt;&gt;"OK"),"GSTIN: "&amp;AJ313&amp;"; ","")&amp;IF(AND(AK313&lt;&gt;"",AK313&lt;&gt;"OK"),"PAN wrong format; ","")&amp;IF(AND(AO313&lt;&gt;"",LEN(AN313)=15,MID(AN313,3,10)&lt;&gt;AO313),"PAN does not match GSTIN; ","")&amp;IF(AND(AL313&lt;&gt;"",AL313&lt;&gt;"OK"),"TAN wrong format; ","")&amp;IF(AG313="","PAN missing; ","")&amp;IF(AP313="","Entity type missing; ","")&amp;IF(AND(AN313&lt;&gt;"",COUNTIF($AN$6:$AN$1005,AN313)&gt;1),"GSTIN repeated in this sheet; ","")&amp;IF(AND(AG313&lt;&gt;"",COUNTIF($AG$6:$AG$1005,AG313)&gt;1),"PAN repeated in this sheet (same client? put extra GSTINs in Other GSTINs); ","")&amp;IF(AND(AR313&gt;0,V313=""),"Financial year missing; ","")&amp;IF(AND(AR313=0,V313&lt;&gt;""),"Financial year given but no service is Yes; ","")&amp;IF(AND(W313="Yes",AN313=""),"GST needs a GSTIN; ","")&amp;IF(AND(W313="Yes",X313=""),"GST return frequency missing; ","")&amp;IF(AND(Y313="Yes",TRIM(H313)=""),"TDS needs a TAN; ","")&amp;IF(AND(AA313="Yes",AQ313&lt;&gt;"",AQ313&lt;&gt;"company",AQ313&lt;&gt;"llp"),"ROC is only for a company / LLP; ","")&amp;IF(AND(AA313="Yes",OR(AQ313="company",AQ313="llp"),TRIM(I313)=""),"ROC needs the CIN / LLPIN; ","")</f>
        <v/>
      </c>
    </row>
    <row r="314">
      <c r="A314" s="30" t="n"/>
      <c r="B314" s="31" t="n"/>
      <c r="C314" s="31" t="n"/>
      <c r="D314" s="31" t="n"/>
      <c r="E314" s="30" t="n"/>
      <c r="F314" s="30" t="n"/>
      <c r="G314" s="30" t="n"/>
      <c r="H314" s="30" t="n"/>
      <c r="I314" s="30" t="n"/>
      <c r="J314" s="32" t="n"/>
      <c r="K314" s="31" t="n"/>
      <c r="L314" s="30" t="n"/>
      <c r="M314" s="31" t="n"/>
      <c r="N314" s="31" t="n"/>
      <c r="O314" s="31" t="n"/>
      <c r="P314" s="30" t="n"/>
      <c r="Q314" s="31" t="n"/>
      <c r="R314" s="31" t="n"/>
      <c r="S314" s="31" t="n"/>
      <c r="T314" s="31" t="n"/>
      <c r="U314" s="30" t="n"/>
      <c r="V314" s="31" t="n"/>
      <c r="W314" s="31" t="n"/>
      <c r="X314" s="31" t="n"/>
      <c r="Y314" s="31" t="n"/>
      <c r="Z314" s="31" t="n"/>
      <c r="AA314" s="31" t="n"/>
      <c r="AB314" s="31" t="n"/>
      <c r="AC314" s="31" t="n"/>
      <c r="AD314" s="31" t="n"/>
      <c r="AE314" s="31" t="n"/>
      <c r="AF314" s="27">
        <f>IF(NOT(COUNTA(A314:AE314)&gt;0),"",IF(A314="","New client","Update"))</f>
        <v/>
      </c>
      <c r="AG314" s="27">
        <f>IF(AO314&lt;&gt;"",AO314,IF(LEN(AN314)=15,MID(AN314,3,10),""))</f>
        <v/>
      </c>
      <c r="AH314" s="27">
        <f>IF(AP314="","",AP314&amp;IF(D314="","  (guessed from PAN)",""))</f>
        <v/>
      </c>
      <c r="AI314" s="27">
        <f>IF(AN314="","",IFERROR(INDEX(Lists!$L$2:$L$38,MATCH(LEFT(AN314,2),Lists!$K$2:$K$38,0)),"Unknown code"))</f>
        <v/>
      </c>
      <c r="AJ314" s="27">
        <f>IF(AN314="","",IFERROR(IF(NOT(AND(LEN(AN314)=15,ISNUMBER(MATCH(LEFT(AN314,2),Lists!$K$2:$K$38,0)),SUMPRODUCT(--ISERROR(FIND(MID(MID(AN314,3,10),{1,2,3,4,5,10},1),"ABCDEFGHIJKLMNOPQRSTUVWXYZ")))=0,SUMPRODUCT(--ISERROR(FIND(MID(MID(AN314,3,10),{6,7,8,9},1),"0123456789")))=0,ISNUMBER(FIND(MID(AN314,13,1),"123456789ABCDEFGHIJKLMNOPQRSTUVWXYZ")),MID(AN314,14,1)="Z")),"Wrong format",IF(MID("0123456789ABCDEFGHIJKLMNOPQRSTUVWXYZ",MOD(36-MOD(SUMPRODUCT(INT((FIND(MID(AN314,{1,2,3,4,5,6,7,8,9,10,11,12,13,14},1),"0123456789ABCDEFGHIJKLMNOPQRSTUVWXYZ")-1)*{1,2,1,2,1,2,1,2,1,2,1,2,1,2}/36)+MOD((FIND(MID(AN314,{1,2,3,4,5,6,7,8,9,10,11,12,13,14},1),"0123456789ABCDEFGHIJKLMNOPQRSTUVWXYZ")-1)*{1,2,1,2,1,2,1,2,1,2,1,2,1,2},36)),36),36)+1,1)=MID(AN314,15,1),"OK","Typo? check digit wrong")),"Wrong format"))</f>
        <v/>
      </c>
      <c r="AK314" s="27">
        <f>IF(AO314="","",IF(AND(LEN(AO314)=10,SUMPRODUCT(--ISERROR(FIND(MID(AO314,{1,2,3,4,5,10},1),"ABCDEFGHIJKLMNOPQRSTUVWXYZ")))=0,SUMPRODUCT(--ISERROR(FIND(MID(AO314,{6,7,8,9},1),"0123456789")))=0),"OK","Wrong format"))</f>
        <v/>
      </c>
      <c r="AL314" s="27">
        <f>IF(TRIM(H314)="","",IF(AND(LEN(UPPER(TRIM(H314)))=10,SUMPRODUCT(--ISERROR(FIND(MID(UPPER(TRIM(H314)),{1,2,3,4,10},1),"ABCDEFGHIJKLMNOPQRSTUVWXYZ")))=0,SUMPRODUCT(--ISERROR(FIND(MID(UPPER(TRIM(H314)),{5,6,7,8,9},1),"0123456789")))=0),"OK","Wrong format"))</f>
        <v/>
      </c>
      <c r="AM314" s="28">
        <f>IF(NOT(COUNTA(A314:AE314)&gt;0),"",IF(AS314&lt;&gt;"","✖ "&amp;LEFT(AS314,LEN(AS314)-2),IF(AR314&gt;0,"✔ Ready — client + "&amp;AR314&amp;" service(s)","✔ Ready — client only")))</f>
        <v/>
      </c>
      <c r="AN314" s="29">
        <f>UPPER(SUBSTITUTE(TRIM(F314)," ",""))</f>
        <v/>
      </c>
      <c r="AO314" s="29">
        <f>UPPER(SUBSTITUTE(TRIM(E314)," ",""))</f>
        <v/>
      </c>
      <c r="AP314" s="29">
        <f>IF(D314&lt;&gt;"",D314,IFERROR(VLOOKUP(MID(AG314,4,1),Lists!$E$2:$F$8,2,FALSE),""))</f>
        <v/>
      </c>
      <c r="AQ314" s="29">
        <f>IFERROR(VLOOKUP(AP314,Lists!$A$2:$C$12,3,FALSE),"")</f>
        <v/>
      </c>
      <c r="AR314" s="29">
        <f>COUNTIF(W314:AC314,"Yes")</f>
        <v/>
      </c>
      <c r="AS314" s="29">
        <f>IF(TRIM(B314)="","Legal name missing; ","")&amp;IF(AND(AJ314&lt;&gt;"",AJ314&lt;&gt;"OK"),"GSTIN: "&amp;AJ314&amp;"; ","")&amp;IF(AND(AK314&lt;&gt;"",AK314&lt;&gt;"OK"),"PAN wrong format; ","")&amp;IF(AND(AO314&lt;&gt;"",LEN(AN314)=15,MID(AN314,3,10)&lt;&gt;AO314),"PAN does not match GSTIN; ","")&amp;IF(AND(AL314&lt;&gt;"",AL314&lt;&gt;"OK"),"TAN wrong format; ","")&amp;IF(AG314="","PAN missing; ","")&amp;IF(AP314="","Entity type missing; ","")&amp;IF(AND(AN314&lt;&gt;"",COUNTIF($AN$6:$AN$1005,AN314)&gt;1),"GSTIN repeated in this sheet; ","")&amp;IF(AND(AG314&lt;&gt;"",COUNTIF($AG$6:$AG$1005,AG314)&gt;1),"PAN repeated in this sheet (same client? put extra GSTINs in Other GSTINs); ","")&amp;IF(AND(AR314&gt;0,V314=""),"Financial year missing; ","")&amp;IF(AND(AR314=0,V314&lt;&gt;""),"Financial year given but no service is Yes; ","")&amp;IF(AND(W314="Yes",AN314=""),"GST needs a GSTIN; ","")&amp;IF(AND(W314="Yes",X314=""),"GST return frequency missing; ","")&amp;IF(AND(Y314="Yes",TRIM(H314)=""),"TDS needs a TAN; ","")&amp;IF(AND(AA314="Yes",AQ314&lt;&gt;"",AQ314&lt;&gt;"company",AQ314&lt;&gt;"llp"),"ROC is only for a company / LLP; ","")&amp;IF(AND(AA314="Yes",OR(AQ314="company",AQ314="llp"),TRIM(I314)=""),"ROC needs the CIN / LLPIN; ","")</f>
        <v/>
      </c>
    </row>
    <row r="315">
      <c r="A315" s="30" t="n"/>
      <c r="B315" s="31" t="n"/>
      <c r="C315" s="31" t="n"/>
      <c r="D315" s="31" t="n"/>
      <c r="E315" s="30" t="n"/>
      <c r="F315" s="30" t="n"/>
      <c r="G315" s="30" t="n"/>
      <c r="H315" s="30" t="n"/>
      <c r="I315" s="30" t="n"/>
      <c r="J315" s="32" t="n"/>
      <c r="K315" s="31" t="n"/>
      <c r="L315" s="30" t="n"/>
      <c r="M315" s="31" t="n"/>
      <c r="N315" s="31" t="n"/>
      <c r="O315" s="31" t="n"/>
      <c r="P315" s="30" t="n"/>
      <c r="Q315" s="31" t="n"/>
      <c r="R315" s="31" t="n"/>
      <c r="S315" s="31" t="n"/>
      <c r="T315" s="31" t="n"/>
      <c r="U315" s="30" t="n"/>
      <c r="V315" s="31" t="n"/>
      <c r="W315" s="31" t="n"/>
      <c r="X315" s="31" t="n"/>
      <c r="Y315" s="31" t="n"/>
      <c r="Z315" s="31" t="n"/>
      <c r="AA315" s="31" t="n"/>
      <c r="AB315" s="31" t="n"/>
      <c r="AC315" s="31" t="n"/>
      <c r="AD315" s="31" t="n"/>
      <c r="AE315" s="31" t="n"/>
      <c r="AF315" s="27">
        <f>IF(NOT(COUNTA(A315:AE315)&gt;0),"",IF(A315="","New client","Update"))</f>
        <v/>
      </c>
      <c r="AG315" s="27">
        <f>IF(AO315&lt;&gt;"",AO315,IF(LEN(AN315)=15,MID(AN315,3,10),""))</f>
        <v/>
      </c>
      <c r="AH315" s="27">
        <f>IF(AP315="","",AP315&amp;IF(D315="","  (guessed from PAN)",""))</f>
        <v/>
      </c>
      <c r="AI315" s="27">
        <f>IF(AN315="","",IFERROR(INDEX(Lists!$L$2:$L$38,MATCH(LEFT(AN315,2),Lists!$K$2:$K$38,0)),"Unknown code"))</f>
        <v/>
      </c>
      <c r="AJ315" s="27">
        <f>IF(AN315="","",IFERROR(IF(NOT(AND(LEN(AN315)=15,ISNUMBER(MATCH(LEFT(AN315,2),Lists!$K$2:$K$38,0)),SUMPRODUCT(--ISERROR(FIND(MID(MID(AN315,3,10),{1,2,3,4,5,10},1),"ABCDEFGHIJKLMNOPQRSTUVWXYZ")))=0,SUMPRODUCT(--ISERROR(FIND(MID(MID(AN315,3,10),{6,7,8,9},1),"0123456789")))=0,ISNUMBER(FIND(MID(AN315,13,1),"123456789ABCDEFGHIJKLMNOPQRSTUVWXYZ")),MID(AN315,14,1)="Z")),"Wrong format",IF(MID("0123456789ABCDEFGHIJKLMNOPQRSTUVWXYZ",MOD(36-MOD(SUMPRODUCT(INT((FIND(MID(AN315,{1,2,3,4,5,6,7,8,9,10,11,12,13,14},1),"0123456789ABCDEFGHIJKLMNOPQRSTUVWXYZ")-1)*{1,2,1,2,1,2,1,2,1,2,1,2,1,2}/36)+MOD((FIND(MID(AN315,{1,2,3,4,5,6,7,8,9,10,11,12,13,14},1),"0123456789ABCDEFGHIJKLMNOPQRSTUVWXYZ")-1)*{1,2,1,2,1,2,1,2,1,2,1,2,1,2},36)),36),36)+1,1)=MID(AN315,15,1),"OK","Typo? check digit wrong")),"Wrong format"))</f>
        <v/>
      </c>
      <c r="AK315" s="27">
        <f>IF(AO315="","",IF(AND(LEN(AO315)=10,SUMPRODUCT(--ISERROR(FIND(MID(AO315,{1,2,3,4,5,10},1),"ABCDEFGHIJKLMNOPQRSTUVWXYZ")))=0,SUMPRODUCT(--ISERROR(FIND(MID(AO315,{6,7,8,9},1),"0123456789")))=0),"OK","Wrong format"))</f>
        <v/>
      </c>
      <c r="AL315" s="27">
        <f>IF(TRIM(H315)="","",IF(AND(LEN(UPPER(TRIM(H315)))=10,SUMPRODUCT(--ISERROR(FIND(MID(UPPER(TRIM(H315)),{1,2,3,4,10},1),"ABCDEFGHIJKLMNOPQRSTUVWXYZ")))=0,SUMPRODUCT(--ISERROR(FIND(MID(UPPER(TRIM(H315)),{5,6,7,8,9},1),"0123456789")))=0),"OK","Wrong format"))</f>
        <v/>
      </c>
      <c r="AM315" s="28">
        <f>IF(NOT(COUNTA(A315:AE315)&gt;0),"",IF(AS315&lt;&gt;"","✖ "&amp;LEFT(AS315,LEN(AS315)-2),IF(AR315&gt;0,"✔ Ready — client + "&amp;AR315&amp;" service(s)","✔ Ready — client only")))</f>
        <v/>
      </c>
      <c r="AN315" s="29">
        <f>UPPER(SUBSTITUTE(TRIM(F315)," ",""))</f>
        <v/>
      </c>
      <c r="AO315" s="29">
        <f>UPPER(SUBSTITUTE(TRIM(E315)," ",""))</f>
        <v/>
      </c>
      <c r="AP315" s="29">
        <f>IF(D315&lt;&gt;"",D315,IFERROR(VLOOKUP(MID(AG315,4,1),Lists!$E$2:$F$8,2,FALSE),""))</f>
        <v/>
      </c>
      <c r="AQ315" s="29">
        <f>IFERROR(VLOOKUP(AP315,Lists!$A$2:$C$12,3,FALSE),"")</f>
        <v/>
      </c>
      <c r="AR315" s="29">
        <f>COUNTIF(W315:AC315,"Yes")</f>
        <v/>
      </c>
      <c r="AS315" s="29">
        <f>IF(TRIM(B315)="","Legal name missing; ","")&amp;IF(AND(AJ315&lt;&gt;"",AJ315&lt;&gt;"OK"),"GSTIN: "&amp;AJ315&amp;"; ","")&amp;IF(AND(AK315&lt;&gt;"",AK315&lt;&gt;"OK"),"PAN wrong format; ","")&amp;IF(AND(AO315&lt;&gt;"",LEN(AN315)=15,MID(AN315,3,10)&lt;&gt;AO315),"PAN does not match GSTIN; ","")&amp;IF(AND(AL315&lt;&gt;"",AL315&lt;&gt;"OK"),"TAN wrong format; ","")&amp;IF(AG315="","PAN missing; ","")&amp;IF(AP315="","Entity type missing; ","")&amp;IF(AND(AN315&lt;&gt;"",COUNTIF($AN$6:$AN$1005,AN315)&gt;1),"GSTIN repeated in this sheet; ","")&amp;IF(AND(AG315&lt;&gt;"",COUNTIF($AG$6:$AG$1005,AG315)&gt;1),"PAN repeated in this sheet (same client? put extra GSTINs in Other GSTINs); ","")&amp;IF(AND(AR315&gt;0,V315=""),"Financial year missing; ","")&amp;IF(AND(AR315=0,V315&lt;&gt;""),"Financial year given but no service is Yes; ","")&amp;IF(AND(W315="Yes",AN315=""),"GST needs a GSTIN; ","")&amp;IF(AND(W315="Yes",X315=""),"GST return frequency missing; ","")&amp;IF(AND(Y315="Yes",TRIM(H315)=""),"TDS needs a TAN; ","")&amp;IF(AND(AA315="Yes",AQ315&lt;&gt;"",AQ315&lt;&gt;"company",AQ315&lt;&gt;"llp"),"ROC is only for a company / LLP; ","")&amp;IF(AND(AA315="Yes",OR(AQ315="company",AQ315="llp"),TRIM(I315)=""),"ROC needs the CIN / LLPIN; ","")</f>
        <v/>
      </c>
    </row>
    <row r="316">
      <c r="A316" s="30" t="n"/>
      <c r="B316" s="31" t="n"/>
      <c r="C316" s="31" t="n"/>
      <c r="D316" s="31" t="n"/>
      <c r="E316" s="30" t="n"/>
      <c r="F316" s="30" t="n"/>
      <c r="G316" s="30" t="n"/>
      <c r="H316" s="30" t="n"/>
      <c r="I316" s="30" t="n"/>
      <c r="J316" s="32" t="n"/>
      <c r="K316" s="31" t="n"/>
      <c r="L316" s="30" t="n"/>
      <c r="M316" s="31" t="n"/>
      <c r="N316" s="31" t="n"/>
      <c r="O316" s="31" t="n"/>
      <c r="P316" s="30" t="n"/>
      <c r="Q316" s="31" t="n"/>
      <c r="R316" s="31" t="n"/>
      <c r="S316" s="31" t="n"/>
      <c r="T316" s="31" t="n"/>
      <c r="U316" s="30" t="n"/>
      <c r="V316" s="31" t="n"/>
      <c r="W316" s="31" t="n"/>
      <c r="X316" s="31" t="n"/>
      <c r="Y316" s="31" t="n"/>
      <c r="Z316" s="31" t="n"/>
      <c r="AA316" s="31" t="n"/>
      <c r="AB316" s="31" t="n"/>
      <c r="AC316" s="31" t="n"/>
      <c r="AD316" s="31" t="n"/>
      <c r="AE316" s="31" t="n"/>
      <c r="AF316" s="27">
        <f>IF(NOT(COUNTA(A316:AE316)&gt;0),"",IF(A316="","New client","Update"))</f>
        <v/>
      </c>
      <c r="AG316" s="27">
        <f>IF(AO316&lt;&gt;"",AO316,IF(LEN(AN316)=15,MID(AN316,3,10),""))</f>
        <v/>
      </c>
      <c r="AH316" s="27">
        <f>IF(AP316="","",AP316&amp;IF(D316="","  (guessed from PAN)",""))</f>
        <v/>
      </c>
      <c r="AI316" s="27">
        <f>IF(AN316="","",IFERROR(INDEX(Lists!$L$2:$L$38,MATCH(LEFT(AN316,2),Lists!$K$2:$K$38,0)),"Unknown code"))</f>
        <v/>
      </c>
      <c r="AJ316" s="27">
        <f>IF(AN316="","",IFERROR(IF(NOT(AND(LEN(AN316)=15,ISNUMBER(MATCH(LEFT(AN316,2),Lists!$K$2:$K$38,0)),SUMPRODUCT(--ISERROR(FIND(MID(MID(AN316,3,10),{1,2,3,4,5,10},1),"ABCDEFGHIJKLMNOPQRSTUVWXYZ")))=0,SUMPRODUCT(--ISERROR(FIND(MID(MID(AN316,3,10),{6,7,8,9},1),"0123456789")))=0,ISNUMBER(FIND(MID(AN316,13,1),"123456789ABCDEFGHIJKLMNOPQRSTUVWXYZ")),MID(AN316,14,1)="Z")),"Wrong format",IF(MID("0123456789ABCDEFGHIJKLMNOPQRSTUVWXYZ",MOD(36-MOD(SUMPRODUCT(INT((FIND(MID(AN316,{1,2,3,4,5,6,7,8,9,10,11,12,13,14},1),"0123456789ABCDEFGHIJKLMNOPQRSTUVWXYZ")-1)*{1,2,1,2,1,2,1,2,1,2,1,2,1,2}/36)+MOD((FIND(MID(AN316,{1,2,3,4,5,6,7,8,9,10,11,12,13,14},1),"0123456789ABCDEFGHIJKLMNOPQRSTUVWXYZ")-1)*{1,2,1,2,1,2,1,2,1,2,1,2,1,2},36)),36),36)+1,1)=MID(AN316,15,1),"OK","Typo? check digit wrong")),"Wrong format"))</f>
        <v/>
      </c>
      <c r="AK316" s="27">
        <f>IF(AO316="","",IF(AND(LEN(AO316)=10,SUMPRODUCT(--ISERROR(FIND(MID(AO316,{1,2,3,4,5,10},1),"ABCDEFGHIJKLMNOPQRSTUVWXYZ")))=0,SUMPRODUCT(--ISERROR(FIND(MID(AO316,{6,7,8,9},1),"0123456789")))=0),"OK","Wrong format"))</f>
        <v/>
      </c>
      <c r="AL316" s="27">
        <f>IF(TRIM(H316)="","",IF(AND(LEN(UPPER(TRIM(H316)))=10,SUMPRODUCT(--ISERROR(FIND(MID(UPPER(TRIM(H316)),{1,2,3,4,10},1),"ABCDEFGHIJKLMNOPQRSTUVWXYZ")))=0,SUMPRODUCT(--ISERROR(FIND(MID(UPPER(TRIM(H316)),{5,6,7,8,9},1),"0123456789")))=0),"OK","Wrong format"))</f>
        <v/>
      </c>
      <c r="AM316" s="28">
        <f>IF(NOT(COUNTA(A316:AE316)&gt;0),"",IF(AS316&lt;&gt;"","✖ "&amp;LEFT(AS316,LEN(AS316)-2),IF(AR316&gt;0,"✔ Ready — client + "&amp;AR316&amp;" service(s)","✔ Ready — client only")))</f>
        <v/>
      </c>
      <c r="AN316" s="29">
        <f>UPPER(SUBSTITUTE(TRIM(F316)," ",""))</f>
        <v/>
      </c>
      <c r="AO316" s="29">
        <f>UPPER(SUBSTITUTE(TRIM(E316)," ",""))</f>
        <v/>
      </c>
      <c r="AP316" s="29">
        <f>IF(D316&lt;&gt;"",D316,IFERROR(VLOOKUP(MID(AG316,4,1),Lists!$E$2:$F$8,2,FALSE),""))</f>
        <v/>
      </c>
      <c r="AQ316" s="29">
        <f>IFERROR(VLOOKUP(AP316,Lists!$A$2:$C$12,3,FALSE),"")</f>
        <v/>
      </c>
      <c r="AR316" s="29">
        <f>COUNTIF(W316:AC316,"Yes")</f>
        <v/>
      </c>
      <c r="AS316" s="29">
        <f>IF(TRIM(B316)="","Legal name missing; ","")&amp;IF(AND(AJ316&lt;&gt;"",AJ316&lt;&gt;"OK"),"GSTIN: "&amp;AJ316&amp;"; ","")&amp;IF(AND(AK316&lt;&gt;"",AK316&lt;&gt;"OK"),"PAN wrong format; ","")&amp;IF(AND(AO316&lt;&gt;"",LEN(AN316)=15,MID(AN316,3,10)&lt;&gt;AO316),"PAN does not match GSTIN; ","")&amp;IF(AND(AL316&lt;&gt;"",AL316&lt;&gt;"OK"),"TAN wrong format; ","")&amp;IF(AG316="","PAN missing; ","")&amp;IF(AP316="","Entity type missing; ","")&amp;IF(AND(AN316&lt;&gt;"",COUNTIF($AN$6:$AN$1005,AN316)&gt;1),"GSTIN repeated in this sheet; ","")&amp;IF(AND(AG316&lt;&gt;"",COUNTIF($AG$6:$AG$1005,AG316)&gt;1),"PAN repeated in this sheet (same client? put extra GSTINs in Other GSTINs); ","")&amp;IF(AND(AR316&gt;0,V316=""),"Financial year missing; ","")&amp;IF(AND(AR316=0,V316&lt;&gt;""),"Financial year given but no service is Yes; ","")&amp;IF(AND(W316="Yes",AN316=""),"GST needs a GSTIN; ","")&amp;IF(AND(W316="Yes",X316=""),"GST return frequency missing; ","")&amp;IF(AND(Y316="Yes",TRIM(H316)=""),"TDS needs a TAN; ","")&amp;IF(AND(AA316="Yes",AQ316&lt;&gt;"",AQ316&lt;&gt;"company",AQ316&lt;&gt;"llp"),"ROC is only for a company / LLP; ","")&amp;IF(AND(AA316="Yes",OR(AQ316="company",AQ316="llp"),TRIM(I316)=""),"ROC needs the CIN / LLPIN; ","")</f>
        <v/>
      </c>
    </row>
    <row r="317">
      <c r="A317" s="30" t="n"/>
      <c r="B317" s="31" t="n"/>
      <c r="C317" s="31" t="n"/>
      <c r="D317" s="31" t="n"/>
      <c r="E317" s="30" t="n"/>
      <c r="F317" s="30" t="n"/>
      <c r="G317" s="30" t="n"/>
      <c r="H317" s="30" t="n"/>
      <c r="I317" s="30" t="n"/>
      <c r="J317" s="32" t="n"/>
      <c r="K317" s="31" t="n"/>
      <c r="L317" s="30" t="n"/>
      <c r="M317" s="31" t="n"/>
      <c r="N317" s="31" t="n"/>
      <c r="O317" s="31" t="n"/>
      <c r="P317" s="30" t="n"/>
      <c r="Q317" s="31" t="n"/>
      <c r="R317" s="31" t="n"/>
      <c r="S317" s="31" t="n"/>
      <c r="T317" s="31" t="n"/>
      <c r="U317" s="30" t="n"/>
      <c r="V317" s="31" t="n"/>
      <c r="W317" s="31" t="n"/>
      <c r="X317" s="31" t="n"/>
      <c r="Y317" s="31" t="n"/>
      <c r="Z317" s="31" t="n"/>
      <c r="AA317" s="31" t="n"/>
      <c r="AB317" s="31" t="n"/>
      <c r="AC317" s="31" t="n"/>
      <c r="AD317" s="31" t="n"/>
      <c r="AE317" s="31" t="n"/>
      <c r="AF317" s="27">
        <f>IF(NOT(COUNTA(A317:AE317)&gt;0),"",IF(A317="","New client","Update"))</f>
        <v/>
      </c>
      <c r="AG317" s="27">
        <f>IF(AO317&lt;&gt;"",AO317,IF(LEN(AN317)=15,MID(AN317,3,10),""))</f>
        <v/>
      </c>
      <c r="AH317" s="27">
        <f>IF(AP317="","",AP317&amp;IF(D317="","  (guessed from PAN)",""))</f>
        <v/>
      </c>
      <c r="AI317" s="27">
        <f>IF(AN317="","",IFERROR(INDEX(Lists!$L$2:$L$38,MATCH(LEFT(AN317,2),Lists!$K$2:$K$38,0)),"Unknown code"))</f>
        <v/>
      </c>
      <c r="AJ317" s="27">
        <f>IF(AN317="","",IFERROR(IF(NOT(AND(LEN(AN317)=15,ISNUMBER(MATCH(LEFT(AN317,2),Lists!$K$2:$K$38,0)),SUMPRODUCT(--ISERROR(FIND(MID(MID(AN317,3,10),{1,2,3,4,5,10},1),"ABCDEFGHIJKLMNOPQRSTUVWXYZ")))=0,SUMPRODUCT(--ISERROR(FIND(MID(MID(AN317,3,10),{6,7,8,9},1),"0123456789")))=0,ISNUMBER(FIND(MID(AN317,13,1),"123456789ABCDEFGHIJKLMNOPQRSTUVWXYZ")),MID(AN317,14,1)="Z")),"Wrong format",IF(MID("0123456789ABCDEFGHIJKLMNOPQRSTUVWXYZ",MOD(36-MOD(SUMPRODUCT(INT((FIND(MID(AN317,{1,2,3,4,5,6,7,8,9,10,11,12,13,14},1),"0123456789ABCDEFGHIJKLMNOPQRSTUVWXYZ")-1)*{1,2,1,2,1,2,1,2,1,2,1,2,1,2}/36)+MOD((FIND(MID(AN317,{1,2,3,4,5,6,7,8,9,10,11,12,13,14},1),"0123456789ABCDEFGHIJKLMNOPQRSTUVWXYZ")-1)*{1,2,1,2,1,2,1,2,1,2,1,2,1,2},36)),36),36)+1,1)=MID(AN317,15,1),"OK","Typo? check digit wrong")),"Wrong format"))</f>
        <v/>
      </c>
      <c r="AK317" s="27">
        <f>IF(AO317="","",IF(AND(LEN(AO317)=10,SUMPRODUCT(--ISERROR(FIND(MID(AO317,{1,2,3,4,5,10},1),"ABCDEFGHIJKLMNOPQRSTUVWXYZ")))=0,SUMPRODUCT(--ISERROR(FIND(MID(AO317,{6,7,8,9},1),"0123456789")))=0),"OK","Wrong format"))</f>
        <v/>
      </c>
      <c r="AL317" s="27">
        <f>IF(TRIM(H317)="","",IF(AND(LEN(UPPER(TRIM(H317)))=10,SUMPRODUCT(--ISERROR(FIND(MID(UPPER(TRIM(H317)),{1,2,3,4,10},1),"ABCDEFGHIJKLMNOPQRSTUVWXYZ")))=0,SUMPRODUCT(--ISERROR(FIND(MID(UPPER(TRIM(H317)),{5,6,7,8,9},1),"0123456789")))=0),"OK","Wrong format"))</f>
        <v/>
      </c>
      <c r="AM317" s="28">
        <f>IF(NOT(COUNTA(A317:AE317)&gt;0),"",IF(AS317&lt;&gt;"","✖ "&amp;LEFT(AS317,LEN(AS317)-2),IF(AR317&gt;0,"✔ Ready — client + "&amp;AR317&amp;" service(s)","✔ Ready — client only")))</f>
        <v/>
      </c>
      <c r="AN317" s="29">
        <f>UPPER(SUBSTITUTE(TRIM(F317)," ",""))</f>
        <v/>
      </c>
      <c r="AO317" s="29">
        <f>UPPER(SUBSTITUTE(TRIM(E317)," ",""))</f>
        <v/>
      </c>
      <c r="AP317" s="29">
        <f>IF(D317&lt;&gt;"",D317,IFERROR(VLOOKUP(MID(AG317,4,1),Lists!$E$2:$F$8,2,FALSE),""))</f>
        <v/>
      </c>
      <c r="AQ317" s="29">
        <f>IFERROR(VLOOKUP(AP317,Lists!$A$2:$C$12,3,FALSE),"")</f>
        <v/>
      </c>
      <c r="AR317" s="29">
        <f>COUNTIF(W317:AC317,"Yes")</f>
        <v/>
      </c>
      <c r="AS317" s="29">
        <f>IF(TRIM(B317)="","Legal name missing; ","")&amp;IF(AND(AJ317&lt;&gt;"",AJ317&lt;&gt;"OK"),"GSTIN: "&amp;AJ317&amp;"; ","")&amp;IF(AND(AK317&lt;&gt;"",AK317&lt;&gt;"OK"),"PAN wrong format; ","")&amp;IF(AND(AO317&lt;&gt;"",LEN(AN317)=15,MID(AN317,3,10)&lt;&gt;AO317),"PAN does not match GSTIN; ","")&amp;IF(AND(AL317&lt;&gt;"",AL317&lt;&gt;"OK"),"TAN wrong format; ","")&amp;IF(AG317="","PAN missing; ","")&amp;IF(AP317="","Entity type missing; ","")&amp;IF(AND(AN317&lt;&gt;"",COUNTIF($AN$6:$AN$1005,AN317)&gt;1),"GSTIN repeated in this sheet; ","")&amp;IF(AND(AG317&lt;&gt;"",COUNTIF($AG$6:$AG$1005,AG317)&gt;1),"PAN repeated in this sheet (same client? put extra GSTINs in Other GSTINs); ","")&amp;IF(AND(AR317&gt;0,V317=""),"Financial year missing; ","")&amp;IF(AND(AR317=0,V317&lt;&gt;""),"Financial year given but no service is Yes; ","")&amp;IF(AND(W317="Yes",AN317=""),"GST needs a GSTIN; ","")&amp;IF(AND(W317="Yes",X317=""),"GST return frequency missing; ","")&amp;IF(AND(Y317="Yes",TRIM(H317)=""),"TDS needs a TAN; ","")&amp;IF(AND(AA317="Yes",AQ317&lt;&gt;"",AQ317&lt;&gt;"company",AQ317&lt;&gt;"llp"),"ROC is only for a company / LLP; ","")&amp;IF(AND(AA317="Yes",OR(AQ317="company",AQ317="llp"),TRIM(I317)=""),"ROC needs the CIN / LLPIN; ","")</f>
        <v/>
      </c>
    </row>
    <row r="318">
      <c r="A318" s="30" t="n"/>
      <c r="B318" s="31" t="n"/>
      <c r="C318" s="31" t="n"/>
      <c r="D318" s="31" t="n"/>
      <c r="E318" s="30" t="n"/>
      <c r="F318" s="30" t="n"/>
      <c r="G318" s="30" t="n"/>
      <c r="H318" s="30" t="n"/>
      <c r="I318" s="30" t="n"/>
      <c r="J318" s="32" t="n"/>
      <c r="K318" s="31" t="n"/>
      <c r="L318" s="30" t="n"/>
      <c r="M318" s="31" t="n"/>
      <c r="N318" s="31" t="n"/>
      <c r="O318" s="31" t="n"/>
      <c r="P318" s="30" t="n"/>
      <c r="Q318" s="31" t="n"/>
      <c r="R318" s="31" t="n"/>
      <c r="S318" s="31" t="n"/>
      <c r="T318" s="31" t="n"/>
      <c r="U318" s="30" t="n"/>
      <c r="V318" s="31" t="n"/>
      <c r="W318" s="31" t="n"/>
      <c r="X318" s="31" t="n"/>
      <c r="Y318" s="31" t="n"/>
      <c r="Z318" s="31" t="n"/>
      <c r="AA318" s="31" t="n"/>
      <c r="AB318" s="31" t="n"/>
      <c r="AC318" s="31" t="n"/>
      <c r="AD318" s="31" t="n"/>
      <c r="AE318" s="31" t="n"/>
      <c r="AF318" s="27">
        <f>IF(NOT(COUNTA(A318:AE318)&gt;0),"",IF(A318="","New client","Update"))</f>
        <v/>
      </c>
      <c r="AG318" s="27">
        <f>IF(AO318&lt;&gt;"",AO318,IF(LEN(AN318)=15,MID(AN318,3,10),""))</f>
        <v/>
      </c>
      <c r="AH318" s="27">
        <f>IF(AP318="","",AP318&amp;IF(D318="","  (guessed from PAN)",""))</f>
        <v/>
      </c>
      <c r="AI318" s="27">
        <f>IF(AN318="","",IFERROR(INDEX(Lists!$L$2:$L$38,MATCH(LEFT(AN318,2),Lists!$K$2:$K$38,0)),"Unknown code"))</f>
        <v/>
      </c>
      <c r="AJ318" s="27">
        <f>IF(AN318="","",IFERROR(IF(NOT(AND(LEN(AN318)=15,ISNUMBER(MATCH(LEFT(AN318,2),Lists!$K$2:$K$38,0)),SUMPRODUCT(--ISERROR(FIND(MID(MID(AN318,3,10),{1,2,3,4,5,10},1),"ABCDEFGHIJKLMNOPQRSTUVWXYZ")))=0,SUMPRODUCT(--ISERROR(FIND(MID(MID(AN318,3,10),{6,7,8,9},1),"0123456789")))=0,ISNUMBER(FIND(MID(AN318,13,1),"123456789ABCDEFGHIJKLMNOPQRSTUVWXYZ")),MID(AN318,14,1)="Z")),"Wrong format",IF(MID("0123456789ABCDEFGHIJKLMNOPQRSTUVWXYZ",MOD(36-MOD(SUMPRODUCT(INT((FIND(MID(AN318,{1,2,3,4,5,6,7,8,9,10,11,12,13,14},1),"0123456789ABCDEFGHIJKLMNOPQRSTUVWXYZ")-1)*{1,2,1,2,1,2,1,2,1,2,1,2,1,2}/36)+MOD((FIND(MID(AN318,{1,2,3,4,5,6,7,8,9,10,11,12,13,14},1),"0123456789ABCDEFGHIJKLMNOPQRSTUVWXYZ")-1)*{1,2,1,2,1,2,1,2,1,2,1,2,1,2},36)),36),36)+1,1)=MID(AN318,15,1),"OK","Typo? check digit wrong")),"Wrong format"))</f>
        <v/>
      </c>
      <c r="AK318" s="27">
        <f>IF(AO318="","",IF(AND(LEN(AO318)=10,SUMPRODUCT(--ISERROR(FIND(MID(AO318,{1,2,3,4,5,10},1),"ABCDEFGHIJKLMNOPQRSTUVWXYZ")))=0,SUMPRODUCT(--ISERROR(FIND(MID(AO318,{6,7,8,9},1),"0123456789")))=0),"OK","Wrong format"))</f>
        <v/>
      </c>
      <c r="AL318" s="27">
        <f>IF(TRIM(H318)="","",IF(AND(LEN(UPPER(TRIM(H318)))=10,SUMPRODUCT(--ISERROR(FIND(MID(UPPER(TRIM(H318)),{1,2,3,4,10},1),"ABCDEFGHIJKLMNOPQRSTUVWXYZ")))=0,SUMPRODUCT(--ISERROR(FIND(MID(UPPER(TRIM(H318)),{5,6,7,8,9},1),"0123456789")))=0),"OK","Wrong format"))</f>
        <v/>
      </c>
      <c r="AM318" s="28">
        <f>IF(NOT(COUNTA(A318:AE318)&gt;0),"",IF(AS318&lt;&gt;"","✖ "&amp;LEFT(AS318,LEN(AS318)-2),IF(AR318&gt;0,"✔ Ready — client + "&amp;AR318&amp;" service(s)","✔ Ready — client only")))</f>
        <v/>
      </c>
      <c r="AN318" s="29">
        <f>UPPER(SUBSTITUTE(TRIM(F318)," ",""))</f>
        <v/>
      </c>
      <c r="AO318" s="29">
        <f>UPPER(SUBSTITUTE(TRIM(E318)," ",""))</f>
        <v/>
      </c>
      <c r="AP318" s="29">
        <f>IF(D318&lt;&gt;"",D318,IFERROR(VLOOKUP(MID(AG318,4,1),Lists!$E$2:$F$8,2,FALSE),""))</f>
        <v/>
      </c>
      <c r="AQ318" s="29">
        <f>IFERROR(VLOOKUP(AP318,Lists!$A$2:$C$12,3,FALSE),"")</f>
        <v/>
      </c>
      <c r="AR318" s="29">
        <f>COUNTIF(W318:AC318,"Yes")</f>
        <v/>
      </c>
      <c r="AS318" s="29">
        <f>IF(TRIM(B318)="","Legal name missing; ","")&amp;IF(AND(AJ318&lt;&gt;"",AJ318&lt;&gt;"OK"),"GSTIN: "&amp;AJ318&amp;"; ","")&amp;IF(AND(AK318&lt;&gt;"",AK318&lt;&gt;"OK"),"PAN wrong format; ","")&amp;IF(AND(AO318&lt;&gt;"",LEN(AN318)=15,MID(AN318,3,10)&lt;&gt;AO318),"PAN does not match GSTIN; ","")&amp;IF(AND(AL318&lt;&gt;"",AL318&lt;&gt;"OK"),"TAN wrong format; ","")&amp;IF(AG318="","PAN missing; ","")&amp;IF(AP318="","Entity type missing; ","")&amp;IF(AND(AN318&lt;&gt;"",COUNTIF($AN$6:$AN$1005,AN318)&gt;1),"GSTIN repeated in this sheet; ","")&amp;IF(AND(AG318&lt;&gt;"",COUNTIF($AG$6:$AG$1005,AG318)&gt;1),"PAN repeated in this sheet (same client? put extra GSTINs in Other GSTINs); ","")&amp;IF(AND(AR318&gt;0,V318=""),"Financial year missing; ","")&amp;IF(AND(AR318=0,V318&lt;&gt;""),"Financial year given but no service is Yes; ","")&amp;IF(AND(W318="Yes",AN318=""),"GST needs a GSTIN; ","")&amp;IF(AND(W318="Yes",X318=""),"GST return frequency missing; ","")&amp;IF(AND(Y318="Yes",TRIM(H318)=""),"TDS needs a TAN; ","")&amp;IF(AND(AA318="Yes",AQ318&lt;&gt;"",AQ318&lt;&gt;"company",AQ318&lt;&gt;"llp"),"ROC is only for a company / LLP; ","")&amp;IF(AND(AA318="Yes",OR(AQ318="company",AQ318="llp"),TRIM(I318)=""),"ROC needs the CIN / LLPIN; ","")</f>
        <v/>
      </c>
    </row>
    <row r="319">
      <c r="A319" s="30" t="n"/>
      <c r="B319" s="31" t="n"/>
      <c r="C319" s="31" t="n"/>
      <c r="D319" s="31" t="n"/>
      <c r="E319" s="30" t="n"/>
      <c r="F319" s="30" t="n"/>
      <c r="G319" s="30" t="n"/>
      <c r="H319" s="30" t="n"/>
      <c r="I319" s="30" t="n"/>
      <c r="J319" s="32" t="n"/>
      <c r="K319" s="31" t="n"/>
      <c r="L319" s="30" t="n"/>
      <c r="M319" s="31" t="n"/>
      <c r="N319" s="31" t="n"/>
      <c r="O319" s="31" t="n"/>
      <c r="P319" s="30" t="n"/>
      <c r="Q319" s="31" t="n"/>
      <c r="R319" s="31" t="n"/>
      <c r="S319" s="31" t="n"/>
      <c r="T319" s="31" t="n"/>
      <c r="U319" s="30" t="n"/>
      <c r="V319" s="31" t="n"/>
      <c r="W319" s="31" t="n"/>
      <c r="X319" s="31" t="n"/>
      <c r="Y319" s="31" t="n"/>
      <c r="Z319" s="31" t="n"/>
      <c r="AA319" s="31" t="n"/>
      <c r="AB319" s="31" t="n"/>
      <c r="AC319" s="31" t="n"/>
      <c r="AD319" s="31" t="n"/>
      <c r="AE319" s="31" t="n"/>
      <c r="AF319" s="27">
        <f>IF(NOT(COUNTA(A319:AE319)&gt;0),"",IF(A319="","New client","Update"))</f>
        <v/>
      </c>
      <c r="AG319" s="27">
        <f>IF(AO319&lt;&gt;"",AO319,IF(LEN(AN319)=15,MID(AN319,3,10),""))</f>
        <v/>
      </c>
      <c r="AH319" s="27">
        <f>IF(AP319="","",AP319&amp;IF(D319="","  (guessed from PAN)",""))</f>
        <v/>
      </c>
      <c r="AI319" s="27">
        <f>IF(AN319="","",IFERROR(INDEX(Lists!$L$2:$L$38,MATCH(LEFT(AN319,2),Lists!$K$2:$K$38,0)),"Unknown code"))</f>
        <v/>
      </c>
      <c r="AJ319" s="27">
        <f>IF(AN319="","",IFERROR(IF(NOT(AND(LEN(AN319)=15,ISNUMBER(MATCH(LEFT(AN319,2),Lists!$K$2:$K$38,0)),SUMPRODUCT(--ISERROR(FIND(MID(MID(AN319,3,10),{1,2,3,4,5,10},1),"ABCDEFGHIJKLMNOPQRSTUVWXYZ")))=0,SUMPRODUCT(--ISERROR(FIND(MID(MID(AN319,3,10),{6,7,8,9},1),"0123456789")))=0,ISNUMBER(FIND(MID(AN319,13,1),"123456789ABCDEFGHIJKLMNOPQRSTUVWXYZ")),MID(AN319,14,1)="Z")),"Wrong format",IF(MID("0123456789ABCDEFGHIJKLMNOPQRSTUVWXYZ",MOD(36-MOD(SUMPRODUCT(INT((FIND(MID(AN319,{1,2,3,4,5,6,7,8,9,10,11,12,13,14},1),"0123456789ABCDEFGHIJKLMNOPQRSTUVWXYZ")-1)*{1,2,1,2,1,2,1,2,1,2,1,2,1,2}/36)+MOD((FIND(MID(AN319,{1,2,3,4,5,6,7,8,9,10,11,12,13,14},1),"0123456789ABCDEFGHIJKLMNOPQRSTUVWXYZ")-1)*{1,2,1,2,1,2,1,2,1,2,1,2,1,2},36)),36),36)+1,1)=MID(AN319,15,1),"OK","Typo? check digit wrong")),"Wrong format"))</f>
        <v/>
      </c>
      <c r="AK319" s="27">
        <f>IF(AO319="","",IF(AND(LEN(AO319)=10,SUMPRODUCT(--ISERROR(FIND(MID(AO319,{1,2,3,4,5,10},1),"ABCDEFGHIJKLMNOPQRSTUVWXYZ")))=0,SUMPRODUCT(--ISERROR(FIND(MID(AO319,{6,7,8,9},1),"0123456789")))=0),"OK","Wrong format"))</f>
        <v/>
      </c>
      <c r="AL319" s="27">
        <f>IF(TRIM(H319)="","",IF(AND(LEN(UPPER(TRIM(H319)))=10,SUMPRODUCT(--ISERROR(FIND(MID(UPPER(TRIM(H319)),{1,2,3,4,10},1),"ABCDEFGHIJKLMNOPQRSTUVWXYZ")))=0,SUMPRODUCT(--ISERROR(FIND(MID(UPPER(TRIM(H319)),{5,6,7,8,9},1),"0123456789")))=0),"OK","Wrong format"))</f>
        <v/>
      </c>
      <c r="AM319" s="28">
        <f>IF(NOT(COUNTA(A319:AE319)&gt;0),"",IF(AS319&lt;&gt;"","✖ "&amp;LEFT(AS319,LEN(AS319)-2),IF(AR319&gt;0,"✔ Ready — client + "&amp;AR319&amp;" service(s)","✔ Ready — client only")))</f>
        <v/>
      </c>
      <c r="AN319" s="29">
        <f>UPPER(SUBSTITUTE(TRIM(F319)," ",""))</f>
        <v/>
      </c>
      <c r="AO319" s="29">
        <f>UPPER(SUBSTITUTE(TRIM(E319)," ",""))</f>
        <v/>
      </c>
      <c r="AP319" s="29">
        <f>IF(D319&lt;&gt;"",D319,IFERROR(VLOOKUP(MID(AG319,4,1),Lists!$E$2:$F$8,2,FALSE),""))</f>
        <v/>
      </c>
      <c r="AQ319" s="29">
        <f>IFERROR(VLOOKUP(AP319,Lists!$A$2:$C$12,3,FALSE),"")</f>
        <v/>
      </c>
      <c r="AR319" s="29">
        <f>COUNTIF(W319:AC319,"Yes")</f>
        <v/>
      </c>
      <c r="AS319" s="29">
        <f>IF(TRIM(B319)="","Legal name missing; ","")&amp;IF(AND(AJ319&lt;&gt;"",AJ319&lt;&gt;"OK"),"GSTIN: "&amp;AJ319&amp;"; ","")&amp;IF(AND(AK319&lt;&gt;"",AK319&lt;&gt;"OK"),"PAN wrong format; ","")&amp;IF(AND(AO319&lt;&gt;"",LEN(AN319)=15,MID(AN319,3,10)&lt;&gt;AO319),"PAN does not match GSTIN; ","")&amp;IF(AND(AL319&lt;&gt;"",AL319&lt;&gt;"OK"),"TAN wrong format; ","")&amp;IF(AG319="","PAN missing; ","")&amp;IF(AP319="","Entity type missing; ","")&amp;IF(AND(AN319&lt;&gt;"",COUNTIF($AN$6:$AN$1005,AN319)&gt;1),"GSTIN repeated in this sheet; ","")&amp;IF(AND(AG319&lt;&gt;"",COUNTIF($AG$6:$AG$1005,AG319)&gt;1),"PAN repeated in this sheet (same client? put extra GSTINs in Other GSTINs); ","")&amp;IF(AND(AR319&gt;0,V319=""),"Financial year missing; ","")&amp;IF(AND(AR319=0,V319&lt;&gt;""),"Financial year given but no service is Yes; ","")&amp;IF(AND(W319="Yes",AN319=""),"GST needs a GSTIN; ","")&amp;IF(AND(W319="Yes",X319=""),"GST return frequency missing; ","")&amp;IF(AND(Y319="Yes",TRIM(H319)=""),"TDS needs a TAN; ","")&amp;IF(AND(AA319="Yes",AQ319&lt;&gt;"",AQ319&lt;&gt;"company",AQ319&lt;&gt;"llp"),"ROC is only for a company / LLP; ","")&amp;IF(AND(AA319="Yes",OR(AQ319="company",AQ319="llp"),TRIM(I319)=""),"ROC needs the CIN / LLPIN; ","")</f>
        <v/>
      </c>
    </row>
    <row r="320">
      <c r="A320" s="30" t="n"/>
      <c r="B320" s="31" t="n"/>
      <c r="C320" s="31" t="n"/>
      <c r="D320" s="31" t="n"/>
      <c r="E320" s="30" t="n"/>
      <c r="F320" s="30" t="n"/>
      <c r="G320" s="30" t="n"/>
      <c r="H320" s="30" t="n"/>
      <c r="I320" s="30" t="n"/>
      <c r="J320" s="32" t="n"/>
      <c r="K320" s="31" t="n"/>
      <c r="L320" s="30" t="n"/>
      <c r="M320" s="31" t="n"/>
      <c r="N320" s="31" t="n"/>
      <c r="O320" s="31" t="n"/>
      <c r="P320" s="30" t="n"/>
      <c r="Q320" s="31" t="n"/>
      <c r="R320" s="31" t="n"/>
      <c r="S320" s="31" t="n"/>
      <c r="T320" s="31" t="n"/>
      <c r="U320" s="30" t="n"/>
      <c r="V320" s="31" t="n"/>
      <c r="W320" s="31" t="n"/>
      <c r="X320" s="31" t="n"/>
      <c r="Y320" s="31" t="n"/>
      <c r="Z320" s="31" t="n"/>
      <c r="AA320" s="31" t="n"/>
      <c r="AB320" s="31" t="n"/>
      <c r="AC320" s="31" t="n"/>
      <c r="AD320" s="31" t="n"/>
      <c r="AE320" s="31" t="n"/>
      <c r="AF320" s="27">
        <f>IF(NOT(COUNTA(A320:AE320)&gt;0),"",IF(A320="","New client","Update"))</f>
        <v/>
      </c>
      <c r="AG320" s="27">
        <f>IF(AO320&lt;&gt;"",AO320,IF(LEN(AN320)=15,MID(AN320,3,10),""))</f>
        <v/>
      </c>
      <c r="AH320" s="27">
        <f>IF(AP320="","",AP320&amp;IF(D320="","  (guessed from PAN)",""))</f>
        <v/>
      </c>
      <c r="AI320" s="27">
        <f>IF(AN320="","",IFERROR(INDEX(Lists!$L$2:$L$38,MATCH(LEFT(AN320,2),Lists!$K$2:$K$38,0)),"Unknown code"))</f>
        <v/>
      </c>
      <c r="AJ320" s="27">
        <f>IF(AN320="","",IFERROR(IF(NOT(AND(LEN(AN320)=15,ISNUMBER(MATCH(LEFT(AN320,2),Lists!$K$2:$K$38,0)),SUMPRODUCT(--ISERROR(FIND(MID(MID(AN320,3,10),{1,2,3,4,5,10},1),"ABCDEFGHIJKLMNOPQRSTUVWXYZ")))=0,SUMPRODUCT(--ISERROR(FIND(MID(MID(AN320,3,10),{6,7,8,9},1),"0123456789")))=0,ISNUMBER(FIND(MID(AN320,13,1),"123456789ABCDEFGHIJKLMNOPQRSTUVWXYZ")),MID(AN320,14,1)="Z")),"Wrong format",IF(MID("0123456789ABCDEFGHIJKLMNOPQRSTUVWXYZ",MOD(36-MOD(SUMPRODUCT(INT((FIND(MID(AN320,{1,2,3,4,5,6,7,8,9,10,11,12,13,14},1),"0123456789ABCDEFGHIJKLMNOPQRSTUVWXYZ")-1)*{1,2,1,2,1,2,1,2,1,2,1,2,1,2}/36)+MOD((FIND(MID(AN320,{1,2,3,4,5,6,7,8,9,10,11,12,13,14},1),"0123456789ABCDEFGHIJKLMNOPQRSTUVWXYZ")-1)*{1,2,1,2,1,2,1,2,1,2,1,2,1,2},36)),36),36)+1,1)=MID(AN320,15,1),"OK","Typo? check digit wrong")),"Wrong format"))</f>
        <v/>
      </c>
      <c r="AK320" s="27">
        <f>IF(AO320="","",IF(AND(LEN(AO320)=10,SUMPRODUCT(--ISERROR(FIND(MID(AO320,{1,2,3,4,5,10},1),"ABCDEFGHIJKLMNOPQRSTUVWXYZ")))=0,SUMPRODUCT(--ISERROR(FIND(MID(AO320,{6,7,8,9},1),"0123456789")))=0),"OK","Wrong format"))</f>
        <v/>
      </c>
      <c r="AL320" s="27">
        <f>IF(TRIM(H320)="","",IF(AND(LEN(UPPER(TRIM(H320)))=10,SUMPRODUCT(--ISERROR(FIND(MID(UPPER(TRIM(H320)),{1,2,3,4,10},1),"ABCDEFGHIJKLMNOPQRSTUVWXYZ")))=0,SUMPRODUCT(--ISERROR(FIND(MID(UPPER(TRIM(H320)),{5,6,7,8,9},1),"0123456789")))=0),"OK","Wrong format"))</f>
        <v/>
      </c>
      <c r="AM320" s="28">
        <f>IF(NOT(COUNTA(A320:AE320)&gt;0),"",IF(AS320&lt;&gt;"","✖ "&amp;LEFT(AS320,LEN(AS320)-2),IF(AR320&gt;0,"✔ Ready — client + "&amp;AR320&amp;" service(s)","✔ Ready — client only")))</f>
        <v/>
      </c>
      <c r="AN320" s="29">
        <f>UPPER(SUBSTITUTE(TRIM(F320)," ",""))</f>
        <v/>
      </c>
      <c r="AO320" s="29">
        <f>UPPER(SUBSTITUTE(TRIM(E320)," ",""))</f>
        <v/>
      </c>
      <c r="AP320" s="29">
        <f>IF(D320&lt;&gt;"",D320,IFERROR(VLOOKUP(MID(AG320,4,1),Lists!$E$2:$F$8,2,FALSE),""))</f>
        <v/>
      </c>
      <c r="AQ320" s="29">
        <f>IFERROR(VLOOKUP(AP320,Lists!$A$2:$C$12,3,FALSE),"")</f>
        <v/>
      </c>
      <c r="AR320" s="29">
        <f>COUNTIF(W320:AC320,"Yes")</f>
        <v/>
      </c>
      <c r="AS320" s="29">
        <f>IF(TRIM(B320)="","Legal name missing; ","")&amp;IF(AND(AJ320&lt;&gt;"",AJ320&lt;&gt;"OK"),"GSTIN: "&amp;AJ320&amp;"; ","")&amp;IF(AND(AK320&lt;&gt;"",AK320&lt;&gt;"OK"),"PAN wrong format; ","")&amp;IF(AND(AO320&lt;&gt;"",LEN(AN320)=15,MID(AN320,3,10)&lt;&gt;AO320),"PAN does not match GSTIN; ","")&amp;IF(AND(AL320&lt;&gt;"",AL320&lt;&gt;"OK"),"TAN wrong format; ","")&amp;IF(AG320="","PAN missing; ","")&amp;IF(AP320="","Entity type missing; ","")&amp;IF(AND(AN320&lt;&gt;"",COUNTIF($AN$6:$AN$1005,AN320)&gt;1),"GSTIN repeated in this sheet; ","")&amp;IF(AND(AG320&lt;&gt;"",COUNTIF($AG$6:$AG$1005,AG320)&gt;1),"PAN repeated in this sheet (same client? put extra GSTINs in Other GSTINs); ","")&amp;IF(AND(AR320&gt;0,V320=""),"Financial year missing; ","")&amp;IF(AND(AR320=0,V320&lt;&gt;""),"Financial year given but no service is Yes; ","")&amp;IF(AND(W320="Yes",AN320=""),"GST needs a GSTIN; ","")&amp;IF(AND(W320="Yes",X320=""),"GST return frequency missing; ","")&amp;IF(AND(Y320="Yes",TRIM(H320)=""),"TDS needs a TAN; ","")&amp;IF(AND(AA320="Yes",AQ320&lt;&gt;"",AQ320&lt;&gt;"company",AQ320&lt;&gt;"llp"),"ROC is only for a company / LLP; ","")&amp;IF(AND(AA320="Yes",OR(AQ320="company",AQ320="llp"),TRIM(I320)=""),"ROC needs the CIN / LLPIN; ","")</f>
        <v/>
      </c>
    </row>
    <row r="321">
      <c r="A321" s="30" t="n"/>
      <c r="B321" s="31" t="n"/>
      <c r="C321" s="31" t="n"/>
      <c r="D321" s="31" t="n"/>
      <c r="E321" s="30" t="n"/>
      <c r="F321" s="30" t="n"/>
      <c r="G321" s="30" t="n"/>
      <c r="H321" s="30" t="n"/>
      <c r="I321" s="30" t="n"/>
      <c r="J321" s="32" t="n"/>
      <c r="K321" s="31" t="n"/>
      <c r="L321" s="30" t="n"/>
      <c r="M321" s="31" t="n"/>
      <c r="N321" s="31" t="n"/>
      <c r="O321" s="31" t="n"/>
      <c r="P321" s="30" t="n"/>
      <c r="Q321" s="31" t="n"/>
      <c r="R321" s="31" t="n"/>
      <c r="S321" s="31" t="n"/>
      <c r="T321" s="31" t="n"/>
      <c r="U321" s="30" t="n"/>
      <c r="V321" s="31" t="n"/>
      <c r="W321" s="31" t="n"/>
      <c r="X321" s="31" t="n"/>
      <c r="Y321" s="31" t="n"/>
      <c r="Z321" s="31" t="n"/>
      <c r="AA321" s="31" t="n"/>
      <c r="AB321" s="31" t="n"/>
      <c r="AC321" s="31" t="n"/>
      <c r="AD321" s="31" t="n"/>
      <c r="AE321" s="31" t="n"/>
      <c r="AF321" s="27">
        <f>IF(NOT(COUNTA(A321:AE321)&gt;0),"",IF(A321="","New client","Update"))</f>
        <v/>
      </c>
      <c r="AG321" s="27">
        <f>IF(AO321&lt;&gt;"",AO321,IF(LEN(AN321)=15,MID(AN321,3,10),""))</f>
        <v/>
      </c>
      <c r="AH321" s="27">
        <f>IF(AP321="","",AP321&amp;IF(D321="","  (guessed from PAN)",""))</f>
        <v/>
      </c>
      <c r="AI321" s="27">
        <f>IF(AN321="","",IFERROR(INDEX(Lists!$L$2:$L$38,MATCH(LEFT(AN321,2),Lists!$K$2:$K$38,0)),"Unknown code"))</f>
        <v/>
      </c>
      <c r="AJ321" s="27">
        <f>IF(AN321="","",IFERROR(IF(NOT(AND(LEN(AN321)=15,ISNUMBER(MATCH(LEFT(AN321,2),Lists!$K$2:$K$38,0)),SUMPRODUCT(--ISERROR(FIND(MID(MID(AN321,3,10),{1,2,3,4,5,10},1),"ABCDEFGHIJKLMNOPQRSTUVWXYZ")))=0,SUMPRODUCT(--ISERROR(FIND(MID(MID(AN321,3,10),{6,7,8,9},1),"0123456789")))=0,ISNUMBER(FIND(MID(AN321,13,1),"123456789ABCDEFGHIJKLMNOPQRSTUVWXYZ")),MID(AN321,14,1)="Z")),"Wrong format",IF(MID("0123456789ABCDEFGHIJKLMNOPQRSTUVWXYZ",MOD(36-MOD(SUMPRODUCT(INT((FIND(MID(AN321,{1,2,3,4,5,6,7,8,9,10,11,12,13,14},1),"0123456789ABCDEFGHIJKLMNOPQRSTUVWXYZ")-1)*{1,2,1,2,1,2,1,2,1,2,1,2,1,2}/36)+MOD((FIND(MID(AN321,{1,2,3,4,5,6,7,8,9,10,11,12,13,14},1),"0123456789ABCDEFGHIJKLMNOPQRSTUVWXYZ")-1)*{1,2,1,2,1,2,1,2,1,2,1,2,1,2},36)),36),36)+1,1)=MID(AN321,15,1),"OK","Typo? check digit wrong")),"Wrong format"))</f>
        <v/>
      </c>
      <c r="AK321" s="27">
        <f>IF(AO321="","",IF(AND(LEN(AO321)=10,SUMPRODUCT(--ISERROR(FIND(MID(AO321,{1,2,3,4,5,10},1),"ABCDEFGHIJKLMNOPQRSTUVWXYZ")))=0,SUMPRODUCT(--ISERROR(FIND(MID(AO321,{6,7,8,9},1),"0123456789")))=0),"OK","Wrong format"))</f>
        <v/>
      </c>
      <c r="AL321" s="27">
        <f>IF(TRIM(H321)="","",IF(AND(LEN(UPPER(TRIM(H321)))=10,SUMPRODUCT(--ISERROR(FIND(MID(UPPER(TRIM(H321)),{1,2,3,4,10},1),"ABCDEFGHIJKLMNOPQRSTUVWXYZ")))=0,SUMPRODUCT(--ISERROR(FIND(MID(UPPER(TRIM(H321)),{5,6,7,8,9},1),"0123456789")))=0),"OK","Wrong format"))</f>
        <v/>
      </c>
      <c r="AM321" s="28">
        <f>IF(NOT(COUNTA(A321:AE321)&gt;0),"",IF(AS321&lt;&gt;"","✖ "&amp;LEFT(AS321,LEN(AS321)-2),IF(AR321&gt;0,"✔ Ready — client + "&amp;AR321&amp;" service(s)","✔ Ready — client only")))</f>
        <v/>
      </c>
      <c r="AN321" s="29">
        <f>UPPER(SUBSTITUTE(TRIM(F321)," ",""))</f>
        <v/>
      </c>
      <c r="AO321" s="29">
        <f>UPPER(SUBSTITUTE(TRIM(E321)," ",""))</f>
        <v/>
      </c>
      <c r="AP321" s="29">
        <f>IF(D321&lt;&gt;"",D321,IFERROR(VLOOKUP(MID(AG321,4,1),Lists!$E$2:$F$8,2,FALSE),""))</f>
        <v/>
      </c>
      <c r="AQ321" s="29">
        <f>IFERROR(VLOOKUP(AP321,Lists!$A$2:$C$12,3,FALSE),"")</f>
        <v/>
      </c>
      <c r="AR321" s="29">
        <f>COUNTIF(W321:AC321,"Yes")</f>
        <v/>
      </c>
      <c r="AS321" s="29">
        <f>IF(TRIM(B321)="","Legal name missing; ","")&amp;IF(AND(AJ321&lt;&gt;"",AJ321&lt;&gt;"OK"),"GSTIN: "&amp;AJ321&amp;"; ","")&amp;IF(AND(AK321&lt;&gt;"",AK321&lt;&gt;"OK"),"PAN wrong format; ","")&amp;IF(AND(AO321&lt;&gt;"",LEN(AN321)=15,MID(AN321,3,10)&lt;&gt;AO321),"PAN does not match GSTIN; ","")&amp;IF(AND(AL321&lt;&gt;"",AL321&lt;&gt;"OK"),"TAN wrong format; ","")&amp;IF(AG321="","PAN missing; ","")&amp;IF(AP321="","Entity type missing; ","")&amp;IF(AND(AN321&lt;&gt;"",COUNTIF($AN$6:$AN$1005,AN321)&gt;1),"GSTIN repeated in this sheet; ","")&amp;IF(AND(AG321&lt;&gt;"",COUNTIF($AG$6:$AG$1005,AG321)&gt;1),"PAN repeated in this sheet (same client? put extra GSTINs in Other GSTINs); ","")&amp;IF(AND(AR321&gt;0,V321=""),"Financial year missing; ","")&amp;IF(AND(AR321=0,V321&lt;&gt;""),"Financial year given but no service is Yes; ","")&amp;IF(AND(W321="Yes",AN321=""),"GST needs a GSTIN; ","")&amp;IF(AND(W321="Yes",X321=""),"GST return frequency missing; ","")&amp;IF(AND(Y321="Yes",TRIM(H321)=""),"TDS needs a TAN; ","")&amp;IF(AND(AA321="Yes",AQ321&lt;&gt;"",AQ321&lt;&gt;"company",AQ321&lt;&gt;"llp"),"ROC is only for a company / LLP; ","")&amp;IF(AND(AA321="Yes",OR(AQ321="company",AQ321="llp"),TRIM(I321)=""),"ROC needs the CIN / LLPIN; ","")</f>
        <v/>
      </c>
    </row>
    <row r="322">
      <c r="A322" s="30" t="n"/>
      <c r="B322" s="31" t="n"/>
      <c r="C322" s="31" t="n"/>
      <c r="D322" s="31" t="n"/>
      <c r="E322" s="30" t="n"/>
      <c r="F322" s="30" t="n"/>
      <c r="G322" s="30" t="n"/>
      <c r="H322" s="30" t="n"/>
      <c r="I322" s="30" t="n"/>
      <c r="J322" s="32" t="n"/>
      <c r="K322" s="31" t="n"/>
      <c r="L322" s="30" t="n"/>
      <c r="M322" s="31" t="n"/>
      <c r="N322" s="31" t="n"/>
      <c r="O322" s="31" t="n"/>
      <c r="P322" s="30" t="n"/>
      <c r="Q322" s="31" t="n"/>
      <c r="R322" s="31" t="n"/>
      <c r="S322" s="31" t="n"/>
      <c r="T322" s="31" t="n"/>
      <c r="U322" s="30" t="n"/>
      <c r="V322" s="31" t="n"/>
      <c r="W322" s="31" t="n"/>
      <c r="X322" s="31" t="n"/>
      <c r="Y322" s="31" t="n"/>
      <c r="Z322" s="31" t="n"/>
      <c r="AA322" s="31" t="n"/>
      <c r="AB322" s="31" t="n"/>
      <c r="AC322" s="31" t="n"/>
      <c r="AD322" s="31" t="n"/>
      <c r="AE322" s="31" t="n"/>
      <c r="AF322" s="27">
        <f>IF(NOT(COUNTA(A322:AE322)&gt;0),"",IF(A322="","New client","Update"))</f>
        <v/>
      </c>
      <c r="AG322" s="27">
        <f>IF(AO322&lt;&gt;"",AO322,IF(LEN(AN322)=15,MID(AN322,3,10),""))</f>
        <v/>
      </c>
      <c r="AH322" s="27">
        <f>IF(AP322="","",AP322&amp;IF(D322="","  (guessed from PAN)",""))</f>
        <v/>
      </c>
      <c r="AI322" s="27">
        <f>IF(AN322="","",IFERROR(INDEX(Lists!$L$2:$L$38,MATCH(LEFT(AN322,2),Lists!$K$2:$K$38,0)),"Unknown code"))</f>
        <v/>
      </c>
      <c r="AJ322" s="27">
        <f>IF(AN322="","",IFERROR(IF(NOT(AND(LEN(AN322)=15,ISNUMBER(MATCH(LEFT(AN322,2),Lists!$K$2:$K$38,0)),SUMPRODUCT(--ISERROR(FIND(MID(MID(AN322,3,10),{1,2,3,4,5,10},1),"ABCDEFGHIJKLMNOPQRSTUVWXYZ")))=0,SUMPRODUCT(--ISERROR(FIND(MID(MID(AN322,3,10),{6,7,8,9},1),"0123456789")))=0,ISNUMBER(FIND(MID(AN322,13,1),"123456789ABCDEFGHIJKLMNOPQRSTUVWXYZ")),MID(AN322,14,1)="Z")),"Wrong format",IF(MID("0123456789ABCDEFGHIJKLMNOPQRSTUVWXYZ",MOD(36-MOD(SUMPRODUCT(INT((FIND(MID(AN322,{1,2,3,4,5,6,7,8,9,10,11,12,13,14},1),"0123456789ABCDEFGHIJKLMNOPQRSTUVWXYZ")-1)*{1,2,1,2,1,2,1,2,1,2,1,2,1,2}/36)+MOD((FIND(MID(AN322,{1,2,3,4,5,6,7,8,9,10,11,12,13,14},1),"0123456789ABCDEFGHIJKLMNOPQRSTUVWXYZ")-1)*{1,2,1,2,1,2,1,2,1,2,1,2,1,2},36)),36),36)+1,1)=MID(AN322,15,1),"OK","Typo? check digit wrong")),"Wrong format"))</f>
        <v/>
      </c>
      <c r="AK322" s="27">
        <f>IF(AO322="","",IF(AND(LEN(AO322)=10,SUMPRODUCT(--ISERROR(FIND(MID(AO322,{1,2,3,4,5,10},1),"ABCDEFGHIJKLMNOPQRSTUVWXYZ")))=0,SUMPRODUCT(--ISERROR(FIND(MID(AO322,{6,7,8,9},1),"0123456789")))=0),"OK","Wrong format"))</f>
        <v/>
      </c>
      <c r="AL322" s="27">
        <f>IF(TRIM(H322)="","",IF(AND(LEN(UPPER(TRIM(H322)))=10,SUMPRODUCT(--ISERROR(FIND(MID(UPPER(TRIM(H322)),{1,2,3,4,10},1),"ABCDEFGHIJKLMNOPQRSTUVWXYZ")))=0,SUMPRODUCT(--ISERROR(FIND(MID(UPPER(TRIM(H322)),{5,6,7,8,9},1),"0123456789")))=0),"OK","Wrong format"))</f>
        <v/>
      </c>
      <c r="AM322" s="28">
        <f>IF(NOT(COUNTA(A322:AE322)&gt;0),"",IF(AS322&lt;&gt;"","✖ "&amp;LEFT(AS322,LEN(AS322)-2),IF(AR322&gt;0,"✔ Ready — client + "&amp;AR322&amp;" service(s)","✔ Ready — client only")))</f>
        <v/>
      </c>
      <c r="AN322" s="29">
        <f>UPPER(SUBSTITUTE(TRIM(F322)," ",""))</f>
        <v/>
      </c>
      <c r="AO322" s="29">
        <f>UPPER(SUBSTITUTE(TRIM(E322)," ",""))</f>
        <v/>
      </c>
      <c r="AP322" s="29">
        <f>IF(D322&lt;&gt;"",D322,IFERROR(VLOOKUP(MID(AG322,4,1),Lists!$E$2:$F$8,2,FALSE),""))</f>
        <v/>
      </c>
      <c r="AQ322" s="29">
        <f>IFERROR(VLOOKUP(AP322,Lists!$A$2:$C$12,3,FALSE),"")</f>
        <v/>
      </c>
      <c r="AR322" s="29">
        <f>COUNTIF(W322:AC322,"Yes")</f>
        <v/>
      </c>
      <c r="AS322" s="29">
        <f>IF(TRIM(B322)="","Legal name missing; ","")&amp;IF(AND(AJ322&lt;&gt;"",AJ322&lt;&gt;"OK"),"GSTIN: "&amp;AJ322&amp;"; ","")&amp;IF(AND(AK322&lt;&gt;"",AK322&lt;&gt;"OK"),"PAN wrong format; ","")&amp;IF(AND(AO322&lt;&gt;"",LEN(AN322)=15,MID(AN322,3,10)&lt;&gt;AO322),"PAN does not match GSTIN; ","")&amp;IF(AND(AL322&lt;&gt;"",AL322&lt;&gt;"OK"),"TAN wrong format; ","")&amp;IF(AG322="","PAN missing; ","")&amp;IF(AP322="","Entity type missing; ","")&amp;IF(AND(AN322&lt;&gt;"",COUNTIF($AN$6:$AN$1005,AN322)&gt;1),"GSTIN repeated in this sheet; ","")&amp;IF(AND(AG322&lt;&gt;"",COUNTIF($AG$6:$AG$1005,AG322)&gt;1),"PAN repeated in this sheet (same client? put extra GSTINs in Other GSTINs); ","")&amp;IF(AND(AR322&gt;0,V322=""),"Financial year missing; ","")&amp;IF(AND(AR322=0,V322&lt;&gt;""),"Financial year given but no service is Yes; ","")&amp;IF(AND(W322="Yes",AN322=""),"GST needs a GSTIN; ","")&amp;IF(AND(W322="Yes",X322=""),"GST return frequency missing; ","")&amp;IF(AND(Y322="Yes",TRIM(H322)=""),"TDS needs a TAN; ","")&amp;IF(AND(AA322="Yes",AQ322&lt;&gt;"",AQ322&lt;&gt;"company",AQ322&lt;&gt;"llp"),"ROC is only for a company / LLP; ","")&amp;IF(AND(AA322="Yes",OR(AQ322="company",AQ322="llp"),TRIM(I322)=""),"ROC needs the CIN / LLPIN; ","")</f>
        <v/>
      </c>
    </row>
    <row r="323">
      <c r="A323" s="30" t="n"/>
      <c r="B323" s="31" t="n"/>
      <c r="C323" s="31" t="n"/>
      <c r="D323" s="31" t="n"/>
      <c r="E323" s="30" t="n"/>
      <c r="F323" s="30" t="n"/>
      <c r="G323" s="30" t="n"/>
      <c r="H323" s="30" t="n"/>
      <c r="I323" s="30" t="n"/>
      <c r="J323" s="32" t="n"/>
      <c r="K323" s="31" t="n"/>
      <c r="L323" s="30" t="n"/>
      <c r="M323" s="31" t="n"/>
      <c r="N323" s="31" t="n"/>
      <c r="O323" s="31" t="n"/>
      <c r="P323" s="30" t="n"/>
      <c r="Q323" s="31" t="n"/>
      <c r="R323" s="31" t="n"/>
      <c r="S323" s="31" t="n"/>
      <c r="T323" s="31" t="n"/>
      <c r="U323" s="30" t="n"/>
      <c r="V323" s="31" t="n"/>
      <c r="W323" s="31" t="n"/>
      <c r="X323" s="31" t="n"/>
      <c r="Y323" s="31" t="n"/>
      <c r="Z323" s="31" t="n"/>
      <c r="AA323" s="31" t="n"/>
      <c r="AB323" s="31" t="n"/>
      <c r="AC323" s="31" t="n"/>
      <c r="AD323" s="31" t="n"/>
      <c r="AE323" s="31" t="n"/>
      <c r="AF323" s="27">
        <f>IF(NOT(COUNTA(A323:AE323)&gt;0),"",IF(A323="","New client","Update"))</f>
        <v/>
      </c>
      <c r="AG323" s="27">
        <f>IF(AO323&lt;&gt;"",AO323,IF(LEN(AN323)=15,MID(AN323,3,10),""))</f>
        <v/>
      </c>
      <c r="AH323" s="27">
        <f>IF(AP323="","",AP323&amp;IF(D323="","  (guessed from PAN)",""))</f>
        <v/>
      </c>
      <c r="AI323" s="27">
        <f>IF(AN323="","",IFERROR(INDEX(Lists!$L$2:$L$38,MATCH(LEFT(AN323,2),Lists!$K$2:$K$38,0)),"Unknown code"))</f>
        <v/>
      </c>
      <c r="AJ323" s="27">
        <f>IF(AN323="","",IFERROR(IF(NOT(AND(LEN(AN323)=15,ISNUMBER(MATCH(LEFT(AN323,2),Lists!$K$2:$K$38,0)),SUMPRODUCT(--ISERROR(FIND(MID(MID(AN323,3,10),{1,2,3,4,5,10},1),"ABCDEFGHIJKLMNOPQRSTUVWXYZ")))=0,SUMPRODUCT(--ISERROR(FIND(MID(MID(AN323,3,10),{6,7,8,9},1),"0123456789")))=0,ISNUMBER(FIND(MID(AN323,13,1),"123456789ABCDEFGHIJKLMNOPQRSTUVWXYZ")),MID(AN323,14,1)="Z")),"Wrong format",IF(MID("0123456789ABCDEFGHIJKLMNOPQRSTUVWXYZ",MOD(36-MOD(SUMPRODUCT(INT((FIND(MID(AN323,{1,2,3,4,5,6,7,8,9,10,11,12,13,14},1),"0123456789ABCDEFGHIJKLMNOPQRSTUVWXYZ")-1)*{1,2,1,2,1,2,1,2,1,2,1,2,1,2}/36)+MOD((FIND(MID(AN323,{1,2,3,4,5,6,7,8,9,10,11,12,13,14},1),"0123456789ABCDEFGHIJKLMNOPQRSTUVWXYZ")-1)*{1,2,1,2,1,2,1,2,1,2,1,2,1,2},36)),36),36)+1,1)=MID(AN323,15,1),"OK","Typo? check digit wrong")),"Wrong format"))</f>
        <v/>
      </c>
      <c r="AK323" s="27">
        <f>IF(AO323="","",IF(AND(LEN(AO323)=10,SUMPRODUCT(--ISERROR(FIND(MID(AO323,{1,2,3,4,5,10},1),"ABCDEFGHIJKLMNOPQRSTUVWXYZ")))=0,SUMPRODUCT(--ISERROR(FIND(MID(AO323,{6,7,8,9},1),"0123456789")))=0),"OK","Wrong format"))</f>
        <v/>
      </c>
      <c r="AL323" s="27">
        <f>IF(TRIM(H323)="","",IF(AND(LEN(UPPER(TRIM(H323)))=10,SUMPRODUCT(--ISERROR(FIND(MID(UPPER(TRIM(H323)),{1,2,3,4,10},1),"ABCDEFGHIJKLMNOPQRSTUVWXYZ")))=0,SUMPRODUCT(--ISERROR(FIND(MID(UPPER(TRIM(H323)),{5,6,7,8,9},1),"0123456789")))=0),"OK","Wrong format"))</f>
        <v/>
      </c>
      <c r="AM323" s="28">
        <f>IF(NOT(COUNTA(A323:AE323)&gt;0),"",IF(AS323&lt;&gt;"","✖ "&amp;LEFT(AS323,LEN(AS323)-2),IF(AR323&gt;0,"✔ Ready — client + "&amp;AR323&amp;" service(s)","✔ Ready — client only")))</f>
        <v/>
      </c>
      <c r="AN323" s="29">
        <f>UPPER(SUBSTITUTE(TRIM(F323)," ",""))</f>
        <v/>
      </c>
      <c r="AO323" s="29">
        <f>UPPER(SUBSTITUTE(TRIM(E323)," ",""))</f>
        <v/>
      </c>
      <c r="AP323" s="29">
        <f>IF(D323&lt;&gt;"",D323,IFERROR(VLOOKUP(MID(AG323,4,1),Lists!$E$2:$F$8,2,FALSE),""))</f>
        <v/>
      </c>
      <c r="AQ323" s="29">
        <f>IFERROR(VLOOKUP(AP323,Lists!$A$2:$C$12,3,FALSE),"")</f>
        <v/>
      </c>
      <c r="AR323" s="29">
        <f>COUNTIF(W323:AC323,"Yes")</f>
        <v/>
      </c>
      <c r="AS323" s="29">
        <f>IF(TRIM(B323)="","Legal name missing; ","")&amp;IF(AND(AJ323&lt;&gt;"",AJ323&lt;&gt;"OK"),"GSTIN: "&amp;AJ323&amp;"; ","")&amp;IF(AND(AK323&lt;&gt;"",AK323&lt;&gt;"OK"),"PAN wrong format; ","")&amp;IF(AND(AO323&lt;&gt;"",LEN(AN323)=15,MID(AN323,3,10)&lt;&gt;AO323),"PAN does not match GSTIN; ","")&amp;IF(AND(AL323&lt;&gt;"",AL323&lt;&gt;"OK"),"TAN wrong format; ","")&amp;IF(AG323="","PAN missing; ","")&amp;IF(AP323="","Entity type missing; ","")&amp;IF(AND(AN323&lt;&gt;"",COUNTIF($AN$6:$AN$1005,AN323)&gt;1),"GSTIN repeated in this sheet; ","")&amp;IF(AND(AG323&lt;&gt;"",COUNTIF($AG$6:$AG$1005,AG323)&gt;1),"PAN repeated in this sheet (same client? put extra GSTINs in Other GSTINs); ","")&amp;IF(AND(AR323&gt;0,V323=""),"Financial year missing; ","")&amp;IF(AND(AR323=0,V323&lt;&gt;""),"Financial year given but no service is Yes; ","")&amp;IF(AND(W323="Yes",AN323=""),"GST needs a GSTIN; ","")&amp;IF(AND(W323="Yes",X323=""),"GST return frequency missing; ","")&amp;IF(AND(Y323="Yes",TRIM(H323)=""),"TDS needs a TAN; ","")&amp;IF(AND(AA323="Yes",AQ323&lt;&gt;"",AQ323&lt;&gt;"company",AQ323&lt;&gt;"llp"),"ROC is only for a company / LLP; ","")&amp;IF(AND(AA323="Yes",OR(AQ323="company",AQ323="llp"),TRIM(I323)=""),"ROC needs the CIN / LLPIN; ","")</f>
        <v/>
      </c>
    </row>
    <row r="324">
      <c r="A324" s="30" t="n"/>
      <c r="B324" s="31" t="n"/>
      <c r="C324" s="31" t="n"/>
      <c r="D324" s="31" t="n"/>
      <c r="E324" s="30" t="n"/>
      <c r="F324" s="30" t="n"/>
      <c r="G324" s="30" t="n"/>
      <c r="H324" s="30" t="n"/>
      <c r="I324" s="30" t="n"/>
      <c r="J324" s="32" t="n"/>
      <c r="K324" s="31" t="n"/>
      <c r="L324" s="30" t="n"/>
      <c r="M324" s="31" t="n"/>
      <c r="N324" s="31" t="n"/>
      <c r="O324" s="31" t="n"/>
      <c r="P324" s="30" t="n"/>
      <c r="Q324" s="31" t="n"/>
      <c r="R324" s="31" t="n"/>
      <c r="S324" s="31" t="n"/>
      <c r="T324" s="31" t="n"/>
      <c r="U324" s="30" t="n"/>
      <c r="V324" s="31" t="n"/>
      <c r="W324" s="31" t="n"/>
      <c r="X324" s="31" t="n"/>
      <c r="Y324" s="31" t="n"/>
      <c r="Z324" s="31" t="n"/>
      <c r="AA324" s="31" t="n"/>
      <c r="AB324" s="31" t="n"/>
      <c r="AC324" s="31" t="n"/>
      <c r="AD324" s="31" t="n"/>
      <c r="AE324" s="31" t="n"/>
      <c r="AF324" s="27">
        <f>IF(NOT(COUNTA(A324:AE324)&gt;0),"",IF(A324="","New client","Update"))</f>
        <v/>
      </c>
      <c r="AG324" s="27">
        <f>IF(AO324&lt;&gt;"",AO324,IF(LEN(AN324)=15,MID(AN324,3,10),""))</f>
        <v/>
      </c>
      <c r="AH324" s="27">
        <f>IF(AP324="","",AP324&amp;IF(D324="","  (guessed from PAN)",""))</f>
        <v/>
      </c>
      <c r="AI324" s="27">
        <f>IF(AN324="","",IFERROR(INDEX(Lists!$L$2:$L$38,MATCH(LEFT(AN324,2),Lists!$K$2:$K$38,0)),"Unknown code"))</f>
        <v/>
      </c>
      <c r="AJ324" s="27">
        <f>IF(AN324="","",IFERROR(IF(NOT(AND(LEN(AN324)=15,ISNUMBER(MATCH(LEFT(AN324,2),Lists!$K$2:$K$38,0)),SUMPRODUCT(--ISERROR(FIND(MID(MID(AN324,3,10),{1,2,3,4,5,10},1),"ABCDEFGHIJKLMNOPQRSTUVWXYZ")))=0,SUMPRODUCT(--ISERROR(FIND(MID(MID(AN324,3,10),{6,7,8,9},1),"0123456789")))=0,ISNUMBER(FIND(MID(AN324,13,1),"123456789ABCDEFGHIJKLMNOPQRSTUVWXYZ")),MID(AN324,14,1)="Z")),"Wrong format",IF(MID("0123456789ABCDEFGHIJKLMNOPQRSTUVWXYZ",MOD(36-MOD(SUMPRODUCT(INT((FIND(MID(AN324,{1,2,3,4,5,6,7,8,9,10,11,12,13,14},1),"0123456789ABCDEFGHIJKLMNOPQRSTUVWXYZ")-1)*{1,2,1,2,1,2,1,2,1,2,1,2,1,2}/36)+MOD((FIND(MID(AN324,{1,2,3,4,5,6,7,8,9,10,11,12,13,14},1),"0123456789ABCDEFGHIJKLMNOPQRSTUVWXYZ")-1)*{1,2,1,2,1,2,1,2,1,2,1,2,1,2},36)),36),36)+1,1)=MID(AN324,15,1),"OK","Typo? check digit wrong")),"Wrong format"))</f>
        <v/>
      </c>
      <c r="AK324" s="27">
        <f>IF(AO324="","",IF(AND(LEN(AO324)=10,SUMPRODUCT(--ISERROR(FIND(MID(AO324,{1,2,3,4,5,10},1),"ABCDEFGHIJKLMNOPQRSTUVWXYZ")))=0,SUMPRODUCT(--ISERROR(FIND(MID(AO324,{6,7,8,9},1),"0123456789")))=0),"OK","Wrong format"))</f>
        <v/>
      </c>
      <c r="AL324" s="27">
        <f>IF(TRIM(H324)="","",IF(AND(LEN(UPPER(TRIM(H324)))=10,SUMPRODUCT(--ISERROR(FIND(MID(UPPER(TRIM(H324)),{1,2,3,4,10},1),"ABCDEFGHIJKLMNOPQRSTUVWXYZ")))=0,SUMPRODUCT(--ISERROR(FIND(MID(UPPER(TRIM(H324)),{5,6,7,8,9},1),"0123456789")))=0),"OK","Wrong format"))</f>
        <v/>
      </c>
      <c r="AM324" s="28">
        <f>IF(NOT(COUNTA(A324:AE324)&gt;0),"",IF(AS324&lt;&gt;"","✖ "&amp;LEFT(AS324,LEN(AS324)-2),IF(AR324&gt;0,"✔ Ready — client + "&amp;AR324&amp;" service(s)","✔ Ready — client only")))</f>
        <v/>
      </c>
      <c r="AN324" s="29">
        <f>UPPER(SUBSTITUTE(TRIM(F324)," ",""))</f>
        <v/>
      </c>
      <c r="AO324" s="29">
        <f>UPPER(SUBSTITUTE(TRIM(E324)," ",""))</f>
        <v/>
      </c>
      <c r="AP324" s="29">
        <f>IF(D324&lt;&gt;"",D324,IFERROR(VLOOKUP(MID(AG324,4,1),Lists!$E$2:$F$8,2,FALSE),""))</f>
        <v/>
      </c>
      <c r="AQ324" s="29">
        <f>IFERROR(VLOOKUP(AP324,Lists!$A$2:$C$12,3,FALSE),"")</f>
        <v/>
      </c>
      <c r="AR324" s="29">
        <f>COUNTIF(W324:AC324,"Yes")</f>
        <v/>
      </c>
      <c r="AS324" s="29">
        <f>IF(TRIM(B324)="","Legal name missing; ","")&amp;IF(AND(AJ324&lt;&gt;"",AJ324&lt;&gt;"OK"),"GSTIN: "&amp;AJ324&amp;"; ","")&amp;IF(AND(AK324&lt;&gt;"",AK324&lt;&gt;"OK"),"PAN wrong format; ","")&amp;IF(AND(AO324&lt;&gt;"",LEN(AN324)=15,MID(AN324,3,10)&lt;&gt;AO324),"PAN does not match GSTIN; ","")&amp;IF(AND(AL324&lt;&gt;"",AL324&lt;&gt;"OK"),"TAN wrong format; ","")&amp;IF(AG324="","PAN missing; ","")&amp;IF(AP324="","Entity type missing; ","")&amp;IF(AND(AN324&lt;&gt;"",COUNTIF($AN$6:$AN$1005,AN324)&gt;1),"GSTIN repeated in this sheet; ","")&amp;IF(AND(AG324&lt;&gt;"",COUNTIF($AG$6:$AG$1005,AG324)&gt;1),"PAN repeated in this sheet (same client? put extra GSTINs in Other GSTINs); ","")&amp;IF(AND(AR324&gt;0,V324=""),"Financial year missing; ","")&amp;IF(AND(AR324=0,V324&lt;&gt;""),"Financial year given but no service is Yes; ","")&amp;IF(AND(W324="Yes",AN324=""),"GST needs a GSTIN; ","")&amp;IF(AND(W324="Yes",X324=""),"GST return frequency missing; ","")&amp;IF(AND(Y324="Yes",TRIM(H324)=""),"TDS needs a TAN; ","")&amp;IF(AND(AA324="Yes",AQ324&lt;&gt;"",AQ324&lt;&gt;"company",AQ324&lt;&gt;"llp"),"ROC is only for a company / LLP; ","")&amp;IF(AND(AA324="Yes",OR(AQ324="company",AQ324="llp"),TRIM(I324)=""),"ROC needs the CIN / LLPIN; ","")</f>
        <v/>
      </c>
    </row>
    <row r="325">
      <c r="A325" s="30" t="n"/>
      <c r="B325" s="31" t="n"/>
      <c r="C325" s="31" t="n"/>
      <c r="D325" s="31" t="n"/>
      <c r="E325" s="30" t="n"/>
      <c r="F325" s="30" t="n"/>
      <c r="G325" s="30" t="n"/>
      <c r="H325" s="30" t="n"/>
      <c r="I325" s="30" t="n"/>
      <c r="J325" s="32" t="n"/>
      <c r="K325" s="31" t="n"/>
      <c r="L325" s="30" t="n"/>
      <c r="M325" s="31" t="n"/>
      <c r="N325" s="31" t="n"/>
      <c r="O325" s="31" t="n"/>
      <c r="P325" s="30" t="n"/>
      <c r="Q325" s="31" t="n"/>
      <c r="R325" s="31" t="n"/>
      <c r="S325" s="31" t="n"/>
      <c r="T325" s="31" t="n"/>
      <c r="U325" s="30" t="n"/>
      <c r="V325" s="31" t="n"/>
      <c r="W325" s="31" t="n"/>
      <c r="X325" s="31" t="n"/>
      <c r="Y325" s="31" t="n"/>
      <c r="Z325" s="31" t="n"/>
      <c r="AA325" s="31" t="n"/>
      <c r="AB325" s="31" t="n"/>
      <c r="AC325" s="31" t="n"/>
      <c r="AD325" s="31" t="n"/>
      <c r="AE325" s="31" t="n"/>
      <c r="AF325" s="27">
        <f>IF(NOT(COUNTA(A325:AE325)&gt;0),"",IF(A325="","New client","Update"))</f>
        <v/>
      </c>
      <c r="AG325" s="27">
        <f>IF(AO325&lt;&gt;"",AO325,IF(LEN(AN325)=15,MID(AN325,3,10),""))</f>
        <v/>
      </c>
      <c r="AH325" s="27">
        <f>IF(AP325="","",AP325&amp;IF(D325="","  (guessed from PAN)",""))</f>
        <v/>
      </c>
      <c r="AI325" s="27">
        <f>IF(AN325="","",IFERROR(INDEX(Lists!$L$2:$L$38,MATCH(LEFT(AN325,2),Lists!$K$2:$K$38,0)),"Unknown code"))</f>
        <v/>
      </c>
      <c r="AJ325" s="27">
        <f>IF(AN325="","",IFERROR(IF(NOT(AND(LEN(AN325)=15,ISNUMBER(MATCH(LEFT(AN325,2),Lists!$K$2:$K$38,0)),SUMPRODUCT(--ISERROR(FIND(MID(MID(AN325,3,10),{1,2,3,4,5,10},1),"ABCDEFGHIJKLMNOPQRSTUVWXYZ")))=0,SUMPRODUCT(--ISERROR(FIND(MID(MID(AN325,3,10),{6,7,8,9},1),"0123456789")))=0,ISNUMBER(FIND(MID(AN325,13,1),"123456789ABCDEFGHIJKLMNOPQRSTUVWXYZ")),MID(AN325,14,1)="Z")),"Wrong format",IF(MID("0123456789ABCDEFGHIJKLMNOPQRSTUVWXYZ",MOD(36-MOD(SUMPRODUCT(INT((FIND(MID(AN325,{1,2,3,4,5,6,7,8,9,10,11,12,13,14},1),"0123456789ABCDEFGHIJKLMNOPQRSTUVWXYZ")-1)*{1,2,1,2,1,2,1,2,1,2,1,2,1,2}/36)+MOD((FIND(MID(AN325,{1,2,3,4,5,6,7,8,9,10,11,12,13,14},1),"0123456789ABCDEFGHIJKLMNOPQRSTUVWXYZ")-1)*{1,2,1,2,1,2,1,2,1,2,1,2,1,2},36)),36),36)+1,1)=MID(AN325,15,1),"OK","Typo? check digit wrong")),"Wrong format"))</f>
        <v/>
      </c>
      <c r="AK325" s="27">
        <f>IF(AO325="","",IF(AND(LEN(AO325)=10,SUMPRODUCT(--ISERROR(FIND(MID(AO325,{1,2,3,4,5,10},1),"ABCDEFGHIJKLMNOPQRSTUVWXYZ")))=0,SUMPRODUCT(--ISERROR(FIND(MID(AO325,{6,7,8,9},1),"0123456789")))=0),"OK","Wrong format"))</f>
        <v/>
      </c>
      <c r="AL325" s="27">
        <f>IF(TRIM(H325)="","",IF(AND(LEN(UPPER(TRIM(H325)))=10,SUMPRODUCT(--ISERROR(FIND(MID(UPPER(TRIM(H325)),{1,2,3,4,10},1),"ABCDEFGHIJKLMNOPQRSTUVWXYZ")))=0,SUMPRODUCT(--ISERROR(FIND(MID(UPPER(TRIM(H325)),{5,6,7,8,9},1),"0123456789")))=0),"OK","Wrong format"))</f>
        <v/>
      </c>
      <c r="AM325" s="28">
        <f>IF(NOT(COUNTA(A325:AE325)&gt;0),"",IF(AS325&lt;&gt;"","✖ "&amp;LEFT(AS325,LEN(AS325)-2),IF(AR325&gt;0,"✔ Ready — client + "&amp;AR325&amp;" service(s)","✔ Ready — client only")))</f>
        <v/>
      </c>
      <c r="AN325" s="29">
        <f>UPPER(SUBSTITUTE(TRIM(F325)," ",""))</f>
        <v/>
      </c>
      <c r="AO325" s="29">
        <f>UPPER(SUBSTITUTE(TRIM(E325)," ",""))</f>
        <v/>
      </c>
      <c r="AP325" s="29">
        <f>IF(D325&lt;&gt;"",D325,IFERROR(VLOOKUP(MID(AG325,4,1),Lists!$E$2:$F$8,2,FALSE),""))</f>
        <v/>
      </c>
      <c r="AQ325" s="29">
        <f>IFERROR(VLOOKUP(AP325,Lists!$A$2:$C$12,3,FALSE),"")</f>
        <v/>
      </c>
      <c r="AR325" s="29">
        <f>COUNTIF(W325:AC325,"Yes")</f>
        <v/>
      </c>
      <c r="AS325" s="29">
        <f>IF(TRIM(B325)="","Legal name missing; ","")&amp;IF(AND(AJ325&lt;&gt;"",AJ325&lt;&gt;"OK"),"GSTIN: "&amp;AJ325&amp;"; ","")&amp;IF(AND(AK325&lt;&gt;"",AK325&lt;&gt;"OK"),"PAN wrong format; ","")&amp;IF(AND(AO325&lt;&gt;"",LEN(AN325)=15,MID(AN325,3,10)&lt;&gt;AO325),"PAN does not match GSTIN; ","")&amp;IF(AND(AL325&lt;&gt;"",AL325&lt;&gt;"OK"),"TAN wrong format; ","")&amp;IF(AG325="","PAN missing; ","")&amp;IF(AP325="","Entity type missing; ","")&amp;IF(AND(AN325&lt;&gt;"",COUNTIF($AN$6:$AN$1005,AN325)&gt;1),"GSTIN repeated in this sheet; ","")&amp;IF(AND(AG325&lt;&gt;"",COUNTIF($AG$6:$AG$1005,AG325)&gt;1),"PAN repeated in this sheet (same client? put extra GSTINs in Other GSTINs); ","")&amp;IF(AND(AR325&gt;0,V325=""),"Financial year missing; ","")&amp;IF(AND(AR325=0,V325&lt;&gt;""),"Financial year given but no service is Yes; ","")&amp;IF(AND(W325="Yes",AN325=""),"GST needs a GSTIN; ","")&amp;IF(AND(W325="Yes",X325=""),"GST return frequency missing; ","")&amp;IF(AND(Y325="Yes",TRIM(H325)=""),"TDS needs a TAN; ","")&amp;IF(AND(AA325="Yes",AQ325&lt;&gt;"",AQ325&lt;&gt;"company",AQ325&lt;&gt;"llp"),"ROC is only for a company / LLP; ","")&amp;IF(AND(AA325="Yes",OR(AQ325="company",AQ325="llp"),TRIM(I325)=""),"ROC needs the CIN / LLPIN; ","")</f>
        <v/>
      </c>
    </row>
    <row r="326">
      <c r="A326" s="30" t="n"/>
      <c r="B326" s="31" t="n"/>
      <c r="C326" s="31" t="n"/>
      <c r="D326" s="31" t="n"/>
      <c r="E326" s="30" t="n"/>
      <c r="F326" s="30" t="n"/>
      <c r="G326" s="30" t="n"/>
      <c r="H326" s="30" t="n"/>
      <c r="I326" s="30" t="n"/>
      <c r="J326" s="32" t="n"/>
      <c r="K326" s="31" t="n"/>
      <c r="L326" s="30" t="n"/>
      <c r="M326" s="31" t="n"/>
      <c r="N326" s="31" t="n"/>
      <c r="O326" s="31" t="n"/>
      <c r="P326" s="30" t="n"/>
      <c r="Q326" s="31" t="n"/>
      <c r="R326" s="31" t="n"/>
      <c r="S326" s="31" t="n"/>
      <c r="T326" s="31" t="n"/>
      <c r="U326" s="30" t="n"/>
      <c r="V326" s="31" t="n"/>
      <c r="W326" s="31" t="n"/>
      <c r="X326" s="31" t="n"/>
      <c r="Y326" s="31" t="n"/>
      <c r="Z326" s="31" t="n"/>
      <c r="AA326" s="31" t="n"/>
      <c r="AB326" s="31" t="n"/>
      <c r="AC326" s="31" t="n"/>
      <c r="AD326" s="31" t="n"/>
      <c r="AE326" s="31" t="n"/>
      <c r="AF326" s="27">
        <f>IF(NOT(COUNTA(A326:AE326)&gt;0),"",IF(A326="","New client","Update"))</f>
        <v/>
      </c>
      <c r="AG326" s="27">
        <f>IF(AO326&lt;&gt;"",AO326,IF(LEN(AN326)=15,MID(AN326,3,10),""))</f>
        <v/>
      </c>
      <c r="AH326" s="27">
        <f>IF(AP326="","",AP326&amp;IF(D326="","  (guessed from PAN)",""))</f>
        <v/>
      </c>
      <c r="AI326" s="27">
        <f>IF(AN326="","",IFERROR(INDEX(Lists!$L$2:$L$38,MATCH(LEFT(AN326,2),Lists!$K$2:$K$38,0)),"Unknown code"))</f>
        <v/>
      </c>
      <c r="AJ326" s="27">
        <f>IF(AN326="","",IFERROR(IF(NOT(AND(LEN(AN326)=15,ISNUMBER(MATCH(LEFT(AN326,2),Lists!$K$2:$K$38,0)),SUMPRODUCT(--ISERROR(FIND(MID(MID(AN326,3,10),{1,2,3,4,5,10},1),"ABCDEFGHIJKLMNOPQRSTUVWXYZ")))=0,SUMPRODUCT(--ISERROR(FIND(MID(MID(AN326,3,10),{6,7,8,9},1),"0123456789")))=0,ISNUMBER(FIND(MID(AN326,13,1),"123456789ABCDEFGHIJKLMNOPQRSTUVWXYZ")),MID(AN326,14,1)="Z")),"Wrong format",IF(MID("0123456789ABCDEFGHIJKLMNOPQRSTUVWXYZ",MOD(36-MOD(SUMPRODUCT(INT((FIND(MID(AN326,{1,2,3,4,5,6,7,8,9,10,11,12,13,14},1),"0123456789ABCDEFGHIJKLMNOPQRSTUVWXYZ")-1)*{1,2,1,2,1,2,1,2,1,2,1,2,1,2}/36)+MOD((FIND(MID(AN326,{1,2,3,4,5,6,7,8,9,10,11,12,13,14},1),"0123456789ABCDEFGHIJKLMNOPQRSTUVWXYZ")-1)*{1,2,1,2,1,2,1,2,1,2,1,2,1,2},36)),36),36)+1,1)=MID(AN326,15,1),"OK","Typo? check digit wrong")),"Wrong format"))</f>
        <v/>
      </c>
      <c r="AK326" s="27">
        <f>IF(AO326="","",IF(AND(LEN(AO326)=10,SUMPRODUCT(--ISERROR(FIND(MID(AO326,{1,2,3,4,5,10},1),"ABCDEFGHIJKLMNOPQRSTUVWXYZ")))=0,SUMPRODUCT(--ISERROR(FIND(MID(AO326,{6,7,8,9},1),"0123456789")))=0),"OK","Wrong format"))</f>
        <v/>
      </c>
      <c r="AL326" s="27">
        <f>IF(TRIM(H326)="","",IF(AND(LEN(UPPER(TRIM(H326)))=10,SUMPRODUCT(--ISERROR(FIND(MID(UPPER(TRIM(H326)),{1,2,3,4,10},1),"ABCDEFGHIJKLMNOPQRSTUVWXYZ")))=0,SUMPRODUCT(--ISERROR(FIND(MID(UPPER(TRIM(H326)),{5,6,7,8,9},1),"0123456789")))=0),"OK","Wrong format"))</f>
        <v/>
      </c>
      <c r="AM326" s="28">
        <f>IF(NOT(COUNTA(A326:AE326)&gt;0),"",IF(AS326&lt;&gt;"","✖ "&amp;LEFT(AS326,LEN(AS326)-2),IF(AR326&gt;0,"✔ Ready — client + "&amp;AR326&amp;" service(s)","✔ Ready — client only")))</f>
        <v/>
      </c>
      <c r="AN326" s="29">
        <f>UPPER(SUBSTITUTE(TRIM(F326)," ",""))</f>
        <v/>
      </c>
      <c r="AO326" s="29">
        <f>UPPER(SUBSTITUTE(TRIM(E326)," ",""))</f>
        <v/>
      </c>
      <c r="AP326" s="29">
        <f>IF(D326&lt;&gt;"",D326,IFERROR(VLOOKUP(MID(AG326,4,1),Lists!$E$2:$F$8,2,FALSE),""))</f>
        <v/>
      </c>
      <c r="AQ326" s="29">
        <f>IFERROR(VLOOKUP(AP326,Lists!$A$2:$C$12,3,FALSE),"")</f>
        <v/>
      </c>
      <c r="AR326" s="29">
        <f>COUNTIF(W326:AC326,"Yes")</f>
        <v/>
      </c>
      <c r="AS326" s="29">
        <f>IF(TRIM(B326)="","Legal name missing; ","")&amp;IF(AND(AJ326&lt;&gt;"",AJ326&lt;&gt;"OK"),"GSTIN: "&amp;AJ326&amp;"; ","")&amp;IF(AND(AK326&lt;&gt;"",AK326&lt;&gt;"OK"),"PAN wrong format; ","")&amp;IF(AND(AO326&lt;&gt;"",LEN(AN326)=15,MID(AN326,3,10)&lt;&gt;AO326),"PAN does not match GSTIN; ","")&amp;IF(AND(AL326&lt;&gt;"",AL326&lt;&gt;"OK"),"TAN wrong format; ","")&amp;IF(AG326="","PAN missing; ","")&amp;IF(AP326="","Entity type missing; ","")&amp;IF(AND(AN326&lt;&gt;"",COUNTIF($AN$6:$AN$1005,AN326)&gt;1),"GSTIN repeated in this sheet; ","")&amp;IF(AND(AG326&lt;&gt;"",COUNTIF($AG$6:$AG$1005,AG326)&gt;1),"PAN repeated in this sheet (same client? put extra GSTINs in Other GSTINs); ","")&amp;IF(AND(AR326&gt;0,V326=""),"Financial year missing; ","")&amp;IF(AND(AR326=0,V326&lt;&gt;""),"Financial year given but no service is Yes; ","")&amp;IF(AND(W326="Yes",AN326=""),"GST needs a GSTIN; ","")&amp;IF(AND(W326="Yes",X326=""),"GST return frequency missing; ","")&amp;IF(AND(Y326="Yes",TRIM(H326)=""),"TDS needs a TAN; ","")&amp;IF(AND(AA326="Yes",AQ326&lt;&gt;"",AQ326&lt;&gt;"company",AQ326&lt;&gt;"llp"),"ROC is only for a company / LLP; ","")&amp;IF(AND(AA326="Yes",OR(AQ326="company",AQ326="llp"),TRIM(I326)=""),"ROC needs the CIN / LLPIN; ","")</f>
        <v/>
      </c>
    </row>
    <row r="327">
      <c r="A327" s="30" t="n"/>
      <c r="B327" s="31" t="n"/>
      <c r="C327" s="31" t="n"/>
      <c r="D327" s="31" t="n"/>
      <c r="E327" s="30" t="n"/>
      <c r="F327" s="30" t="n"/>
      <c r="G327" s="30" t="n"/>
      <c r="H327" s="30" t="n"/>
      <c r="I327" s="30" t="n"/>
      <c r="J327" s="32" t="n"/>
      <c r="K327" s="31" t="n"/>
      <c r="L327" s="30" t="n"/>
      <c r="M327" s="31" t="n"/>
      <c r="N327" s="31" t="n"/>
      <c r="O327" s="31" t="n"/>
      <c r="P327" s="30" t="n"/>
      <c r="Q327" s="31" t="n"/>
      <c r="R327" s="31" t="n"/>
      <c r="S327" s="31" t="n"/>
      <c r="T327" s="31" t="n"/>
      <c r="U327" s="30" t="n"/>
      <c r="V327" s="31" t="n"/>
      <c r="W327" s="31" t="n"/>
      <c r="X327" s="31" t="n"/>
      <c r="Y327" s="31" t="n"/>
      <c r="Z327" s="31" t="n"/>
      <c r="AA327" s="31" t="n"/>
      <c r="AB327" s="31" t="n"/>
      <c r="AC327" s="31" t="n"/>
      <c r="AD327" s="31" t="n"/>
      <c r="AE327" s="31" t="n"/>
      <c r="AF327" s="27">
        <f>IF(NOT(COUNTA(A327:AE327)&gt;0),"",IF(A327="","New client","Update"))</f>
        <v/>
      </c>
      <c r="AG327" s="27">
        <f>IF(AO327&lt;&gt;"",AO327,IF(LEN(AN327)=15,MID(AN327,3,10),""))</f>
        <v/>
      </c>
      <c r="AH327" s="27">
        <f>IF(AP327="","",AP327&amp;IF(D327="","  (guessed from PAN)",""))</f>
        <v/>
      </c>
      <c r="AI327" s="27">
        <f>IF(AN327="","",IFERROR(INDEX(Lists!$L$2:$L$38,MATCH(LEFT(AN327,2),Lists!$K$2:$K$38,0)),"Unknown code"))</f>
        <v/>
      </c>
      <c r="AJ327" s="27">
        <f>IF(AN327="","",IFERROR(IF(NOT(AND(LEN(AN327)=15,ISNUMBER(MATCH(LEFT(AN327,2),Lists!$K$2:$K$38,0)),SUMPRODUCT(--ISERROR(FIND(MID(MID(AN327,3,10),{1,2,3,4,5,10},1),"ABCDEFGHIJKLMNOPQRSTUVWXYZ")))=0,SUMPRODUCT(--ISERROR(FIND(MID(MID(AN327,3,10),{6,7,8,9},1),"0123456789")))=0,ISNUMBER(FIND(MID(AN327,13,1),"123456789ABCDEFGHIJKLMNOPQRSTUVWXYZ")),MID(AN327,14,1)="Z")),"Wrong format",IF(MID("0123456789ABCDEFGHIJKLMNOPQRSTUVWXYZ",MOD(36-MOD(SUMPRODUCT(INT((FIND(MID(AN327,{1,2,3,4,5,6,7,8,9,10,11,12,13,14},1),"0123456789ABCDEFGHIJKLMNOPQRSTUVWXYZ")-1)*{1,2,1,2,1,2,1,2,1,2,1,2,1,2}/36)+MOD((FIND(MID(AN327,{1,2,3,4,5,6,7,8,9,10,11,12,13,14},1),"0123456789ABCDEFGHIJKLMNOPQRSTUVWXYZ")-1)*{1,2,1,2,1,2,1,2,1,2,1,2,1,2},36)),36),36)+1,1)=MID(AN327,15,1),"OK","Typo? check digit wrong")),"Wrong format"))</f>
        <v/>
      </c>
      <c r="AK327" s="27">
        <f>IF(AO327="","",IF(AND(LEN(AO327)=10,SUMPRODUCT(--ISERROR(FIND(MID(AO327,{1,2,3,4,5,10},1),"ABCDEFGHIJKLMNOPQRSTUVWXYZ")))=0,SUMPRODUCT(--ISERROR(FIND(MID(AO327,{6,7,8,9},1),"0123456789")))=0),"OK","Wrong format"))</f>
        <v/>
      </c>
      <c r="AL327" s="27">
        <f>IF(TRIM(H327)="","",IF(AND(LEN(UPPER(TRIM(H327)))=10,SUMPRODUCT(--ISERROR(FIND(MID(UPPER(TRIM(H327)),{1,2,3,4,10},1),"ABCDEFGHIJKLMNOPQRSTUVWXYZ")))=0,SUMPRODUCT(--ISERROR(FIND(MID(UPPER(TRIM(H327)),{5,6,7,8,9},1),"0123456789")))=0),"OK","Wrong format"))</f>
        <v/>
      </c>
      <c r="AM327" s="28">
        <f>IF(NOT(COUNTA(A327:AE327)&gt;0),"",IF(AS327&lt;&gt;"","✖ "&amp;LEFT(AS327,LEN(AS327)-2),IF(AR327&gt;0,"✔ Ready — client + "&amp;AR327&amp;" service(s)","✔ Ready — client only")))</f>
        <v/>
      </c>
      <c r="AN327" s="29">
        <f>UPPER(SUBSTITUTE(TRIM(F327)," ",""))</f>
        <v/>
      </c>
      <c r="AO327" s="29">
        <f>UPPER(SUBSTITUTE(TRIM(E327)," ",""))</f>
        <v/>
      </c>
      <c r="AP327" s="29">
        <f>IF(D327&lt;&gt;"",D327,IFERROR(VLOOKUP(MID(AG327,4,1),Lists!$E$2:$F$8,2,FALSE),""))</f>
        <v/>
      </c>
      <c r="AQ327" s="29">
        <f>IFERROR(VLOOKUP(AP327,Lists!$A$2:$C$12,3,FALSE),"")</f>
        <v/>
      </c>
      <c r="AR327" s="29">
        <f>COUNTIF(W327:AC327,"Yes")</f>
        <v/>
      </c>
      <c r="AS327" s="29">
        <f>IF(TRIM(B327)="","Legal name missing; ","")&amp;IF(AND(AJ327&lt;&gt;"",AJ327&lt;&gt;"OK"),"GSTIN: "&amp;AJ327&amp;"; ","")&amp;IF(AND(AK327&lt;&gt;"",AK327&lt;&gt;"OK"),"PAN wrong format; ","")&amp;IF(AND(AO327&lt;&gt;"",LEN(AN327)=15,MID(AN327,3,10)&lt;&gt;AO327),"PAN does not match GSTIN; ","")&amp;IF(AND(AL327&lt;&gt;"",AL327&lt;&gt;"OK"),"TAN wrong format; ","")&amp;IF(AG327="","PAN missing; ","")&amp;IF(AP327="","Entity type missing; ","")&amp;IF(AND(AN327&lt;&gt;"",COUNTIF($AN$6:$AN$1005,AN327)&gt;1),"GSTIN repeated in this sheet; ","")&amp;IF(AND(AG327&lt;&gt;"",COUNTIF($AG$6:$AG$1005,AG327)&gt;1),"PAN repeated in this sheet (same client? put extra GSTINs in Other GSTINs); ","")&amp;IF(AND(AR327&gt;0,V327=""),"Financial year missing; ","")&amp;IF(AND(AR327=0,V327&lt;&gt;""),"Financial year given but no service is Yes; ","")&amp;IF(AND(W327="Yes",AN327=""),"GST needs a GSTIN; ","")&amp;IF(AND(W327="Yes",X327=""),"GST return frequency missing; ","")&amp;IF(AND(Y327="Yes",TRIM(H327)=""),"TDS needs a TAN; ","")&amp;IF(AND(AA327="Yes",AQ327&lt;&gt;"",AQ327&lt;&gt;"company",AQ327&lt;&gt;"llp"),"ROC is only for a company / LLP; ","")&amp;IF(AND(AA327="Yes",OR(AQ327="company",AQ327="llp"),TRIM(I327)=""),"ROC needs the CIN / LLPIN; ","")</f>
        <v/>
      </c>
    </row>
    <row r="328">
      <c r="A328" s="30" t="n"/>
      <c r="B328" s="31" t="n"/>
      <c r="C328" s="31" t="n"/>
      <c r="D328" s="31" t="n"/>
      <c r="E328" s="30" t="n"/>
      <c r="F328" s="30" t="n"/>
      <c r="G328" s="30" t="n"/>
      <c r="H328" s="30" t="n"/>
      <c r="I328" s="30" t="n"/>
      <c r="J328" s="32" t="n"/>
      <c r="K328" s="31" t="n"/>
      <c r="L328" s="30" t="n"/>
      <c r="M328" s="31" t="n"/>
      <c r="N328" s="31" t="n"/>
      <c r="O328" s="31" t="n"/>
      <c r="P328" s="30" t="n"/>
      <c r="Q328" s="31" t="n"/>
      <c r="R328" s="31" t="n"/>
      <c r="S328" s="31" t="n"/>
      <c r="T328" s="31" t="n"/>
      <c r="U328" s="30" t="n"/>
      <c r="V328" s="31" t="n"/>
      <c r="W328" s="31" t="n"/>
      <c r="X328" s="31" t="n"/>
      <c r="Y328" s="31" t="n"/>
      <c r="Z328" s="31" t="n"/>
      <c r="AA328" s="31" t="n"/>
      <c r="AB328" s="31" t="n"/>
      <c r="AC328" s="31" t="n"/>
      <c r="AD328" s="31" t="n"/>
      <c r="AE328" s="31" t="n"/>
      <c r="AF328" s="27">
        <f>IF(NOT(COUNTA(A328:AE328)&gt;0),"",IF(A328="","New client","Update"))</f>
        <v/>
      </c>
      <c r="AG328" s="27">
        <f>IF(AO328&lt;&gt;"",AO328,IF(LEN(AN328)=15,MID(AN328,3,10),""))</f>
        <v/>
      </c>
      <c r="AH328" s="27">
        <f>IF(AP328="","",AP328&amp;IF(D328="","  (guessed from PAN)",""))</f>
        <v/>
      </c>
      <c r="AI328" s="27">
        <f>IF(AN328="","",IFERROR(INDEX(Lists!$L$2:$L$38,MATCH(LEFT(AN328,2),Lists!$K$2:$K$38,0)),"Unknown code"))</f>
        <v/>
      </c>
      <c r="AJ328" s="27">
        <f>IF(AN328="","",IFERROR(IF(NOT(AND(LEN(AN328)=15,ISNUMBER(MATCH(LEFT(AN328,2),Lists!$K$2:$K$38,0)),SUMPRODUCT(--ISERROR(FIND(MID(MID(AN328,3,10),{1,2,3,4,5,10},1),"ABCDEFGHIJKLMNOPQRSTUVWXYZ")))=0,SUMPRODUCT(--ISERROR(FIND(MID(MID(AN328,3,10),{6,7,8,9},1),"0123456789")))=0,ISNUMBER(FIND(MID(AN328,13,1),"123456789ABCDEFGHIJKLMNOPQRSTUVWXYZ")),MID(AN328,14,1)="Z")),"Wrong format",IF(MID("0123456789ABCDEFGHIJKLMNOPQRSTUVWXYZ",MOD(36-MOD(SUMPRODUCT(INT((FIND(MID(AN328,{1,2,3,4,5,6,7,8,9,10,11,12,13,14},1),"0123456789ABCDEFGHIJKLMNOPQRSTUVWXYZ")-1)*{1,2,1,2,1,2,1,2,1,2,1,2,1,2}/36)+MOD((FIND(MID(AN328,{1,2,3,4,5,6,7,8,9,10,11,12,13,14},1),"0123456789ABCDEFGHIJKLMNOPQRSTUVWXYZ")-1)*{1,2,1,2,1,2,1,2,1,2,1,2,1,2},36)),36),36)+1,1)=MID(AN328,15,1),"OK","Typo? check digit wrong")),"Wrong format"))</f>
        <v/>
      </c>
      <c r="AK328" s="27">
        <f>IF(AO328="","",IF(AND(LEN(AO328)=10,SUMPRODUCT(--ISERROR(FIND(MID(AO328,{1,2,3,4,5,10},1),"ABCDEFGHIJKLMNOPQRSTUVWXYZ")))=0,SUMPRODUCT(--ISERROR(FIND(MID(AO328,{6,7,8,9},1),"0123456789")))=0),"OK","Wrong format"))</f>
        <v/>
      </c>
      <c r="AL328" s="27">
        <f>IF(TRIM(H328)="","",IF(AND(LEN(UPPER(TRIM(H328)))=10,SUMPRODUCT(--ISERROR(FIND(MID(UPPER(TRIM(H328)),{1,2,3,4,10},1),"ABCDEFGHIJKLMNOPQRSTUVWXYZ")))=0,SUMPRODUCT(--ISERROR(FIND(MID(UPPER(TRIM(H328)),{5,6,7,8,9},1),"0123456789")))=0),"OK","Wrong format"))</f>
        <v/>
      </c>
      <c r="AM328" s="28">
        <f>IF(NOT(COUNTA(A328:AE328)&gt;0),"",IF(AS328&lt;&gt;"","✖ "&amp;LEFT(AS328,LEN(AS328)-2),IF(AR328&gt;0,"✔ Ready — client + "&amp;AR328&amp;" service(s)","✔ Ready — client only")))</f>
        <v/>
      </c>
      <c r="AN328" s="29">
        <f>UPPER(SUBSTITUTE(TRIM(F328)," ",""))</f>
        <v/>
      </c>
      <c r="AO328" s="29">
        <f>UPPER(SUBSTITUTE(TRIM(E328)," ",""))</f>
        <v/>
      </c>
      <c r="AP328" s="29">
        <f>IF(D328&lt;&gt;"",D328,IFERROR(VLOOKUP(MID(AG328,4,1),Lists!$E$2:$F$8,2,FALSE),""))</f>
        <v/>
      </c>
      <c r="AQ328" s="29">
        <f>IFERROR(VLOOKUP(AP328,Lists!$A$2:$C$12,3,FALSE),"")</f>
        <v/>
      </c>
      <c r="AR328" s="29">
        <f>COUNTIF(W328:AC328,"Yes")</f>
        <v/>
      </c>
      <c r="AS328" s="29">
        <f>IF(TRIM(B328)="","Legal name missing; ","")&amp;IF(AND(AJ328&lt;&gt;"",AJ328&lt;&gt;"OK"),"GSTIN: "&amp;AJ328&amp;"; ","")&amp;IF(AND(AK328&lt;&gt;"",AK328&lt;&gt;"OK"),"PAN wrong format; ","")&amp;IF(AND(AO328&lt;&gt;"",LEN(AN328)=15,MID(AN328,3,10)&lt;&gt;AO328),"PAN does not match GSTIN; ","")&amp;IF(AND(AL328&lt;&gt;"",AL328&lt;&gt;"OK"),"TAN wrong format; ","")&amp;IF(AG328="","PAN missing; ","")&amp;IF(AP328="","Entity type missing; ","")&amp;IF(AND(AN328&lt;&gt;"",COUNTIF($AN$6:$AN$1005,AN328)&gt;1),"GSTIN repeated in this sheet; ","")&amp;IF(AND(AG328&lt;&gt;"",COUNTIF($AG$6:$AG$1005,AG328)&gt;1),"PAN repeated in this sheet (same client? put extra GSTINs in Other GSTINs); ","")&amp;IF(AND(AR328&gt;0,V328=""),"Financial year missing; ","")&amp;IF(AND(AR328=0,V328&lt;&gt;""),"Financial year given but no service is Yes; ","")&amp;IF(AND(W328="Yes",AN328=""),"GST needs a GSTIN; ","")&amp;IF(AND(W328="Yes",X328=""),"GST return frequency missing; ","")&amp;IF(AND(Y328="Yes",TRIM(H328)=""),"TDS needs a TAN; ","")&amp;IF(AND(AA328="Yes",AQ328&lt;&gt;"",AQ328&lt;&gt;"company",AQ328&lt;&gt;"llp"),"ROC is only for a company / LLP; ","")&amp;IF(AND(AA328="Yes",OR(AQ328="company",AQ328="llp"),TRIM(I328)=""),"ROC needs the CIN / LLPIN; ","")</f>
        <v/>
      </c>
    </row>
    <row r="329">
      <c r="A329" s="30" t="n"/>
      <c r="B329" s="31" t="n"/>
      <c r="C329" s="31" t="n"/>
      <c r="D329" s="31" t="n"/>
      <c r="E329" s="30" t="n"/>
      <c r="F329" s="30" t="n"/>
      <c r="G329" s="30" t="n"/>
      <c r="H329" s="30" t="n"/>
      <c r="I329" s="30" t="n"/>
      <c r="J329" s="32" t="n"/>
      <c r="K329" s="31" t="n"/>
      <c r="L329" s="30" t="n"/>
      <c r="M329" s="31" t="n"/>
      <c r="N329" s="31" t="n"/>
      <c r="O329" s="31" t="n"/>
      <c r="P329" s="30" t="n"/>
      <c r="Q329" s="31" t="n"/>
      <c r="R329" s="31" t="n"/>
      <c r="S329" s="31" t="n"/>
      <c r="T329" s="31" t="n"/>
      <c r="U329" s="30" t="n"/>
      <c r="V329" s="31" t="n"/>
      <c r="W329" s="31" t="n"/>
      <c r="X329" s="31" t="n"/>
      <c r="Y329" s="31" t="n"/>
      <c r="Z329" s="31" t="n"/>
      <c r="AA329" s="31" t="n"/>
      <c r="AB329" s="31" t="n"/>
      <c r="AC329" s="31" t="n"/>
      <c r="AD329" s="31" t="n"/>
      <c r="AE329" s="31" t="n"/>
      <c r="AF329" s="27">
        <f>IF(NOT(COUNTA(A329:AE329)&gt;0),"",IF(A329="","New client","Update"))</f>
        <v/>
      </c>
      <c r="AG329" s="27">
        <f>IF(AO329&lt;&gt;"",AO329,IF(LEN(AN329)=15,MID(AN329,3,10),""))</f>
        <v/>
      </c>
      <c r="AH329" s="27">
        <f>IF(AP329="","",AP329&amp;IF(D329="","  (guessed from PAN)",""))</f>
        <v/>
      </c>
      <c r="AI329" s="27">
        <f>IF(AN329="","",IFERROR(INDEX(Lists!$L$2:$L$38,MATCH(LEFT(AN329,2),Lists!$K$2:$K$38,0)),"Unknown code"))</f>
        <v/>
      </c>
      <c r="AJ329" s="27">
        <f>IF(AN329="","",IFERROR(IF(NOT(AND(LEN(AN329)=15,ISNUMBER(MATCH(LEFT(AN329,2),Lists!$K$2:$K$38,0)),SUMPRODUCT(--ISERROR(FIND(MID(MID(AN329,3,10),{1,2,3,4,5,10},1),"ABCDEFGHIJKLMNOPQRSTUVWXYZ")))=0,SUMPRODUCT(--ISERROR(FIND(MID(MID(AN329,3,10),{6,7,8,9},1),"0123456789")))=0,ISNUMBER(FIND(MID(AN329,13,1),"123456789ABCDEFGHIJKLMNOPQRSTUVWXYZ")),MID(AN329,14,1)="Z")),"Wrong format",IF(MID("0123456789ABCDEFGHIJKLMNOPQRSTUVWXYZ",MOD(36-MOD(SUMPRODUCT(INT((FIND(MID(AN329,{1,2,3,4,5,6,7,8,9,10,11,12,13,14},1),"0123456789ABCDEFGHIJKLMNOPQRSTUVWXYZ")-1)*{1,2,1,2,1,2,1,2,1,2,1,2,1,2}/36)+MOD((FIND(MID(AN329,{1,2,3,4,5,6,7,8,9,10,11,12,13,14},1),"0123456789ABCDEFGHIJKLMNOPQRSTUVWXYZ")-1)*{1,2,1,2,1,2,1,2,1,2,1,2,1,2},36)),36),36)+1,1)=MID(AN329,15,1),"OK","Typo? check digit wrong")),"Wrong format"))</f>
        <v/>
      </c>
      <c r="AK329" s="27">
        <f>IF(AO329="","",IF(AND(LEN(AO329)=10,SUMPRODUCT(--ISERROR(FIND(MID(AO329,{1,2,3,4,5,10},1),"ABCDEFGHIJKLMNOPQRSTUVWXYZ")))=0,SUMPRODUCT(--ISERROR(FIND(MID(AO329,{6,7,8,9},1),"0123456789")))=0),"OK","Wrong format"))</f>
        <v/>
      </c>
      <c r="AL329" s="27">
        <f>IF(TRIM(H329)="","",IF(AND(LEN(UPPER(TRIM(H329)))=10,SUMPRODUCT(--ISERROR(FIND(MID(UPPER(TRIM(H329)),{1,2,3,4,10},1),"ABCDEFGHIJKLMNOPQRSTUVWXYZ")))=0,SUMPRODUCT(--ISERROR(FIND(MID(UPPER(TRIM(H329)),{5,6,7,8,9},1),"0123456789")))=0),"OK","Wrong format"))</f>
        <v/>
      </c>
      <c r="AM329" s="28">
        <f>IF(NOT(COUNTA(A329:AE329)&gt;0),"",IF(AS329&lt;&gt;"","✖ "&amp;LEFT(AS329,LEN(AS329)-2),IF(AR329&gt;0,"✔ Ready — client + "&amp;AR329&amp;" service(s)","✔ Ready — client only")))</f>
        <v/>
      </c>
      <c r="AN329" s="29">
        <f>UPPER(SUBSTITUTE(TRIM(F329)," ",""))</f>
        <v/>
      </c>
      <c r="AO329" s="29">
        <f>UPPER(SUBSTITUTE(TRIM(E329)," ",""))</f>
        <v/>
      </c>
      <c r="AP329" s="29">
        <f>IF(D329&lt;&gt;"",D329,IFERROR(VLOOKUP(MID(AG329,4,1),Lists!$E$2:$F$8,2,FALSE),""))</f>
        <v/>
      </c>
      <c r="AQ329" s="29">
        <f>IFERROR(VLOOKUP(AP329,Lists!$A$2:$C$12,3,FALSE),"")</f>
        <v/>
      </c>
      <c r="AR329" s="29">
        <f>COUNTIF(W329:AC329,"Yes")</f>
        <v/>
      </c>
      <c r="AS329" s="29">
        <f>IF(TRIM(B329)="","Legal name missing; ","")&amp;IF(AND(AJ329&lt;&gt;"",AJ329&lt;&gt;"OK"),"GSTIN: "&amp;AJ329&amp;"; ","")&amp;IF(AND(AK329&lt;&gt;"",AK329&lt;&gt;"OK"),"PAN wrong format; ","")&amp;IF(AND(AO329&lt;&gt;"",LEN(AN329)=15,MID(AN329,3,10)&lt;&gt;AO329),"PAN does not match GSTIN; ","")&amp;IF(AND(AL329&lt;&gt;"",AL329&lt;&gt;"OK"),"TAN wrong format; ","")&amp;IF(AG329="","PAN missing; ","")&amp;IF(AP329="","Entity type missing; ","")&amp;IF(AND(AN329&lt;&gt;"",COUNTIF($AN$6:$AN$1005,AN329)&gt;1),"GSTIN repeated in this sheet; ","")&amp;IF(AND(AG329&lt;&gt;"",COUNTIF($AG$6:$AG$1005,AG329)&gt;1),"PAN repeated in this sheet (same client? put extra GSTINs in Other GSTINs); ","")&amp;IF(AND(AR329&gt;0,V329=""),"Financial year missing; ","")&amp;IF(AND(AR329=0,V329&lt;&gt;""),"Financial year given but no service is Yes; ","")&amp;IF(AND(W329="Yes",AN329=""),"GST needs a GSTIN; ","")&amp;IF(AND(W329="Yes",X329=""),"GST return frequency missing; ","")&amp;IF(AND(Y329="Yes",TRIM(H329)=""),"TDS needs a TAN; ","")&amp;IF(AND(AA329="Yes",AQ329&lt;&gt;"",AQ329&lt;&gt;"company",AQ329&lt;&gt;"llp"),"ROC is only for a company / LLP; ","")&amp;IF(AND(AA329="Yes",OR(AQ329="company",AQ329="llp"),TRIM(I329)=""),"ROC needs the CIN / LLPIN; ","")</f>
        <v/>
      </c>
    </row>
    <row r="330">
      <c r="A330" s="30" t="n"/>
      <c r="B330" s="31" t="n"/>
      <c r="C330" s="31" t="n"/>
      <c r="D330" s="31" t="n"/>
      <c r="E330" s="30" t="n"/>
      <c r="F330" s="30" t="n"/>
      <c r="G330" s="30" t="n"/>
      <c r="H330" s="30" t="n"/>
      <c r="I330" s="30" t="n"/>
      <c r="J330" s="32" t="n"/>
      <c r="K330" s="31" t="n"/>
      <c r="L330" s="30" t="n"/>
      <c r="M330" s="31" t="n"/>
      <c r="N330" s="31" t="n"/>
      <c r="O330" s="31" t="n"/>
      <c r="P330" s="30" t="n"/>
      <c r="Q330" s="31" t="n"/>
      <c r="R330" s="31" t="n"/>
      <c r="S330" s="31" t="n"/>
      <c r="T330" s="31" t="n"/>
      <c r="U330" s="30" t="n"/>
      <c r="V330" s="31" t="n"/>
      <c r="W330" s="31" t="n"/>
      <c r="X330" s="31" t="n"/>
      <c r="Y330" s="31" t="n"/>
      <c r="Z330" s="31" t="n"/>
      <c r="AA330" s="31" t="n"/>
      <c r="AB330" s="31" t="n"/>
      <c r="AC330" s="31" t="n"/>
      <c r="AD330" s="31" t="n"/>
      <c r="AE330" s="31" t="n"/>
      <c r="AF330" s="27">
        <f>IF(NOT(COUNTA(A330:AE330)&gt;0),"",IF(A330="","New client","Update"))</f>
        <v/>
      </c>
      <c r="AG330" s="27">
        <f>IF(AO330&lt;&gt;"",AO330,IF(LEN(AN330)=15,MID(AN330,3,10),""))</f>
        <v/>
      </c>
      <c r="AH330" s="27">
        <f>IF(AP330="","",AP330&amp;IF(D330="","  (guessed from PAN)",""))</f>
        <v/>
      </c>
      <c r="AI330" s="27">
        <f>IF(AN330="","",IFERROR(INDEX(Lists!$L$2:$L$38,MATCH(LEFT(AN330,2),Lists!$K$2:$K$38,0)),"Unknown code"))</f>
        <v/>
      </c>
      <c r="AJ330" s="27">
        <f>IF(AN330="","",IFERROR(IF(NOT(AND(LEN(AN330)=15,ISNUMBER(MATCH(LEFT(AN330,2),Lists!$K$2:$K$38,0)),SUMPRODUCT(--ISERROR(FIND(MID(MID(AN330,3,10),{1,2,3,4,5,10},1),"ABCDEFGHIJKLMNOPQRSTUVWXYZ")))=0,SUMPRODUCT(--ISERROR(FIND(MID(MID(AN330,3,10),{6,7,8,9},1),"0123456789")))=0,ISNUMBER(FIND(MID(AN330,13,1),"123456789ABCDEFGHIJKLMNOPQRSTUVWXYZ")),MID(AN330,14,1)="Z")),"Wrong format",IF(MID("0123456789ABCDEFGHIJKLMNOPQRSTUVWXYZ",MOD(36-MOD(SUMPRODUCT(INT((FIND(MID(AN330,{1,2,3,4,5,6,7,8,9,10,11,12,13,14},1),"0123456789ABCDEFGHIJKLMNOPQRSTUVWXYZ")-1)*{1,2,1,2,1,2,1,2,1,2,1,2,1,2}/36)+MOD((FIND(MID(AN330,{1,2,3,4,5,6,7,8,9,10,11,12,13,14},1),"0123456789ABCDEFGHIJKLMNOPQRSTUVWXYZ")-1)*{1,2,1,2,1,2,1,2,1,2,1,2,1,2},36)),36),36)+1,1)=MID(AN330,15,1),"OK","Typo? check digit wrong")),"Wrong format"))</f>
        <v/>
      </c>
      <c r="AK330" s="27">
        <f>IF(AO330="","",IF(AND(LEN(AO330)=10,SUMPRODUCT(--ISERROR(FIND(MID(AO330,{1,2,3,4,5,10},1),"ABCDEFGHIJKLMNOPQRSTUVWXYZ")))=0,SUMPRODUCT(--ISERROR(FIND(MID(AO330,{6,7,8,9},1),"0123456789")))=0),"OK","Wrong format"))</f>
        <v/>
      </c>
      <c r="AL330" s="27">
        <f>IF(TRIM(H330)="","",IF(AND(LEN(UPPER(TRIM(H330)))=10,SUMPRODUCT(--ISERROR(FIND(MID(UPPER(TRIM(H330)),{1,2,3,4,10},1),"ABCDEFGHIJKLMNOPQRSTUVWXYZ")))=0,SUMPRODUCT(--ISERROR(FIND(MID(UPPER(TRIM(H330)),{5,6,7,8,9},1),"0123456789")))=0),"OK","Wrong format"))</f>
        <v/>
      </c>
      <c r="AM330" s="28">
        <f>IF(NOT(COUNTA(A330:AE330)&gt;0),"",IF(AS330&lt;&gt;"","✖ "&amp;LEFT(AS330,LEN(AS330)-2),IF(AR330&gt;0,"✔ Ready — client + "&amp;AR330&amp;" service(s)","✔ Ready — client only")))</f>
        <v/>
      </c>
      <c r="AN330" s="29">
        <f>UPPER(SUBSTITUTE(TRIM(F330)," ",""))</f>
        <v/>
      </c>
      <c r="AO330" s="29">
        <f>UPPER(SUBSTITUTE(TRIM(E330)," ",""))</f>
        <v/>
      </c>
      <c r="AP330" s="29">
        <f>IF(D330&lt;&gt;"",D330,IFERROR(VLOOKUP(MID(AG330,4,1),Lists!$E$2:$F$8,2,FALSE),""))</f>
        <v/>
      </c>
      <c r="AQ330" s="29">
        <f>IFERROR(VLOOKUP(AP330,Lists!$A$2:$C$12,3,FALSE),"")</f>
        <v/>
      </c>
      <c r="AR330" s="29">
        <f>COUNTIF(W330:AC330,"Yes")</f>
        <v/>
      </c>
      <c r="AS330" s="29">
        <f>IF(TRIM(B330)="","Legal name missing; ","")&amp;IF(AND(AJ330&lt;&gt;"",AJ330&lt;&gt;"OK"),"GSTIN: "&amp;AJ330&amp;"; ","")&amp;IF(AND(AK330&lt;&gt;"",AK330&lt;&gt;"OK"),"PAN wrong format; ","")&amp;IF(AND(AO330&lt;&gt;"",LEN(AN330)=15,MID(AN330,3,10)&lt;&gt;AO330),"PAN does not match GSTIN; ","")&amp;IF(AND(AL330&lt;&gt;"",AL330&lt;&gt;"OK"),"TAN wrong format; ","")&amp;IF(AG330="","PAN missing; ","")&amp;IF(AP330="","Entity type missing; ","")&amp;IF(AND(AN330&lt;&gt;"",COUNTIF($AN$6:$AN$1005,AN330)&gt;1),"GSTIN repeated in this sheet; ","")&amp;IF(AND(AG330&lt;&gt;"",COUNTIF($AG$6:$AG$1005,AG330)&gt;1),"PAN repeated in this sheet (same client? put extra GSTINs in Other GSTINs); ","")&amp;IF(AND(AR330&gt;0,V330=""),"Financial year missing; ","")&amp;IF(AND(AR330=0,V330&lt;&gt;""),"Financial year given but no service is Yes; ","")&amp;IF(AND(W330="Yes",AN330=""),"GST needs a GSTIN; ","")&amp;IF(AND(W330="Yes",X330=""),"GST return frequency missing; ","")&amp;IF(AND(Y330="Yes",TRIM(H330)=""),"TDS needs a TAN; ","")&amp;IF(AND(AA330="Yes",AQ330&lt;&gt;"",AQ330&lt;&gt;"company",AQ330&lt;&gt;"llp"),"ROC is only for a company / LLP; ","")&amp;IF(AND(AA330="Yes",OR(AQ330="company",AQ330="llp"),TRIM(I330)=""),"ROC needs the CIN / LLPIN; ","")</f>
        <v/>
      </c>
    </row>
    <row r="331">
      <c r="A331" s="30" t="n"/>
      <c r="B331" s="31" t="n"/>
      <c r="C331" s="31" t="n"/>
      <c r="D331" s="31" t="n"/>
      <c r="E331" s="30" t="n"/>
      <c r="F331" s="30" t="n"/>
      <c r="G331" s="30" t="n"/>
      <c r="H331" s="30" t="n"/>
      <c r="I331" s="30" t="n"/>
      <c r="J331" s="32" t="n"/>
      <c r="K331" s="31" t="n"/>
      <c r="L331" s="30" t="n"/>
      <c r="M331" s="31" t="n"/>
      <c r="N331" s="31" t="n"/>
      <c r="O331" s="31" t="n"/>
      <c r="P331" s="30" t="n"/>
      <c r="Q331" s="31" t="n"/>
      <c r="R331" s="31" t="n"/>
      <c r="S331" s="31" t="n"/>
      <c r="T331" s="31" t="n"/>
      <c r="U331" s="30" t="n"/>
      <c r="V331" s="31" t="n"/>
      <c r="W331" s="31" t="n"/>
      <c r="X331" s="31" t="n"/>
      <c r="Y331" s="31" t="n"/>
      <c r="Z331" s="31" t="n"/>
      <c r="AA331" s="31" t="n"/>
      <c r="AB331" s="31" t="n"/>
      <c r="AC331" s="31" t="n"/>
      <c r="AD331" s="31" t="n"/>
      <c r="AE331" s="31" t="n"/>
      <c r="AF331" s="27">
        <f>IF(NOT(COUNTA(A331:AE331)&gt;0),"",IF(A331="","New client","Update"))</f>
        <v/>
      </c>
      <c r="AG331" s="27">
        <f>IF(AO331&lt;&gt;"",AO331,IF(LEN(AN331)=15,MID(AN331,3,10),""))</f>
        <v/>
      </c>
      <c r="AH331" s="27">
        <f>IF(AP331="","",AP331&amp;IF(D331="","  (guessed from PAN)",""))</f>
        <v/>
      </c>
      <c r="AI331" s="27">
        <f>IF(AN331="","",IFERROR(INDEX(Lists!$L$2:$L$38,MATCH(LEFT(AN331,2),Lists!$K$2:$K$38,0)),"Unknown code"))</f>
        <v/>
      </c>
      <c r="AJ331" s="27">
        <f>IF(AN331="","",IFERROR(IF(NOT(AND(LEN(AN331)=15,ISNUMBER(MATCH(LEFT(AN331,2),Lists!$K$2:$K$38,0)),SUMPRODUCT(--ISERROR(FIND(MID(MID(AN331,3,10),{1,2,3,4,5,10},1),"ABCDEFGHIJKLMNOPQRSTUVWXYZ")))=0,SUMPRODUCT(--ISERROR(FIND(MID(MID(AN331,3,10),{6,7,8,9},1),"0123456789")))=0,ISNUMBER(FIND(MID(AN331,13,1),"123456789ABCDEFGHIJKLMNOPQRSTUVWXYZ")),MID(AN331,14,1)="Z")),"Wrong format",IF(MID("0123456789ABCDEFGHIJKLMNOPQRSTUVWXYZ",MOD(36-MOD(SUMPRODUCT(INT((FIND(MID(AN331,{1,2,3,4,5,6,7,8,9,10,11,12,13,14},1),"0123456789ABCDEFGHIJKLMNOPQRSTUVWXYZ")-1)*{1,2,1,2,1,2,1,2,1,2,1,2,1,2}/36)+MOD((FIND(MID(AN331,{1,2,3,4,5,6,7,8,9,10,11,12,13,14},1),"0123456789ABCDEFGHIJKLMNOPQRSTUVWXYZ")-1)*{1,2,1,2,1,2,1,2,1,2,1,2,1,2},36)),36),36)+1,1)=MID(AN331,15,1),"OK","Typo? check digit wrong")),"Wrong format"))</f>
        <v/>
      </c>
      <c r="AK331" s="27">
        <f>IF(AO331="","",IF(AND(LEN(AO331)=10,SUMPRODUCT(--ISERROR(FIND(MID(AO331,{1,2,3,4,5,10},1),"ABCDEFGHIJKLMNOPQRSTUVWXYZ")))=0,SUMPRODUCT(--ISERROR(FIND(MID(AO331,{6,7,8,9},1),"0123456789")))=0),"OK","Wrong format"))</f>
        <v/>
      </c>
      <c r="AL331" s="27">
        <f>IF(TRIM(H331)="","",IF(AND(LEN(UPPER(TRIM(H331)))=10,SUMPRODUCT(--ISERROR(FIND(MID(UPPER(TRIM(H331)),{1,2,3,4,10},1),"ABCDEFGHIJKLMNOPQRSTUVWXYZ")))=0,SUMPRODUCT(--ISERROR(FIND(MID(UPPER(TRIM(H331)),{5,6,7,8,9},1),"0123456789")))=0),"OK","Wrong format"))</f>
        <v/>
      </c>
      <c r="AM331" s="28">
        <f>IF(NOT(COUNTA(A331:AE331)&gt;0),"",IF(AS331&lt;&gt;"","✖ "&amp;LEFT(AS331,LEN(AS331)-2),IF(AR331&gt;0,"✔ Ready — client + "&amp;AR331&amp;" service(s)","✔ Ready — client only")))</f>
        <v/>
      </c>
      <c r="AN331" s="29">
        <f>UPPER(SUBSTITUTE(TRIM(F331)," ",""))</f>
        <v/>
      </c>
      <c r="AO331" s="29">
        <f>UPPER(SUBSTITUTE(TRIM(E331)," ",""))</f>
        <v/>
      </c>
      <c r="AP331" s="29">
        <f>IF(D331&lt;&gt;"",D331,IFERROR(VLOOKUP(MID(AG331,4,1),Lists!$E$2:$F$8,2,FALSE),""))</f>
        <v/>
      </c>
      <c r="AQ331" s="29">
        <f>IFERROR(VLOOKUP(AP331,Lists!$A$2:$C$12,3,FALSE),"")</f>
        <v/>
      </c>
      <c r="AR331" s="29">
        <f>COUNTIF(W331:AC331,"Yes")</f>
        <v/>
      </c>
      <c r="AS331" s="29">
        <f>IF(TRIM(B331)="","Legal name missing; ","")&amp;IF(AND(AJ331&lt;&gt;"",AJ331&lt;&gt;"OK"),"GSTIN: "&amp;AJ331&amp;"; ","")&amp;IF(AND(AK331&lt;&gt;"",AK331&lt;&gt;"OK"),"PAN wrong format; ","")&amp;IF(AND(AO331&lt;&gt;"",LEN(AN331)=15,MID(AN331,3,10)&lt;&gt;AO331),"PAN does not match GSTIN; ","")&amp;IF(AND(AL331&lt;&gt;"",AL331&lt;&gt;"OK"),"TAN wrong format; ","")&amp;IF(AG331="","PAN missing; ","")&amp;IF(AP331="","Entity type missing; ","")&amp;IF(AND(AN331&lt;&gt;"",COUNTIF($AN$6:$AN$1005,AN331)&gt;1),"GSTIN repeated in this sheet; ","")&amp;IF(AND(AG331&lt;&gt;"",COUNTIF($AG$6:$AG$1005,AG331)&gt;1),"PAN repeated in this sheet (same client? put extra GSTINs in Other GSTINs); ","")&amp;IF(AND(AR331&gt;0,V331=""),"Financial year missing; ","")&amp;IF(AND(AR331=0,V331&lt;&gt;""),"Financial year given but no service is Yes; ","")&amp;IF(AND(W331="Yes",AN331=""),"GST needs a GSTIN; ","")&amp;IF(AND(W331="Yes",X331=""),"GST return frequency missing; ","")&amp;IF(AND(Y331="Yes",TRIM(H331)=""),"TDS needs a TAN; ","")&amp;IF(AND(AA331="Yes",AQ331&lt;&gt;"",AQ331&lt;&gt;"company",AQ331&lt;&gt;"llp"),"ROC is only for a company / LLP; ","")&amp;IF(AND(AA331="Yes",OR(AQ331="company",AQ331="llp"),TRIM(I331)=""),"ROC needs the CIN / LLPIN; ","")</f>
        <v/>
      </c>
    </row>
    <row r="332">
      <c r="A332" s="30" t="n"/>
      <c r="B332" s="31" t="n"/>
      <c r="C332" s="31" t="n"/>
      <c r="D332" s="31" t="n"/>
      <c r="E332" s="30" t="n"/>
      <c r="F332" s="30" t="n"/>
      <c r="G332" s="30" t="n"/>
      <c r="H332" s="30" t="n"/>
      <c r="I332" s="30" t="n"/>
      <c r="J332" s="32" t="n"/>
      <c r="K332" s="31" t="n"/>
      <c r="L332" s="30" t="n"/>
      <c r="M332" s="31" t="n"/>
      <c r="N332" s="31" t="n"/>
      <c r="O332" s="31" t="n"/>
      <c r="P332" s="30" t="n"/>
      <c r="Q332" s="31" t="n"/>
      <c r="R332" s="31" t="n"/>
      <c r="S332" s="31" t="n"/>
      <c r="T332" s="31" t="n"/>
      <c r="U332" s="30" t="n"/>
      <c r="V332" s="31" t="n"/>
      <c r="W332" s="31" t="n"/>
      <c r="X332" s="31" t="n"/>
      <c r="Y332" s="31" t="n"/>
      <c r="Z332" s="31" t="n"/>
      <c r="AA332" s="31" t="n"/>
      <c r="AB332" s="31" t="n"/>
      <c r="AC332" s="31" t="n"/>
      <c r="AD332" s="31" t="n"/>
      <c r="AE332" s="31" t="n"/>
      <c r="AF332" s="27">
        <f>IF(NOT(COUNTA(A332:AE332)&gt;0),"",IF(A332="","New client","Update"))</f>
        <v/>
      </c>
      <c r="AG332" s="27">
        <f>IF(AO332&lt;&gt;"",AO332,IF(LEN(AN332)=15,MID(AN332,3,10),""))</f>
        <v/>
      </c>
      <c r="AH332" s="27">
        <f>IF(AP332="","",AP332&amp;IF(D332="","  (guessed from PAN)",""))</f>
        <v/>
      </c>
      <c r="AI332" s="27">
        <f>IF(AN332="","",IFERROR(INDEX(Lists!$L$2:$L$38,MATCH(LEFT(AN332,2),Lists!$K$2:$K$38,0)),"Unknown code"))</f>
        <v/>
      </c>
      <c r="AJ332" s="27">
        <f>IF(AN332="","",IFERROR(IF(NOT(AND(LEN(AN332)=15,ISNUMBER(MATCH(LEFT(AN332,2),Lists!$K$2:$K$38,0)),SUMPRODUCT(--ISERROR(FIND(MID(MID(AN332,3,10),{1,2,3,4,5,10},1),"ABCDEFGHIJKLMNOPQRSTUVWXYZ")))=0,SUMPRODUCT(--ISERROR(FIND(MID(MID(AN332,3,10),{6,7,8,9},1),"0123456789")))=0,ISNUMBER(FIND(MID(AN332,13,1),"123456789ABCDEFGHIJKLMNOPQRSTUVWXYZ")),MID(AN332,14,1)="Z")),"Wrong format",IF(MID("0123456789ABCDEFGHIJKLMNOPQRSTUVWXYZ",MOD(36-MOD(SUMPRODUCT(INT((FIND(MID(AN332,{1,2,3,4,5,6,7,8,9,10,11,12,13,14},1),"0123456789ABCDEFGHIJKLMNOPQRSTUVWXYZ")-1)*{1,2,1,2,1,2,1,2,1,2,1,2,1,2}/36)+MOD((FIND(MID(AN332,{1,2,3,4,5,6,7,8,9,10,11,12,13,14},1),"0123456789ABCDEFGHIJKLMNOPQRSTUVWXYZ")-1)*{1,2,1,2,1,2,1,2,1,2,1,2,1,2},36)),36),36)+1,1)=MID(AN332,15,1),"OK","Typo? check digit wrong")),"Wrong format"))</f>
        <v/>
      </c>
      <c r="AK332" s="27">
        <f>IF(AO332="","",IF(AND(LEN(AO332)=10,SUMPRODUCT(--ISERROR(FIND(MID(AO332,{1,2,3,4,5,10},1),"ABCDEFGHIJKLMNOPQRSTUVWXYZ")))=0,SUMPRODUCT(--ISERROR(FIND(MID(AO332,{6,7,8,9},1),"0123456789")))=0),"OK","Wrong format"))</f>
        <v/>
      </c>
      <c r="AL332" s="27">
        <f>IF(TRIM(H332)="","",IF(AND(LEN(UPPER(TRIM(H332)))=10,SUMPRODUCT(--ISERROR(FIND(MID(UPPER(TRIM(H332)),{1,2,3,4,10},1),"ABCDEFGHIJKLMNOPQRSTUVWXYZ")))=0,SUMPRODUCT(--ISERROR(FIND(MID(UPPER(TRIM(H332)),{5,6,7,8,9},1),"0123456789")))=0),"OK","Wrong format"))</f>
        <v/>
      </c>
      <c r="AM332" s="28">
        <f>IF(NOT(COUNTA(A332:AE332)&gt;0),"",IF(AS332&lt;&gt;"","✖ "&amp;LEFT(AS332,LEN(AS332)-2),IF(AR332&gt;0,"✔ Ready — client + "&amp;AR332&amp;" service(s)","✔ Ready — client only")))</f>
        <v/>
      </c>
      <c r="AN332" s="29">
        <f>UPPER(SUBSTITUTE(TRIM(F332)," ",""))</f>
        <v/>
      </c>
      <c r="AO332" s="29">
        <f>UPPER(SUBSTITUTE(TRIM(E332)," ",""))</f>
        <v/>
      </c>
      <c r="AP332" s="29">
        <f>IF(D332&lt;&gt;"",D332,IFERROR(VLOOKUP(MID(AG332,4,1),Lists!$E$2:$F$8,2,FALSE),""))</f>
        <v/>
      </c>
      <c r="AQ332" s="29">
        <f>IFERROR(VLOOKUP(AP332,Lists!$A$2:$C$12,3,FALSE),"")</f>
        <v/>
      </c>
      <c r="AR332" s="29">
        <f>COUNTIF(W332:AC332,"Yes")</f>
        <v/>
      </c>
      <c r="AS332" s="29">
        <f>IF(TRIM(B332)="","Legal name missing; ","")&amp;IF(AND(AJ332&lt;&gt;"",AJ332&lt;&gt;"OK"),"GSTIN: "&amp;AJ332&amp;"; ","")&amp;IF(AND(AK332&lt;&gt;"",AK332&lt;&gt;"OK"),"PAN wrong format; ","")&amp;IF(AND(AO332&lt;&gt;"",LEN(AN332)=15,MID(AN332,3,10)&lt;&gt;AO332),"PAN does not match GSTIN; ","")&amp;IF(AND(AL332&lt;&gt;"",AL332&lt;&gt;"OK"),"TAN wrong format; ","")&amp;IF(AG332="","PAN missing; ","")&amp;IF(AP332="","Entity type missing; ","")&amp;IF(AND(AN332&lt;&gt;"",COUNTIF($AN$6:$AN$1005,AN332)&gt;1),"GSTIN repeated in this sheet; ","")&amp;IF(AND(AG332&lt;&gt;"",COUNTIF($AG$6:$AG$1005,AG332)&gt;1),"PAN repeated in this sheet (same client? put extra GSTINs in Other GSTINs); ","")&amp;IF(AND(AR332&gt;0,V332=""),"Financial year missing; ","")&amp;IF(AND(AR332=0,V332&lt;&gt;""),"Financial year given but no service is Yes; ","")&amp;IF(AND(W332="Yes",AN332=""),"GST needs a GSTIN; ","")&amp;IF(AND(W332="Yes",X332=""),"GST return frequency missing; ","")&amp;IF(AND(Y332="Yes",TRIM(H332)=""),"TDS needs a TAN; ","")&amp;IF(AND(AA332="Yes",AQ332&lt;&gt;"",AQ332&lt;&gt;"company",AQ332&lt;&gt;"llp"),"ROC is only for a company / LLP; ","")&amp;IF(AND(AA332="Yes",OR(AQ332="company",AQ332="llp"),TRIM(I332)=""),"ROC needs the CIN / LLPIN; ","")</f>
        <v/>
      </c>
    </row>
    <row r="333">
      <c r="A333" s="30" t="n"/>
      <c r="B333" s="31" t="n"/>
      <c r="C333" s="31" t="n"/>
      <c r="D333" s="31" t="n"/>
      <c r="E333" s="30" t="n"/>
      <c r="F333" s="30" t="n"/>
      <c r="G333" s="30" t="n"/>
      <c r="H333" s="30" t="n"/>
      <c r="I333" s="30" t="n"/>
      <c r="J333" s="32" t="n"/>
      <c r="K333" s="31" t="n"/>
      <c r="L333" s="30" t="n"/>
      <c r="M333" s="31" t="n"/>
      <c r="N333" s="31" t="n"/>
      <c r="O333" s="31" t="n"/>
      <c r="P333" s="30" t="n"/>
      <c r="Q333" s="31" t="n"/>
      <c r="R333" s="31" t="n"/>
      <c r="S333" s="31" t="n"/>
      <c r="T333" s="31" t="n"/>
      <c r="U333" s="30" t="n"/>
      <c r="V333" s="31" t="n"/>
      <c r="W333" s="31" t="n"/>
      <c r="X333" s="31" t="n"/>
      <c r="Y333" s="31" t="n"/>
      <c r="Z333" s="31" t="n"/>
      <c r="AA333" s="31" t="n"/>
      <c r="AB333" s="31" t="n"/>
      <c r="AC333" s="31" t="n"/>
      <c r="AD333" s="31" t="n"/>
      <c r="AE333" s="31" t="n"/>
      <c r="AF333" s="27">
        <f>IF(NOT(COUNTA(A333:AE333)&gt;0),"",IF(A333="","New client","Update"))</f>
        <v/>
      </c>
      <c r="AG333" s="27">
        <f>IF(AO333&lt;&gt;"",AO333,IF(LEN(AN333)=15,MID(AN333,3,10),""))</f>
        <v/>
      </c>
      <c r="AH333" s="27">
        <f>IF(AP333="","",AP333&amp;IF(D333="","  (guessed from PAN)",""))</f>
        <v/>
      </c>
      <c r="AI333" s="27">
        <f>IF(AN333="","",IFERROR(INDEX(Lists!$L$2:$L$38,MATCH(LEFT(AN333,2),Lists!$K$2:$K$38,0)),"Unknown code"))</f>
        <v/>
      </c>
      <c r="AJ333" s="27">
        <f>IF(AN333="","",IFERROR(IF(NOT(AND(LEN(AN333)=15,ISNUMBER(MATCH(LEFT(AN333,2),Lists!$K$2:$K$38,0)),SUMPRODUCT(--ISERROR(FIND(MID(MID(AN333,3,10),{1,2,3,4,5,10},1),"ABCDEFGHIJKLMNOPQRSTUVWXYZ")))=0,SUMPRODUCT(--ISERROR(FIND(MID(MID(AN333,3,10),{6,7,8,9},1),"0123456789")))=0,ISNUMBER(FIND(MID(AN333,13,1),"123456789ABCDEFGHIJKLMNOPQRSTUVWXYZ")),MID(AN333,14,1)="Z")),"Wrong format",IF(MID("0123456789ABCDEFGHIJKLMNOPQRSTUVWXYZ",MOD(36-MOD(SUMPRODUCT(INT((FIND(MID(AN333,{1,2,3,4,5,6,7,8,9,10,11,12,13,14},1),"0123456789ABCDEFGHIJKLMNOPQRSTUVWXYZ")-1)*{1,2,1,2,1,2,1,2,1,2,1,2,1,2}/36)+MOD((FIND(MID(AN333,{1,2,3,4,5,6,7,8,9,10,11,12,13,14},1),"0123456789ABCDEFGHIJKLMNOPQRSTUVWXYZ")-1)*{1,2,1,2,1,2,1,2,1,2,1,2,1,2},36)),36),36)+1,1)=MID(AN333,15,1),"OK","Typo? check digit wrong")),"Wrong format"))</f>
        <v/>
      </c>
      <c r="AK333" s="27">
        <f>IF(AO333="","",IF(AND(LEN(AO333)=10,SUMPRODUCT(--ISERROR(FIND(MID(AO333,{1,2,3,4,5,10},1),"ABCDEFGHIJKLMNOPQRSTUVWXYZ")))=0,SUMPRODUCT(--ISERROR(FIND(MID(AO333,{6,7,8,9},1),"0123456789")))=0),"OK","Wrong format"))</f>
        <v/>
      </c>
      <c r="AL333" s="27">
        <f>IF(TRIM(H333)="","",IF(AND(LEN(UPPER(TRIM(H333)))=10,SUMPRODUCT(--ISERROR(FIND(MID(UPPER(TRIM(H333)),{1,2,3,4,10},1),"ABCDEFGHIJKLMNOPQRSTUVWXYZ")))=0,SUMPRODUCT(--ISERROR(FIND(MID(UPPER(TRIM(H333)),{5,6,7,8,9},1),"0123456789")))=0),"OK","Wrong format"))</f>
        <v/>
      </c>
      <c r="AM333" s="28">
        <f>IF(NOT(COUNTA(A333:AE333)&gt;0),"",IF(AS333&lt;&gt;"","✖ "&amp;LEFT(AS333,LEN(AS333)-2),IF(AR333&gt;0,"✔ Ready — client + "&amp;AR333&amp;" service(s)","✔ Ready — client only")))</f>
        <v/>
      </c>
      <c r="AN333" s="29">
        <f>UPPER(SUBSTITUTE(TRIM(F333)," ",""))</f>
        <v/>
      </c>
      <c r="AO333" s="29">
        <f>UPPER(SUBSTITUTE(TRIM(E333)," ",""))</f>
        <v/>
      </c>
      <c r="AP333" s="29">
        <f>IF(D333&lt;&gt;"",D333,IFERROR(VLOOKUP(MID(AG333,4,1),Lists!$E$2:$F$8,2,FALSE),""))</f>
        <v/>
      </c>
      <c r="AQ333" s="29">
        <f>IFERROR(VLOOKUP(AP333,Lists!$A$2:$C$12,3,FALSE),"")</f>
        <v/>
      </c>
      <c r="AR333" s="29">
        <f>COUNTIF(W333:AC333,"Yes")</f>
        <v/>
      </c>
      <c r="AS333" s="29">
        <f>IF(TRIM(B333)="","Legal name missing; ","")&amp;IF(AND(AJ333&lt;&gt;"",AJ333&lt;&gt;"OK"),"GSTIN: "&amp;AJ333&amp;"; ","")&amp;IF(AND(AK333&lt;&gt;"",AK333&lt;&gt;"OK"),"PAN wrong format; ","")&amp;IF(AND(AO333&lt;&gt;"",LEN(AN333)=15,MID(AN333,3,10)&lt;&gt;AO333),"PAN does not match GSTIN; ","")&amp;IF(AND(AL333&lt;&gt;"",AL333&lt;&gt;"OK"),"TAN wrong format; ","")&amp;IF(AG333="","PAN missing; ","")&amp;IF(AP333="","Entity type missing; ","")&amp;IF(AND(AN333&lt;&gt;"",COUNTIF($AN$6:$AN$1005,AN333)&gt;1),"GSTIN repeated in this sheet; ","")&amp;IF(AND(AG333&lt;&gt;"",COUNTIF($AG$6:$AG$1005,AG333)&gt;1),"PAN repeated in this sheet (same client? put extra GSTINs in Other GSTINs); ","")&amp;IF(AND(AR333&gt;0,V333=""),"Financial year missing; ","")&amp;IF(AND(AR333=0,V333&lt;&gt;""),"Financial year given but no service is Yes; ","")&amp;IF(AND(W333="Yes",AN333=""),"GST needs a GSTIN; ","")&amp;IF(AND(W333="Yes",X333=""),"GST return frequency missing; ","")&amp;IF(AND(Y333="Yes",TRIM(H333)=""),"TDS needs a TAN; ","")&amp;IF(AND(AA333="Yes",AQ333&lt;&gt;"",AQ333&lt;&gt;"company",AQ333&lt;&gt;"llp"),"ROC is only for a company / LLP; ","")&amp;IF(AND(AA333="Yes",OR(AQ333="company",AQ333="llp"),TRIM(I333)=""),"ROC needs the CIN / LLPIN; ","")</f>
        <v/>
      </c>
    </row>
    <row r="334">
      <c r="A334" s="30" t="n"/>
      <c r="B334" s="31" t="n"/>
      <c r="C334" s="31" t="n"/>
      <c r="D334" s="31" t="n"/>
      <c r="E334" s="30" t="n"/>
      <c r="F334" s="30" t="n"/>
      <c r="G334" s="30" t="n"/>
      <c r="H334" s="30" t="n"/>
      <c r="I334" s="30" t="n"/>
      <c r="J334" s="32" t="n"/>
      <c r="K334" s="31" t="n"/>
      <c r="L334" s="30" t="n"/>
      <c r="M334" s="31" t="n"/>
      <c r="N334" s="31" t="n"/>
      <c r="O334" s="31" t="n"/>
      <c r="P334" s="30" t="n"/>
      <c r="Q334" s="31" t="n"/>
      <c r="R334" s="31" t="n"/>
      <c r="S334" s="31" t="n"/>
      <c r="T334" s="31" t="n"/>
      <c r="U334" s="30" t="n"/>
      <c r="V334" s="31" t="n"/>
      <c r="W334" s="31" t="n"/>
      <c r="X334" s="31" t="n"/>
      <c r="Y334" s="31" t="n"/>
      <c r="Z334" s="31" t="n"/>
      <c r="AA334" s="31" t="n"/>
      <c r="AB334" s="31" t="n"/>
      <c r="AC334" s="31" t="n"/>
      <c r="AD334" s="31" t="n"/>
      <c r="AE334" s="31" t="n"/>
      <c r="AF334" s="27">
        <f>IF(NOT(COUNTA(A334:AE334)&gt;0),"",IF(A334="","New client","Update"))</f>
        <v/>
      </c>
      <c r="AG334" s="27">
        <f>IF(AO334&lt;&gt;"",AO334,IF(LEN(AN334)=15,MID(AN334,3,10),""))</f>
        <v/>
      </c>
      <c r="AH334" s="27">
        <f>IF(AP334="","",AP334&amp;IF(D334="","  (guessed from PAN)",""))</f>
        <v/>
      </c>
      <c r="AI334" s="27">
        <f>IF(AN334="","",IFERROR(INDEX(Lists!$L$2:$L$38,MATCH(LEFT(AN334,2),Lists!$K$2:$K$38,0)),"Unknown code"))</f>
        <v/>
      </c>
      <c r="AJ334" s="27">
        <f>IF(AN334="","",IFERROR(IF(NOT(AND(LEN(AN334)=15,ISNUMBER(MATCH(LEFT(AN334,2),Lists!$K$2:$K$38,0)),SUMPRODUCT(--ISERROR(FIND(MID(MID(AN334,3,10),{1,2,3,4,5,10},1),"ABCDEFGHIJKLMNOPQRSTUVWXYZ")))=0,SUMPRODUCT(--ISERROR(FIND(MID(MID(AN334,3,10),{6,7,8,9},1),"0123456789")))=0,ISNUMBER(FIND(MID(AN334,13,1),"123456789ABCDEFGHIJKLMNOPQRSTUVWXYZ")),MID(AN334,14,1)="Z")),"Wrong format",IF(MID("0123456789ABCDEFGHIJKLMNOPQRSTUVWXYZ",MOD(36-MOD(SUMPRODUCT(INT((FIND(MID(AN334,{1,2,3,4,5,6,7,8,9,10,11,12,13,14},1),"0123456789ABCDEFGHIJKLMNOPQRSTUVWXYZ")-1)*{1,2,1,2,1,2,1,2,1,2,1,2,1,2}/36)+MOD((FIND(MID(AN334,{1,2,3,4,5,6,7,8,9,10,11,12,13,14},1),"0123456789ABCDEFGHIJKLMNOPQRSTUVWXYZ")-1)*{1,2,1,2,1,2,1,2,1,2,1,2,1,2},36)),36),36)+1,1)=MID(AN334,15,1),"OK","Typo? check digit wrong")),"Wrong format"))</f>
        <v/>
      </c>
      <c r="AK334" s="27">
        <f>IF(AO334="","",IF(AND(LEN(AO334)=10,SUMPRODUCT(--ISERROR(FIND(MID(AO334,{1,2,3,4,5,10},1),"ABCDEFGHIJKLMNOPQRSTUVWXYZ")))=0,SUMPRODUCT(--ISERROR(FIND(MID(AO334,{6,7,8,9},1),"0123456789")))=0),"OK","Wrong format"))</f>
        <v/>
      </c>
      <c r="AL334" s="27">
        <f>IF(TRIM(H334)="","",IF(AND(LEN(UPPER(TRIM(H334)))=10,SUMPRODUCT(--ISERROR(FIND(MID(UPPER(TRIM(H334)),{1,2,3,4,10},1),"ABCDEFGHIJKLMNOPQRSTUVWXYZ")))=0,SUMPRODUCT(--ISERROR(FIND(MID(UPPER(TRIM(H334)),{5,6,7,8,9},1),"0123456789")))=0),"OK","Wrong format"))</f>
        <v/>
      </c>
      <c r="AM334" s="28">
        <f>IF(NOT(COUNTA(A334:AE334)&gt;0),"",IF(AS334&lt;&gt;"","✖ "&amp;LEFT(AS334,LEN(AS334)-2),IF(AR334&gt;0,"✔ Ready — client + "&amp;AR334&amp;" service(s)","✔ Ready — client only")))</f>
        <v/>
      </c>
      <c r="AN334" s="29">
        <f>UPPER(SUBSTITUTE(TRIM(F334)," ",""))</f>
        <v/>
      </c>
      <c r="AO334" s="29">
        <f>UPPER(SUBSTITUTE(TRIM(E334)," ",""))</f>
        <v/>
      </c>
      <c r="AP334" s="29">
        <f>IF(D334&lt;&gt;"",D334,IFERROR(VLOOKUP(MID(AG334,4,1),Lists!$E$2:$F$8,2,FALSE),""))</f>
        <v/>
      </c>
      <c r="AQ334" s="29">
        <f>IFERROR(VLOOKUP(AP334,Lists!$A$2:$C$12,3,FALSE),"")</f>
        <v/>
      </c>
      <c r="AR334" s="29">
        <f>COUNTIF(W334:AC334,"Yes")</f>
        <v/>
      </c>
      <c r="AS334" s="29">
        <f>IF(TRIM(B334)="","Legal name missing; ","")&amp;IF(AND(AJ334&lt;&gt;"",AJ334&lt;&gt;"OK"),"GSTIN: "&amp;AJ334&amp;"; ","")&amp;IF(AND(AK334&lt;&gt;"",AK334&lt;&gt;"OK"),"PAN wrong format; ","")&amp;IF(AND(AO334&lt;&gt;"",LEN(AN334)=15,MID(AN334,3,10)&lt;&gt;AO334),"PAN does not match GSTIN; ","")&amp;IF(AND(AL334&lt;&gt;"",AL334&lt;&gt;"OK"),"TAN wrong format; ","")&amp;IF(AG334="","PAN missing; ","")&amp;IF(AP334="","Entity type missing; ","")&amp;IF(AND(AN334&lt;&gt;"",COUNTIF($AN$6:$AN$1005,AN334)&gt;1),"GSTIN repeated in this sheet; ","")&amp;IF(AND(AG334&lt;&gt;"",COUNTIF($AG$6:$AG$1005,AG334)&gt;1),"PAN repeated in this sheet (same client? put extra GSTINs in Other GSTINs); ","")&amp;IF(AND(AR334&gt;0,V334=""),"Financial year missing; ","")&amp;IF(AND(AR334=0,V334&lt;&gt;""),"Financial year given but no service is Yes; ","")&amp;IF(AND(W334="Yes",AN334=""),"GST needs a GSTIN; ","")&amp;IF(AND(W334="Yes",X334=""),"GST return frequency missing; ","")&amp;IF(AND(Y334="Yes",TRIM(H334)=""),"TDS needs a TAN; ","")&amp;IF(AND(AA334="Yes",AQ334&lt;&gt;"",AQ334&lt;&gt;"company",AQ334&lt;&gt;"llp"),"ROC is only for a company / LLP; ","")&amp;IF(AND(AA334="Yes",OR(AQ334="company",AQ334="llp"),TRIM(I334)=""),"ROC needs the CIN / LLPIN; ","")</f>
        <v/>
      </c>
    </row>
    <row r="335">
      <c r="A335" s="30" t="n"/>
      <c r="B335" s="31" t="n"/>
      <c r="C335" s="31" t="n"/>
      <c r="D335" s="31" t="n"/>
      <c r="E335" s="30" t="n"/>
      <c r="F335" s="30" t="n"/>
      <c r="G335" s="30" t="n"/>
      <c r="H335" s="30" t="n"/>
      <c r="I335" s="30" t="n"/>
      <c r="J335" s="32" t="n"/>
      <c r="K335" s="31" t="n"/>
      <c r="L335" s="30" t="n"/>
      <c r="M335" s="31" t="n"/>
      <c r="N335" s="31" t="n"/>
      <c r="O335" s="31" t="n"/>
      <c r="P335" s="30" t="n"/>
      <c r="Q335" s="31" t="n"/>
      <c r="R335" s="31" t="n"/>
      <c r="S335" s="31" t="n"/>
      <c r="T335" s="31" t="n"/>
      <c r="U335" s="30" t="n"/>
      <c r="V335" s="31" t="n"/>
      <c r="W335" s="31" t="n"/>
      <c r="X335" s="31" t="n"/>
      <c r="Y335" s="31" t="n"/>
      <c r="Z335" s="31" t="n"/>
      <c r="AA335" s="31" t="n"/>
      <c r="AB335" s="31" t="n"/>
      <c r="AC335" s="31" t="n"/>
      <c r="AD335" s="31" t="n"/>
      <c r="AE335" s="31" t="n"/>
      <c r="AF335" s="27">
        <f>IF(NOT(COUNTA(A335:AE335)&gt;0),"",IF(A335="","New client","Update"))</f>
        <v/>
      </c>
      <c r="AG335" s="27">
        <f>IF(AO335&lt;&gt;"",AO335,IF(LEN(AN335)=15,MID(AN335,3,10),""))</f>
        <v/>
      </c>
      <c r="AH335" s="27">
        <f>IF(AP335="","",AP335&amp;IF(D335="","  (guessed from PAN)",""))</f>
        <v/>
      </c>
      <c r="AI335" s="27">
        <f>IF(AN335="","",IFERROR(INDEX(Lists!$L$2:$L$38,MATCH(LEFT(AN335,2),Lists!$K$2:$K$38,0)),"Unknown code"))</f>
        <v/>
      </c>
      <c r="AJ335" s="27">
        <f>IF(AN335="","",IFERROR(IF(NOT(AND(LEN(AN335)=15,ISNUMBER(MATCH(LEFT(AN335,2),Lists!$K$2:$K$38,0)),SUMPRODUCT(--ISERROR(FIND(MID(MID(AN335,3,10),{1,2,3,4,5,10},1),"ABCDEFGHIJKLMNOPQRSTUVWXYZ")))=0,SUMPRODUCT(--ISERROR(FIND(MID(MID(AN335,3,10),{6,7,8,9},1),"0123456789")))=0,ISNUMBER(FIND(MID(AN335,13,1),"123456789ABCDEFGHIJKLMNOPQRSTUVWXYZ")),MID(AN335,14,1)="Z")),"Wrong format",IF(MID("0123456789ABCDEFGHIJKLMNOPQRSTUVWXYZ",MOD(36-MOD(SUMPRODUCT(INT((FIND(MID(AN335,{1,2,3,4,5,6,7,8,9,10,11,12,13,14},1),"0123456789ABCDEFGHIJKLMNOPQRSTUVWXYZ")-1)*{1,2,1,2,1,2,1,2,1,2,1,2,1,2}/36)+MOD((FIND(MID(AN335,{1,2,3,4,5,6,7,8,9,10,11,12,13,14},1),"0123456789ABCDEFGHIJKLMNOPQRSTUVWXYZ")-1)*{1,2,1,2,1,2,1,2,1,2,1,2,1,2},36)),36),36)+1,1)=MID(AN335,15,1),"OK","Typo? check digit wrong")),"Wrong format"))</f>
        <v/>
      </c>
      <c r="AK335" s="27">
        <f>IF(AO335="","",IF(AND(LEN(AO335)=10,SUMPRODUCT(--ISERROR(FIND(MID(AO335,{1,2,3,4,5,10},1),"ABCDEFGHIJKLMNOPQRSTUVWXYZ")))=0,SUMPRODUCT(--ISERROR(FIND(MID(AO335,{6,7,8,9},1),"0123456789")))=0),"OK","Wrong format"))</f>
        <v/>
      </c>
      <c r="AL335" s="27">
        <f>IF(TRIM(H335)="","",IF(AND(LEN(UPPER(TRIM(H335)))=10,SUMPRODUCT(--ISERROR(FIND(MID(UPPER(TRIM(H335)),{1,2,3,4,10},1),"ABCDEFGHIJKLMNOPQRSTUVWXYZ")))=0,SUMPRODUCT(--ISERROR(FIND(MID(UPPER(TRIM(H335)),{5,6,7,8,9},1),"0123456789")))=0),"OK","Wrong format"))</f>
        <v/>
      </c>
      <c r="AM335" s="28">
        <f>IF(NOT(COUNTA(A335:AE335)&gt;0),"",IF(AS335&lt;&gt;"","✖ "&amp;LEFT(AS335,LEN(AS335)-2),IF(AR335&gt;0,"✔ Ready — client + "&amp;AR335&amp;" service(s)","✔ Ready — client only")))</f>
        <v/>
      </c>
      <c r="AN335" s="29">
        <f>UPPER(SUBSTITUTE(TRIM(F335)," ",""))</f>
        <v/>
      </c>
      <c r="AO335" s="29">
        <f>UPPER(SUBSTITUTE(TRIM(E335)," ",""))</f>
        <v/>
      </c>
      <c r="AP335" s="29">
        <f>IF(D335&lt;&gt;"",D335,IFERROR(VLOOKUP(MID(AG335,4,1),Lists!$E$2:$F$8,2,FALSE),""))</f>
        <v/>
      </c>
      <c r="AQ335" s="29">
        <f>IFERROR(VLOOKUP(AP335,Lists!$A$2:$C$12,3,FALSE),"")</f>
        <v/>
      </c>
      <c r="AR335" s="29">
        <f>COUNTIF(W335:AC335,"Yes")</f>
        <v/>
      </c>
      <c r="AS335" s="29">
        <f>IF(TRIM(B335)="","Legal name missing; ","")&amp;IF(AND(AJ335&lt;&gt;"",AJ335&lt;&gt;"OK"),"GSTIN: "&amp;AJ335&amp;"; ","")&amp;IF(AND(AK335&lt;&gt;"",AK335&lt;&gt;"OK"),"PAN wrong format; ","")&amp;IF(AND(AO335&lt;&gt;"",LEN(AN335)=15,MID(AN335,3,10)&lt;&gt;AO335),"PAN does not match GSTIN; ","")&amp;IF(AND(AL335&lt;&gt;"",AL335&lt;&gt;"OK"),"TAN wrong format; ","")&amp;IF(AG335="","PAN missing; ","")&amp;IF(AP335="","Entity type missing; ","")&amp;IF(AND(AN335&lt;&gt;"",COUNTIF($AN$6:$AN$1005,AN335)&gt;1),"GSTIN repeated in this sheet; ","")&amp;IF(AND(AG335&lt;&gt;"",COUNTIF($AG$6:$AG$1005,AG335)&gt;1),"PAN repeated in this sheet (same client? put extra GSTINs in Other GSTINs); ","")&amp;IF(AND(AR335&gt;0,V335=""),"Financial year missing; ","")&amp;IF(AND(AR335=0,V335&lt;&gt;""),"Financial year given but no service is Yes; ","")&amp;IF(AND(W335="Yes",AN335=""),"GST needs a GSTIN; ","")&amp;IF(AND(W335="Yes",X335=""),"GST return frequency missing; ","")&amp;IF(AND(Y335="Yes",TRIM(H335)=""),"TDS needs a TAN; ","")&amp;IF(AND(AA335="Yes",AQ335&lt;&gt;"",AQ335&lt;&gt;"company",AQ335&lt;&gt;"llp"),"ROC is only for a company / LLP; ","")&amp;IF(AND(AA335="Yes",OR(AQ335="company",AQ335="llp"),TRIM(I335)=""),"ROC needs the CIN / LLPIN; ","")</f>
        <v/>
      </c>
    </row>
    <row r="336">
      <c r="A336" s="30" t="n"/>
      <c r="B336" s="31" t="n"/>
      <c r="C336" s="31" t="n"/>
      <c r="D336" s="31" t="n"/>
      <c r="E336" s="30" t="n"/>
      <c r="F336" s="30" t="n"/>
      <c r="G336" s="30" t="n"/>
      <c r="H336" s="30" t="n"/>
      <c r="I336" s="30" t="n"/>
      <c r="J336" s="32" t="n"/>
      <c r="K336" s="31" t="n"/>
      <c r="L336" s="30" t="n"/>
      <c r="M336" s="31" t="n"/>
      <c r="N336" s="31" t="n"/>
      <c r="O336" s="31" t="n"/>
      <c r="P336" s="30" t="n"/>
      <c r="Q336" s="31" t="n"/>
      <c r="R336" s="31" t="n"/>
      <c r="S336" s="31" t="n"/>
      <c r="T336" s="31" t="n"/>
      <c r="U336" s="30" t="n"/>
      <c r="V336" s="31" t="n"/>
      <c r="W336" s="31" t="n"/>
      <c r="X336" s="31" t="n"/>
      <c r="Y336" s="31" t="n"/>
      <c r="Z336" s="31" t="n"/>
      <c r="AA336" s="31" t="n"/>
      <c r="AB336" s="31" t="n"/>
      <c r="AC336" s="31" t="n"/>
      <c r="AD336" s="31" t="n"/>
      <c r="AE336" s="31" t="n"/>
      <c r="AF336" s="27">
        <f>IF(NOT(COUNTA(A336:AE336)&gt;0),"",IF(A336="","New client","Update"))</f>
        <v/>
      </c>
      <c r="AG336" s="27">
        <f>IF(AO336&lt;&gt;"",AO336,IF(LEN(AN336)=15,MID(AN336,3,10),""))</f>
        <v/>
      </c>
      <c r="AH336" s="27">
        <f>IF(AP336="","",AP336&amp;IF(D336="","  (guessed from PAN)",""))</f>
        <v/>
      </c>
      <c r="AI336" s="27">
        <f>IF(AN336="","",IFERROR(INDEX(Lists!$L$2:$L$38,MATCH(LEFT(AN336,2),Lists!$K$2:$K$38,0)),"Unknown code"))</f>
        <v/>
      </c>
      <c r="AJ336" s="27">
        <f>IF(AN336="","",IFERROR(IF(NOT(AND(LEN(AN336)=15,ISNUMBER(MATCH(LEFT(AN336,2),Lists!$K$2:$K$38,0)),SUMPRODUCT(--ISERROR(FIND(MID(MID(AN336,3,10),{1,2,3,4,5,10},1),"ABCDEFGHIJKLMNOPQRSTUVWXYZ")))=0,SUMPRODUCT(--ISERROR(FIND(MID(MID(AN336,3,10),{6,7,8,9},1),"0123456789")))=0,ISNUMBER(FIND(MID(AN336,13,1),"123456789ABCDEFGHIJKLMNOPQRSTUVWXYZ")),MID(AN336,14,1)="Z")),"Wrong format",IF(MID("0123456789ABCDEFGHIJKLMNOPQRSTUVWXYZ",MOD(36-MOD(SUMPRODUCT(INT((FIND(MID(AN336,{1,2,3,4,5,6,7,8,9,10,11,12,13,14},1),"0123456789ABCDEFGHIJKLMNOPQRSTUVWXYZ")-1)*{1,2,1,2,1,2,1,2,1,2,1,2,1,2}/36)+MOD((FIND(MID(AN336,{1,2,3,4,5,6,7,8,9,10,11,12,13,14},1),"0123456789ABCDEFGHIJKLMNOPQRSTUVWXYZ")-1)*{1,2,1,2,1,2,1,2,1,2,1,2,1,2},36)),36),36)+1,1)=MID(AN336,15,1),"OK","Typo? check digit wrong")),"Wrong format"))</f>
        <v/>
      </c>
      <c r="AK336" s="27">
        <f>IF(AO336="","",IF(AND(LEN(AO336)=10,SUMPRODUCT(--ISERROR(FIND(MID(AO336,{1,2,3,4,5,10},1),"ABCDEFGHIJKLMNOPQRSTUVWXYZ")))=0,SUMPRODUCT(--ISERROR(FIND(MID(AO336,{6,7,8,9},1),"0123456789")))=0),"OK","Wrong format"))</f>
        <v/>
      </c>
      <c r="AL336" s="27">
        <f>IF(TRIM(H336)="","",IF(AND(LEN(UPPER(TRIM(H336)))=10,SUMPRODUCT(--ISERROR(FIND(MID(UPPER(TRIM(H336)),{1,2,3,4,10},1),"ABCDEFGHIJKLMNOPQRSTUVWXYZ")))=0,SUMPRODUCT(--ISERROR(FIND(MID(UPPER(TRIM(H336)),{5,6,7,8,9},1),"0123456789")))=0),"OK","Wrong format"))</f>
        <v/>
      </c>
      <c r="AM336" s="28">
        <f>IF(NOT(COUNTA(A336:AE336)&gt;0),"",IF(AS336&lt;&gt;"","✖ "&amp;LEFT(AS336,LEN(AS336)-2),IF(AR336&gt;0,"✔ Ready — client + "&amp;AR336&amp;" service(s)","✔ Ready — client only")))</f>
        <v/>
      </c>
      <c r="AN336" s="29">
        <f>UPPER(SUBSTITUTE(TRIM(F336)," ",""))</f>
        <v/>
      </c>
      <c r="AO336" s="29">
        <f>UPPER(SUBSTITUTE(TRIM(E336)," ",""))</f>
        <v/>
      </c>
      <c r="AP336" s="29">
        <f>IF(D336&lt;&gt;"",D336,IFERROR(VLOOKUP(MID(AG336,4,1),Lists!$E$2:$F$8,2,FALSE),""))</f>
        <v/>
      </c>
      <c r="AQ336" s="29">
        <f>IFERROR(VLOOKUP(AP336,Lists!$A$2:$C$12,3,FALSE),"")</f>
        <v/>
      </c>
      <c r="AR336" s="29">
        <f>COUNTIF(W336:AC336,"Yes")</f>
        <v/>
      </c>
      <c r="AS336" s="29">
        <f>IF(TRIM(B336)="","Legal name missing; ","")&amp;IF(AND(AJ336&lt;&gt;"",AJ336&lt;&gt;"OK"),"GSTIN: "&amp;AJ336&amp;"; ","")&amp;IF(AND(AK336&lt;&gt;"",AK336&lt;&gt;"OK"),"PAN wrong format; ","")&amp;IF(AND(AO336&lt;&gt;"",LEN(AN336)=15,MID(AN336,3,10)&lt;&gt;AO336),"PAN does not match GSTIN; ","")&amp;IF(AND(AL336&lt;&gt;"",AL336&lt;&gt;"OK"),"TAN wrong format; ","")&amp;IF(AG336="","PAN missing; ","")&amp;IF(AP336="","Entity type missing; ","")&amp;IF(AND(AN336&lt;&gt;"",COUNTIF($AN$6:$AN$1005,AN336)&gt;1),"GSTIN repeated in this sheet; ","")&amp;IF(AND(AG336&lt;&gt;"",COUNTIF($AG$6:$AG$1005,AG336)&gt;1),"PAN repeated in this sheet (same client? put extra GSTINs in Other GSTINs); ","")&amp;IF(AND(AR336&gt;0,V336=""),"Financial year missing; ","")&amp;IF(AND(AR336=0,V336&lt;&gt;""),"Financial year given but no service is Yes; ","")&amp;IF(AND(W336="Yes",AN336=""),"GST needs a GSTIN; ","")&amp;IF(AND(W336="Yes",X336=""),"GST return frequency missing; ","")&amp;IF(AND(Y336="Yes",TRIM(H336)=""),"TDS needs a TAN; ","")&amp;IF(AND(AA336="Yes",AQ336&lt;&gt;"",AQ336&lt;&gt;"company",AQ336&lt;&gt;"llp"),"ROC is only for a company / LLP; ","")&amp;IF(AND(AA336="Yes",OR(AQ336="company",AQ336="llp"),TRIM(I336)=""),"ROC needs the CIN / LLPIN; ","")</f>
        <v/>
      </c>
    </row>
    <row r="337">
      <c r="A337" s="30" t="n"/>
      <c r="B337" s="31" t="n"/>
      <c r="C337" s="31" t="n"/>
      <c r="D337" s="31" t="n"/>
      <c r="E337" s="30" t="n"/>
      <c r="F337" s="30" t="n"/>
      <c r="G337" s="30" t="n"/>
      <c r="H337" s="30" t="n"/>
      <c r="I337" s="30" t="n"/>
      <c r="J337" s="32" t="n"/>
      <c r="K337" s="31" t="n"/>
      <c r="L337" s="30" t="n"/>
      <c r="M337" s="31" t="n"/>
      <c r="N337" s="31" t="n"/>
      <c r="O337" s="31" t="n"/>
      <c r="P337" s="30" t="n"/>
      <c r="Q337" s="31" t="n"/>
      <c r="R337" s="31" t="n"/>
      <c r="S337" s="31" t="n"/>
      <c r="T337" s="31" t="n"/>
      <c r="U337" s="30" t="n"/>
      <c r="V337" s="31" t="n"/>
      <c r="W337" s="31" t="n"/>
      <c r="X337" s="31" t="n"/>
      <c r="Y337" s="31" t="n"/>
      <c r="Z337" s="31" t="n"/>
      <c r="AA337" s="31" t="n"/>
      <c r="AB337" s="31" t="n"/>
      <c r="AC337" s="31" t="n"/>
      <c r="AD337" s="31" t="n"/>
      <c r="AE337" s="31" t="n"/>
      <c r="AF337" s="27">
        <f>IF(NOT(COUNTA(A337:AE337)&gt;0),"",IF(A337="","New client","Update"))</f>
        <v/>
      </c>
      <c r="AG337" s="27">
        <f>IF(AO337&lt;&gt;"",AO337,IF(LEN(AN337)=15,MID(AN337,3,10),""))</f>
        <v/>
      </c>
      <c r="AH337" s="27">
        <f>IF(AP337="","",AP337&amp;IF(D337="","  (guessed from PAN)",""))</f>
        <v/>
      </c>
      <c r="AI337" s="27">
        <f>IF(AN337="","",IFERROR(INDEX(Lists!$L$2:$L$38,MATCH(LEFT(AN337,2),Lists!$K$2:$K$38,0)),"Unknown code"))</f>
        <v/>
      </c>
      <c r="AJ337" s="27">
        <f>IF(AN337="","",IFERROR(IF(NOT(AND(LEN(AN337)=15,ISNUMBER(MATCH(LEFT(AN337,2),Lists!$K$2:$K$38,0)),SUMPRODUCT(--ISERROR(FIND(MID(MID(AN337,3,10),{1,2,3,4,5,10},1),"ABCDEFGHIJKLMNOPQRSTUVWXYZ")))=0,SUMPRODUCT(--ISERROR(FIND(MID(MID(AN337,3,10),{6,7,8,9},1),"0123456789")))=0,ISNUMBER(FIND(MID(AN337,13,1),"123456789ABCDEFGHIJKLMNOPQRSTUVWXYZ")),MID(AN337,14,1)="Z")),"Wrong format",IF(MID("0123456789ABCDEFGHIJKLMNOPQRSTUVWXYZ",MOD(36-MOD(SUMPRODUCT(INT((FIND(MID(AN337,{1,2,3,4,5,6,7,8,9,10,11,12,13,14},1),"0123456789ABCDEFGHIJKLMNOPQRSTUVWXYZ")-1)*{1,2,1,2,1,2,1,2,1,2,1,2,1,2}/36)+MOD((FIND(MID(AN337,{1,2,3,4,5,6,7,8,9,10,11,12,13,14},1),"0123456789ABCDEFGHIJKLMNOPQRSTUVWXYZ")-1)*{1,2,1,2,1,2,1,2,1,2,1,2,1,2},36)),36),36)+1,1)=MID(AN337,15,1),"OK","Typo? check digit wrong")),"Wrong format"))</f>
        <v/>
      </c>
      <c r="AK337" s="27">
        <f>IF(AO337="","",IF(AND(LEN(AO337)=10,SUMPRODUCT(--ISERROR(FIND(MID(AO337,{1,2,3,4,5,10},1),"ABCDEFGHIJKLMNOPQRSTUVWXYZ")))=0,SUMPRODUCT(--ISERROR(FIND(MID(AO337,{6,7,8,9},1),"0123456789")))=0),"OK","Wrong format"))</f>
        <v/>
      </c>
      <c r="AL337" s="27">
        <f>IF(TRIM(H337)="","",IF(AND(LEN(UPPER(TRIM(H337)))=10,SUMPRODUCT(--ISERROR(FIND(MID(UPPER(TRIM(H337)),{1,2,3,4,10},1),"ABCDEFGHIJKLMNOPQRSTUVWXYZ")))=0,SUMPRODUCT(--ISERROR(FIND(MID(UPPER(TRIM(H337)),{5,6,7,8,9},1),"0123456789")))=0),"OK","Wrong format"))</f>
        <v/>
      </c>
      <c r="AM337" s="28">
        <f>IF(NOT(COUNTA(A337:AE337)&gt;0),"",IF(AS337&lt;&gt;"","✖ "&amp;LEFT(AS337,LEN(AS337)-2),IF(AR337&gt;0,"✔ Ready — client + "&amp;AR337&amp;" service(s)","✔ Ready — client only")))</f>
        <v/>
      </c>
      <c r="AN337" s="29">
        <f>UPPER(SUBSTITUTE(TRIM(F337)," ",""))</f>
        <v/>
      </c>
      <c r="AO337" s="29">
        <f>UPPER(SUBSTITUTE(TRIM(E337)," ",""))</f>
        <v/>
      </c>
      <c r="AP337" s="29">
        <f>IF(D337&lt;&gt;"",D337,IFERROR(VLOOKUP(MID(AG337,4,1),Lists!$E$2:$F$8,2,FALSE),""))</f>
        <v/>
      </c>
      <c r="AQ337" s="29">
        <f>IFERROR(VLOOKUP(AP337,Lists!$A$2:$C$12,3,FALSE),"")</f>
        <v/>
      </c>
      <c r="AR337" s="29">
        <f>COUNTIF(W337:AC337,"Yes")</f>
        <v/>
      </c>
      <c r="AS337" s="29">
        <f>IF(TRIM(B337)="","Legal name missing; ","")&amp;IF(AND(AJ337&lt;&gt;"",AJ337&lt;&gt;"OK"),"GSTIN: "&amp;AJ337&amp;"; ","")&amp;IF(AND(AK337&lt;&gt;"",AK337&lt;&gt;"OK"),"PAN wrong format; ","")&amp;IF(AND(AO337&lt;&gt;"",LEN(AN337)=15,MID(AN337,3,10)&lt;&gt;AO337),"PAN does not match GSTIN; ","")&amp;IF(AND(AL337&lt;&gt;"",AL337&lt;&gt;"OK"),"TAN wrong format; ","")&amp;IF(AG337="","PAN missing; ","")&amp;IF(AP337="","Entity type missing; ","")&amp;IF(AND(AN337&lt;&gt;"",COUNTIF($AN$6:$AN$1005,AN337)&gt;1),"GSTIN repeated in this sheet; ","")&amp;IF(AND(AG337&lt;&gt;"",COUNTIF($AG$6:$AG$1005,AG337)&gt;1),"PAN repeated in this sheet (same client? put extra GSTINs in Other GSTINs); ","")&amp;IF(AND(AR337&gt;0,V337=""),"Financial year missing; ","")&amp;IF(AND(AR337=0,V337&lt;&gt;""),"Financial year given but no service is Yes; ","")&amp;IF(AND(W337="Yes",AN337=""),"GST needs a GSTIN; ","")&amp;IF(AND(W337="Yes",X337=""),"GST return frequency missing; ","")&amp;IF(AND(Y337="Yes",TRIM(H337)=""),"TDS needs a TAN; ","")&amp;IF(AND(AA337="Yes",AQ337&lt;&gt;"",AQ337&lt;&gt;"company",AQ337&lt;&gt;"llp"),"ROC is only for a company / LLP; ","")&amp;IF(AND(AA337="Yes",OR(AQ337="company",AQ337="llp"),TRIM(I337)=""),"ROC needs the CIN / LLPIN; ","")</f>
        <v/>
      </c>
    </row>
    <row r="338">
      <c r="A338" s="30" t="n"/>
      <c r="B338" s="31" t="n"/>
      <c r="C338" s="31" t="n"/>
      <c r="D338" s="31" t="n"/>
      <c r="E338" s="30" t="n"/>
      <c r="F338" s="30" t="n"/>
      <c r="G338" s="30" t="n"/>
      <c r="H338" s="30" t="n"/>
      <c r="I338" s="30" t="n"/>
      <c r="J338" s="32" t="n"/>
      <c r="K338" s="31" t="n"/>
      <c r="L338" s="30" t="n"/>
      <c r="M338" s="31" t="n"/>
      <c r="N338" s="31" t="n"/>
      <c r="O338" s="31" t="n"/>
      <c r="P338" s="30" t="n"/>
      <c r="Q338" s="31" t="n"/>
      <c r="R338" s="31" t="n"/>
      <c r="S338" s="31" t="n"/>
      <c r="T338" s="31" t="n"/>
      <c r="U338" s="30" t="n"/>
      <c r="V338" s="31" t="n"/>
      <c r="W338" s="31" t="n"/>
      <c r="X338" s="31" t="n"/>
      <c r="Y338" s="31" t="n"/>
      <c r="Z338" s="31" t="n"/>
      <c r="AA338" s="31" t="n"/>
      <c r="AB338" s="31" t="n"/>
      <c r="AC338" s="31" t="n"/>
      <c r="AD338" s="31" t="n"/>
      <c r="AE338" s="31" t="n"/>
      <c r="AF338" s="27">
        <f>IF(NOT(COUNTA(A338:AE338)&gt;0),"",IF(A338="","New client","Update"))</f>
        <v/>
      </c>
      <c r="AG338" s="27">
        <f>IF(AO338&lt;&gt;"",AO338,IF(LEN(AN338)=15,MID(AN338,3,10),""))</f>
        <v/>
      </c>
      <c r="AH338" s="27">
        <f>IF(AP338="","",AP338&amp;IF(D338="","  (guessed from PAN)",""))</f>
        <v/>
      </c>
      <c r="AI338" s="27">
        <f>IF(AN338="","",IFERROR(INDEX(Lists!$L$2:$L$38,MATCH(LEFT(AN338,2),Lists!$K$2:$K$38,0)),"Unknown code"))</f>
        <v/>
      </c>
      <c r="AJ338" s="27">
        <f>IF(AN338="","",IFERROR(IF(NOT(AND(LEN(AN338)=15,ISNUMBER(MATCH(LEFT(AN338,2),Lists!$K$2:$K$38,0)),SUMPRODUCT(--ISERROR(FIND(MID(MID(AN338,3,10),{1,2,3,4,5,10},1),"ABCDEFGHIJKLMNOPQRSTUVWXYZ")))=0,SUMPRODUCT(--ISERROR(FIND(MID(MID(AN338,3,10),{6,7,8,9},1),"0123456789")))=0,ISNUMBER(FIND(MID(AN338,13,1),"123456789ABCDEFGHIJKLMNOPQRSTUVWXYZ")),MID(AN338,14,1)="Z")),"Wrong format",IF(MID("0123456789ABCDEFGHIJKLMNOPQRSTUVWXYZ",MOD(36-MOD(SUMPRODUCT(INT((FIND(MID(AN338,{1,2,3,4,5,6,7,8,9,10,11,12,13,14},1),"0123456789ABCDEFGHIJKLMNOPQRSTUVWXYZ")-1)*{1,2,1,2,1,2,1,2,1,2,1,2,1,2}/36)+MOD((FIND(MID(AN338,{1,2,3,4,5,6,7,8,9,10,11,12,13,14},1),"0123456789ABCDEFGHIJKLMNOPQRSTUVWXYZ")-1)*{1,2,1,2,1,2,1,2,1,2,1,2,1,2},36)),36),36)+1,1)=MID(AN338,15,1),"OK","Typo? check digit wrong")),"Wrong format"))</f>
        <v/>
      </c>
      <c r="AK338" s="27">
        <f>IF(AO338="","",IF(AND(LEN(AO338)=10,SUMPRODUCT(--ISERROR(FIND(MID(AO338,{1,2,3,4,5,10},1),"ABCDEFGHIJKLMNOPQRSTUVWXYZ")))=0,SUMPRODUCT(--ISERROR(FIND(MID(AO338,{6,7,8,9},1),"0123456789")))=0),"OK","Wrong format"))</f>
        <v/>
      </c>
      <c r="AL338" s="27">
        <f>IF(TRIM(H338)="","",IF(AND(LEN(UPPER(TRIM(H338)))=10,SUMPRODUCT(--ISERROR(FIND(MID(UPPER(TRIM(H338)),{1,2,3,4,10},1),"ABCDEFGHIJKLMNOPQRSTUVWXYZ")))=0,SUMPRODUCT(--ISERROR(FIND(MID(UPPER(TRIM(H338)),{5,6,7,8,9},1),"0123456789")))=0),"OK","Wrong format"))</f>
        <v/>
      </c>
      <c r="AM338" s="28">
        <f>IF(NOT(COUNTA(A338:AE338)&gt;0),"",IF(AS338&lt;&gt;"","✖ "&amp;LEFT(AS338,LEN(AS338)-2),IF(AR338&gt;0,"✔ Ready — client + "&amp;AR338&amp;" service(s)","✔ Ready — client only")))</f>
        <v/>
      </c>
      <c r="AN338" s="29">
        <f>UPPER(SUBSTITUTE(TRIM(F338)," ",""))</f>
        <v/>
      </c>
      <c r="AO338" s="29">
        <f>UPPER(SUBSTITUTE(TRIM(E338)," ",""))</f>
        <v/>
      </c>
      <c r="AP338" s="29">
        <f>IF(D338&lt;&gt;"",D338,IFERROR(VLOOKUP(MID(AG338,4,1),Lists!$E$2:$F$8,2,FALSE),""))</f>
        <v/>
      </c>
      <c r="AQ338" s="29">
        <f>IFERROR(VLOOKUP(AP338,Lists!$A$2:$C$12,3,FALSE),"")</f>
        <v/>
      </c>
      <c r="AR338" s="29">
        <f>COUNTIF(W338:AC338,"Yes")</f>
        <v/>
      </c>
      <c r="AS338" s="29">
        <f>IF(TRIM(B338)="","Legal name missing; ","")&amp;IF(AND(AJ338&lt;&gt;"",AJ338&lt;&gt;"OK"),"GSTIN: "&amp;AJ338&amp;"; ","")&amp;IF(AND(AK338&lt;&gt;"",AK338&lt;&gt;"OK"),"PAN wrong format; ","")&amp;IF(AND(AO338&lt;&gt;"",LEN(AN338)=15,MID(AN338,3,10)&lt;&gt;AO338),"PAN does not match GSTIN; ","")&amp;IF(AND(AL338&lt;&gt;"",AL338&lt;&gt;"OK"),"TAN wrong format; ","")&amp;IF(AG338="","PAN missing; ","")&amp;IF(AP338="","Entity type missing; ","")&amp;IF(AND(AN338&lt;&gt;"",COUNTIF($AN$6:$AN$1005,AN338)&gt;1),"GSTIN repeated in this sheet; ","")&amp;IF(AND(AG338&lt;&gt;"",COUNTIF($AG$6:$AG$1005,AG338)&gt;1),"PAN repeated in this sheet (same client? put extra GSTINs in Other GSTINs); ","")&amp;IF(AND(AR338&gt;0,V338=""),"Financial year missing; ","")&amp;IF(AND(AR338=0,V338&lt;&gt;""),"Financial year given but no service is Yes; ","")&amp;IF(AND(W338="Yes",AN338=""),"GST needs a GSTIN; ","")&amp;IF(AND(W338="Yes",X338=""),"GST return frequency missing; ","")&amp;IF(AND(Y338="Yes",TRIM(H338)=""),"TDS needs a TAN; ","")&amp;IF(AND(AA338="Yes",AQ338&lt;&gt;"",AQ338&lt;&gt;"company",AQ338&lt;&gt;"llp"),"ROC is only for a company / LLP; ","")&amp;IF(AND(AA338="Yes",OR(AQ338="company",AQ338="llp"),TRIM(I338)=""),"ROC needs the CIN / LLPIN; ","")</f>
        <v/>
      </c>
    </row>
    <row r="339">
      <c r="A339" s="30" t="n"/>
      <c r="B339" s="31" t="n"/>
      <c r="C339" s="31" t="n"/>
      <c r="D339" s="31" t="n"/>
      <c r="E339" s="30" t="n"/>
      <c r="F339" s="30" t="n"/>
      <c r="G339" s="30" t="n"/>
      <c r="H339" s="30" t="n"/>
      <c r="I339" s="30" t="n"/>
      <c r="J339" s="32" t="n"/>
      <c r="K339" s="31" t="n"/>
      <c r="L339" s="30" t="n"/>
      <c r="M339" s="31" t="n"/>
      <c r="N339" s="31" t="n"/>
      <c r="O339" s="31" t="n"/>
      <c r="P339" s="30" t="n"/>
      <c r="Q339" s="31" t="n"/>
      <c r="R339" s="31" t="n"/>
      <c r="S339" s="31" t="n"/>
      <c r="T339" s="31" t="n"/>
      <c r="U339" s="30" t="n"/>
      <c r="V339" s="31" t="n"/>
      <c r="W339" s="31" t="n"/>
      <c r="X339" s="31" t="n"/>
      <c r="Y339" s="31" t="n"/>
      <c r="Z339" s="31" t="n"/>
      <c r="AA339" s="31" t="n"/>
      <c r="AB339" s="31" t="n"/>
      <c r="AC339" s="31" t="n"/>
      <c r="AD339" s="31" t="n"/>
      <c r="AE339" s="31" t="n"/>
      <c r="AF339" s="27">
        <f>IF(NOT(COUNTA(A339:AE339)&gt;0),"",IF(A339="","New client","Update"))</f>
        <v/>
      </c>
      <c r="AG339" s="27">
        <f>IF(AO339&lt;&gt;"",AO339,IF(LEN(AN339)=15,MID(AN339,3,10),""))</f>
        <v/>
      </c>
      <c r="AH339" s="27">
        <f>IF(AP339="","",AP339&amp;IF(D339="","  (guessed from PAN)",""))</f>
        <v/>
      </c>
      <c r="AI339" s="27">
        <f>IF(AN339="","",IFERROR(INDEX(Lists!$L$2:$L$38,MATCH(LEFT(AN339,2),Lists!$K$2:$K$38,0)),"Unknown code"))</f>
        <v/>
      </c>
      <c r="AJ339" s="27">
        <f>IF(AN339="","",IFERROR(IF(NOT(AND(LEN(AN339)=15,ISNUMBER(MATCH(LEFT(AN339,2),Lists!$K$2:$K$38,0)),SUMPRODUCT(--ISERROR(FIND(MID(MID(AN339,3,10),{1,2,3,4,5,10},1),"ABCDEFGHIJKLMNOPQRSTUVWXYZ")))=0,SUMPRODUCT(--ISERROR(FIND(MID(MID(AN339,3,10),{6,7,8,9},1),"0123456789")))=0,ISNUMBER(FIND(MID(AN339,13,1),"123456789ABCDEFGHIJKLMNOPQRSTUVWXYZ")),MID(AN339,14,1)="Z")),"Wrong format",IF(MID("0123456789ABCDEFGHIJKLMNOPQRSTUVWXYZ",MOD(36-MOD(SUMPRODUCT(INT((FIND(MID(AN339,{1,2,3,4,5,6,7,8,9,10,11,12,13,14},1),"0123456789ABCDEFGHIJKLMNOPQRSTUVWXYZ")-1)*{1,2,1,2,1,2,1,2,1,2,1,2,1,2}/36)+MOD((FIND(MID(AN339,{1,2,3,4,5,6,7,8,9,10,11,12,13,14},1),"0123456789ABCDEFGHIJKLMNOPQRSTUVWXYZ")-1)*{1,2,1,2,1,2,1,2,1,2,1,2,1,2},36)),36),36)+1,1)=MID(AN339,15,1),"OK","Typo? check digit wrong")),"Wrong format"))</f>
        <v/>
      </c>
      <c r="AK339" s="27">
        <f>IF(AO339="","",IF(AND(LEN(AO339)=10,SUMPRODUCT(--ISERROR(FIND(MID(AO339,{1,2,3,4,5,10},1),"ABCDEFGHIJKLMNOPQRSTUVWXYZ")))=0,SUMPRODUCT(--ISERROR(FIND(MID(AO339,{6,7,8,9},1),"0123456789")))=0),"OK","Wrong format"))</f>
        <v/>
      </c>
      <c r="AL339" s="27">
        <f>IF(TRIM(H339)="","",IF(AND(LEN(UPPER(TRIM(H339)))=10,SUMPRODUCT(--ISERROR(FIND(MID(UPPER(TRIM(H339)),{1,2,3,4,10},1),"ABCDEFGHIJKLMNOPQRSTUVWXYZ")))=0,SUMPRODUCT(--ISERROR(FIND(MID(UPPER(TRIM(H339)),{5,6,7,8,9},1),"0123456789")))=0),"OK","Wrong format"))</f>
        <v/>
      </c>
      <c r="AM339" s="28">
        <f>IF(NOT(COUNTA(A339:AE339)&gt;0),"",IF(AS339&lt;&gt;"","✖ "&amp;LEFT(AS339,LEN(AS339)-2),IF(AR339&gt;0,"✔ Ready — client + "&amp;AR339&amp;" service(s)","✔ Ready — client only")))</f>
        <v/>
      </c>
      <c r="AN339" s="29">
        <f>UPPER(SUBSTITUTE(TRIM(F339)," ",""))</f>
        <v/>
      </c>
      <c r="AO339" s="29">
        <f>UPPER(SUBSTITUTE(TRIM(E339)," ",""))</f>
        <v/>
      </c>
      <c r="AP339" s="29">
        <f>IF(D339&lt;&gt;"",D339,IFERROR(VLOOKUP(MID(AG339,4,1),Lists!$E$2:$F$8,2,FALSE),""))</f>
        <v/>
      </c>
      <c r="AQ339" s="29">
        <f>IFERROR(VLOOKUP(AP339,Lists!$A$2:$C$12,3,FALSE),"")</f>
        <v/>
      </c>
      <c r="AR339" s="29">
        <f>COUNTIF(W339:AC339,"Yes")</f>
        <v/>
      </c>
      <c r="AS339" s="29">
        <f>IF(TRIM(B339)="","Legal name missing; ","")&amp;IF(AND(AJ339&lt;&gt;"",AJ339&lt;&gt;"OK"),"GSTIN: "&amp;AJ339&amp;"; ","")&amp;IF(AND(AK339&lt;&gt;"",AK339&lt;&gt;"OK"),"PAN wrong format; ","")&amp;IF(AND(AO339&lt;&gt;"",LEN(AN339)=15,MID(AN339,3,10)&lt;&gt;AO339),"PAN does not match GSTIN; ","")&amp;IF(AND(AL339&lt;&gt;"",AL339&lt;&gt;"OK"),"TAN wrong format; ","")&amp;IF(AG339="","PAN missing; ","")&amp;IF(AP339="","Entity type missing; ","")&amp;IF(AND(AN339&lt;&gt;"",COUNTIF($AN$6:$AN$1005,AN339)&gt;1),"GSTIN repeated in this sheet; ","")&amp;IF(AND(AG339&lt;&gt;"",COUNTIF($AG$6:$AG$1005,AG339)&gt;1),"PAN repeated in this sheet (same client? put extra GSTINs in Other GSTINs); ","")&amp;IF(AND(AR339&gt;0,V339=""),"Financial year missing; ","")&amp;IF(AND(AR339=0,V339&lt;&gt;""),"Financial year given but no service is Yes; ","")&amp;IF(AND(W339="Yes",AN339=""),"GST needs a GSTIN; ","")&amp;IF(AND(W339="Yes",X339=""),"GST return frequency missing; ","")&amp;IF(AND(Y339="Yes",TRIM(H339)=""),"TDS needs a TAN; ","")&amp;IF(AND(AA339="Yes",AQ339&lt;&gt;"",AQ339&lt;&gt;"company",AQ339&lt;&gt;"llp"),"ROC is only for a company / LLP; ","")&amp;IF(AND(AA339="Yes",OR(AQ339="company",AQ339="llp"),TRIM(I339)=""),"ROC needs the CIN / LLPIN; ","")</f>
        <v/>
      </c>
    </row>
    <row r="340">
      <c r="A340" s="30" t="n"/>
      <c r="B340" s="31" t="n"/>
      <c r="C340" s="31" t="n"/>
      <c r="D340" s="31" t="n"/>
      <c r="E340" s="30" t="n"/>
      <c r="F340" s="30" t="n"/>
      <c r="G340" s="30" t="n"/>
      <c r="H340" s="30" t="n"/>
      <c r="I340" s="30" t="n"/>
      <c r="J340" s="32" t="n"/>
      <c r="K340" s="31" t="n"/>
      <c r="L340" s="30" t="n"/>
      <c r="M340" s="31" t="n"/>
      <c r="N340" s="31" t="n"/>
      <c r="O340" s="31" t="n"/>
      <c r="P340" s="30" t="n"/>
      <c r="Q340" s="31" t="n"/>
      <c r="R340" s="31" t="n"/>
      <c r="S340" s="31" t="n"/>
      <c r="T340" s="31" t="n"/>
      <c r="U340" s="30" t="n"/>
      <c r="V340" s="31" t="n"/>
      <c r="W340" s="31" t="n"/>
      <c r="X340" s="31" t="n"/>
      <c r="Y340" s="31" t="n"/>
      <c r="Z340" s="31" t="n"/>
      <c r="AA340" s="31" t="n"/>
      <c r="AB340" s="31" t="n"/>
      <c r="AC340" s="31" t="n"/>
      <c r="AD340" s="31" t="n"/>
      <c r="AE340" s="31" t="n"/>
      <c r="AF340" s="27">
        <f>IF(NOT(COUNTA(A340:AE340)&gt;0),"",IF(A340="","New client","Update"))</f>
        <v/>
      </c>
      <c r="AG340" s="27">
        <f>IF(AO340&lt;&gt;"",AO340,IF(LEN(AN340)=15,MID(AN340,3,10),""))</f>
        <v/>
      </c>
      <c r="AH340" s="27">
        <f>IF(AP340="","",AP340&amp;IF(D340="","  (guessed from PAN)",""))</f>
        <v/>
      </c>
      <c r="AI340" s="27">
        <f>IF(AN340="","",IFERROR(INDEX(Lists!$L$2:$L$38,MATCH(LEFT(AN340,2),Lists!$K$2:$K$38,0)),"Unknown code"))</f>
        <v/>
      </c>
      <c r="AJ340" s="27">
        <f>IF(AN340="","",IFERROR(IF(NOT(AND(LEN(AN340)=15,ISNUMBER(MATCH(LEFT(AN340,2),Lists!$K$2:$K$38,0)),SUMPRODUCT(--ISERROR(FIND(MID(MID(AN340,3,10),{1,2,3,4,5,10},1),"ABCDEFGHIJKLMNOPQRSTUVWXYZ")))=0,SUMPRODUCT(--ISERROR(FIND(MID(MID(AN340,3,10),{6,7,8,9},1),"0123456789")))=0,ISNUMBER(FIND(MID(AN340,13,1),"123456789ABCDEFGHIJKLMNOPQRSTUVWXYZ")),MID(AN340,14,1)="Z")),"Wrong format",IF(MID("0123456789ABCDEFGHIJKLMNOPQRSTUVWXYZ",MOD(36-MOD(SUMPRODUCT(INT((FIND(MID(AN340,{1,2,3,4,5,6,7,8,9,10,11,12,13,14},1),"0123456789ABCDEFGHIJKLMNOPQRSTUVWXYZ")-1)*{1,2,1,2,1,2,1,2,1,2,1,2,1,2}/36)+MOD((FIND(MID(AN340,{1,2,3,4,5,6,7,8,9,10,11,12,13,14},1),"0123456789ABCDEFGHIJKLMNOPQRSTUVWXYZ")-1)*{1,2,1,2,1,2,1,2,1,2,1,2,1,2},36)),36),36)+1,1)=MID(AN340,15,1),"OK","Typo? check digit wrong")),"Wrong format"))</f>
        <v/>
      </c>
      <c r="AK340" s="27">
        <f>IF(AO340="","",IF(AND(LEN(AO340)=10,SUMPRODUCT(--ISERROR(FIND(MID(AO340,{1,2,3,4,5,10},1),"ABCDEFGHIJKLMNOPQRSTUVWXYZ")))=0,SUMPRODUCT(--ISERROR(FIND(MID(AO340,{6,7,8,9},1),"0123456789")))=0),"OK","Wrong format"))</f>
        <v/>
      </c>
      <c r="AL340" s="27">
        <f>IF(TRIM(H340)="","",IF(AND(LEN(UPPER(TRIM(H340)))=10,SUMPRODUCT(--ISERROR(FIND(MID(UPPER(TRIM(H340)),{1,2,3,4,10},1),"ABCDEFGHIJKLMNOPQRSTUVWXYZ")))=0,SUMPRODUCT(--ISERROR(FIND(MID(UPPER(TRIM(H340)),{5,6,7,8,9},1),"0123456789")))=0),"OK","Wrong format"))</f>
        <v/>
      </c>
      <c r="AM340" s="28">
        <f>IF(NOT(COUNTA(A340:AE340)&gt;0),"",IF(AS340&lt;&gt;"","✖ "&amp;LEFT(AS340,LEN(AS340)-2),IF(AR340&gt;0,"✔ Ready — client + "&amp;AR340&amp;" service(s)","✔ Ready — client only")))</f>
        <v/>
      </c>
      <c r="AN340" s="29">
        <f>UPPER(SUBSTITUTE(TRIM(F340)," ",""))</f>
        <v/>
      </c>
      <c r="AO340" s="29">
        <f>UPPER(SUBSTITUTE(TRIM(E340)," ",""))</f>
        <v/>
      </c>
      <c r="AP340" s="29">
        <f>IF(D340&lt;&gt;"",D340,IFERROR(VLOOKUP(MID(AG340,4,1),Lists!$E$2:$F$8,2,FALSE),""))</f>
        <v/>
      </c>
      <c r="AQ340" s="29">
        <f>IFERROR(VLOOKUP(AP340,Lists!$A$2:$C$12,3,FALSE),"")</f>
        <v/>
      </c>
      <c r="AR340" s="29">
        <f>COUNTIF(W340:AC340,"Yes")</f>
        <v/>
      </c>
      <c r="AS340" s="29">
        <f>IF(TRIM(B340)="","Legal name missing; ","")&amp;IF(AND(AJ340&lt;&gt;"",AJ340&lt;&gt;"OK"),"GSTIN: "&amp;AJ340&amp;"; ","")&amp;IF(AND(AK340&lt;&gt;"",AK340&lt;&gt;"OK"),"PAN wrong format; ","")&amp;IF(AND(AO340&lt;&gt;"",LEN(AN340)=15,MID(AN340,3,10)&lt;&gt;AO340),"PAN does not match GSTIN; ","")&amp;IF(AND(AL340&lt;&gt;"",AL340&lt;&gt;"OK"),"TAN wrong format; ","")&amp;IF(AG340="","PAN missing; ","")&amp;IF(AP340="","Entity type missing; ","")&amp;IF(AND(AN340&lt;&gt;"",COUNTIF($AN$6:$AN$1005,AN340)&gt;1),"GSTIN repeated in this sheet; ","")&amp;IF(AND(AG340&lt;&gt;"",COUNTIF($AG$6:$AG$1005,AG340)&gt;1),"PAN repeated in this sheet (same client? put extra GSTINs in Other GSTINs); ","")&amp;IF(AND(AR340&gt;0,V340=""),"Financial year missing; ","")&amp;IF(AND(AR340=0,V340&lt;&gt;""),"Financial year given but no service is Yes; ","")&amp;IF(AND(W340="Yes",AN340=""),"GST needs a GSTIN; ","")&amp;IF(AND(W340="Yes",X340=""),"GST return frequency missing; ","")&amp;IF(AND(Y340="Yes",TRIM(H340)=""),"TDS needs a TAN; ","")&amp;IF(AND(AA340="Yes",AQ340&lt;&gt;"",AQ340&lt;&gt;"company",AQ340&lt;&gt;"llp"),"ROC is only for a company / LLP; ","")&amp;IF(AND(AA340="Yes",OR(AQ340="company",AQ340="llp"),TRIM(I340)=""),"ROC needs the CIN / LLPIN; ","")</f>
        <v/>
      </c>
    </row>
    <row r="341">
      <c r="A341" s="30" t="n"/>
      <c r="B341" s="31" t="n"/>
      <c r="C341" s="31" t="n"/>
      <c r="D341" s="31" t="n"/>
      <c r="E341" s="30" t="n"/>
      <c r="F341" s="30" t="n"/>
      <c r="G341" s="30" t="n"/>
      <c r="H341" s="30" t="n"/>
      <c r="I341" s="30" t="n"/>
      <c r="J341" s="32" t="n"/>
      <c r="K341" s="31" t="n"/>
      <c r="L341" s="30" t="n"/>
      <c r="M341" s="31" t="n"/>
      <c r="N341" s="31" t="n"/>
      <c r="O341" s="31" t="n"/>
      <c r="P341" s="30" t="n"/>
      <c r="Q341" s="31" t="n"/>
      <c r="R341" s="31" t="n"/>
      <c r="S341" s="31" t="n"/>
      <c r="T341" s="31" t="n"/>
      <c r="U341" s="30" t="n"/>
      <c r="V341" s="31" t="n"/>
      <c r="W341" s="31" t="n"/>
      <c r="X341" s="31" t="n"/>
      <c r="Y341" s="31" t="n"/>
      <c r="Z341" s="31" t="n"/>
      <c r="AA341" s="31" t="n"/>
      <c r="AB341" s="31" t="n"/>
      <c r="AC341" s="31" t="n"/>
      <c r="AD341" s="31" t="n"/>
      <c r="AE341" s="31" t="n"/>
      <c r="AF341" s="27">
        <f>IF(NOT(COUNTA(A341:AE341)&gt;0),"",IF(A341="","New client","Update"))</f>
        <v/>
      </c>
      <c r="AG341" s="27">
        <f>IF(AO341&lt;&gt;"",AO341,IF(LEN(AN341)=15,MID(AN341,3,10),""))</f>
        <v/>
      </c>
      <c r="AH341" s="27">
        <f>IF(AP341="","",AP341&amp;IF(D341="","  (guessed from PAN)",""))</f>
        <v/>
      </c>
      <c r="AI341" s="27">
        <f>IF(AN341="","",IFERROR(INDEX(Lists!$L$2:$L$38,MATCH(LEFT(AN341,2),Lists!$K$2:$K$38,0)),"Unknown code"))</f>
        <v/>
      </c>
      <c r="AJ341" s="27">
        <f>IF(AN341="","",IFERROR(IF(NOT(AND(LEN(AN341)=15,ISNUMBER(MATCH(LEFT(AN341,2),Lists!$K$2:$K$38,0)),SUMPRODUCT(--ISERROR(FIND(MID(MID(AN341,3,10),{1,2,3,4,5,10},1),"ABCDEFGHIJKLMNOPQRSTUVWXYZ")))=0,SUMPRODUCT(--ISERROR(FIND(MID(MID(AN341,3,10),{6,7,8,9},1),"0123456789")))=0,ISNUMBER(FIND(MID(AN341,13,1),"123456789ABCDEFGHIJKLMNOPQRSTUVWXYZ")),MID(AN341,14,1)="Z")),"Wrong format",IF(MID("0123456789ABCDEFGHIJKLMNOPQRSTUVWXYZ",MOD(36-MOD(SUMPRODUCT(INT((FIND(MID(AN341,{1,2,3,4,5,6,7,8,9,10,11,12,13,14},1),"0123456789ABCDEFGHIJKLMNOPQRSTUVWXYZ")-1)*{1,2,1,2,1,2,1,2,1,2,1,2,1,2}/36)+MOD((FIND(MID(AN341,{1,2,3,4,5,6,7,8,9,10,11,12,13,14},1),"0123456789ABCDEFGHIJKLMNOPQRSTUVWXYZ")-1)*{1,2,1,2,1,2,1,2,1,2,1,2,1,2},36)),36),36)+1,1)=MID(AN341,15,1),"OK","Typo? check digit wrong")),"Wrong format"))</f>
        <v/>
      </c>
      <c r="AK341" s="27">
        <f>IF(AO341="","",IF(AND(LEN(AO341)=10,SUMPRODUCT(--ISERROR(FIND(MID(AO341,{1,2,3,4,5,10},1),"ABCDEFGHIJKLMNOPQRSTUVWXYZ")))=0,SUMPRODUCT(--ISERROR(FIND(MID(AO341,{6,7,8,9},1),"0123456789")))=0),"OK","Wrong format"))</f>
        <v/>
      </c>
      <c r="AL341" s="27">
        <f>IF(TRIM(H341)="","",IF(AND(LEN(UPPER(TRIM(H341)))=10,SUMPRODUCT(--ISERROR(FIND(MID(UPPER(TRIM(H341)),{1,2,3,4,10},1),"ABCDEFGHIJKLMNOPQRSTUVWXYZ")))=0,SUMPRODUCT(--ISERROR(FIND(MID(UPPER(TRIM(H341)),{5,6,7,8,9},1),"0123456789")))=0),"OK","Wrong format"))</f>
        <v/>
      </c>
      <c r="AM341" s="28">
        <f>IF(NOT(COUNTA(A341:AE341)&gt;0),"",IF(AS341&lt;&gt;"","✖ "&amp;LEFT(AS341,LEN(AS341)-2),IF(AR341&gt;0,"✔ Ready — client + "&amp;AR341&amp;" service(s)","✔ Ready — client only")))</f>
        <v/>
      </c>
      <c r="AN341" s="29">
        <f>UPPER(SUBSTITUTE(TRIM(F341)," ",""))</f>
        <v/>
      </c>
      <c r="AO341" s="29">
        <f>UPPER(SUBSTITUTE(TRIM(E341)," ",""))</f>
        <v/>
      </c>
      <c r="AP341" s="29">
        <f>IF(D341&lt;&gt;"",D341,IFERROR(VLOOKUP(MID(AG341,4,1),Lists!$E$2:$F$8,2,FALSE),""))</f>
        <v/>
      </c>
      <c r="AQ341" s="29">
        <f>IFERROR(VLOOKUP(AP341,Lists!$A$2:$C$12,3,FALSE),"")</f>
        <v/>
      </c>
      <c r="AR341" s="29">
        <f>COUNTIF(W341:AC341,"Yes")</f>
        <v/>
      </c>
      <c r="AS341" s="29">
        <f>IF(TRIM(B341)="","Legal name missing; ","")&amp;IF(AND(AJ341&lt;&gt;"",AJ341&lt;&gt;"OK"),"GSTIN: "&amp;AJ341&amp;"; ","")&amp;IF(AND(AK341&lt;&gt;"",AK341&lt;&gt;"OK"),"PAN wrong format; ","")&amp;IF(AND(AO341&lt;&gt;"",LEN(AN341)=15,MID(AN341,3,10)&lt;&gt;AO341),"PAN does not match GSTIN; ","")&amp;IF(AND(AL341&lt;&gt;"",AL341&lt;&gt;"OK"),"TAN wrong format; ","")&amp;IF(AG341="","PAN missing; ","")&amp;IF(AP341="","Entity type missing; ","")&amp;IF(AND(AN341&lt;&gt;"",COUNTIF($AN$6:$AN$1005,AN341)&gt;1),"GSTIN repeated in this sheet; ","")&amp;IF(AND(AG341&lt;&gt;"",COUNTIF($AG$6:$AG$1005,AG341)&gt;1),"PAN repeated in this sheet (same client? put extra GSTINs in Other GSTINs); ","")&amp;IF(AND(AR341&gt;0,V341=""),"Financial year missing; ","")&amp;IF(AND(AR341=0,V341&lt;&gt;""),"Financial year given but no service is Yes; ","")&amp;IF(AND(W341="Yes",AN341=""),"GST needs a GSTIN; ","")&amp;IF(AND(W341="Yes",X341=""),"GST return frequency missing; ","")&amp;IF(AND(Y341="Yes",TRIM(H341)=""),"TDS needs a TAN; ","")&amp;IF(AND(AA341="Yes",AQ341&lt;&gt;"",AQ341&lt;&gt;"company",AQ341&lt;&gt;"llp"),"ROC is only for a company / LLP; ","")&amp;IF(AND(AA341="Yes",OR(AQ341="company",AQ341="llp"),TRIM(I341)=""),"ROC needs the CIN / LLPIN; ","")</f>
        <v/>
      </c>
    </row>
    <row r="342">
      <c r="A342" s="30" t="n"/>
      <c r="B342" s="31" t="n"/>
      <c r="C342" s="31" t="n"/>
      <c r="D342" s="31" t="n"/>
      <c r="E342" s="30" t="n"/>
      <c r="F342" s="30" t="n"/>
      <c r="G342" s="30" t="n"/>
      <c r="H342" s="30" t="n"/>
      <c r="I342" s="30" t="n"/>
      <c r="J342" s="32" t="n"/>
      <c r="K342" s="31" t="n"/>
      <c r="L342" s="30" t="n"/>
      <c r="M342" s="31" t="n"/>
      <c r="N342" s="31" t="n"/>
      <c r="O342" s="31" t="n"/>
      <c r="P342" s="30" t="n"/>
      <c r="Q342" s="31" t="n"/>
      <c r="R342" s="31" t="n"/>
      <c r="S342" s="31" t="n"/>
      <c r="T342" s="31" t="n"/>
      <c r="U342" s="30" t="n"/>
      <c r="V342" s="31" t="n"/>
      <c r="W342" s="31" t="n"/>
      <c r="X342" s="31" t="n"/>
      <c r="Y342" s="31" t="n"/>
      <c r="Z342" s="31" t="n"/>
      <c r="AA342" s="31" t="n"/>
      <c r="AB342" s="31" t="n"/>
      <c r="AC342" s="31" t="n"/>
      <c r="AD342" s="31" t="n"/>
      <c r="AE342" s="31" t="n"/>
      <c r="AF342" s="27">
        <f>IF(NOT(COUNTA(A342:AE342)&gt;0),"",IF(A342="","New client","Update"))</f>
        <v/>
      </c>
      <c r="AG342" s="27">
        <f>IF(AO342&lt;&gt;"",AO342,IF(LEN(AN342)=15,MID(AN342,3,10),""))</f>
        <v/>
      </c>
      <c r="AH342" s="27">
        <f>IF(AP342="","",AP342&amp;IF(D342="","  (guessed from PAN)",""))</f>
        <v/>
      </c>
      <c r="AI342" s="27">
        <f>IF(AN342="","",IFERROR(INDEX(Lists!$L$2:$L$38,MATCH(LEFT(AN342,2),Lists!$K$2:$K$38,0)),"Unknown code"))</f>
        <v/>
      </c>
      <c r="AJ342" s="27">
        <f>IF(AN342="","",IFERROR(IF(NOT(AND(LEN(AN342)=15,ISNUMBER(MATCH(LEFT(AN342,2),Lists!$K$2:$K$38,0)),SUMPRODUCT(--ISERROR(FIND(MID(MID(AN342,3,10),{1,2,3,4,5,10},1),"ABCDEFGHIJKLMNOPQRSTUVWXYZ")))=0,SUMPRODUCT(--ISERROR(FIND(MID(MID(AN342,3,10),{6,7,8,9},1),"0123456789")))=0,ISNUMBER(FIND(MID(AN342,13,1),"123456789ABCDEFGHIJKLMNOPQRSTUVWXYZ")),MID(AN342,14,1)="Z")),"Wrong format",IF(MID("0123456789ABCDEFGHIJKLMNOPQRSTUVWXYZ",MOD(36-MOD(SUMPRODUCT(INT((FIND(MID(AN342,{1,2,3,4,5,6,7,8,9,10,11,12,13,14},1),"0123456789ABCDEFGHIJKLMNOPQRSTUVWXYZ")-1)*{1,2,1,2,1,2,1,2,1,2,1,2,1,2}/36)+MOD((FIND(MID(AN342,{1,2,3,4,5,6,7,8,9,10,11,12,13,14},1),"0123456789ABCDEFGHIJKLMNOPQRSTUVWXYZ")-1)*{1,2,1,2,1,2,1,2,1,2,1,2,1,2},36)),36),36)+1,1)=MID(AN342,15,1),"OK","Typo? check digit wrong")),"Wrong format"))</f>
        <v/>
      </c>
      <c r="AK342" s="27">
        <f>IF(AO342="","",IF(AND(LEN(AO342)=10,SUMPRODUCT(--ISERROR(FIND(MID(AO342,{1,2,3,4,5,10},1),"ABCDEFGHIJKLMNOPQRSTUVWXYZ")))=0,SUMPRODUCT(--ISERROR(FIND(MID(AO342,{6,7,8,9},1),"0123456789")))=0),"OK","Wrong format"))</f>
        <v/>
      </c>
      <c r="AL342" s="27">
        <f>IF(TRIM(H342)="","",IF(AND(LEN(UPPER(TRIM(H342)))=10,SUMPRODUCT(--ISERROR(FIND(MID(UPPER(TRIM(H342)),{1,2,3,4,10},1),"ABCDEFGHIJKLMNOPQRSTUVWXYZ")))=0,SUMPRODUCT(--ISERROR(FIND(MID(UPPER(TRIM(H342)),{5,6,7,8,9},1),"0123456789")))=0),"OK","Wrong format"))</f>
        <v/>
      </c>
      <c r="AM342" s="28">
        <f>IF(NOT(COUNTA(A342:AE342)&gt;0),"",IF(AS342&lt;&gt;"","✖ "&amp;LEFT(AS342,LEN(AS342)-2),IF(AR342&gt;0,"✔ Ready — client + "&amp;AR342&amp;" service(s)","✔ Ready — client only")))</f>
        <v/>
      </c>
      <c r="AN342" s="29">
        <f>UPPER(SUBSTITUTE(TRIM(F342)," ",""))</f>
        <v/>
      </c>
      <c r="AO342" s="29">
        <f>UPPER(SUBSTITUTE(TRIM(E342)," ",""))</f>
        <v/>
      </c>
      <c r="AP342" s="29">
        <f>IF(D342&lt;&gt;"",D342,IFERROR(VLOOKUP(MID(AG342,4,1),Lists!$E$2:$F$8,2,FALSE),""))</f>
        <v/>
      </c>
      <c r="AQ342" s="29">
        <f>IFERROR(VLOOKUP(AP342,Lists!$A$2:$C$12,3,FALSE),"")</f>
        <v/>
      </c>
      <c r="AR342" s="29">
        <f>COUNTIF(W342:AC342,"Yes")</f>
        <v/>
      </c>
      <c r="AS342" s="29">
        <f>IF(TRIM(B342)="","Legal name missing; ","")&amp;IF(AND(AJ342&lt;&gt;"",AJ342&lt;&gt;"OK"),"GSTIN: "&amp;AJ342&amp;"; ","")&amp;IF(AND(AK342&lt;&gt;"",AK342&lt;&gt;"OK"),"PAN wrong format; ","")&amp;IF(AND(AO342&lt;&gt;"",LEN(AN342)=15,MID(AN342,3,10)&lt;&gt;AO342),"PAN does not match GSTIN; ","")&amp;IF(AND(AL342&lt;&gt;"",AL342&lt;&gt;"OK"),"TAN wrong format; ","")&amp;IF(AG342="","PAN missing; ","")&amp;IF(AP342="","Entity type missing; ","")&amp;IF(AND(AN342&lt;&gt;"",COUNTIF($AN$6:$AN$1005,AN342)&gt;1),"GSTIN repeated in this sheet; ","")&amp;IF(AND(AG342&lt;&gt;"",COUNTIF($AG$6:$AG$1005,AG342)&gt;1),"PAN repeated in this sheet (same client? put extra GSTINs in Other GSTINs); ","")&amp;IF(AND(AR342&gt;0,V342=""),"Financial year missing; ","")&amp;IF(AND(AR342=0,V342&lt;&gt;""),"Financial year given but no service is Yes; ","")&amp;IF(AND(W342="Yes",AN342=""),"GST needs a GSTIN; ","")&amp;IF(AND(W342="Yes",X342=""),"GST return frequency missing; ","")&amp;IF(AND(Y342="Yes",TRIM(H342)=""),"TDS needs a TAN; ","")&amp;IF(AND(AA342="Yes",AQ342&lt;&gt;"",AQ342&lt;&gt;"company",AQ342&lt;&gt;"llp"),"ROC is only for a company / LLP; ","")&amp;IF(AND(AA342="Yes",OR(AQ342="company",AQ342="llp"),TRIM(I342)=""),"ROC needs the CIN / LLPIN; ","")</f>
        <v/>
      </c>
    </row>
    <row r="343">
      <c r="A343" s="30" t="n"/>
      <c r="B343" s="31" t="n"/>
      <c r="C343" s="31" t="n"/>
      <c r="D343" s="31" t="n"/>
      <c r="E343" s="30" t="n"/>
      <c r="F343" s="30" t="n"/>
      <c r="G343" s="30" t="n"/>
      <c r="H343" s="30" t="n"/>
      <c r="I343" s="30" t="n"/>
      <c r="J343" s="32" t="n"/>
      <c r="K343" s="31" t="n"/>
      <c r="L343" s="30" t="n"/>
      <c r="M343" s="31" t="n"/>
      <c r="N343" s="31" t="n"/>
      <c r="O343" s="31" t="n"/>
      <c r="P343" s="30" t="n"/>
      <c r="Q343" s="31" t="n"/>
      <c r="R343" s="31" t="n"/>
      <c r="S343" s="31" t="n"/>
      <c r="T343" s="31" t="n"/>
      <c r="U343" s="30" t="n"/>
      <c r="V343" s="31" t="n"/>
      <c r="W343" s="31" t="n"/>
      <c r="X343" s="31" t="n"/>
      <c r="Y343" s="31" t="n"/>
      <c r="Z343" s="31" t="n"/>
      <c r="AA343" s="31" t="n"/>
      <c r="AB343" s="31" t="n"/>
      <c r="AC343" s="31" t="n"/>
      <c r="AD343" s="31" t="n"/>
      <c r="AE343" s="31" t="n"/>
      <c r="AF343" s="27">
        <f>IF(NOT(COUNTA(A343:AE343)&gt;0),"",IF(A343="","New client","Update"))</f>
        <v/>
      </c>
      <c r="AG343" s="27">
        <f>IF(AO343&lt;&gt;"",AO343,IF(LEN(AN343)=15,MID(AN343,3,10),""))</f>
        <v/>
      </c>
      <c r="AH343" s="27">
        <f>IF(AP343="","",AP343&amp;IF(D343="","  (guessed from PAN)",""))</f>
        <v/>
      </c>
      <c r="AI343" s="27">
        <f>IF(AN343="","",IFERROR(INDEX(Lists!$L$2:$L$38,MATCH(LEFT(AN343,2),Lists!$K$2:$K$38,0)),"Unknown code"))</f>
        <v/>
      </c>
      <c r="AJ343" s="27">
        <f>IF(AN343="","",IFERROR(IF(NOT(AND(LEN(AN343)=15,ISNUMBER(MATCH(LEFT(AN343,2),Lists!$K$2:$K$38,0)),SUMPRODUCT(--ISERROR(FIND(MID(MID(AN343,3,10),{1,2,3,4,5,10},1),"ABCDEFGHIJKLMNOPQRSTUVWXYZ")))=0,SUMPRODUCT(--ISERROR(FIND(MID(MID(AN343,3,10),{6,7,8,9},1),"0123456789")))=0,ISNUMBER(FIND(MID(AN343,13,1),"123456789ABCDEFGHIJKLMNOPQRSTUVWXYZ")),MID(AN343,14,1)="Z")),"Wrong format",IF(MID("0123456789ABCDEFGHIJKLMNOPQRSTUVWXYZ",MOD(36-MOD(SUMPRODUCT(INT((FIND(MID(AN343,{1,2,3,4,5,6,7,8,9,10,11,12,13,14},1),"0123456789ABCDEFGHIJKLMNOPQRSTUVWXYZ")-1)*{1,2,1,2,1,2,1,2,1,2,1,2,1,2}/36)+MOD((FIND(MID(AN343,{1,2,3,4,5,6,7,8,9,10,11,12,13,14},1),"0123456789ABCDEFGHIJKLMNOPQRSTUVWXYZ")-1)*{1,2,1,2,1,2,1,2,1,2,1,2,1,2},36)),36),36)+1,1)=MID(AN343,15,1),"OK","Typo? check digit wrong")),"Wrong format"))</f>
        <v/>
      </c>
      <c r="AK343" s="27">
        <f>IF(AO343="","",IF(AND(LEN(AO343)=10,SUMPRODUCT(--ISERROR(FIND(MID(AO343,{1,2,3,4,5,10},1),"ABCDEFGHIJKLMNOPQRSTUVWXYZ")))=0,SUMPRODUCT(--ISERROR(FIND(MID(AO343,{6,7,8,9},1),"0123456789")))=0),"OK","Wrong format"))</f>
        <v/>
      </c>
      <c r="AL343" s="27">
        <f>IF(TRIM(H343)="","",IF(AND(LEN(UPPER(TRIM(H343)))=10,SUMPRODUCT(--ISERROR(FIND(MID(UPPER(TRIM(H343)),{1,2,3,4,10},1),"ABCDEFGHIJKLMNOPQRSTUVWXYZ")))=0,SUMPRODUCT(--ISERROR(FIND(MID(UPPER(TRIM(H343)),{5,6,7,8,9},1),"0123456789")))=0),"OK","Wrong format"))</f>
        <v/>
      </c>
      <c r="AM343" s="28">
        <f>IF(NOT(COUNTA(A343:AE343)&gt;0),"",IF(AS343&lt;&gt;"","✖ "&amp;LEFT(AS343,LEN(AS343)-2),IF(AR343&gt;0,"✔ Ready — client + "&amp;AR343&amp;" service(s)","✔ Ready — client only")))</f>
        <v/>
      </c>
      <c r="AN343" s="29">
        <f>UPPER(SUBSTITUTE(TRIM(F343)," ",""))</f>
        <v/>
      </c>
      <c r="AO343" s="29">
        <f>UPPER(SUBSTITUTE(TRIM(E343)," ",""))</f>
        <v/>
      </c>
      <c r="AP343" s="29">
        <f>IF(D343&lt;&gt;"",D343,IFERROR(VLOOKUP(MID(AG343,4,1),Lists!$E$2:$F$8,2,FALSE),""))</f>
        <v/>
      </c>
      <c r="AQ343" s="29">
        <f>IFERROR(VLOOKUP(AP343,Lists!$A$2:$C$12,3,FALSE),"")</f>
        <v/>
      </c>
      <c r="AR343" s="29">
        <f>COUNTIF(W343:AC343,"Yes")</f>
        <v/>
      </c>
      <c r="AS343" s="29">
        <f>IF(TRIM(B343)="","Legal name missing; ","")&amp;IF(AND(AJ343&lt;&gt;"",AJ343&lt;&gt;"OK"),"GSTIN: "&amp;AJ343&amp;"; ","")&amp;IF(AND(AK343&lt;&gt;"",AK343&lt;&gt;"OK"),"PAN wrong format; ","")&amp;IF(AND(AO343&lt;&gt;"",LEN(AN343)=15,MID(AN343,3,10)&lt;&gt;AO343),"PAN does not match GSTIN; ","")&amp;IF(AND(AL343&lt;&gt;"",AL343&lt;&gt;"OK"),"TAN wrong format; ","")&amp;IF(AG343="","PAN missing; ","")&amp;IF(AP343="","Entity type missing; ","")&amp;IF(AND(AN343&lt;&gt;"",COUNTIF($AN$6:$AN$1005,AN343)&gt;1),"GSTIN repeated in this sheet; ","")&amp;IF(AND(AG343&lt;&gt;"",COUNTIF($AG$6:$AG$1005,AG343)&gt;1),"PAN repeated in this sheet (same client? put extra GSTINs in Other GSTINs); ","")&amp;IF(AND(AR343&gt;0,V343=""),"Financial year missing; ","")&amp;IF(AND(AR343=0,V343&lt;&gt;""),"Financial year given but no service is Yes; ","")&amp;IF(AND(W343="Yes",AN343=""),"GST needs a GSTIN; ","")&amp;IF(AND(W343="Yes",X343=""),"GST return frequency missing; ","")&amp;IF(AND(Y343="Yes",TRIM(H343)=""),"TDS needs a TAN; ","")&amp;IF(AND(AA343="Yes",AQ343&lt;&gt;"",AQ343&lt;&gt;"company",AQ343&lt;&gt;"llp"),"ROC is only for a company / LLP; ","")&amp;IF(AND(AA343="Yes",OR(AQ343="company",AQ343="llp"),TRIM(I343)=""),"ROC needs the CIN / LLPIN; ","")</f>
        <v/>
      </c>
    </row>
    <row r="344">
      <c r="A344" s="30" t="n"/>
      <c r="B344" s="31" t="n"/>
      <c r="C344" s="31" t="n"/>
      <c r="D344" s="31" t="n"/>
      <c r="E344" s="30" t="n"/>
      <c r="F344" s="30" t="n"/>
      <c r="G344" s="30" t="n"/>
      <c r="H344" s="30" t="n"/>
      <c r="I344" s="30" t="n"/>
      <c r="J344" s="32" t="n"/>
      <c r="K344" s="31" t="n"/>
      <c r="L344" s="30" t="n"/>
      <c r="M344" s="31" t="n"/>
      <c r="N344" s="31" t="n"/>
      <c r="O344" s="31" t="n"/>
      <c r="P344" s="30" t="n"/>
      <c r="Q344" s="31" t="n"/>
      <c r="R344" s="31" t="n"/>
      <c r="S344" s="31" t="n"/>
      <c r="T344" s="31" t="n"/>
      <c r="U344" s="30" t="n"/>
      <c r="V344" s="31" t="n"/>
      <c r="W344" s="31" t="n"/>
      <c r="X344" s="31" t="n"/>
      <c r="Y344" s="31" t="n"/>
      <c r="Z344" s="31" t="n"/>
      <c r="AA344" s="31" t="n"/>
      <c r="AB344" s="31" t="n"/>
      <c r="AC344" s="31" t="n"/>
      <c r="AD344" s="31" t="n"/>
      <c r="AE344" s="31" t="n"/>
      <c r="AF344" s="27">
        <f>IF(NOT(COUNTA(A344:AE344)&gt;0),"",IF(A344="","New client","Update"))</f>
        <v/>
      </c>
      <c r="AG344" s="27">
        <f>IF(AO344&lt;&gt;"",AO344,IF(LEN(AN344)=15,MID(AN344,3,10),""))</f>
        <v/>
      </c>
      <c r="AH344" s="27">
        <f>IF(AP344="","",AP344&amp;IF(D344="","  (guessed from PAN)",""))</f>
        <v/>
      </c>
      <c r="AI344" s="27">
        <f>IF(AN344="","",IFERROR(INDEX(Lists!$L$2:$L$38,MATCH(LEFT(AN344,2),Lists!$K$2:$K$38,0)),"Unknown code"))</f>
        <v/>
      </c>
      <c r="AJ344" s="27">
        <f>IF(AN344="","",IFERROR(IF(NOT(AND(LEN(AN344)=15,ISNUMBER(MATCH(LEFT(AN344,2),Lists!$K$2:$K$38,0)),SUMPRODUCT(--ISERROR(FIND(MID(MID(AN344,3,10),{1,2,3,4,5,10},1),"ABCDEFGHIJKLMNOPQRSTUVWXYZ")))=0,SUMPRODUCT(--ISERROR(FIND(MID(MID(AN344,3,10),{6,7,8,9},1),"0123456789")))=0,ISNUMBER(FIND(MID(AN344,13,1),"123456789ABCDEFGHIJKLMNOPQRSTUVWXYZ")),MID(AN344,14,1)="Z")),"Wrong format",IF(MID("0123456789ABCDEFGHIJKLMNOPQRSTUVWXYZ",MOD(36-MOD(SUMPRODUCT(INT((FIND(MID(AN344,{1,2,3,4,5,6,7,8,9,10,11,12,13,14},1),"0123456789ABCDEFGHIJKLMNOPQRSTUVWXYZ")-1)*{1,2,1,2,1,2,1,2,1,2,1,2,1,2}/36)+MOD((FIND(MID(AN344,{1,2,3,4,5,6,7,8,9,10,11,12,13,14},1),"0123456789ABCDEFGHIJKLMNOPQRSTUVWXYZ")-1)*{1,2,1,2,1,2,1,2,1,2,1,2,1,2},36)),36),36)+1,1)=MID(AN344,15,1),"OK","Typo? check digit wrong")),"Wrong format"))</f>
        <v/>
      </c>
      <c r="AK344" s="27">
        <f>IF(AO344="","",IF(AND(LEN(AO344)=10,SUMPRODUCT(--ISERROR(FIND(MID(AO344,{1,2,3,4,5,10},1),"ABCDEFGHIJKLMNOPQRSTUVWXYZ")))=0,SUMPRODUCT(--ISERROR(FIND(MID(AO344,{6,7,8,9},1),"0123456789")))=0),"OK","Wrong format"))</f>
        <v/>
      </c>
      <c r="AL344" s="27">
        <f>IF(TRIM(H344)="","",IF(AND(LEN(UPPER(TRIM(H344)))=10,SUMPRODUCT(--ISERROR(FIND(MID(UPPER(TRIM(H344)),{1,2,3,4,10},1),"ABCDEFGHIJKLMNOPQRSTUVWXYZ")))=0,SUMPRODUCT(--ISERROR(FIND(MID(UPPER(TRIM(H344)),{5,6,7,8,9},1),"0123456789")))=0),"OK","Wrong format"))</f>
        <v/>
      </c>
      <c r="AM344" s="28">
        <f>IF(NOT(COUNTA(A344:AE344)&gt;0),"",IF(AS344&lt;&gt;"","✖ "&amp;LEFT(AS344,LEN(AS344)-2),IF(AR344&gt;0,"✔ Ready — client + "&amp;AR344&amp;" service(s)","✔ Ready — client only")))</f>
        <v/>
      </c>
      <c r="AN344" s="29">
        <f>UPPER(SUBSTITUTE(TRIM(F344)," ",""))</f>
        <v/>
      </c>
      <c r="AO344" s="29">
        <f>UPPER(SUBSTITUTE(TRIM(E344)," ",""))</f>
        <v/>
      </c>
      <c r="AP344" s="29">
        <f>IF(D344&lt;&gt;"",D344,IFERROR(VLOOKUP(MID(AG344,4,1),Lists!$E$2:$F$8,2,FALSE),""))</f>
        <v/>
      </c>
      <c r="AQ344" s="29">
        <f>IFERROR(VLOOKUP(AP344,Lists!$A$2:$C$12,3,FALSE),"")</f>
        <v/>
      </c>
      <c r="AR344" s="29">
        <f>COUNTIF(W344:AC344,"Yes")</f>
        <v/>
      </c>
      <c r="AS344" s="29">
        <f>IF(TRIM(B344)="","Legal name missing; ","")&amp;IF(AND(AJ344&lt;&gt;"",AJ344&lt;&gt;"OK"),"GSTIN: "&amp;AJ344&amp;"; ","")&amp;IF(AND(AK344&lt;&gt;"",AK344&lt;&gt;"OK"),"PAN wrong format; ","")&amp;IF(AND(AO344&lt;&gt;"",LEN(AN344)=15,MID(AN344,3,10)&lt;&gt;AO344),"PAN does not match GSTIN; ","")&amp;IF(AND(AL344&lt;&gt;"",AL344&lt;&gt;"OK"),"TAN wrong format; ","")&amp;IF(AG344="","PAN missing; ","")&amp;IF(AP344="","Entity type missing; ","")&amp;IF(AND(AN344&lt;&gt;"",COUNTIF($AN$6:$AN$1005,AN344)&gt;1),"GSTIN repeated in this sheet; ","")&amp;IF(AND(AG344&lt;&gt;"",COUNTIF($AG$6:$AG$1005,AG344)&gt;1),"PAN repeated in this sheet (same client? put extra GSTINs in Other GSTINs); ","")&amp;IF(AND(AR344&gt;0,V344=""),"Financial year missing; ","")&amp;IF(AND(AR344=0,V344&lt;&gt;""),"Financial year given but no service is Yes; ","")&amp;IF(AND(W344="Yes",AN344=""),"GST needs a GSTIN; ","")&amp;IF(AND(W344="Yes",X344=""),"GST return frequency missing; ","")&amp;IF(AND(Y344="Yes",TRIM(H344)=""),"TDS needs a TAN; ","")&amp;IF(AND(AA344="Yes",AQ344&lt;&gt;"",AQ344&lt;&gt;"company",AQ344&lt;&gt;"llp"),"ROC is only for a company / LLP; ","")&amp;IF(AND(AA344="Yes",OR(AQ344="company",AQ344="llp"),TRIM(I344)=""),"ROC needs the CIN / LLPIN; ","")</f>
        <v/>
      </c>
    </row>
    <row r="345">
      <c r="A345" s="30" t="n"/>
      <c r="B345" s="31" t="n"/>
      <c r="C345" s="31" t="n"/>
      <c r="D345" s="31" t="n"/>
      <c r="E345" s="30" t="n"/>
      <c r="F345" s="30" t="n"/>
      <c r="G345" s="30" t="n"/>
      <c r="H345" s="30" t="n"/>
      <c r="I345" s="30" t="n"/>
      <c r="J345" s="32" t="n"/>
      <c r="K345" s="31" t="n"/>
      <c r="L345" s="30" t="n"/>
      <c r="M345" s="31" t="n"/>
      <c r="N345" s="31" t="n"/>
      <c r="O345" s="31" t="n"/>
      <c r="P345" s="30" t="n"/>
      <c r="Q345" s="31" t="n"/>
      <c r="R345" s="31" t="n"/>
      <c r="S345" s="31" t="n"/>
      <c r="T345" s="31" t="n"/>
      <c r="U345" s="30" t="n"/>
      <c r="V345" s="31" t="n"/>
      <c r="W345" s="31" t="n"/>
      <c r="X345" s="31" t="n"/>
      <c r="Y345" s="31" t="n"/>
      <c r="Z345" s="31" t="n"/>
      <c r="AA345" s="31" t="n"/>
      <c r="AB345" s="31" t="n"/>
      <c r="AC345" s="31" t="n"/>
      <c r="AD345" s="31" t="n"/>
      <c r="AE345" s="31" t="n"/>
      <c r="AF345" s="27">
        <f>IF(NOT(COUNTA(A345:AE345)&gt;0),"",IF(A345="","New client","Update"))</f>
        <v/>
      </c>
      <c r="AG345" s="27">
        <f>IF(AO345&lt;&gt;"",AO345,IF(LEN(AN345)=15,MID(AN345,3,10),""))</f>
        <v/>
      </c>
      <c r="AH345" s="27">
        <f>IF(AP345="","",AP345&amp;IF(D345="","  (guessed from PAN)",""))</f>
        <v/>
      </c>
      <c r="AI345" s="27">
        <f>IF(AN345="","",IFERROR(INDEX(Lists!$L$2:$L$38,MATCH(LEFT(AN345,2),Lists!$K$2:$K$38,0)),"Unknown code"))</f>
        <v/>
      </c>
      <c r="AJ345" s="27">
        <f>IF(AN345="","",IFERROR(IF(NOT(AND(LEN(AN345)=15,ISNUMBER(MATCH(LEFT(AN345,2),Lists!$K$2:$K$38,0)),SUMPRODUCT(--ISERROR(FIND(MID(MID(AN345,3,10),{1,2,3,4,5,10},1),"ABCDEFGHIJKLMNOPQRSTUVWXYZ")))=0,SUMPRODUCT(--ISERROR(FIND(MID(MID(AN345,3,10),{6,7,8,9},1),"0123456789")))=0,ISNUMBER(FIND(MID(AN345,13,1),"123456789ABCDEFGHIJKLMNOPQRSTUVWXYZ")),MID(AN345,14,1)="Z")),"Wrong format",IF(MID("0123456789ABCDEFGHIJKLMNOPQRSTUVWXYZ",MOD(36-MOD(SUMPRODUCT(INT((FIND(MID(AN345,{1,2,3,4,5,6,7,8,9,10,11,12,13,14},1),"0123456789ABCDEFGHIJKLMNOPQRSTUVWXYZ")-1)*{1,2,1,2,1,2,1,2,1,2,1,2,1,2}/36)+MOD((FIND(MID(AN345,{1,2,3,4,5,6,7,8,9,10,11,12,13,14},1),"0123456789ABCDEFGHIJKLMNOPQRSTUVWXYZ")-1)*{1,2,1,2,1,2,1,2,1,2,1,2,1,2},36)),36),36)+1,1)=MID(AN345,15,1),"OK","Typo? check digit wrong")),"Wrong format"))</f>
        <v/>
      </c>
      <c r="AK345" s="27">
        <f>IF(AO345="","",IF(AND(LEN(AO345)=10,SUMPRODUCT(--ISERROR(FIND(MID(AO345,{1,2,3,4,5,10},1),"ABCDEFGHIJKLMNOPQRSTUVWXYZ")))=0,SUMPRODUCT(--ISERROR(FIND(MID(AO345,{6,7,8,9},1),"0123456789")))=0),"OK","Wrong format"))</f>
        <v/>
      </c>
      <c r="AL345" s="27">
        <f>IF(TRIM(H345)="","",IF(AND(LEN(UPPER(TRIM(H345)))=10,SUMPRODUCT(--ISERROR(FIND(MID(UPPER(TRIM(H345)),{1,2,3,4,10},1),"ABCDEFGHIJKLMNOPQRSTUVWXYZ")))=0,SUMPRODUCT(--ISERROR(FIND(MID(UPPER(TRIM(H345)),{5,6,7,8,9},1),"0123456789")))=0),"OK","Wrong format"))</f>
        <v/>
      </c>
      <c r="AM345" s="28">
        <f>IF(NOT(COUNTA(A345:AE345)&gt;0),"",IF(AS345&lt;&gt;"","✖ "&amp;LEFT(AS345,LEN(AS345)-2),IF(AR345&gt;0,"✔ Ready — client + "&amp;AR345&amp;" service(s)","✔ Ready — client only")))</f>
        <v/>
      </c>
      <c r="AN345" s="29">
        <f>UPPER(SUBSTITUTE(TRIM(F345)," ",""))</f>
        <v/>
      </c>
      <c r="AO345" s="29">
        <f>UPPER(SUBSTITUTE(TRIM(E345)," ",""))</f>
        <v/>
      </c>
      <c r="AP345" s="29">
        <f>IF(D345&lt;&gt;"",D345,IFERROR(VLOOKUP(MID(AG345,4,1),Lists!$E$2:$F$8,2,FALSE),""))</f>
        <v/>
      </c>
      <c r="AQ345" s="29">
        <f>IFERROR(VLOOKUP(AP345,Lists!$A$2:$C$12,3,FALSE),"")</f>
        <v/>
      </c>
      <c r="AR345" s="29">
        <f>COUNTIF(W345:AC345,"Yes")</f>
        <v/>
      </c>
      <c r="AS345" s="29">
        <f>IF(TRIM(B345)="","Legal name missing; ","")&amp;IF(AND(AJ345&lt;&gt;"",AJ345&lt;&gt;"OK"),"GSTIN: "&amp;AJ345&amp;"; ","")&amp;IF(AND(AK345&lt;&gt;"",AK345&lt;&gt;"OK"),"PAN wrong format; ","")&amp;IF(AND(AO345&lt;&gt;"",LEN(AN345)=15,MID(AN345,3,10)&lt;&gt;AO345),"PAN does not match GSTIN; ","")&amp;IF(AND(AL345&lt;&gt;"",AL345&lt;&gt;"OK"),"TAN wrong format; ","")&amp;IF(AG345="","PAN missing; ","")&amp;IF(AP345="","Entity type missing; ","")&amp;IF(AND(AN345&lt;&gt;"",COUNTIF($AN$6:$AN$1005,AN345)&gt;1),"GSTIN repeated in this sheet; ","")&amp;IF(AND(AG345&lt;&gt;"",COUNTIF($AG$6:$AG$1005,AG345)&gt;1),"PAN repeated in this sheet (same client? put extra GSTINs in Other GSTINs); ","")&amp;IF(AND(AR345&gt;0,V345=""),"Financial year missing; ","")&amp;IF(AND(AR345=0,V345&lt;&gt;""),"Financial year given but no service is Yes; ","")&amp;IF(AND(W345="Yes",AN345=""),"GST needs a GSTIN; ","")&amp;IF(AND(W345="Yes",X345=""),"GST return frequency missing; ","")&amp;IF(AND(Y345="Yes",TRIM(H345)=""),"TDS needs a TAN; ","")&amp;IF(AND(AA345="Yes",AQ345&lt;&gt;"",AQ345&lt;&gt;"company",AQ345&lt;&gt;"llp"),"ROC is only for a company / LLP; ","")&amp;IF(AND(AA345="Yes",OR(AQ345="company",AQ345="llp"),TRIM(I345)=""),"ROC needs the CIN / LLPIN; ","")</f>
        <v/>
      </c>
    </row>
    <row r="346">
      <c r="A346" s="30" t="n"/>
      <c r="B346" s="31" t="n"/>
      <c r="C346" s="31" t="n"/>
      <c r="D346" s="31" t="n"/>
      <c r="E346" s="30" t="n"/>
      <c r="F346" s="30" t="n"/>
      <c r="G346" s="30" t="n"/>
      <c r="H346" s="30" t="n"/>
      <c r="I346" s="30" t="n"/>
      <c r="J346" s="32" t="n"/>
      <c r="K346" s="31" t="n"/>
      <c r="L346" s="30" t="n"/>
      <c r="M346" s="31" t="n"/>
      <c r="N346" s="31" t="n"/>
      <c r="O346" s="31" t="n"/>
      <c r="P346" s="30" t="n"/>
      <c r="Q346" s="31" t="n"/>
      <c r="R346" s="31" t="n"/>
      <c r="S346" s="31" t="n"/>
      <c r="T346" s="31" t="n"/>
      <c r="U346" s="30" t="n"/>
      <c r="V346" s="31" t="n"/>
      <c r="W346" s="31" t="n"/>
      <c r="X346" s="31" t="n"/>
      <c r="Y346" s="31" t="n"/>
      <c r="Z346" s="31" t="n"/>
      <c r="AA346" s="31" t="n"/>
      <c r="AB346" s="31" t="n"/>
      <c r="AC346" s="31" t="n"/>
      <c r="AD346" s="31" t="n"/>
      <c r="AE346" s="31" t="n"/>
      <c r="AF346" s="27">
        <f>IF(NOT(COUNTA(A346:AE346)&gt;0),"",IF(A346="","New client","Update"))</f>
        <v/>
      </c>
      <c r="AG346" s="27">
        <f>IF(AO346&lt;&gt;"",AO346,IF(LEN(AN346)=15,MID(AN346,3,10),""))</f>
        <v/>
      </c>
      <c r="AH346" s="27">
        <f>IF(AP346="","",AP346&amp;IF(D346="","  (guessed from PAN)",""))</f>
        <v/>
      </c>
      <c r="AI346" s="27">
        <f>IF(AN346="","",IFERROR(INDEX(Lists!$L$2:$L$38,MATCH(LEFT(AN346,2),Lists!$K$2:$K$38,0)),"Unknown code"))</f>
        <v/>
      </c>
      <c r="AJ346" s="27">
        <f>IF(AN346="","",IFERROR(IF(NOT(AND(LEN(AN346)=15,ISNUMBER(MATCH(LEFT(AN346,2),Lists!$K$2:$K$38,0)),SUMPRODUCT(--ISERROR(FIND(MID(MID(AN346,3,10),{1,2,3,4,5,10},1),"ABCDEFGHIJKLMNOPQRSTUVWXYZ")))=0,SUMPRODUCT(--ISERROR(FIND(MID(MID(AN346,3,10),{6,7,8,9},1),"0123456789")))=0,ISNUMBER(FIND(MID(AN346,13,1),"123456789ABCDEFGHIJKLMNOPQRSTUVWXYZ")),MID(AN346,14,1)="Z")),"Wrong format",IF(MID("0123456789ABCDEFGHIJKLMNOPQRSTUVWXYZ",MOD(36-MOD(SUMPRODUCT(INT((FIND(MID(AN346,{1,2,3,4,5,6,7,8,9,10,11,12,13,14},1),"0123456789ABCDEFGHIJKLMNOPQRSTUVWXYZ")-1)*{1,2,1,2,1,2,1,2,1,2,1,2,1,2}/36)+MOD((FIND(MID(AN346,{1,2,3,4,5,6,7,8,9,10,11,12,13,14},1),"0123456789ABCDEFGHIJKLMNOPQRSTUVWXYZ")-1)*{1,2,1,2,1,2,1,2,1,2,1,2,1,2},36)),36),36)+1,1)=MID(AN346,15,1),"OK","Typo? check digit wrong")),"Wrong format"))</f>
        <v/>
      </c>
      <c r="AK346" s="27">
        <f>IF(AO346="","",IF(AND(LEN(AO346)=10,SUMPRODUCT(--ISERROR(FIND(MID(AO346,{1,2,3,4,5,10},1),"ABCDEFGHIJKLMNOPQRSTUVWXYZ")))=0,SUMPRODUCT(--ISERROR(FIND(MID(AO346,{6,7,8,9},1),"0123456789")))=0),"OK","Wrong format"))</f>
        <v/>
      </c>
      <c r="AL346" s="27">
        <f>IF(TRIM(H346)="","",IF(AND(LEN(UPPER(TRIM(H346)))=10,SUMPRODUCT(--ISERROR(FIND(MID(UPPER(TRIM(H346)),{1,2,3,4,10},1),"ABCDEFGHIJKLMNOPQRSTUVWXYZ")))=0,SUMPRODUCT(--ISERROR(FIND(MID(UPPER(TRIM(H346)),{5,6,7,8,9},1),"0123456789")))=0),"OK","Wrong format"))</f>
        <v/>
      </c>
      <c r="AM346" s="28">
        <f>IF(NOT(COUNTA(A346:AE346)&gt;0),"",IF(AS346&lt;&gt;"","✖ "&amp;LEFT(AS346,LEN(AS346)-2),IF(AR346&gt;0,"✔ Ready — client + "&amp;AR346&amp;" service(s)","✔ Ready — client only")))</f>
        <v/>
      </c>
      <c r="AN346" s="29">
        <f>UPPER(SUBSTITUTE(TRIM(F346)," ",""))</f>
        <v/>
      </c>
      <c r="AO346" s="29">
        <f>UPPER(SUBSTITUTE(TRIM(E346)," ",""))</f>
        <v/>
      </c>
      <c r="AP346" s="29">
        <f>IF(D346&lt;&gt;"",D346,IFERROR(VLOOKUP(MID(AG346,4,1),Lists!$E$2:$F$8,2,FALSE),""))</f>
        <v/>
      </c>
      <c r="AQ346" s="29">
        <f>IFERROR(VLOOKUP(AP346,Lists!$A$2:$C$12,3,FALSE),"")</f>
        <v/>
      </c>
      <c r="AR346" s="29">
        <f>COUNTIF(W346:AC346,"Yes")</f>
        <v/>
      </c>
      <c r="AS346" s="29">
        <f>IF(TRIM(B346)="","Legal name missing; ","")&amp;IF(AND(AJ346&lt;&gt;"",AJ346&lt;&gt;"OK"),"GSTIN: "&amp;AJ346&amp;"; ","")&amp;IF(AND(AK346&lt;&gt;"",AK346&lt;&gt;"OK"),"PAN wrong format; ","")&amp;IF(AND(AO346&lt;&gt;"",LEN(AN346)=15,MID(AN346,3,10)&lt;&gt;AO346),"PAN does not match GSTIN; ","")&amp;IF(AND(AL346&lt;&gt;"",AL346&lt;&gt;"OK"),"TAN wrong format; ","")&amp;IF(AG346="","PAN missing; ","")&amp;IF(AP346="","Entity type missing; ","")&amp;IF(AND(AN346&lt;&gt;"",COUNTIF($AN$6:$AN$1005,AN346)&gt;1),"GSTIN repeated in this sheet; ","")&amp;IF(AND(AG346&lt;&gt;"",COUNTIF($AG$6:$AG$1005,AG346)&gt;1),"PAN repeated in this sheet (same client? put extra GSTINs in Other GSTINs); ","")&amp;IF(AND(AR346&gt;0,V346=""),"Financial year missing; ","")&amp;IF(AND(AR346=0,V346&lt;&gt;""),"Financial year given but no service is Yes; ","")&amp;IF(AND(W346="Yes",AN346=""),"GST needs a GSTIN; ","")&amp;IF(AND(W346="Yes",X346=""),"GST return frequency missing; ","")&amp;IF(AND(Y346="Yes",TRIM(H346)=""),"TDS needs a TAN; ","")&amp;IF(AND(AA346="Yes",AQ346&lt;&gt;"",AQ346&lt;&gt;"company",AQ346&lt;&gt;"llp"),"ROC is only for a company / LLP; ","")&amp;IF(AND(AA346="Yes",OR(AQ346="company",AQ346="llp"),TRIM(I346)=""),"ROC needs the CIN / LLPIN; ","")</f>
        <v/>
      </c>
    </row>
    <row r="347">
      <c r="A347" s="30" t="n"/>
      <c r="B347" s="31" t="n"/>
      <c r="C347" s="31" t="n"/>
      <c r="D347" s="31" t="n"/>
      <c r="E347" s="30" t="n"/>
      <c r="F347" s="30" t="n"/>
      <c r="G347" s="30" t="n"/>
      <c r="H347" s="30" t="n"/>
      <c r="I347" s="30" t="n"/>
      <c r="J347" s="32" t="n"/>
      <c r="K347" s="31" t="n"/>
      <c r="L347" s="30" t="n"/>
      <c r="M347" s="31" t="n"/>
      <c r="N347" s="31" t="n"/>
      <c r="O347" s="31" t="n"/>
      <c r="P347" s="30" t="n"/>
      <c r="Q347" s="31" t="n"/>
      <c r="R347" s="31" t="n"/>
      <c r="S347" s="31" t="n"/>
      <c r="T347" s="31" t="n"/>
      <c r="U347" s="30" t="n"/>
      <c r="V347" s="31" t="n"/>
      <c r="W347" s="31" t="n"/>
      <c r="X347" s="31" t="n"/>
      <c r="Y347" s="31" t="n"/>
      <c r="Z347" s="31" t="n"/>
      <c r="AA347" s="31" t="n"/>
      <c r="AB347" s="31" t="n"/>
      <c r="AC347" s="31" t="n"/>
      <c r="AD347" s="31" t="n"/>
      <c r="AE347" s="31" t="n"/>
      <c r="AF347" s="27">
        <f>IF(NOT(COUNTA(A347:AE347)&gt;0),"",IF(A347="","New client","Update"))</f>
        <v/>
      </c>
      <c r="AG347" s="27">
        <f>IF(AO347&lt;&gt;"",AO347,IF(LEN(AN347)=15,MID(AN347,3,10),""))</f>
        <v/>
      </c>
      <c r="AH347" s="27">
        <f>IF(AP347="","",AP347&amp;IF(D347="","  (guessed from PAN)",""))</f>
        <v/>
      </c>
      <c r="AI347" s="27">
        <f>IF(AN347="","",IFERROR(INDEX(Lists!$L$2:$L$38,MATCH(LEFT(AN347,2),Lists!$K$2:$K$38,0)),"Unknown code"))</f>
        <v/>
      </c>
      <c r="AJ347" s="27">
        <f>IF(AN347="","",IFERROR(IF(NOT(AND(LEN(AN347)=15,ISNUMBER(MATCH(LEFT(AN347,2),Lists!$K$2:$K$38,0)),SUMPRODUCT(--ISERROR(FIND(MID(MID(AN347,3,10),{1,2,3,4,5,10},1),"ABCDEFGHIJKLMNOPQRSTUVWXYZ")))=0,SUMPRODUCT(--ISERROR(FIND(MID(MID(AN347,3,10),{6,7,8,9},1),"0123456789")))=0,ISNUMBER(FIND(MID(AN347,13,1),"123456789ABCDEFGHIJKLMNOPQRSTUVWXYZ")),MID(AN347,14,1)="Z")),"Wrong format",IF(MID("0123456789ABCDEFGHIJKLMNOPQRSTUVWXYZ",MOD(36-MOD(SUMPRODUCT(INT((FIND(MID(AN347,{1,2,3,4,5,6,7,8,9,10,11,12,13,14},1),"0123456789ABCDEFGHIJKLMNOPQRSTUVWXYZ")-1)*{1,2,1,2,1,2,1,2,1,2,1,2,1,2}/36)+MOD((FIND(MID(AN347,{1,2,3,4,5,6,7,8,9,10,11,12,13,14},1),"0123456789ABCDEFGHIJKLMNOPQRSTUVWXYZ")-1)*{1,2,1,2,1,2,1,2,1,2,1,2,1,2},36)),36),36)+1,1)=MID(AN347,15,1),"OK","Typo? check digit wrong")),"Wrong format"))</f>
        <v/>
      </c>
      <c r="AK347" s="27">
        <f>IF(AO347="","",IF(AND(LEN(AO347)=10,SUMPRODUCT(--ISERROR(FIND(MID(AO347,{1,2,3,4,5,10},1),"ABCDEFGHIJKLMNOPQRSTUVWXYZ")))=0,SUMPRODUCT(--ISERROR(FIND(MID(AO347,{6,7,8,9},1),"0123456789")))=0),"OK","Wrong format"))</f>
        <v/>
      </c>
      <c r="AL347" s="27">
        <f>IF(TRIM(H347)="","",IF(AND(LEN(UPPER(TRIM(H347)))=10,SUMPRODUCT(--ISERROR(FIND(MID(UPPER(TRIM(H347)),{1,2,3,4,10},1),"ABCDEFGHIJKLMNOPQRSTUVWXYZ")))=0,SUMPRODUCT(--ISERROR(FIND(MID(UPPER(TRIM(H347)),{5,6,7,8,9},1),"0123456789")))=0),"OK","Wrong format"))</f>
        <v/>
      </c>
      <c r="AM347" s="28">
        <f>IF(NOT(COUNTA(A347:AE347)&gt;0),"",IF(AS347&lt;&gt;"","✖ "&amp;LEFT(AS347,LEN(AS347)-2),IF(AR347&gt;0,"✔ Ready — client + "&amp;AR347&amp;" service(s)","✔ Ready — client only")))</f>
        <v/>
      </c>
      <c r="AN347" s="29">
        <f>UPPER(SUBSTITUTE(TRIM(F347)," ",""))</f>
        <v/>
      </c>
      <c r="AO347" s="29">
        <f>UPPER(SUBSTITUTE(TRIM(E347)," ",""))</f>
        <v/>
      </c>
      <c r="AP347" s="29">
        <f>IF(D347&lt;&gt;"",D347,IFERROR(VLOOKUP(MID(AG347,4,1),Lists!$E$2:$F$8,2,FALSE),""))</f>
        <v/>
      </c>
      <c r="AQ347" s="29">
        <f>IFERROR(VLOOKUP(AP347,Lists!$A$2:$C$12,3,FALSE),"")</f>
        <v/>
      </c>
      <c r="AR347" s="29">
        <f>COUNTIF(W347:AC347,"Yes")</f>
        <v/>
      </c>
      <c r="AS347" s="29">
        <f>IF(TRIM(B347)="","Legal name missing; ","")&amp;IF(AND(AJ347&lt;&gt;"",AJ347&lt;&gt;"OK"),"GSTIN: "&amp;AJ347&amp;"; ","")&amp;IF(AND(AK347&lt;&gt;"",AK347&lt;&gt;"OK"),"PAN wrong format; ","")&amp;IF(AND(AO347&lt;&gt;"",LEN(AN347)=15,MID(AN347,3,10)&lt;&gt;AO347),"PAN does not match GSTIN; ","")&amp;IF(AND(AL347&lt;&gt;"",AL347&lt;&gt;"OK"),"TAN wrong format; ","")&amp;IF(AG347="","PAN missing; ","")&amp;IF(AP347="","Entity type missing; ","")&amp;IF(AND(AN347&lt;&gt;"",COUNTIF($AN$6:$AN$1005,AN347)&gt;1),"GSTIN repeated in this sheet; ","")&amp;IF(AND(AG347&lt;&gt;"",COUNTIF($AG$6:$AG$1005,AG347)&gt;1),"PAN repeated in this sheet (same client? put extra GSTINs in Other GSTINs); ","")&amp;IF(AND(AR347&gt;0,V347=""),"Financial year missing; ","")&amp;IF(AND(AR347=0,V347&lt;&gt;""),"Financial year given but no service is Yes; ","")&amp;IF(AND(W347="Yes",AN347=""),"GST needs a GSTIN; ","")&amp;IF(AND(W347="Yes",X347=""),"GST return frequency missing; ","")&amp;IF(AND(Y347="Yes",TRIM(H347)=""),"TDS needs a TAN; ","")&amp;IF(AND(AA347="Yes",AQ347&lt;&gt;"",AQ347&lt;&gt;"company",AQ347&lt;&gt;"llp"),"ROC is only for a company / LLP; ","")&amp;IF(AND(AA347="Yes",OR(AQ347="company",AQ347="llp"),TRIM(I347)=""),"ROC needs the CIN / LLPIN; ","")</f>
        <v/>
      </c>
    </row>
    <row r="348">
      <c r="A348" s="30" t="n"/>
      <c r="B348" s="31" t="n"/>
      <c r="C348" s="31" t="n"/>
      <c r="D348" s="31" t="n"/>
      <c r="E348" s="30" t="n"/>
      <c r="F348" s="30" t="n"/>
      <c r="G348" s="30" t="n"/>
      <c r="H348" s="30" t="n"/>
      <c r="I348" s="30" t="n"/>
      <c r="J348" s="32" t="n"/>
      <c r="K348" s="31" t="n"/>
      <c r="L348" s="30" t="n"/>
      <c r="M348" s="31" t="n"/>
      <c r="N348" s="31" t="n"/>
      <c r="O348" s="31" t="n"/>
      <c r="P348" s="30" t="n"/>
      <c r="Q348" s="31" t="n"/>
      <c r="R348" s="31" t="n"/>
      <c r="S348" s="31" t="n"/>
      <c r="T348" s="31" t="n"/>
      <c r="U348" s="30" t="n"/>
      <c r="V348" s="31" t="n"/>
      <c r="W348" s="31" t="n"/>
      <c r="X348" s="31" t="n"/>
      <c r="Y348" s="31" t="n"/>
      <c r="Z348" s="31" t="n"/>
      <c r="AA348" s="31" t="n"/>
      <c r="AB348" s="31" t="n"/>
      <c r="AC348" s="31" t="n"/>
      <c r="AD348" s="31" t="n"/>
      <c r="AE348" s="31" t="n"/>
      <c r="AF348" s="27">
        <f>IF(NOT(COUNTA(A348:AE348)&gt;0),"",IF(A348="","New client","Update"))</f>
        <v/>
      </c>
      <c r="AG348" s="27">
        <f>IF(AO348&lt;&gt;"",AO348,IF(LEN(AN348)=15,MID(AN348,3,10),""))</f>
        <v/>
      </c>
      <c r="AH348" s="27">
        <f>IF(AP348="","",AP348&amp;IF(D348="","  (guessed from PAN)",""))</f>
        <v/>
      </c>
      <c r="AI348" s="27">
        <f>IF(AN348="","",IFERROR(INDEX(Lists!$L$2:$L$38,MATCH(LEFT(AN348,2),Lists!$K$2:$K$38,0)),"Unknown code"))</f>
        <v/>
      </c>
      <c r="AJ348" s="27">
        <f>IF(AN348="","",IFERROR(IF(NOT(AND(LEN(AN348)=15,ISNUMBER(MATCH(LEFT(AN348,2),Lists!$K$2:$K$38,0)),SUMPRODUCT(--ISERROR(FIND(MID(MID(AN348,3,10),{1,2,3,4,5,10},1),"ABCDEFGHIJKLMNOPQRSTUVWXYZ")))=0,SUMPRODUCT(--ISERROR(FIND(MID(MID(AN348,3,10),{6,7,8,9},1),"0123456789")))=0,ISNUMBER(FIND(MID(AN348,13,1),"123456789ABCDEFGHIJKLMNOPQRSTUVWXYZ")),MID(AN348,14,1)="Z")),"Wrong format",IF(MID("0123456789ABCDEFGHIJKLMNOPQRSTUVWXYZ",MOD(36-MOD(SUMPRODUCT(INT((FIND(MID(AN348,{1,2,3,4,5,6,7,8,9,10,11,12,13,14},1),"0123456789ABCDEFGHIJKLMNOPQRSTUVWXYZ")-1)*{1,2,1,2,1,2,1,2,1,2,1,2,1,2}/36)+MOD((FIND(MID(AN348,{1,2,3,4,5,6,7,8,9,10,11,12,13,14},1),"0123456789ABCDEFGHIJKLMNOPQRSTUVWXYZ")-1)*{1,2,1,2,1,2,1,2,1,2,1,2,1,2},36)),36),36)+1,1)=MID(AN348,15,1),"OK","Typo? check digit wrong")),"Wrong format"))</f>
        <v/>
      </c>
      <c r="AK348" s="27">
        <f>IF(AO348="","",IF(AND(LEN(AO348)=10,SUMPRODUCT(--ISERROR(FIND(MID(AO348,{1,2,3,4,5,10},1),"ABCDEFGHIJKLMNOPQRSTUVWXYZ")))=0,SUMPRODUCT(--ISERROR(FIND(MID(AO348,{6,7,8,9},1),"0123456789")))=0),"OK","Wrong format"))</f>
        <v/>
      </c>
      <c r="AL348" s="27">
        <f>IF(TRIM(H348)="","",IF(AND(LEN(UPPER(TRIM(H348)))=10,SUMPRODUCT(--ISERROR(FIND(MID(UPPER(TRIM(H348)),{1,2,3,4,10},1),"ABCDEFGHIJKLMNOPQRSTUVWXYZ")))=0,SUMPRODUCT(--ISERROR(FIND(MID(UPPER(TRIM(H348)),{5,6,7,8,9},1),"0123456789")))=0),"OK","Wrong format"))</f>
        <v/>
      </c>
      <c r="AM348" s="28">
        <f>IF(NOT(COUNTA(A348:AE348)&gt;0),"",IF(AS348&lt;&gt;"","✖ "&amp;LEFT(AS348,LEN(AS348)-2),IF(AR348&gt;0,"✔ Ready — client + "&amp;AR348&amp;" service(s)","✔ Ready — client only")))</f>
        <v/>
      </c>
      <c r="AN348" s="29">
        <f>UPPER(SUBSTITUTE(TRIM(F348)," ",""))</f>
        <v/>
      </c>
      <c r="AO348" s="29">
        <f>UPPER(SUBSTITUTE(TRIM(E348)," ",""))</f>
        <v/>
      </c>
      <c r="AP348" s="29">
        <f>IF(D348&lt;&gt;"",D348,IFERROR(VLOOKUP(MID(AG348,4,1),Lists!$E$2:$F$8,2,FALSE),""))</f>
        <v/>
      </c>
      <c r="AQ348" s="29">
        <f>IFERROR(VLOOKUP(AP348,Lists!$A$2:$C$12,3,FALSE),"")</f>
        <v/>
      </c>
      <c r="AR348" s="29">
        <f>COUNTIF(W348:AC348,"Yes")</f>
        <v/>
      </c>
      <c r="AS348" s="29">
        <f>IF(TRIM(B348)="","Legal name missing; ","")&amp;IF(AND(AJ348&lt;&gt;"",AJ348&lt;&gt;"OK"),"GSTIN: "&amp;AJ348&amp;"; ","")&amp;IF(AND(AK348&lt;&gt;"",AK348&lt;&gt;"OK"),"PAN wrong format; ","")&amp;IF(AND(AO348&lt;&gt;"",LEN(AN348)=15,MID(AN348,3,10)&lt;&gt;AO348),"PAN does not match GSTIN; ","")&amp;IF(AND(AL348&lt;&gt;"",AL348&lt;&gt;"OK"),"TAN wrong format; ","")&amp;IF(AG348="","PAN missing; ","")&amp;IF(AP348="","Entity type missing; ","")&amp;IF(AND(AN348&lt;&gt;"",COUNTIF($AN$6:$AN$1005,AN348)&gt;1),"GSTIN repeated in this sheet; ","")&amp;IF(AND(AG348&lt;&gt;"",COUNTIF($AG$6:$AG$1005,AG348)&gt;1),"PAN repeated in this sheet (same client? put extra GSTINs in Other GSTINs); ","")&amp;IF(AND(AR348&gt;0,V348=""),"Financial year missing; ","")&amp;IF(AND(AR348=0,V348&lt;&gt;""),"Financial year given but no service is Yes; ","")&amp;IF(AND(W348="Yes",AN348=""),"GST needs a GSTIN; ","")&amp;IF(AND(W348="Yes",X348=""),"GST return frequency missing; ","")&amp;IF(AND(Y348="Yes",TRIM(H348)=""),"TDS needs a TAN; ","")&amp;IF(AND(AA348="Yes",AQ348&lt;&gt;"",AQ348&lt;&gt;"company",AQ348&lt;&gt;"llp"),"ROC is only for a company / LLP; ","")&amp;IF(AND(AA348="Yes",OR(AQ348="company",AQ348="llp"),TRIM(I348)=""),"ROC needs the CIN / LLPIN; ","")</f>
        <v/>
      </c>
    </row>
    <row r="349">
      <c r="A349" s="30" t="n"/>
      <c r="B349" s="31" t="n"/>
      <c r="C349" s="31" t="n"/>
      <c r="D349" s="31" t="n"/>
      <c r="E349" s="30" t="n"/>
      <c r="F349" s="30" t="n"/>
      <c r="G349" s="30" t="n"/>
      <c r="H349" s="30" t="n"/>
      <c r="I349" s="30" t="n"/>
      <c r="J349" s="32" t="n"/>
      <c r="K349" s="31" t="n"/>
      <c r="L349" s="30" t="n"/>
      <c r="M349" s="31" t="n"/>
      <c r="N349" s="31" t="n"/>
      <c r="O349" s="31" t="n"/>
      <c r="P349" s="30" t="n"/>
      <c r="Q349" s="31" t="n"/>
      <c r="R349" s="31" t="n"/>
      <c r="S349" s="31" t="n"/>
      <c r="T349" s="31" t="n"/>
      <c r="U349" s="30" t="n"/>
      <c r="V349" s="31" t="n"/>
      <c r="W349" s="31" t="n"/>
      <c r="X349" s="31" t="n"/>
      <c r="Y349" s="31" t="n"/>
      <c r="Z349" s="31" t="n"/>
      <c r="AA349" s="31" t="n"/>
      <c r="AB349" s="31" t="n"/>
      <c r="AC349" s="31" t="n"/>
      <c r="AD349" s="31" t="n"/>
      <c r="AE349" s="31" t="n"/>
      <c r="AF349" s="27">
        <f>IF(NOT(COUNTA(A349:AE349)&gt;0),"",IF(A349="","New client","Update"))</f>
        <v/>
      </c>
      <c r="AG349" s="27">
        <f>IF(AO349&lt;&gt;"",AO349,IF(LEN(AN349)=15,MID(AN349,3,10),""))</f>
        <v/>
      </c>
      <c r="AH349" s="27">
        <f>IF(AP349="","",AP349&amp;IF(D349="","  (guessed from PAN)",""))</f>
        <v/>
      </c>
      <c r="AI349" s="27">
        <f>IF(AN349="","",IFERROR(INDEX(Lists!$L$2:$L$38,MATCH(LEFT(AN349,2),Lists!$K$2:$K$38,0)),"Unknown code"))</f>
        <v/>
      </c>
      <c r="AJ349" s="27">
        <f>IF(AN349="","",IFERROR(IF(NOT(AND(LEN(AN349)=15,ISNUMBER(MATCH(LEFT(AN349,2),Lists!$K$2:$K$38,0)),SUMPRODUCT(--ISERROR(FIND(MID(MID(AN349,3,10),{1,2,3,4,5,10},1),"ABCDEFGHIJKLMNOPQRSTUVWXYZ")))=0,SUMPRODUCT(--ISERROR(FIND(MID(MID(AN349,3,10),{6,7,8,9},1),"0123456789")))=0,ISNUMBER(FIND(MID(AN349,13,1),"123456789ABCDEFGHIJKLMNOPQRSTUVWXYZ")),MID(AN349,14,1)="Z")),"Wrong format",IF(MID("0123456789ABCDEFGHIJKLMNOPQRSTUVWXYZ",MOD(36-MOD(SUMPRODUCT(INT((FIND(MID(AN349,{1,2,3,4,5,6,7,8,9,10,11,12,13,14},1),"0123456789ABCDEFGHIJKLMNOPQRSTUVWXYZ")-1)*{1,2,1,2,1,2,1,2,1,2,1,2,1,2}/36)+MOD((FIND(MID(AN349,{1,2,3,4,5,6,7,8,9,10,11,12,13,14},1),"0123456789ABCDEFGHIJKLMNOPQRSTUVWXYZ")-1)*{1,2,1,2,1,2,1,2,1,2,1,2,1,2},36)),36),36)+1,1)=MID(AN349,15,1),"OK","Typo? check digit wrong")),"Wrong format"))</f>
        <v/>
      </c>
      <c r="AK349" s="27">
        <f>IF(AO349="","",IF(AND(LEN(AO349)=10,SUMPRODUCT(--ISERROR(FIND(MID(AO349,{1,2,3,4,5,10},1),"ABCDEFGHIJKLMNOPQRSTUVWXYZ")))=0,SUMPRODUCT(--ISERROR(FIND(MID(AO349,{6,7,8,9},1),"0123456789")))=0),"OK","Wrong format"))</f>
        <v/>
      </c>
      <c r="AL349" s="27">
        <f>IF(TRIM(H349)="","",IF(AND(LEN(UPPER(TRIM(H349)))=10,SUMPRODUCT(--ISERROR(FIND(MID(UPPER(TRIM(H349)),{1,2,3,4,10},1),"ABCDEFGHIJKLMNOPQRSTUVWXYZ")))=0,SUMPRODUCT(--ISERROR(FIND(MID(UPPER(TRIM(H349)),{5,6,7,8,9},1),"0123456789")))=0),"OK","Wrong format"))</f>
        <v/>
      </c>
      <c r="AM349" s="28">
        <f>IF(NOT(COUNTA(A349:AE349)&gt;0),"",IF(AS349&lt;&gt;"","✖ "&amp;LEFT(AS349,LEN(AS349)-2),IF(AR349&gt;0,"✔ Ready — client + "&amp;AR349&amp;" service(s)","✔ Ready — client only")))</f>
        <v/>
      </c>
      <c r="AN349" s="29">
        <f>UPPER(SUBSTITUTE(TRIM(F349)," ",""))</f>
        <v/>
      </c>
      <c r="AO349" s="29">
        <f>UPPER(SUBSTITUTE(TRIM(E349)," ",""))</f>
        <v/>
      </c>
      <c r="AP349" s="29">
        <f>IF(D349&lt;&gt;"",D349,IFERROR(VLOOKUP(MID(AG349,4,1),Lists!$E$2:$F$8,2,FALSE),""))</f>
        <v/>
      </c>
      <c r="AQ349" s="29">
        <f>IFERROR(VLOOKUP(AP349,Lists!$A$2:$C$12,3,FALSE),"")</f>
        <v/>
      </c>
      <c r="AR349" s="29">
        <f>COUNTIF(W349:AC349,"Yes")</f>
        <v/>
      </c>
      <c r="AS349" s="29">
        <f>IF(TRIM(B349)="","Legal name missing; ","")&amp;IF(AND(AJ349&lt;&gt;"",AJ349&lt;&gt;"OK"),"GSTIN: "&amp;AJ349&amp;"; ","")&amp;IF(AND(AK349&lt;&gt;"",AK349&lt;&gt;"OK"),"PAN wrong format; ","")&amp;IF(AND(AO349&lt;&gt;"",LEN(AN349)=15,MID(AN349,3,10)&lt;&gt;AO349),"PAN does not match GSTIN; ","")&amp;IF(AND(AL349&lt;&gt;"",AL349&lt;&gt;"OK"),"TAN wrong format; ","")&amp;IF(AG349="","PAN missing; ","")&amp;IF(AP349="","Entity type missing; ","")&amp;IF(AND(AN349&lt;&gt;"",COUNTIF($AN$6:$AN$1005,AN349)&gt;1),"GSTIN repeated in this sheet; ","")&amp;IF(AND(AG349&lt;&gt;"",COUNTIF($AG$6:$AG$1005,AG349)&gt;1),"PAN repeated in this sheet (same client? put extra GSTINs in Other GSTINs); ","")&amp;IF(AND(AR349&gt;0,V349=""),"Financial year missing; ","")&amp;IF(AND(AR349=0,V349&lt;&gt;""),"Financial year given but no service is Yes; ","")&amp;IF(AND(W349="Yes",AN349=""),"GST needs a GSTIN; ","")&amp;IF(AND(W349="Yes",X349=""),"GST return frequency missing; ","")&amp;IF(AND(Y349="Yes",TRIM(H349)=""),"TDS needs a TAN; ","")&amp;IF(AND(AA349="Yes",AQ349&lt;&gt;"",AQ349&lt;&gt;"company",AQ349&lt;&gt;"llp"),"ROC is only for a company / LLP; ","")&amp;IF(AND(AA349="Yes",OR(AQ349="company",AQ349="llp"),TRIM(I349)=""),"ROC needs the CIN / LLPIN; ","")</f>
        <v/>
      </c>
    </row>
    <row r="350">
      <c r="A350" s="30" t="n"/>
      <c r="B350" s="31" t="n"/>
      <c r="C350" s="31" t="n"/>
      <c r="D350" s="31" t="n"/>
      <c r="E350" s="30" t="n"/>
      <c r="F350" s="30" t="n"/>
      <c r="G350" s="30" t="n"/>
      <c r="H350" s="30" t="n"/>
      <c r="I350" s="30" t="n"/>
      <c r="J350" s="32" t="n"/>
      <c r="K350" s="31" t="n"/>
      <c r="L350" s="30" t="n"/>
      <c r="M350" s="31" t="n"/>
      <c r="N350" s="31" t="n"/>
      <c r="O350" s="31" t="n"/>
      <c r="P350" s="30" t="n"/>
      <c r="Q350" s="31" t="n"/>
      <c r="R350" s="31" t="n"/>
      <c r="S350" s="31" t="n"/>
      <c r="T350" s="31" t="n"/>
      <c r="U350" s="30" t="n"/>
      <c r="V350" s="31" t="n"/>
      <c r="W350" s="31" t="n"/>
      <c r="X350" s="31" t="n"/>
      <c r="Y350" s="31" t="n"/>
      <c r="Z350" s="31" t="n"/>
      <c r="AA350" s="31" t="n"/>
      <c r="AB350" s="31" t="n"/>
      <c r="AC350" s="31" t="n"/>
      <c r="AD350" s="31" t="n"/>
      <c r="AE350" s="31" t="n"/>
      <c r="AF350" s="27">
        <f>IF(NOT(COUNTA(A350:AE350)&gt;0),"",IF(A350="","New client","Update"))</f>
        <v/>
      </c>
      <c r="AG350" s="27">
        <f>IF(AO350&lt;&gt;"",AO350,IF(LEN(AN350)=15,MID(AN350,3,10),""))</f>
        <v/>
      </c>
      <c r="AH350" s="27">
        <f>IF(AP350="","",AP350&amp;IF(D350="","  (guessed from PAN)",""))</f>
        <v/>
      </c>
      <c r="AI350" s="27">
        <f>IF(AN350="","",IFERROR(INDEX(Lists!$L$2:$L$38,MATCH(LEFT(AN350,2),Lists!$K$2:$K$38,0)),"Unknown code"))</f>
        <v/>
      </c>
      <c r="AJ350" s="27">
        <f>IF(AN350="","",IFERROR(IF(NOT(AND(LEN(AN350)=15,ISNUMBER(MATCH(LEFT(AN350,2),Lists!$K$2:$K$38,0)),SUMPRODUCT(--ISERROR(FIND(MID(MID(AN350,3,10),{1,2,3,4,5,10},1),"ABCDEFGHIJKLMNOPQRSTUVWXYZ")))=0,SUMPRODUCT(--ISERROR(FIND(MID(MID(AN350,3,10),{6,7,8,9},1),"0123456789")))=0,ISNUMBER(FIND(MID(AN350,13,1),"123456789ABCDEFGHIJKLMNOPQRSTUVWXYZ")),MID(AN350,14,1)="Z")),"Wrong format",IF(MID("0123456789ABCDEFGHIJKLMNOPQRSTUVWXYZ",MOD(36-MOD(SUMPRODUCT(INT((FIND(MID(AN350,{1,2,3,4,5,6,7,8,9,10,11,12,13,14},1),"0123456789ABCDEFGHIJKLMNOPQRSTUVWXYZ")-1)*{1,2,1,2,1,2,1,2,1,2,1,2,1,2}/36)+MOD((FIND(MID(AN350,{1,2,3,4,5,6,7,8,9,10,11,12,13,14},1),"0123456789ABCDEFGHIJKLMNOPQRSTUVWXYZ")-1)*{1,2,1,2,1,2,1,2,1,2,1,2,1,2},36)),36),36)+1,1)=MID(AN350,15,1),"OK","Typo? check digit wrong")),"Wrong format"))</f>
        <v/>
      </c>
      <c r="AK350" s="27">
        <f>IF(AO350="","",IF(AND(LEN(AO350)=10,SUMPRODUCT(--ISERROR(FIND(MID(AO350,{1,2,3,4,5,10},1),"ABCDEFGHIJKLMNOPQRSTUVWXYZ")))=0,SUMPRODUCT(--ISERROR(FIND(MID(AO350,{6,7,8,9},1),"0123456789")))=0),"OK","Wrong format"))</f>
        <v/>
      </c>
      <c r="AL350" s="27">
        <f>IF(TRIM(H350)="","",IF(AND(LEN(UPPER(TRIM(H350)))=10,SUMPRODUCT(--ISERROR(FIND(MID(UPPER(TRIM(H350)),{1,2,3,4,10},1),"ABCDEFGHIJKLMNOPQRSTUVWXYZ")))=0,SUMPRODUCT(--ISERROR(FIND(MID(UPPER(TRIM(H350)),{5,6,7,8,9},1),"0123456789")))=0),"OK","Wrong format"))</f>
        <v/>
      </c>
      <c r="AM350" s="28">
        <f>IF(NOT(COUNTA(A350:AE350)&gt;0),"",IF(AS350&lt;&gt;"","✖ "&amp;LEFT(AS350,LEN(AS350)-2),IF(AR350&gt;0,"✔ Ready — client + "&amp;AR350&amp;" service(s)","✔ Ready — client only")))</f>
        <v/>
      </c>
      <c r="AN350" s="29">
        <f>UPPER(SUBSTITUTE(TRIM(F350)," ",""))</f>
        <v/>
      </c>
      <c r="AO350" s="29">
        <f>UPPER(SUBSTITUTE(TRIM(E350)," ",""))</f>
        <v/>
      </c>
      <c r="AP350" s="29">
        <f>IF(D350&lt;&gt;"",D350,IFERROR(VLOOKUP(MID(AG350,4,1),Lists!$E$2:$F$8,2,FALSE),""))</f>
        <v/>
      </c>
      <c r="AQ350" s="29">
        <f>IFERROR(VLOOKUP(AP350,Lists!$A$2:$C$12,3,FALSE),"")</f>
        <v/>
      </c>
      <c r="AR350" s="29">
        <f>COUNTIF(W350:AC350,"Yes")</f>
        <v/>
      </c>
      <c r="AS350" s="29">
        <f>IF(TRIM(B350)="","Legal name missing; ","")&amp;IF(AND(AJ350&lt;&gt;"",AJ350&lt;&gt;"OK"),"GSTIN: "&amp;AJ350&amp;"; ","")&amp;IF(AND(AK350&lt;&gt;"",AK350&lt;&gt;"OK"),"PAN wrong format; ","")&amp;IF(AND(AO350&lt;&gt;"",LEN(AN350)=15,MID(AN350,3,10)&lt;&gt;AO350),"PAN does not match GSTIN; ","")&amp;IF(AND(AL350&lt;&gt;"",AL350&lt;&gt;"OK"),"TAN wrong format; ","")&amp;IF(AG350="","PAN missing; ","")&amp;IF(AP350="","Entity type missing; ","")&amp;IF(AND(AN350&lt;&gt;"",COUNTIF($AN$6:$AN$1005,AN350)&gt;1),"GSTIN repeated in this sheet; ","")&amp;IF(AND(AG350&lt;&gt;"",COUNTIF($AG$6:$AG$1005,AG350)&gt;1),"PAN repeated in this sheet (same client? put extra GSTINs in Other GSTINs); ","")&amp;IF(AND(AR350&gt;0,V350=""),"Financial year missing; ","")&amp;IF(AND(AR350=0,V350&lt;&gt;""),"Financial year given but no service is Yes; ","")&amp;IF(AND(W350="Yes",AN350=""),"GST needs a GSTIN; ","")&amp;IF(AND(W350="Yes",X350=""),"GST return frequency missing; ","")&amp;IF(AND(Y350="Yes",TRIM(H350)=""),"TDS needs a TAN; ","")&amp;IF(AND(AA350="Yes",AQ350&lt;&gt;"",AQ350&lt;&gt;"company",AQ350&lt;&gt;"llp"),"ROC is only for a company / LLP; ","")&amp;IF(AND(AA350="Yes",OR(AQ350="company",AQ350="llp"),TRIM(I350)=""),"ROC needs the CIN / LLPIN; ","")</f>
        <v/>
      </c>
    </row>
    <row r="351">
      <c r="A351" s="30" t="n"/>
      <c r="B351" s="31" t="n"/>
      <c r="C351" s="31" t="n"/>
      <c r="D351" s="31" t="n"/>
      <c r="E351" s="30" t="n"/>
      <c r="F351" s="30" t="n"/>
      <c r="G351" s="30" t="n"/>
      <c r="H351" s="30" t="n"/>
      <c r="I351" s="30" t="n"/>
      <c r="J351" s="32" t="n"/>
      <c r="K351" s="31" t="n"/>
      <c r="L351" s="30" t="n"/>
      <c r="M351" s="31" t="n"/>
      <c r="N351" s="31" t="n"/>
      <c r="O351" s="31" t="n"/>
      <c r="P351" s="30" t="n"/>
      <c r="Q351" s="31" t="n"/>
      <c r="R351" s="31" t="n"/>
      <c r="S351" s="31" t="n"/>
      <c r="T351" s="31" t="n"/>
      <c r="U351" s="30" t="n"/>
      <c r="V351" s="31" t="n"/>
      <c r="W351" s="31" t="n"/>
      <c r="X351" s="31" t="n"/>
      <c r="Y351" s="31" t="n"/>
      <c r="Z351" s="31" t="n"/>
      <c r="AA351" s="31" t="n"/>
      <c r="AB351" s="31" t="n"/>
      <c r="AC351" s="31" t="n"/>
      <c r="AD351" s="31" t="n"/>
      <c r="AE351" s="31" t="n"/>
      <c r="AF351" s="27">
        <f>IF(NOT(COUNTA(A351:AE351)&gt;0),"",IF(A351="","New client","Update"))</f>
        <v/>
      </c>
      <c r="AG351" s="27">
        <f>IF(AO351&lt;&gt;"",AO351,IF(LEN(AN351)=15,MID(AN351,3,10),""))</f>
        <v/>
      </c>
      <c r="AH351" s="27">
        <f>IF(AP351="","",AP351&amp;IF(D351="","  (guessed from PAN)",""))</f>
        <v/>
      </c>
      <c r="AI351" s="27">
        <f>IF(AN351="","",IFERROR(INDEX(Lists!$L$2:$L$38,MATCH(LEFT(AN351,2),Lists!$K$2:$K$38,0)),"Unknown code"))</f>
        <v/>
      </c>
      <c r="AJ351" s="27">
        <f>IF(AN351="","",IFERROR(IF(NOT(AND(LEN(AN351)=15,ISNUMBER(MATCH(LEFT(AN351,2),Lists!$K$2:$K$38,0)),SUMPRODUCT(--ISERROR(FIND(MID(MID(AN351,3,10),{1,2,3,4,5,10},1),"ABCDEFGHIJKLMNOPQRSTUVWXYZ")))=0,SUMPRODUCT(--ISERROR(FIND(MID(MID(AN351,3,10),{6,7,8,9},1),"0123456789")))=0,ISNUMBER(FIND(MID(AN351,13,1),"123456789ABCDEFGHIJKLMNOPQRSTUVWXYZ")),MID(AN351,14,1)="Z")),"Wrong format",IF(MID("0123456789ABCDEFGHIJKLMNOPQRSTUVWXYZ",MOD(36-MOD(SUMPRODUCT(INT((FIND(MID(AN351,{1,2,3,4,5,6,7,8,9,10,11,12,13,14},1),"0123456789ABCDEFGHIJKLMNOPQRSTUVWXYZ")-1)*{1,2,1,2,1,2,1,2,1,2,1,2,1,2}/36)+MOD((FIND(MID(AN351,{1,2,3,4,5,6,7,8,9,10,11,12,13,14},1),"0123456789ABCDEFGHIJKLMNOPQRSTUVWXYZ")-1)*{1,2,1,2,1,2,1,2,1,2,1,2,1,2},36)),36),36)+1,1)=MID(AN351,15,1),"OK","Typo? check digit wrong")),"Wrong format"))</f>
        <v/>
      </c>
      <c r="AK351" s="27">
        <f>IF(AO351="","",IF(AND(LEN(AO351)=10,SUMPRODUCT(--ISERROR(FIND(MID(AO351,{1,2,3,4,5,10},1),"ABCDEFGHIJKLMNOPQRSTUVWXYZ")))=0,SUMPRODUCT(--ISERROR(FIND(MID(AO351,{6,7,8,9},1),"0123456789")))=0),"OK","Wrong format"))</f>
        <v/>
      </c>
      <c r="AL351" s="27">
        <f>IF(TRIM(H351)="","",IF(AND(LEN(UPPER(TRIM(H351)))=10,SUMPRODUCT(--ISERROR(FIND(MID(UPPER(TRIM(H351)),{1,2,3,4,10},1),"ABCDEFGHIJKLMNOPQRSTUVWXYZ")))=0,SUMPRODUCT(--ISERROR(FIND(MID(UPPER(TRIM(H351)),{5,6,7,8,9},1),"0123456789")))=0),"OK","Wrong format"))</f>
        <v/>
      </c>
      <c r="AM351" s="28">
        <f>IF(NOT(COUNTA(A351:AE351)&gt;0),"",IF(AS351&lt;&gt;"","✖ "&amp;LEFT(AS351,LEN(AS351)-2),IF(AR351&gt;0,"✔ Ready — client + "&amp;AR351&amp;" service(s)","✔ Ready — client only")))</f>
        <v/>
      </c>
      <c r="AN351" s="29">
        <f>UPPER(SUBSTITUTE(TRIM(F351)," ",""))</f>
        <v/>
      </c>
      <c r="AO351" s="29">
        <f>UPPER(SUBSTITUTE(TRIM(E351)," ",""))</f>
        <v/>
      </c>
      <c r="AP351" s="29">
        <f>IF(D351&lt;&gt;"",D351,IFERROR(VLOOKUP(MID(AG351,4,1),Lists!$E$2:$F$8,2,FALSE),""))</f>
        <v/>
      </c>
      <c r="AQ351" s="29">
        <f>IFERROR(VLOOKUP(AP351,Lists!$A$2:$C$12,3,FALSE),"")</f>
        <v/>
      </c>
      <c r="AR351" s="29">
        <f>COUNTIF(W351:AC351,"Yes")</f>
        <v/>
      </c>
      <c r="AS351" s="29">
        <f>IF(TRIM(B351)="","Legal name missing; ","")&amp;IF(AND(AJ351&lt;&gt;"",AJ351&lt;&gt;"OK"),"GSTIN: "&amp;AJ351&amp;"; ","")&amp;IF(AND(AK351&lt;&gt;"",AK351&lt;&gt;"OK"),"PAN wrong format; ","")&amp;IF(AND(AO351&lt;&gt;"",LEN(AN351)=15,MID(AN351,3,10)&lt;&gt;AO351),"PAN does not match GSTIN; ","")&amp;IF(AND(AL351&lt;&gt;"",AL351&lt;&gt;"OK"),"TAN wrong format; ","")&amp;IF(AG351="","PAN missing; ","")&amp;IF(AP351="","Entity type missing; ","")&amp;IF(AND(AN351&lt;&gt;"",COUNTIF($AN$6:$AN$1005,AN351)&gt;1),"GSTIN repeated in this sheet; ","")&amp;IF(AND(AG351&lt;&gt;"",COUNTIF($AG$6:$AG$1005,AG351)&gt;1),"PAN repeated in this sheet (same client? put extra GSTINs in Other GSTINs); ","")&amp;IF(AND(AR351&gt;0,V351=""),"Financial year missing; ","")&amp;IF(AND(AR351=0,V351&lt;&gt;""),"Financial year given but no service is Yes; ","")&amp;IF(AND(W351="Yes",AN351=""),"GST needs a GSTIN; ","")&amp;IF(AND(W351="Yes",X351=""),"GST return frequency missing; ","")&amp;IF(AND(Y351="Yes",TRIM(H351)=""),"TDS needs a TAN; ","")&amp;IF(AND(AA351="Yes",AQ351&lt;&gt;"",AQ351&lt;&gt;"company",AQ351&lt;&gt;"llp"),"ROC is only for a company / LLP; ","")&amp;IF(AND(AA351="Yes",OR(AQ351="company",AQ351="llp"),TRIM(I351)=""),"ROC needs the CIN / LLPIN; ","")</f>
        <v/>
      </c>
    </row>
    <row r="352">
      <c r="A352" s="30" t="n"/>
      <c r="B352" s="31" t="n"/>
      <c r="C352" s="31" t="n"/>
      <c r="D352" s="31" t="n"/>
      <c r="E352" s="30" t="n"/>
      <c r="F352" s="30" t="n"/>
      <c r="G352" s="30" t="n"/>
      <c r="H352" s="30" t="n"/>
      <c r="I352" s="30" t="n"/>
      <c r="J352" s="32" t="n"/>
      <c r="K352" s="31" t="n"/>
      <c r="L352" s="30" t="n"/>
      <c r="M352" s="31" t="n"/>
      <c r="N352" s="31" t="n"/>
      <c r="O352" s="31" t="n"/>
      <c r="P352" s="30" t="n"/>
      <c r="Q352" s="31" t="n"/>
      <c r="R352" s="31" t="n"/>
      <c r="S352" s="31" t="n"/>
      <c r="T352" s="31" t="n"/>
      <c r="U352" s="30" t="n"/>
      <c r="V352" s="31" t="n"/>
      <c r="W352" s="31" t="n"/>
      <c r="X352" s="31" t="n"/>
      <c r="Y352" s="31" t="n"/>
      <c r="Z352" s="31" t="n"/>
      <c r="AA352" s="31" t="n"/>
      <c r="AB352" s="31" t="n"/>
      <c r="AC352" s="31" t="n"/>
      <c r="AD352" s="31" t="n"/>
      <c r="AE352" s="31" t="n"/>
      <c r="AF352" s="27">
        <f>IF(NOT(COUNTA(A352:AE352)&gt;0),"",IF(A352="","New client","Update"))</f>
        <v/>
      </c>
      <c r="AG352" s="27">
        <f>IF(AO352&lt;&gt;"",AO352,IF(LEN(AN352)=15,MID(AN352,3,10),""))</f>
        <v/>
      </c>
      <c r="AH352" s="27">
        <f>IF(AP352="","",AP352&amp;IF(D352="","  (guessed from PAN)",""))</f>
        <v/>
      </c>
      <c r="AI352" s="27">
        <f>IF(AN352="","",IFERROR(INDEX(Lists!$L$2:$L$38,MATCH(LEFT(AN352,2),Lists!$K$2:$K$38,0)),"Unknown code"))</f>
        <v/>
      </c>
      <c r="AJ352" s="27">
        <f>IF(AN352="","",IFERROR(IF(NOT(AND(LEN(AN352)=15,ISNUMBER(MATCH(LEFT(AN352,2),Lists!$K$2:$K$38,0)),SUMPRODUCT(--ISERROR(FIND(MID(MID(AN352,3,10),{1,2,3,4,5,10},1),"ABCDEFGHIJKLMNOPQRSTUVWXYZ")))=0,SUMPRODUCT(--ISERROR(FIND(MID(MID(AN352,3,10),{6,7,8,9},1),"0123456789")))=0,ISNUMBER(FIND(MID(AN352,13,1),"123456789ABCDEFGHIJKLMNOPQRSTUVWXYZ")),MID(AN352,14,1)="Z")),"Wrong format",IF(MID("0123456789ABCDEFGHIJKLMNOPQRSTUVWXYZ",MOD(36-MOD(SUMPRODUCT(INT((FIND(MID(AN352,{1,2,3,4,5,6,7,8,9,10,11,12,13,14},1),"0123456789ABCDEFGHIJKLMNOPQRSTUVWXYZ")-1)*{1,2,1,2,1,2,1,2,1,2,1,2,1,2}/36)+MOD((FIND(MID(AN352,{1,2,3,4,5,6,7,8,9,10,11,12,13,14},1),"0123456789ABCDEFGHIJKLMNOPQRSTUVWXYZ")-1)*{1,2,1,2,1,2,1,2,1,2,1,2,1,2},36)),36),36)+1,1)=MID(AN352,15,1),"OK","Typo? check digit wrong")),"Wrong format"))</f>
        <v/>
      </c>
      <c r="AK352" s="27">
        <f>IF(AO352="","",IF(AND(LEN(AO352)=10,SUMPRODUCT(--ISERROR(FIND(MID(AO352,{1,2,3,4,5,10},1),"ABCDEFGHIJKLMNOPQRSTUVWXYZ")))=0,SUMPRODUCT(--ISERROR(FIND(MID(AO352,{6,7,8,9},1),"0123456789")))=0),"OK","Wrong format"))</f>
        <v/>
      </c>
      <c r="AL352" s="27">
        <f>IF(TRIM(H352)="","",IF(AND(LEN(UPPER(TRIM(H352)))=10,SUMPRODUCT(--ISERROR(FIND(MID(UPPER(TRIM(H352)),{1,2,3,4,10},1),"ABCDEFGHIJKLMNOPQRSTUVWXYZ")))=0,SUMPRODUCT(--ISERROR(FIND(MID(UPPER(TRIM(H352)),{5,6,7,8,9},1),"0123456789")))=0),"OK","Wrong format"))</f>
        <v/>
      </c>
      <c r="AM352" s="28">
        <f>IF(NOT(COUNTA(A352:AE352)&gt;0),"",IF(AS352&lt;&gt;"","✖ "&amp;LEFT(AS352,LEN(AS352)-2),IF(AR352&gt;0,"✔ Ready — client + "&amp;AR352&amp;" service(s)","✔ Ready — client only")))</f>
        <v/>
      </c>
      <c r="AN352" s="29">
        <f>UPPER(SUBSTITUTE(TRIM(F352)," ",""))</f>
        <v/>
      </c>
      <c r="AO352" s="29">
        <f>UPPER(SUBSTITUTE(TRIM(E352)," ",""))</f>
        <v/>
      </c>
      <c r="AP352" s="29">
        <f>IF(D352&lt;&gt;"",D352,IFERROR(VLOOKUP(MID(AG352,4,1),Lists!$E$2:$F$8,2,FALSE),""))</f>
        <v/>
      </c>
      <c r="AQ352" s="29">
        <f>IFERROR(VLOOKUP(AP352,Lists!$A$2:$C$12,3,FALSE),"")</f>
        <v/>
      </c>
      <c r="AR352" s="29">
        <f>COUNTIF(W352:AC352,"Yes")</f>
        <v/>
      </c>
      <c r="AS352" s="29">
        <f>IF(TRIM(B352)="","Legal name missing; ","")&amp;IF(AND(AJ352&lt;&gt;"",AJ352&lt;&gt;"OK"),"GSTIN: "&amp;AJ352&amp;"; ","")&amp;IF(AND(AK352&lt;&gt;"",AK352&lt;&gt;"OK"),"PAN wrong format; ","")&amp;IF(AND(AO352&lt;&gt;"",LEN(AN352)=15,MID(AN352,3,10)&lt;&gt;AO352),"PAN does not match GSTIN; ","")&amp;IF(AND(AL352&lt;&gt;"",AL352&lt;&gt;"OK"),"TAN wrong format; ","")&amp;IF(AG352="","PAN missing; ","")&amp;IF(AP352="","Entity type missing; ","")&amp;IF(AND(AN352&lt;&gt;"",COUNTIF($AN$6:$AN$1005,AN352)&gt;1),"GSTIN repeated in this sheet; ","")&amp;IF(AND(AG352&lt;&gt;"",COUNTIF($AG$6:$AG$1005,AG352)&gt;1),"PAN repeated in this sheet (same client? put extra GSTINs in Other GSTINs); ","")&amp;IF(AND(AR352&gt;0,V352=""),"Financial year missing; ","")&amp;IF(AND(AR352=0,V352&lt;&gt;""),"Financial year given but no service is Yes; ","")&amp;IF(AND(W352="Yes",AN352=""),"GST needs a GSTIN; ","")&amp;IF(AND(W352="Yes",X352=""),"GST return frequency missing; ","")&amp;IF(AND(Y352="Yes",TRIM(H352)=""),"TDS needs a TAN; ","")&amp;IF(AND(AA352="Yes",AQ352&lt;&gt;"",AQ352&lt;&gt;"company",AQ352&lt;&gt;"llp"),"ROC is only for a company / LLP; ","")&amp;IF(AND(AA352="Yes",OR(AQ352="company",AQ352="llp"),TRIM(I352)=""),"ROC needs the CIN / LLPIN; ","")</f>
        <v/>
      </c>
    </row>
    <row r="353">
      <c r="A353" s="30" t="n"/>
      <c r="B353" s="31" t="n"/>
      <c r="C353" s="31" t="n"/>
      <c r="D353" s="31" t="n"/>
      <c r="E353" s="30" t="n"/>
      <c r="F353" s="30" t="n"/>
      <c r="G353" s="30" t="n"/>
      <c r="H353" s="30" t="n"/>
      <c r="I353" s="30" t="n"/>
      <c r="J353" s="32" t="n"/>
      <c r="K353" s="31" t="n"/>
      <c r="L353" s="30" t="n"/>
      <c r="M353" s="31" t="n"/>
      <c r="N353" s="31" t="n"/>
      <c r="O353" s="31" t="n"/>
      <c r="P353" s="30" t="n"/>
      <c r="Q353" s="31" t="n"/>
      <c r="R353" s="31" t="n"/>
      <c r="S353" s="31" t="n"/>
      <c r="T353" s="31" t="n"/>
      <c r="U353" s="30" t="n"/>
      <c r="V353" s="31" t="n"/>
      <c r="W353" s="31" t="n"/>
      <c r="X353" s="31" t="n"/>
      <c r="Y353" s="31" t="n"/>
      <c r="Z353" s="31" t="n"/>
      <c r="AA353" s="31" t="n"/>
      <c r="AB353" s="31" t="n"/>
      <c r="AC353" s="31" t="n"/>
      <c r="AD353" s="31" t="n"/>
      <c r="AE353" s="31" t="n"/>
      <c r="AF353" s="27">
        <f>IF(NOT(COUNTA(A353:AE353)&gt;0),"",IF(A353="","New client","Update"))</f>
        <v/>
      </c>
      <c r="AG353" s="27">
        <f>IF(AO353&lt;&gt;"",AO353,IF(LEN(AN353)=15,MID(AN353,3,10),""))</f>
        <v/>
      </c>
      <c r="AH353" s="27">
        <f>IF(AP353="","",AP353&amp;IF(D353="","  (guessed from PAN)",""))</f>
        <v/>
      </c>
      <c r="AI353" s="27">
        <f>IF(AN353="","",IFERROR(INDEX(Lists!$L$2:$L$38,MATCH(LEFT(AN353,2),Lists!$K$2:$K$38,0)),"Unknown code"))</f>
        <v/>
      </c>
      <c r="AJ353" s="27">
        <f>IF(AN353="","",IFERROR(IF(NOT(AND(LEN(AN353)=15,ISNUMBER(MATCH(LEFT(AN353,2),Lists!$K$2:$K$38,0)),SUMPRODUCT(--ISERROR(FIND(MID(MID(AN353,3,10),{1,2,3,4,5,10},1),"ABCDEFGHIJKLMNOPQRSTUVWXYZ")))=0,SUMPRODUCT(--ISERROR(FIND(MID(MID(AN353,3,10),{6,7,8,9},1),"0123456789")))=0,ISNUMBER(FIND(MID(AN353,13,1),"123456789ABCDEFGHIJKLMNOPQRSTUVWXYZ")),MID(AN353,14,1)="Z")),"Wrong format",IF(MID("0123456789ABCDEFGHIJKLMNOPQRSTUVWXYZ",MOD(36-MOD(SUMPRODUCT(INT((FIND(MID(AN353,{1,2,3,4,5,6,7,8,9,10,11,12,13,14},1),"0123456789ABCDEFGHIJKLMNOPQRSTUVWXYZ")-1)*{1,2,1,2,1,2,1,2,1,2,1,2,1,2}/36)+MOD((FIND(MID(AN353,{1,2,3,4,5,6,7,8,9,10,11,12,13,14},1),"0123456789ABCDEFGHIJKLMNOPQRSTUVWXYZ")-1)*{1,2,1,2,1,2,1,2,1,2,1,2,1,2},36)),36),36)+1,1)=MID(AN353,15,1),"OK","Typo? check digit wrong")),"Wrong format"))</f>
        <v/>
      </c>
      <c r="AK353" s="27">
        <f>IF(AO353="","",IF(AND(LEN(AO353)=10,SUMPRODUCT(--ISERROR(FIND(MID(AO353,{1,2,3,4,5,10},1),"ABCDEFGHIJKLMNOPQRSTUVWXYZ")))=0,SUMPRODUCT(--ISERROR(FIND(MID(AO353,{6,7,8,9},1),"0123456789")))=0),"OK","Wrong format"))</f>
        <v/>
      </c>
      <c r="AL353" s="27">
        <f>IF(TRIM(H353)="","",IF(AND(LEN(UPPER(TRIM(H353)))=10,SUMPRODUCT(--ISERROR(FIND(MID(UPPER(TRIM(H353)),{1,2,3,4,10},1),"ABCDEFGHIJKLMNOPQRSTUVWXYZ")))=0,SUMPRODUCT(--ISERROR(FIND(MID(UPPER(TRIM(H353)),{5,6,7,8,9},1),"0123456789")))=0),"OK","Wrong format"))</f>
        <v/>
      </c>
      <c r="AM353" s="28">
        <f>IF(NOT(COUNTA(A353:AE353)&gt;0),"",IF(AS353&lt;&gt;"","✖ "&amp;LEFT(AS353,LEN(AS353)-2),IF(AR353&gt;0,"✔ Ready — client + "&amp;AR353&amp;" service(s)","✔ Ready — client only")))</f>
        <v/>
      </c>
      <c r="AN353" s="29">
        <f>UPPER(SUBSTITUTE(TRIM(F353)," ",""))</f>
        <v/>
      </c>
      <c r="AO353" s="29">
        <f>UPPER(SUBSTITUTE(TRIM(E353)," ",""))</f>
        <v/>
      </c>
      <c r="AP353" s="29">
        <f>IF(D353&lt;&gt;"",D353,IFERROR(VLOOKUP(MID(AG353,4,1),Lists!$E$2:$F$8,2,FALSE),""))</f>
        <v/>
      </c>
      <c r="AQ353" s="29">
        <f>IFERROR(VLOOKUP(AP353,Lists!$A$2:$C$12,3,FALSE),"")</f>
        <v/>
      </c>
      <c r="AR353" s="29">
        <f>COUNTIF(W353:AC353,"Yes")</f>
        <v/>
      </c>
      <c r="AS353" s="29">
        <f>IF(TRIM(B353)="","Legal name missing; ","")&amp;IF(AND(AJ353&lt;&gt;"",AJ353&lt;&gt;"OK"),"GSTIN: "&amp;AJ353&amp;"; ","")&amp;IF(AND(AK353&lt;&gt;"",AK353&lt;&gt;"OK"),"PAN wrong format; ","")&amp;IF(AND(AO353&lt;&gt;"",LEN(AN353)=15,MID(AN353,3,10)&lt;&gt;AO353),"PAN does not match GSTIN; ","")&amp;IF(AND(AL353&lt;&gt;"",AL353&lt;&gt;"OK"),"TAN wrong format; ","")&amp;IF(AG353="","PAN missing; ","")&amp;IF(AP353="","Entity type missing; ","")&amp;IF(AND(AN353&lt;&gt;"",COUNTIF($AN$6:$AN$1005,AN353)&gt;1),"GSTIN repeated in this sheet; ","")&amp;IF(AND(AG353&lt;&gt;"",COUNTIF($AG$6:$AG$1005,AG353)&gt;1),"PAN repeated in this sheet (same client? put extra GSTINs in Other GSTINs); ","")&amp;IF(AND(AR353&gt;0,V353=""),"Financial year missing; ","")&amp;IF(AND(AR353=0,V353&lt;&gt;""),"Financial year given but no service is Yes; ","")&amp;IF(AND(W353="Yes",AN353=""),"GST needs a GSTIN; ","")&amp;IF(AND(W353="Yes",X353=""),"GST return frequency missing; ","")&amp;IF(AND(Y353="Yes",TRIM(H353)=""),"TDS needs a TAN; ","")&amp;IF(AND(AA353="Yes",AQ353&lt;&gt;"",AQ353&lt;&gt;"company",AQ353&lt;&gt;"llp"),"ROC is only for a company / LLP; ","")&amp;IF(AND(AA353="Yes",OR(AQ353="company",AQ353="llp"),TRIM(I353)=""),"ROC needs the CIN / LLPIN; ","")</f>
        <v/>
      </c>
    </row>
    <row r="354">
      <c r="A354" s="30" t="n"/>
      <c r="B354" s="31" t="n"/>
      <c r="C354" s="31" t="n"/>
      <c r="D354" s="31" t="n"/>
      <c r="E354" s="30" t="n"/>
      <c r="F354" s="30" t="n"/>
      <c r="G354" s="30" t="n"/>
      <c r="H354" s="30" t="n"/>
      <c r="I354" s="30" t="n"/>
      <c r="J354" s="32" t="n"/>
      <c r="K354" s="31" t="n"/>
      <c r="L354" s="30" t="n"/>
      <c r="M354" s="31" t="n"/>
      <c r="N354" s="31" t="n"/>
      <c r="O354" s="31" t="n"/>
      <c r="P354" s="30" t="n"/>
      <c r="Q354" s="31" t="n"/>
      <c r="R354" s="31" t="n"/>
      <c r="S354" s="31" t="n"/>
      <c r="T354" s="31" t="n"/>
      <c r="U354" s="30" t="n"/>
      <c r="V354" s="31" t="n"/>
      <c r="W354" s="31" t="n"/>
      <c r="X354" s="31" t="n"/>
      <c r="Y354" s="31" t="n"/>
      <c r="Z354" s="31" t="n"/>
      <c r="AA354" s="31" t="n"/>
      <c r="AB354" s="31" t="n"/>
      <c r="AC354" s="31" t="n"/>
      <c r="AD354" s="31" t="n"/>
      <c r="AE354" s="31" t="n"/>
      <c r="AF354" s="27">
        <f>IF(NOT(COUNTA(A354:AE354)&gt;0),"",IF(A354="","New client","Update"))</f>
        <v/>
      </c>
      <c r="AG354" s="27">
        <f>IF(AO354&lt;&gt;"",AO354,IF(LEN(AN354)=15,MID(AN354,3,10),""))</f>
        <v/>
      </c>
      <c r="AH354" s="27">
        <f>IF(AP354="","",AP354&amp;IF(D354="","  (guessed from PAN)",""))</f>
        <v/>
      </c>
      <c r="AI354" s="27">
        <f>IF(AN354="","",IFERROR(INDEX(Lists!$L$2:$L$38,MATCH(LEFT(AN354,2),Lists!$K$2:$K$38,0)),"Unknown code"))</f>
        <v/>
      </c>
      <c r="AJ354" s="27">
        <f>IF(AN354="","",IFERROR(IF(NOT(AND(LEN(AN354)=15,ISNUMBER(MATCH(LEFT(AN354,2),Lists!$K$2:$K$38,0)),SUMPRODUCT(--ISERROR(FIND(MID(MID(AN354,3,10),{1,2,3,4,5,10},1),"ABCDEFGHIJKLMNOPQRSTUVWXYZ")))=0,SUMPRODUCT(--ISERROR(FIND(MID(MID(AN354,3,10),{6,7,8,9},1),"0123456789")))=0,ISNUMBER(FIND(MID(AN354,13,1),"123456789ABCDEFGHIJKLMNOPQRSTUVWXYZ")),MID(AN354,14,1)="Z")),"Wrong format",IF(MID("0123456789ABCDEFGHIJKLMNOPQRSTUVWXYZ",MOD(36-MOD(SUMPRODUCT(INT((FIND(MID(AN354,{1,2,3,4,5,6,7,8,9,10,11,12,13,14},1),"0123456789ABCDEFGHIJKLMNOPQRSTUVWXYZ")-1)*{1,2,1,2,1,2,1,2,1,2,1,2,1,2}/36)+MOD((FIND(MID(AN354,{1,2,3,4,5,6,7,8,9,10,11,12,13,14},1),"0123456789ABCDEFGHIJKLMNOPQRSTUVWXYZ")-1)*{1,2,1,2,1,2,1,2,1,2,1,2,1,2},36)),36),36)+1,1)=MID(AN354,15,1),"OK","Typo? check digit wrong")),"Wrong format"))</f>
        <v/>
      </c>
      <c r="AK354" s="27">
        <f>IF(AO354="","",IF(AND(LEN(AO354)=10,SUMPRODUCT(--ISERROR(FIND(MID(AO354,{1,2,3,4,5,10},1),"ABCDEFGHIJKLMNOPQRSTUVWXYZ")))=0,SUMPRODUCT(--ISERROR(FIND(MID(AO354,{6,7,8,9},1),"0123456789")))=0),"OK","Wrong format"))</f>
        <v/>
      </c>
      <c r="AL354" s="27">
        <f>IF(TRIM(H354)="","",IF(AND(LEN(UPPER(TRIM(H354)))=10,SUMPRODUCT(--ISERROR(FIND(MID(UPPER(TRIM(H354)),{1,2,3,4,10},1),"ABCDEFGHIJKLMNOPQRSTUVWXYZ")))=0,SUMPRODUCT(--ISERROR(FIND(MID(UPPER(TRIM(H354)),{5,6,7,8,9},1),"0123456789")))=0),"OK","Wrong format"))</f>
        <v/>
      </c>
      <c r="AM354" s="28">
        <f>IF(NOT(COUNTA(A354:AE354)&gt;0),"",IF(AS354&lt;&gt;"","✖ "&amp;LEFT(AS354,LEN(AS354)-2),IF(AR354&gt;0,"✔ Ready — client + "&amp;AR354&amp;" service(s)","✔ Ready — client only")))</f>
        <v/>
      </c>
      <c r="AN354" s="29">
        <f>UPPER(SUBSTITUTE(TRIM(F354)," ",""))</f>
        <v/>
      </c>
      <c r="AO354" s="29">
        <f>UPPER(SUBSTITUTE(TRIM(E354)," ",""))</f>
        <v/>
      </c>
      <c r="AP354" s="29">
        <f>IF(D354&lt;&gt;"",D354,IFERROR(VLOOKUP(MID(AG354,4,1),Lists!$E$2:$F$8,2,FALSE),""))</f>
        <v/>
      </c>
      <c r="AQ354" s="29">
        <f>IFERROR(VLOOKUP(AP354,Lists!$A$2:$C$12,3,FALSE),"")</f>
        <v/>
      </c>
      <c r="AR354" s="29">
        <f>COUNTIF(W354:AC354,"Yes")</f>
        <v/>
      </c>
      <c r="AS354" s="29">
        <f>IF(TRIM(B354)="","Legal name missing; ","")&amp;IF(AND(AJ354&lt;&gt;"",AJ354&lt;&gt;"OK"),"GSTIN: "&amp;AJ354&amp;"; ","")&amp;IF(AND(AK354&lt;&gt;"",AK354&lt;&gt;"OK"),"PAN wrong format; ","")&amp;IF(AND(AO354&lt;&gt;"",LEN(AN354)=15,MID(AN354,3,10)&lt;&gt;AO354),"PAN does not match GSTIN; ","")&amp;IF(AND(AL354&lt;&gt;"",AL354&lt;&gt;"OK"),"TAN wrong format; ","")&amp;IF(AG354="","PAN missing; ","")&amp;IF(AP354="","Entity type missing; ","")&amp;IF(AND(AN354&lt;&gt;"",COUNTIF($AN$6:$AN$1005,AN354)&gt;1),"GSTIN repeated in this sheet; ","")&amp;IF(AND(AG354&lt;&gt;"",COUNTIF($AG$6:$AG$1005,AG354)&gt;1),"PAN repeated in this sheet (same client? put extra GSTINs in Other GSTINs); ","")&amp;IF(AND(AR354&gt;0,V354=""),"Financial year missing; ","")&amp;IF(AND(AR354=0,V354&lt;&gt;""),"Financial year given but no service is Yes; ","")&amp;IF(AND(W354="Yes",AN354=""),"GST needs a GSTIN; ","")&amp;IF(AND(W354="Yes",X354=""),"GST return frequency missing; ","")&amp;IF(AND(Y354="Yes",TRIM(H354)=""),"TDS needs a TAN; ","")&amp;IF(AND(AA354="Yes",AQ354&lt;&gt;"",AQ354&lt;&gt;"company",AQ354&lt;&gt;"llp"),"ROC is only for a company / LLP; ","")&amp;IF(AND(AA354="Yes",OR(AQ354="company",AQ354="llp"),TRIM(I354)=""),"ROC needs the CIN / LLPIN; ","")</f>
        <v/>
      </c>
    </row>
    <row r="355">
      <c r="A355" s="30" t="n"/>
      <c r="B355" s="31" t="n"/>
      <c r="C355" s="31" t="n"/>
      <c r="D355" s="31" t="n"/>
      <c r="E355" s="30" t="n"/>
      <c r="F355" s="30" t="n"/>
      <c r="G355" s="30" t="n"/>
      <c r="H355" s="30" t="n"/>
      <c r="I355" s="30" t="n"/>
      <c r="J355" s="32" t="n"/>
      <c r="K355" s="31" t="n"/>
      <c r="L355" s="30" t="n"/>
      <c r="M355" s="31" t="n"/>
      <c r="N355" s="31" t="n"/>
      <c r="O355" s="31" t="n"/>
      <c r="P355" s="30" t="n"/>
      <c r="Q355" s="31" t="n"/>
      <c r="R355" s="31" t="n"/>
      <c r="S355" s="31" t="n"/>
      <c r="T355" s="31" t="n"/>
      <c r="U355" s="30" t="n"/>
      <c r="V355" s="31" t="n"/>
      <c r="W355" s="31" t="n"/>
      <c r="X355" s="31" t="n"/>
      <c r="Y355" s="31" t="n"/>
      <c r="Z355" s="31" t="n"/>
      <c r="AA355" s="31" t="n"/>
      <c r="AB355" s="31" t="n"/>
      <c r="AC355" s="31" t="n"/>
      <c r="AD355" s="31" t="n"/>
      <c r="AE355" s="31" t="n"/>
      <c r="AF355" s="27">
        <f>IF(NOT(COUNTA(A355:AE355)&gt;0),"",IF(A355="","New client","Update"))</f>
        <v/>
      </c>
      <c r="AG355" s="27">
        <f>IF(AO355&lt;&gt;"",AO355,IF(LEN(AN355)=15,MID(AN355,3,10),""))</f>
        <v/>
      </c>
      <c r="AH355" s="27">
        <f>IF(AP355="","",AP355&amp;IF(D355="","  (guessed from PAN)",""))</f>
        <v/>
      </c>
      <c r="AI355" s="27">
        <f>IF(AN355="","",IFERROR(INDEX(Lists!$L$2:$L$38,MATCH(LEFT(AN355,2),Lists!$K$2:$K$38,0)),"Unknown code"))</f>
        <v/>
      </c>
      <c r="AJ355" s="27">
        <f>IF(AN355="","",IFERROR(IF(NOT(AND(LEN(AN355)=15,ISNUMBER(MATCH(LEFT(AN355,2),Lists!$K$2:$K$38,0)),SUMPRODUCT(--ISERROR(FIND(MID(MID(AN355,3,10),{1,2,3,4,5,10},1),"ABCDEFGHIJKLMNOPQRSTUVWXYZ")))=0,SUMPRODUCT(--ISERROR(FIND(MID(MID(AN355,3,10),{6,7,8,9},1),"0123456789")))=0,ISNUMBER(FIND(MID(AN355,13,1),"123456789ABCDEFGHIJKLMNOPQRSTUVWXYZ")),MID(AN355,14,1)="Z")),"Wrong format",IF(MID("0123456789ABCDEFGHIJKLMNOPQRSTUVWXYZ",MOD(36-MOD(SUMPRODUCT(INT((FIND(MID(AN355,{1,2,3,4,5,6,7,8,9,10,11,12,13,14},1),"0123456789ABCDEFGHIJKLMNOPQRSTUVWXYZ")-1)*{1,2,1,2,1,2,1,2,1,2,1,2,1,2}/36)+MOD((FIND(MID(AN355,{1,2,3,4,5,6,7,8,9,10,11,12,13,14},1),"0123456789ABCDEFGHIJKLMNOPQRSTUVWXYZ")-1)*{1,2,1,2,1,2,1,2,1,2,1,2,1,2},36)),36),36)+1,1)=MID(AN355,15,1),"OK","Typo? check digit wrong")),"Wrong format"))</f>
        <v/>
      </c>
      <c r="AK355" s="27">
        <f>IF(AO355="","",IF(AND(LEN(AO355)=10,SUMPRODUCT(--ISERROR(FIND(MID(AO355,{1,2,3,4,5,10},1),"ABCDEFGHIJKLMNOPQRSTUVWXYZ")))=0,SUMPRODUCT(--ISERROR(FIND(MID(AO355,{6,7,8,9},1),"0123456789")))=0),"OK","Wrong format"))</f>
        <v/>
      </c>
      <c r="AL355" s="27">
        <f>IF(TRIM(H355)="","",IF(AND(LEN(UPPER(TRIM(H355)))=10,SUMPRODUCT(--ISERROR(FIND(MID(UPPER(TRIM(H355)),{1,2,3,4,10},1),"ABCDEFGHIJKLMNOPQRSTUVWXYZ")))=0,SUMPRODUCT(--ISERROR(FIND(MID(UPPER(TRIM(H355)),{5,6,7,8,9},1),"0123456789")))=0),"OK","Wrong format"))</f>
        <v/>
      </c>
      <c r="AM355" s="28">
        <f>IF(NOT(COUNTA(A355:AE355)&gt;0),"",IF(AS355&lt;&gt;"","✖ "&amp;LEFT(AS355,LEN(AS355)-2),IF(AR355&gt;0,"✔ Ready — client + "&amp;AR355&amp;" service(s)","✔ Ready — client only")))</f>
        <v/>
      </c>
      <c r="AN355" s="29">
        <f>UPPER(SUBSTITUTE(TRIM(F355)," ",""))</f>
        <v/>
      </c>
      <c r="AO355" s="29">
        <f>UPPER(SUBSTITUTE(TRIM(E355)," ",""))</f>
        <v/>
      </c>
      <c r="AP355" s="29">
        <f>IF(D355&lt;&gt;"",D355,IFERROR(VLOOKUP(MID(AG355,4,1),Lists!$E$2:$F$8,2,FALSE),""))</f>
        <v/>
      </c>
      <c r="AQ355" s="29">
        <f>IFERROR(VLOOKUP(AP355,Lists!$A$2:$C$12,3,FALSE),"")</f>
        <v/>
      </c>
      <c r="AR355" s="29">
        <f>COUNTIF(W355:AC355,"Yes")</f>
        <v/>
      </c>
      <c r="AS355" s="29">
        <f>IF(TRIM(B355)="","Legal name missing; ","")&amp;IF(AND(AJ355&lt;&gt;"",AJ355&lt;&gt;"OK"),"GSTIN: "&amp;AJ355&amp;"; ","")&amp;IF(AND(AK355&lt;&gt;"",AK355&lt;&gt;"OK"),"PAN wrong format; ","")&amp;IF(AND(AO355&lt;&gt;"",LEN(AN355)=15,MID(AN355,3,10)&lt;&gt;AO355),"PAN does not match GSTIN; ","")&amp;IF(AND(AL355&lt;&gt;"",AL355&lt;&gt;"OK"),"TAN wrong format; ","")&amp;IF(AG355="","PAN missing; ","")&amp;IF(AP355="","Entity type missing; ","")&amp;IF(AND(AN355&lt;&gt;"",COUNTIF($AN$6:$AN$1005,AN355)&gt;1),"GSTIN repeated in this sheet; ","")&amp;IF(AND(AG355&lt;&gt;"",COUNTIF($AG$6:$AG$1005,AG355)&gt;1),"PAN repeated in this sheet (same client? put extra GSTINs in Other GSTINs); ","")&amp;IF(AND(AR355&gt;0,V355=""),"Financial year missing; ","")&amp;IF(AND(AR355=0,V355&lt;&gt;""),"Financial year given but no service is Yes; ","")&amp;IF(AND(W355="Yes",AN355=""),"GST needs a GSTIN; ","")&amp;IF(AND(W355="Yes",X355=""),"GST return frequency missing; ","")&amp;IF(AND(Y355="Yes",TRIM(H355)=""),"TDS needs a TAN; ","")&amp;IF(AND(AA355="Yes",AQ355&lt;&gt;"",AQ355&lt;&gt;"company",AQ355&lt;&gt;"llp"),"ROC is only for a company / LLP; ","")&amp;IF(AND(AA355="Yes",OR(AQ355="company",AQ355="llp"),TRIM(I355)=""),"ROC needs the CIN / LLPIN; ","")</f>
        <v/>
      </c>
    </row>
    <row r="356">
      <c r="A356" s="30" t="n"/>
      <c r="B356" s="31" t="n"/>
      <c r="C356" s="31" t="n"/>
      <c r="D356" s="31" t="n"/>
      <c r="E356" s="30" t="n"/>
      <c r="F356" s="30" t="n"/>
      <c r="G356" s="30" t="n"/>
      <c r="H356" s="30" t="n"/>
      <c r="I356" s="30" t="n"/>
      <c r="J356" s="32" t="n"/>
      <c r="K356" s="31" t="n"/>
      <c r="L356" s="30" t="n"/>
      <c r="M356" s="31" t="n"/>
      <c r="N356" s="31" t="n"/>
      <c r="O356" s="31" t="n"/>
      <c r="P356" s="30" t="n"/>
      <c r="Q356" s="31" t="n"/>
      <c r="R356" s="31" t="n"/>
      <c r="S356" s="31" t="n"/>
      <c r="T356" s="31" t="n"/>
      <c r="U356" s="30" t="n"/>
      <c r="V356" s="31" t="n"/>
      <c r="W356" s="31" t="n"/>
      <c r="X356" s="31" t="n"/>
      <c r="Y356" s="31" t="n"/>
      <c r="Z356" s="31" t="n"/>
      <c r="AA356" s="31" t="n"/>
      <c r="AB356" s="31" t="n"/>
      <c r="AC356" s="31" t="n"/>
      <c r="AD356" s="31" t="n"/>
      <c r="AE356" s="31" t="n"/>
      <c r="AF356" s="27">
        <f>IF(NOT(COUNTA(A356:AE356)&gt;0),"",IF(A356="","New client","Update"))</f>
        <v/>
      </c>
      <c r="AG356" s="27">
        <f>IF(AO356&lt;&gt;"",AO356,IF(LEN(AN356)=15,MID(AN356,3,10),""))</f>
        <v/>
      </c>
      <c r="AH356" s="27">
        <f>IF(AP356="","",AP356&amp;IF(D356="","  (guessed from PAN)",""))</f>
        <v/>
      </c>
      <c r="AI356" s="27">
        <f>IF(AN356="","",IFERROR(INDEX(Lists!$L$2:$L$38,MATCH(LEFT(AN356,2),Lists!$K$2:$K$38,0)),"Unknown code"))</f>
        <v/>
      </c>
      <c r="AJ356" s="27">
        <f>IF(AN356="","",IFERROR(IF(NOT(AND(LEN(AN356)=15,ISNUMBER(MATCH(LEFT(AN356,2),Lists!$K$2:$K$38,0)),SUMPRODUCT(--ISERROR(FIND(MID(MID(AN356,3,10),{1,2,3,4,5,10},1),"ABCDEFGHIJKLMNOPQRSTUVWXYZ")))=0,SUMPRODUCT(--ISERROR(FIND(MID(MID(AN356,3,10),{6,7,8,9},1),"0123456789")))=0,ISNUMBER(FIND(MID(AN356,13,1),"123456789ABCDEFGHIJKLMNOPQRSTUVWXYZ")),MID(AN356,14,1)="Z")),"Wrong format",IF(MID("0123456789ABCDEFGHIJKLMNOPQRSTUVWXYZ",MOD(36-MOD(SUMPRODUCT(INT((FIND(MID(AN356,{1,2,3,4,5,6,7,8,9,10,11,12,13,14},1),"0123456789ABCDEFGHIJKLMNOPQRSTUVWXYZ")-1)*{1,2,1,2,1,2,1,2,1,2,1,2,1,2}/36)+MOD((FIND(MID(AN356,{1,2,3,4,5,6,7,8,9,10,11,12,13,14},1),"0123456789ABCDEFGHIJKLMNOPQRSTUVWXYZ")-1)*{1,2,1,2,1,2,1,2,1,2,1,2,1,2},36)),36),36)+1,1)=MID(AN356,15,1),"OK","Typo? check digit wrong")),"Wrong format"))</f>
        <v/>
      </c>
      <c r="AK356" s="27">
        <f>IF(AO356="","",IF(AND(LEN(AO356)=10,SUMPRODUCT(--ISERROR(FIND(MID(AO356,{1,2,3,4,5,10},1),"ABCDEFGHIJKLMNOPQRSTUVWXYZ")))=0,SUMPRODUCT(--ISERROR(FIND(MID(AO356,{6,7,8,9},1),"0123456789")))=0),"OK","Wrong format"))</f>
        <v/>
      </c>
      <c r="AL356" s="27">
        <f>IF(TRIM(H356)="","",IF(AND(LEN(UPPER(TRIM(H356)))=10,SUMPRODUCT(--ISERROR(FIND(MID(UPPER(TRIM(H356)),{1,2,3,4,10},1),"ABCDEFGHIJKLMNOPQRSTUVWXYZ")))=0,SUMPRODUCT(--ISERROR(FIND(MID(UPPER(TRIM(H356)),{5,6,7,8,9},1),"0123456789")))=0),"OK","Wrong format"))</f>
        <v/>
      </c>
      <c r="AM356" s="28">
        <f>IF(NOT(COUNTA(A356:AE356)&gt;0),"",IF(AS356&lt;&gt;"","✖ "&amp;LEFT(AS356,LEN(AS356)-2),IF(AR356&gt;0,"✔ Ready — client + "&amp;AR356&amp;" service(s)","✔ Ready — client only")))</f>
        <v/>
      </c>
      <c r="AN356" s="29">
        <f>UPPER(SUBSTITUTE(TRIM(F356)," ",""))</f>
        <v/>
      </c>
      <c r="AO356" s="29">
        <f>UPPER(SUBSTITUTE(TRIM(E356)," ",""))</f>
        <v/>
      </c>
      <c r="AP356" s="29">
        <f>IF(D356&lt;&gt;"",D356,IFERROR(VLOOKUP(MID(AG356,4,1),Lists!$E$2:$F$8,2,FALSE),""))</f>
        <v/>
      </c>
      <c r="AQ356" s="29">
        <f>IFERROR(VLOOKUP(AP356,Lists!$A$2:$C$12,3,FALSE),"")</f>
        <v/>
      </c>
      <c r="AR356" s="29">
        <f>COUNTIF(W356:AC356,"Yes")</f>
        <v/>
      </c>
      <c r="AS356" s="29">
        <f>IF(TRIM(B356)="","Legal name missing; ","")&amp;IF(AND(AJ356&lt;&gt;"",AJ356&lt;&gt;"OK"),"GSTIN: "&amp;AJ356&amp;"; ","")&amp;IF(AND(AK356&lt;&gt;"",AK356&lt;&gt;"OK"),"PAN wrong format; ","")&amp;IF(AND(AO356&lt;&gt;"",LEN(AN356)=15,MID(AN356,3,10)&lt;&gt;AO356),"PAN does not match GSTIN; ","")&amp;IF(AND(AL356&lt;&gt;"",AL356&lt;&gt;"OK"),"TAN wrong format; ","")&amp;IF(AG356="","PAN missing; ","")&amp;IF(AP356="","Entity type missing; ","")&amp;IF(AND(AN356&lt;&gt;"",COUNTIF($AN$6:$AN$1005,AN356)&gt;1),"GSTIN repeated in this sheet; ","")&amp;IF(AND(AG356&lt;&gt;"",COUNTIF($AG$6:$AG$1005,AG356)&gt;1),"PAN repeated in this sheet (same client? put extra GSTINs in Other GSTINs); ","")&amp;IF(AND(AR356&gt;0,V356=""),"Financial year missing; ","")&amp;IF(AND(AR356=0,V356&lt;&gt;""),"Financial year given but no service is Yes; ","")&amp;IF(AND(W356="Yes",AN356=""),"GST needs a GSTIN; ","")&amp;IF(AND(W356="Yes",X356=""),"GST return frequency missing; ","")&amp;IF(AND(Y356="Yes",TRIM(H356)=""),"TDS needs a TAN; ","")&amp;IF(AND(AA356="Yes",AQ356&lt;&gt;"",AQ356&lt;&gt;"company",AQ356&lt;&gt;"llp"),"ROC is only for a company / LLP; ","")&amp;IF(AND(AA356="Yes",OR(AQ356="company",AQ356="llp"),TRIM(I356)=""),"ROC needs the CIN / LLPIN; ","")</f>
        <v/>
      </c>
    </row>
    <row r="357">
      <c r="A357" s="30" t="n"/>
      <c r="B357" s="31" t="n"/>
      <c r="C357" s="31" t="n"/>
      <c r="D357" s="31" t="n"/>
      <c r="E357" s="30" t="n"/>
      <c r="F357" s="30" t="n"/>
      <c r="G357" s="30" t="n"/>
      <c r="H357" s="30" t="n"/>
      <c r="I357" s="30" t="n"/>
      <c r="J357" s="32" t="n"/>
      <c r="K357" s="31" t="n"/>
      <c r="L357" s="30" t="n"/>
      <c r="M357" s="31" t="n"/>
      <c r="N357" s="31" t="n"/>
      <c r="O357" s="31" t="n"/>
      <c r="P357" s="30" t="n"/>
      <c r="Q357" s="31" t="n"/>
      <c r="R357" s="31" t="n"/>
      <c r="S357" s="31" t="n"/>
      <c r="T357" s="31" t="n"/>
      <c r="U357" s="30" t="n"/>
      <c r="V357" s="31" t="n"/>
      <c r="W357" s="31" t="n"/>
      <c r="X357" s="31" t="n"/>
      <c r="Y357" s="31" t="n"/>
      <c r="Z357" s="31" t="n"/>
      <c r="AA357" s="31" t="n"/>
      <c r="AB357" s="31" t="n"/>
      <c r="AC357" s="31" t="n"/>
      <c r="AD357" s="31" t="n"/>
      <c r="AE357" s="31" t="n"/>
      <c r="AF357" s="27">
        <f>IF(NOT(COUNTA(A357:AE357)&gt;0),"",IF(A357="","New client","Update"))</f>
        <v/>
      </c>
      <c r="AG357" s="27">
        <f>IF(AO357&lt;&gt;"",AO357,IF(LEN(AN357)=15,MID(AN357,3,10),""))</f>
        <v/>
      </c>
      <c r="AH357" s="27">
        <f>IF(AP357="","",AP357&amp;IF(D357="","  (guessed from PAN)",""))</f>
        <v/>
      </c>
      <c r="AI357" s="27">
        <f>IF(AN357="","",IFERROR(INDEX(Lists!$L$2:$L$38,MATCH(LEFT(AN357,2),Lists!$K$2:$K$38,0)),"Unknown code"))</f>
        <v/>
      </c>
      <c r="AJ357" s="27">
        <f>IF(AN357="","",IFERROR(IF(NOT(AND(LEN(AN357)=15,ISNUMBER(MATCH(LEFT(AN357,2),Lists!$K$2:$K$38,0)),SUMPRODUCT(--ISERROR(FIND(MID(MID(AN357,3,10),{1,2,3,4,5,10},1),"ABCDEFGHIJKLMNOPQRSTUVWXYZ")))=0,SUMPRODUCT(--ISERROR(FIND(MID(MID(AN357,3,10),{6,7,8,9},1),"0123456789")))=0,ISNUMBER(FIND(MID(AN357,13,1),"123456789ABCDEFGHIJKLMNOPQRSTUVWXYZ")),MID(AN357,14,1)="Z")),"Wrong format",IF(MID("0123456789ABCDEFGHIJKLMNOPQRSTUVWXYZ",MOD(36-MOD(SUMPRODUCT(INT((FIND(MID(AN357,{1,2,3,4,5,6,7,8,9,10,11,12,13,14},1),"0123456789ABCDEFGHIJKLMNOPQRSTUVWXYZ")-1)*{1,2,1,2,1,2,1,2,1,2,1,2,1,2}/36)+MOD((FIND(MID(AN357,{1,2,3,4,5,6,7,8,9,10,11,12,13,14},1),"0123456789ABCDEFGHIJKLMNOPQRSTUVWXYZ")-1)*{1,2,1,2,1,2,1,2,1,2,1,2,1,2},36)),36),36)+1,1)=MID(AN357,15,1),"OK","Typo? check digit wrong")),"Wrong format"))</f>
        <v/>
      </c>
      <c r="AK357" s="27">
        <f>IF(AO357="","",IF(AND(LEN(AO357)=10,SUMPRODUCT(--ISERROR(FIND(MID(AO357,{1,2,3,4,5,10},1),"ABCDEFGHIJKLMNOPQRSTUVWXYZ")))=0,SUMPRODUCT(--ISERROR(FIND(MID(AO357,{6,7,8,9},1),"0123456789")))=0),"OK","Wrong format"))</f>
        <v/>
      </c>
      <c r="AL357" s="27">
        <f>IF(TRIM(H357)="","",IF(AND(LEN(UPPER(TRIM(H357)))=10,SUMPRODUCT(--ISERROR(FIND(MID(UPPER(TRIM(H357)),{1,2,3,4,10},1),"ABCDEFGHIJKLMNOPQRSTUVWXYZ")))=0,SUMPRODUCT(--ISERROR(FIND(MID(UPPER(TRIM(H357)),{5,6,7,8,9},1),"0123456789")))=0),"OK","Wrong format"))</f>
        <v/>
      </c>
      <c r="AM357" s="28">
        <f>IF(NOT(COUNTA(A357:AE357)&gt;0),"",IF(AS357&lt;&gt;"","✖ "&amp;LEFT(AS357,LEN(AS357)-2),IF(AR357&gt;0,"✔ Ready — client + "&amp;AR357&amp;" service(s)","✔ Ready — client only")))</f>
        <v/>
      </c>
      <c r="AN357" s="29">
        <f>UPPER(SUBSTITUTE(TRIM(F357)," ",""))</f>
        <v/>
      </c>
      <c r="AO357" s="29">
        <f>UPPER(SUBSTITUTE(TRIM(E357)," ",""))</f>
        <v/>
      </c>
      <c r="AP357" s="29">
        <f>IF(D357&lt;&gt;"",D357,IFERROR(VLOOKUP(MID(AG357,4,1),Lists!$E$2:$F$8,2,FALSE),""))</f>
        <v/>
      </c>
      <c r="AQ357" s="29">
        <f>IFERROR(VLOOKUP(AP357,Lists!$A$2:$C$12,3,FALSE),"")</f>
        <v/>
      </c>
      <c r="AR357" s="29">
        <f>COUNTIF(W357:AC357,"Yes")</f>
        <v/>
      </c>
      <c r="AS357" s="29">
        <f>IF(TRIM(B357)="","Legal name missing; ","")&amp;IF(AND(AJ357&lt;&gt;"",AJ357&lt;&gt;"OK"),"GSTIN: "&amp;AJ357&amp;"; ","")&amp;IF(AND(AK357&lt;&gt;"",AK357&lt;&gt;"OK"),"PAN wrong format; ","")&amp;IF(AND(AO357&lt;&gt;"",LEN(AN357)=15,MID(AN357,3,10)&lt;&gt;AO357),"PAN does not match GSTIN; ","")&amp;IF(AND(AL357&lt;&gt;"",AL357&lt;&gt;"OK"),"TAN wrong format; ","")&amp;IF(AG357="","PAN missing; ","")&amp;IF(AP357="","Entity type missing; ","")&amp;IF(AND(AN357&lt;&gt;"",COUNTIF($AN$6:$AN$1005,AN357)&gt;1),"GSTIN repeated in this sheet; ","")&amp;IF(AND(AG357&lt;&gt;"",COUNTIF($AG$6:$AG$1005,AG357)&gt;1),"PAN repeated in this sheet (same client? put extra GSTINs in Other GSTINs); ","")&amp;IF(AND(AR357&gt;0,V357=""),"Financial year missing; ","")&amp;IF(AND(AR357=0,V357&lt;&gt;""),"Financial year given but no service is Yes; ","")&amp;IF(AND(W357="Yes",AN357=""),"GST needs a GSTIN; ","")&amp;IF(AND(W357="Yes",X357=""),"GST return frequency missing; ","")&amp;IF(AND(Y357="Yes",TRIM(H357)=""),"TDS needs a TAN; ","")&amp;IF(AND(AA357="Yes",AQ357&lt;&gt;"",AQ357&lt;&gt;"company",AQ357&lt;&gt;"llp"),"ROC is only for a company / LLP; ","")&amp;IF(AND(AA357="Yes",OR(AQ357="company",AQ357="llp"),TRIM(I357)=""),"ROC needs the CIN / LLPIN; ","")</f>
        <v/>
      </c>
    </row>
    <row r="358">
      <c r="A358" s="30" t="n"/>
      <c r="B358" s="31" t="n"/>
      <c r="C358" s="31" t="n"/>
      <c r="D358" s="31" t="n"/>
      <c r="E358" s="30" t="n"/>
      <c r="F358" s="30" t="n"/>
      <c r="G358" s="30" t="n"/>
      <c r="H358" s="30" t="n"/>
      <c r="I358" s="30" t="n"/>
      <c r="J358" s="32" t="n"/>
      <c r="K358" s="31" t="n"/>
      <c r="L358" s="30" t="n"/>
      <c r="M358" s="31" t="n"/>
      <c r="N358" s="31" t="n"/>
      <c r="O358" s="31" t="n"/>
      <c r="P358" s="30" t="n"/>
      <c r="Q358" s="31" t="n"/>
      <c r="R358" s="31" t="n"/>
      <c r="S358" s="31" t="n"/>
      <c r="T358" s="31" t="n"/>
      <c r="U358" s="30" t="n"/>
      <c r="V358" s="31" t="n"/>
      <c r="W358" s="31" t="n"/>
      <c r="X358" s="31" t="n"/>
      <c r="Y358" s="31" t="n"/>
      <c r="Z358" s="31" t="n"/>
      <c r="AA358" s="31" t="n"/>
      <c r="AB358" s="31" t="n"/>
      <c r="AC358" s="31" t="n"/>
      <c r="AD358" s="31" t="n"/>
      <c r="AE358" s="31" t="n"/>
      <c r="AF358" s="27">
        <f>IF(NOT(COUNTA(A358:AE358)&gt;0),"",IF(A358="","New client","Update"))</f>
        <v/>
      </c>
      <c r="AG358" s="27">
        <f>IF(AO358&lt;&gt;"",AO358,IF(LEN(AN358)=15,MID(AN358,3,10),""))</f>
        <v/>
      </c>
      <c r="AH358" s="27">
        <f>IF(AP358="","",AP358&amp;IF(D358="","  (guessed from PAN)",""))</f>
        <v/>
      </c>
      <c r="AI358" s="27">
        <f>IF(AN358="","",IFERROR(INDEX(Lists!$L$2:$L$38,MATCH(LEFT(AN358,2),Lists!$K$2:$K$38,0)),"Unknown code"))</f>
        <v/>
      </c>
      <c r="AJ358" s="27">
        <f>IF(AN358="","",IFERROR(IF(NOT(AND(LEN(AN358)=15,ISNUMBER(MATCH(LEFT(AN358,2),Lists!$K$2:$K$38,0)),SUMPRODUCT(--ISERROR(FIND(MID(MID(AN358,3,10),{1,2,3,4,5,10},1),"ABCDEFGHIJKLMNOPQRSTUVWXYZ")))=0,SUMPRODUCT(--ISERROR(FIND(MID(MID(AN358,3,10),{6,7,8,9},1),"0123456789")))=0,ISNUMBER(FIND(MID(AN358,13,1),"123456789ABCDEFGHIJKLMNOPQRSTUVWXYZ")),MID(AN358,14,1)="Z")),"Wrong format",IF(MID("0123456789ABCDEFGHIJKLMNOPQRSTUVWXYZ",MOD(36-MOD(SUMPRODUCT(INT((FIND(MID(AN358,{1,2,3,4,5,6,7,8,9,10,11,12,13,14},1),"0123456789ABCDEFGHIJKLMNOPQRSTUVWXYZ")-1)*{1,2,1,2,1,2,1,2,1,2,1,2,1,2}/36)+MOD((FIND(MID(AN358,{1,2,3,4,5,6,7,8,9,10,11,12,13,14},1),"0123456789ABCDEFGHIJKLMNOPQRSTUVWXYZ")-1)*{1,2,1,2,1,2,1,2,1,2,1,2,1,2},36)),36),36)+1,1)=MID(AN358,15,1),"OK","Typo? check digit wrong")),"Wrong format"))</f>
        <v/>
      </c>
      <c r="AK358" s="27">
        <f>IF(AO358="","",IF(AND(LEN(AO358)=10,SUMPRODUCT(--ISERROR(FIND(MID(AO358,{1,2,3,4,5,10},1),"ABCDEFGHIJKLMNOPQRSTUVWXYZ")))=0,SUMPRODUCT(--ISERROR(FIND(MID(AO358,{6,7,8,9},1),"0123456789")))=0),"OK","Wrong format"))</f>
        <v/>
      </c>
      <c r="AL358" s="27">
        <f>IF(TRIM(H358)="","",IF(AND(LEN(UPPER(TRIM(H358)))=10,SUMPRODUCT(--ISERROR(FIND(MID(UPPER(TRIM(H358)),{1,2,3,4,10},1),"ABCDEFGHIJKLMNOPQRSTUVWXYZ")))=0,SUMPRODUCT(--ISERROR(FIND(MID(UPPER(TRIM(H358)),{5,6,7,8,9},1),"0123456789")))=0),"OK","Wrong format"))</f>
        <v/>
      </c>
      <c r="AM358" s="28">
        <f>IF(NOT(COUNTA(A358:AE358)&gt;0),"",IF(AS358&lt;&gt;"","✖ "&amp;LEFT(AS358,LEN(AS358)-2),IF(AR358&gt;0,"✔ Ready — client + "&amp;AR358&amp;" service(s)","✔ Ready — client only")))</f>
        <v/>
      </c>
      <c r="AN358" s="29">
        <f>UPPER(SUBSTITUTE(TRIM(F358)," ",""))</f>
        <v/>
      </c>
      <c r="AO358" s="29">
        <f>UPPER(SUBSTITUTE(TRIM(E358)," ",""))</f>
        <v/>
      </c>
      <c r="AP358" s="29">
        <f>IF(D358&lt;&gt;"",D358,IFERROR(VLOOKUP(MID(AG358,4,1),Lists!$E$2:$F$8,2,FALSE),""))</f>
        <v/>
      </c>
      <c r="AQ358" s="29">
        <f>IFERROR(VLOOKUP(AP358,Lists!$A$2:$C$12,3,FALSE),"")</f>
        <v/>
      </c>
      <c r="AR358" s="29">
        <f>COUNTIF(W358:AC358,"Yes")</f>
        <v/>
      </c>
      <c r="AS358" s="29">
        <f>IF(TRIM(B358)="","Legal name missing; ","")&amp;IF(AND(AJ358&lt;&gt;"",AJ358&lt;&gt;"OK"),"GSTIN: "&amp;AJ358&amp;"; ","")&amp;IF(AND(AK358&lt;&gt;"",AK358&lt;&gt;"OK"),"PAN wrong format; ","")&amp;IF(AND(AO358&lt;&gt;"",LEN(AN358)=15,MID(AN358,3,10)&lt;&gt;AO358),"PAN does not match GSTIN; ","")&amp;IF(AND(AL358&lt;&gt;"",AL358&lt;&gt;"OK"),"TAN wrong format; ","")&amp;IF(AG358="","PAN missing; ","")&amp;IF(AP358="","Entity type missing; ","")&amp;IF(AND(AN358&lt;&gt;"",COUNTIF($AN$6:$AN$1005,AN358)&gt;1),"GSTIN repeated in this sheet; ","")&amp;IF(AND(AG358&lt;&gt;"",COUNTIF($AG$6:$AG$1005,AG358)&gt;1),"PAN repeated in this sheet (same client? put extra GSTINs in Other GSTINs); ","")&amp;IF(AND(AR358&gt;0,V358=""),"Financial year missing; ","")&amp;IF(AND(AR358=0,V358&lt;&gt;""),"Financial year given but no service is Yes; ","")&amp;IF(AND(W358="Yes",AN358=""),"GST needs a GSTIN; ","")&amp;IF(AND(W358="Yes",X358=""),"GST return frequency missing; ","")&amp;IF(AND(Y358="Yes",TRIM(H358)=""),"TDS needs a TAN; ","")&amp;IF(AND(AA358="Yes",AQ358&lt;&gt;"",AQ358&lt;&gt;"company",AQ358&lt;&gt;"llp"),"ROC is only for a company / LLP; ","")&amp;IF(AND(AA358="Yes",OR(AQ358="company",AQ358="llp"),TRIM(I358)=""),"ROC needs the CIN / LLPIN; ","")</f>
        <v/>
      </c>
    </row>
    <row r="359">
      <c r="A359" s="30" t="n"/>
      <c r="B359" s="31" t="n"/>
      <c r="C359" s="31" t="n"/>
      <c r="D359" s="31" t="n"/>
      <c r="E359" s="30" t="n"/>
      <c r="F359" s="30" t="n"/>
      <c r="G359" s="30" t="n"/>
      <c r="H359" s="30" t="n"/>
      <c r="I359" s="30" t="n"/>
      <c r="J359" s="32" t="n"/>
      <c r="K359" s="31" t="n"/>
      <c r="L359" s="30" t="n"/>
      <c r="M359" s="31" t="n"/>
      <c r="N359" s="31" t="n"/>
      <c r="O359" s="31" t="n"/>
      <c r="P359" s="30" t="n"/>
      <c r="Q359" s="31" t="n"/>
      <c r="R359" s="31" t="n"/>
      <c r="S359" s="31" t="n"/>
      <c r="T359" s="31" t="n"/>
      <c r="U359" s="30" t="n"/>
      <c r="V359" s="31" t="n"/>
      <c r="W359" s="31" t="n"/>
      <c r="X359" s="31" t="n"/>
      <c r="Y359" s="31" t="n"/>
      <c r="Z359" s="31" t="n"/>
      <c r="AA359" s="31" t="n"/>
      <c r="AB359" s="31" t="n"/>
      <c r="AC359" s="31" t="n"/>
      <c r="AD359" s="31" t="n"/>
      <c r="AE359" s="31" t="n"/>
      <c r="AF359" s="27">
        <f>IF(NOT(COUNTA(A359:AE359)&gt;0),"",IF(A359="","New client","Update"))</f>
        <v/>
      </c>
      <c r="AG359" s="27">
        <f>IF(AO359&lt;&gt;"",AO359,IF(LEN(AN359)=15,MID(AN359,3,10),""))</f>
        <v/>
      </c>
      <c r="AH359" s="27">
        <f>IF(AP359="","",AP359&amp;IF(D359="","  (guessed from PAN)",""))</f>
        <v/>
      </c>
      <c r="AI359" s="27">
        <f>IF(AN359="","",IFERROR(INDEX(Lists!$L$2:$L$38,MATCH(LEFT(AN359,2),Lists!$K$2:$K$38,0)),"Unknown code"))</f>
        <v/>
      </c>
      <c r="AJ359" s="27">
        <f>IF(AN359="","",IFERROR(IF(NOT(AND(LEN(AN359)=15,ISNUMBER(MATCH(LEFT(AN359,2),Lists!$K$2:$K$38,0)),SUMPRODUCT(--ISERROR(FIND(MID(MID(AN359,3,10),{1,2,3,4,5,10},1),"ABCDEFGHIJKLMNOPQRSTUVWXYZ")))=0,SUMPRODUCT(--ISERROR(FIND(MID(MID(AN359,3,10),{6,7,8,9},1),"0123456789")))=0,ISNUMBER(FIND(MID(AN359,13,1),"123456789ABCDEFGHIJKLMNOPQRSTUVWXYZ")),MID(AN359,14,1)="Z")),"Wrong format",IF(MID("0123456789ABCDEFGHIJKLMNOPQRSTUVWXYZ",MOD(36-MOD(SUMPRODUCT(INT((FIND(MID(AN359,{1,2,3,4,5,6,7,8,9,10,11,12,13,14},1),"0123456789ABCDEFGHIJKLMNOPQRSTUVWXYZ")-1)*{1,2,1,2,1,2,1,2,1,2,1,2,1,2}/36)+MOD((FIND(MID(AN359,{1,2,3,4,5,6,7,8,9,10,11,12,13,14},1),"0123456789ABCDEFGHIJKLMNOPQRSTUVWXYZ")-1)*{1,2,1,2,1,2,1,2,1,2,1,2,1,2},36)),36),36)+1,1)=MID(AN359,15,1),"OK","Typo? check digit wrong")),"Wrong format"))</f>
        <v/>
      </c>
      <c r="AK359" s="27">
        <f>IF(AO359="","",IF(AND(LEN(AO359)=10,SUMPRODUCT(--ISERROR(FIND(MID(AO359,{1,2,3,4,5,10},1),"ABCDEFGHIJKLMNOPQRSTUVWXYZ")))=0,SUMPRODUCT(--ISERROR(FIND(MID(AO359,{6,7,8,9},1),"0123456789")))=0),"OK","Wrong format"))</f>
        <v/>
      </c>
      <c r="AL359" s="27">
        <f>IF(TRIM(H359)="","",IF(AND(LEN(UPPER(TRIM(H359)))=10,SUMPRODUCT(--ISERROR(FIND(MID(UPPER(TRIM(H359)),{1,2,3,4,10},1),"ABCDEFGHIJKLMNOPQRSTUVWXYZ")))=0,SUMPRODUCT(--ISERROR(FIND(MID(UPPER(TRIM(H359)),{5,6,7,8,9},1),"0123456789")))=0),"OK","Wrong format"))</f>
        <v/>
      </c>
      <c r="AM359" s="28">
        <f>IF(NOT(COUNTA(A359:AE359)&gt;0),"",IF(AS359&lt;&gt;"","✖ "&amp;LEFT(AS359,LEN(AS359)-2),IF(AR359&gt;0,"✔ Ready — client + "&amp;AR359&amp;" service(s)","✔ Ready — client only")))</f>
        <v/>
      </c>
      <c r="AN359" s="29">
        <f>UPPER(SUBSTITUTE(TRIM(F359)," ",""))</f>
        <v/>
      </c>
      <c r="AO359" s="29">
        <f>UPPER(SUBSTITUTE(TRIM(E359)," ",""))</f>
        <v/>
      </c>
      <c r="AP359" s="29">
        <f>IF(D359&lt;&gt;"",D359,IFERROR(VLOOKUP(MID(AG359,4,1),Lists!$E$2:$F$8,2,FALSE),""))</f>
        <v/>
      </c>
      <c r="AQ359" s="29">
        <f>IFERROR(VLOOKUP(AP359,Lists!$A$2:$C$12,3,FALSE),"")</f>
        <v/>
      </c>
      <c r="AR359" s="29">
        <f>COUNTIF(W359:AC359,"Yes")</f>
        <v/>
      </c>
      <c r="AS359" s="29">
        <f>IF(TRIM(B359)="","Legal name missing; ","")&amp;IF(AND(AJ359&lt;&gt;"",AJ359&lt;&gt;"OK"),"GSTIN: "&amp;AJ359&amp;"; ","")&amp;IF(AND(AK359&lt;&gt;"",AK359&lt;&gt;"OK"),"PAN wrong format; ","")&amp;IF(AND(AO359&lt;&gt;"",LEN(AN359)=15,MID(AN359,3,10)&lt;&gt;AO359),"PAN does not match GSTIN; ","")&amp;IF(AND(AL359&lt;&gt;"",AL359&lt;&gt;"OK"),"TAN wrong format; ","")&amp;IF(AG359="","PAN missing; ","")&amp;IF(AP359="","Entity type missing; ","")&amp;IF(AND(AN359&lt;&gt;"",COUNTIF($AN$6:$AN$1005,AN359)&gt;1),"GSTIN repeated in this sheet; ","")&amp;IF(AND(AG359&lt;&gt;"",COUNTIF($AG$6:$AG$1005,AG359)&gt;1),"PAN repeated in this sheet (same client? put extra GSTINs in Other GSTINs); ","")&amp;IF(AND(AR359&gt;0,V359=""),"Financial year missing; ","")&amp;IF(AND(AR359=0,V359&lt;&gt;""),"Financial year given but no service is Yes; ","")&amp;IF(AND(W359="Yes",AN359=""),"GST needs a GSTIN; ","")&amp;IF(AND(W359="Yes",X359=""),"GST return frequency missing; ","")&amp;IF(AND(Y359="Yes",TRIM(H359)=""),"TDS needs a TAN; ","")&amp;IF(AND(AA359="Yes",AQ359&lt;&gt;"",AQ359&lt;&gt;"company",AQ359&lt;&gt;"llp"),"ROC is only for a company / LLP; ","")&amp;IF(AND(AA359="Yes",OR(AQ359="company",AQ359="llp"),TRIM(I359)=""),"ROC needs the CIN / LLPIN; ","")</f>
        <v/>
      </c>
    </row>
    <row r="360">
      <c r="A360" s="30" t="n"/>
      <c r="B360" s="31" t="n"/>
      <c r="C360" s="31" t="n"/>
      <c r="D360" s="31" t="n"/>
      <c r="E360" s="30" t="n"/>
      <c r="F360" s="30" t="n"/>
      <c r="G360" s="30" t="n"/>
      <c r="H360" s="30" t="n"/>
      <c r="I360" s="30" t="n"/>
      <c r="J360" s="32" t="n"/>
      <c r="K360" s="31" t="n"/>
      <c r="L360" s="30" t="n"/>
      <c r="M360" s="31" t="n"/>
      <c r="N360" s="31" t="n"/>
      <c r="O360" s="31" t="n"/>
      <c r="P360" s="30" t="n"/>
      <c r="Q360" s="31" t="n"/>
      <c r="R360" s="31" t="n"/>
      <c r="S360" s="31" t="n"/>
      <c r="T360" s="31" t="n"/>
      <c r="U360" s="30" t="n"/>
      <c r="V360" s="31" t="n"/>
      <c r="W360" s="31" t="n"/>
      <c r="X360" s="31" t="n"/>
      <c r="Y360" s="31" t="n"/>
      <c r="Z360" s="31" t="n"/>
      <c r="AA360" s="31" t="n"/>
      <c r="AB360" s="31" t="n"/>
      <c r="AC360" s="31" t="n"/>
      <c r="AD360" s="31" t="n"/>
      <c r="AE360" s="31" t="n"/>
      <c r="AF360" s="27">
        <f>IF(NOT(COUNTA(A360:AE360)&gt;0),"",IF(A360="","New client","Update"))</f>
        <v/>
      </c>
      <c r="AG360" s="27">
        <f>IF(AO360&lt;&gt;"",AO360,IF(LEN(AN360)=15,MID(AN360,3,10),""))</f>
        <v/>
      </c>
      <c r="AH360" s="27">
        <f>IF(AP360="","",AP360&amp;IF(D360="","  (guessed from PAN)",""))</f>
        <v/>
      </c>
      <c r="AI360" s="27">
        <f>IF(AN360="","",IFERROR(INDEX(Lists!$L$2:$L$38,MATCH(LEFT(AN360,2),Lists!$K$2:$K$38,0)),"Unknown code"))</f>
        <v/>
      </c>
      <c r="AJ360" s="27">
        <f>IF(AN360="","",IFERROR(IF(NOT(AND(LEN(AN360)=15,ISNUMBER(MATCH(LEFT(AN360,2),Lists!$K$2:$K$38,0)),SUMPRODUCT(--ISERROR(FIND(MID(MID(AN360,3,10),{1,2,3,4,5,10},1),"ABCDEFGHIJKLMNOPQRSTUVWXYZ")))=0,SUMPRODUCT(--ISERROR(FIND(MID(MID(AN360,3,10),{6,7,8,9},1),"0123456789")))=0,ISNUMBER(FIND(MID(AN360,13,1),"123456789ABCDEFGHIJKLMNOPQRSTUVWXYZ")),MID(AN360,14,1)="Z")),"Wrong format",IF(MID("0123456789ABCDEFGHIJKLMNOPQRSTUVWXYZ",MOD(36-MOD(SUMPRODUCT(INT((FIND(MID(AN360,{1,2,3,4,5,6,7,8,9,10,11,12,13,14},1),"0123456789ABCDEFGHIJKLMNOPQRSTUVWXYZ")-1)*{1,2,1,2,1,2,1,2,1,2,1,2,1,2}/36)+MOD((FIND(MID(AN360,{1,2,3,4,5,6,7,8,9,10,11,12,13,14},1),"0123456789ABCDEFGHIJKLMNOPQRSTUVWXYZ")-1)*{1,2,1,2,1,2,1,2,1,2,1,2,1,2},36)),36),36)+1,1)=MID(AN360,15,1),"OK","Typo? check digit wrong")),"Wrong format"))</f>
        <v/>
      </c>
      <c r="AK360" s="27">
        <f>IF(AO360="","",IF(AND(LEN(AO360)=10,SUMPRODUCT(--ISERROR(FIND(MID(AO360,{1,2,3,4,5,10},1),"ABCDEFGHIJKLMNOPQRSTUVWXYZ")))=0,SUMPRODUCT(--ISERROR(FIND(MID(AO360,{6,7,8,9},1),"0123456789")))=0),"OK","Wrong format"))</f>
        <v/>
      </c>
      <c r="AL360" s="27">
        <f>IF(TRIM(H360)="","",IF(AND(LEN(UPPER(TRIM(H360)))=10,SUMPRODUCT(--ISERROR(FIND(MID(UPPER(TRIM(H360)),{1,2,3,4,10},1),"ABCDEFGHIJKLMNOPQRSTUVWXYZ")))=0,SUMPRODUCT(--ISERROR(FIND(MID(UPPER(TRIM(H360)),{5,6,7,8,9},1),"0123456789")))=0),"OK","Wrong format"))</f>
        <v/>
      </c>
      <c r="AM360" s="28">
        <f>IF(NOT(COUNTA(A360:AE360)&gt;0),"",IF(AS360&lt;&gt;"","✖ "&amp;LEFT(AS360,LEN(AS360)-2),IF(AR360&gt;0,"✔ Ready — client + "&amp;AR360&amp;" service(s)","✔ Ready — client only")))</f>
        <v/>
      </c>
      <c r="AN360" s="29">
        <f>UPPER(SUBSTITUTE(TRIM(F360)," ",""))</f>
        <v/>
      </c>
      <c r="AO360" s="29">
        <f>UPPER(SUBSTITUTE(TRIM(E360)," ",""))</f>
        <v/>
      </c>
      <c r="AP360" s="29">
        <f>IF(D360&lt;&gt;"",D360,IFERROR(VLOOKUP(MID(AG360,4,1),Lists!$E$2:$F$8,2,FALSE),""))</f>
        <v/>
      </c>
      <c r="AQ360" s="29">
        <f>IFERROR(VLOOKUP(AP360,Lists!$A$2:$C$12,3,FALSE),"")</f>
        <v/>
      </c>
      <c r="AR360" s="29">
        <f>COUNTIF(W360:AC360,"Yes")</f>
        <v/>
      </c>
      <c r="AS360" s="29">
        <f>IF(TRIM(B360)="","Legal name missing; ","")&amp;IF(AND(AJ360&lt;&gt;"",AJ360&lt;&gt;"OK"),"GSTIN: "&amp;AJ360&amp;"; ","")&amp;IF(AND(AK360&lt;&gt;"",AK360&lt;&gt;"OK"),"PAN wrong format; ","")&amp;IF(AND(AO360&lt;&gt;"",LEN(AN360)=15,MID(AN360,3,10)&lt;&gt;AO360),"PAN does not match GSTIN; ","")&amp;IF(AND(AL360&lt;&gt;"",AL360&lt;&gt;"OK"),"TAN wrong format; ","")&amp;IF(AG360="","PAN missing; ","")&amp;IF(AP360="","Entity type missing; ","")&amp;IF(AND(AN360&lt;&gt;"",COUNTIF($AN$6:$AN$1005,AN360)&gt;1),"GSTIN repeated in this sheet; ","")&amp;IF(AND(AG360&lt;&gt;"",COUNTIF($AG$6:$AG$1005,AG360)&gt;1),"PAN repeated in this sheet (same client? put extra GSTINs in Other GSTINs); ","")&amp;IF(AND(AR360&gt;0,V360=""),"Financial year missing; ","")&amp;IF(AND(AR360=0,V360&lt;&gt;""),"Financial year given but no service is Yes; ","")&amp;IF(AND(W360="Yes",AN360=""),"GST needs a GSTIN; ","")&amp;IF(AND(W360="Yes",X360=""),"GST return frequency missing; ","")&amp;IF(AND(Y360="Yes",TRIM(H360)=""),"TDS needs a TAN; ","")&amp;IF(AND(AA360="Yes",AQ360&lt;&gt;"",AQ360&lt;&gt;"company",AQ360&lt;&gt;"llp"),"ROC is only for a company / LLP; ","")&amp;IF(AND(AA360="Yes",OR(AQ360="company",AQ360="llp"),TRIM(I360)=""),"ROC needs the CIN / LLPIN; ","")</f>
        <v/>
      </c>
    </row>
    <row r="361">
      <c r="A361" s="30" t="n"/>
      <c r="B361" s="31" t="n"/>
      <c r="C361" s="31" t="n"/>
      <c r="D361" s="31" t="n"/>
      <c r="E361" s="30" t="n"/>
      <c r="F361" s="30" t="n"/>
      <c r="G361" s="30" t="n"/>
      <c r="H361" s="30" t="n"/>
      <c r="I361" s="30" t="n"/>
      <c r="J361" s="32" t="n"/>
      <c r="K361" s="31" t="n"/>
      <c r="L361" s="30" t="n"/>
      <c r="M361" s="31" t="n"/>
      <c r="N361" s="31" t="n"/>
      <c r="O361" s="31" t="n"/>
      <c r="P361" s="30" t="n"/>
      <c r="Q361" s="31" t="n"/>
      <c r="R361" s="31" t="n"/>
      <c r="S361" s="31" t="n"/>
      <c r="T361" s="31" t="n"/>
      <c r="U361" s="30" t="n"/>
      <c r="V361" s="31" t="n"/>
      <c r="W361" s="31" t="n"/>
      <c r="X361" s="31" t="n"/>
      <c r="Y361" s="31" t="n"/>
      <c r="Z361" s="31" t="n"/>
      <c r="AA361" s="31" t="n"/>
      <c r="AB361" s="31" t="n"/>
      <c r="AC361" s="31" t="n"/>
      <c r="AD361" s="31" t="n"/>
      <c r="AE361" s="31" t="n"/>
      <c r="AF361" s="27">
        <f>IF(NOT(COUNTA(A361:AE361)&gt;0),"",IF(A361="","New client","Update"))</f>
        <v/>
      </c>
      <c r="AG361" s="27">
        <f>IF(AO361&lt;&gt;"",AO361,IF(LEN(AN361)=15,MID(AN361,3,10),""))</f>
        <v/>
      </c>
      <c r="AH361" s="27">
        <f>IF(AP361="","",AP361&amp;IF(D361="","  (guessed from PAN)",""))</f>
        <v/>
      </c>
      <c r="AI361" s="27">
        <f>IF(AN361="","",IFERROR(INDEX(Lists!$L$2:$L$38,MATCH(LEFT(AN361,2),Lists!$K$2:$K$38,0)),"Unknown code"))</f>
        <v/>
      </c>
      <c r="AJ361" s="27">
        <f>IF(AN361="","",IFERROR(IF(NOT(AND(LEN(AN361)=15,ISNUMBER(MATCH(LEFT(AN361,2),Lists!$K$2:$K$38,0)),SUMPRODUCT(--ISERROR(FIND(MID(MID(AN361,3,10),{1,2,3,4,5,10},1),"ABCDEFGHIJKLMNOPQRSTUVWXYZ")))=0,SUMPRODUCT(--ISERROR(FIND(MID(MID(AN361,3,10),{6,7,8,9},1),"0123456789")))=0,ISNUMBER(FIND(MID(AN361,13,1),"123456789ABCDEFGHIJKLMNOPQRSTUVWXYZ")),MID(AN361,14,1)="Z")),"Wrong format",IF(MID("0123456789ABCDEFGHIJKLMNOPQRSTUVWXYZ",MOD(36-MOD(SUMPRODUCT(INT((FIND(MID(AN361,{1,2,3,4,5,6,7,8,9,10,11,12,13,14},1),"0123456789ABCDEFGHIJKLMNOPQRSTUVWXYZ")-1)*{1,2,1,2,1,2,1,2,1,2,1,2,1,2}/36)+MOD((FIND(MID(AN361,{1,2,3,4,5,6,7,8,9,10,11,12,13,14},1),"0123456789ABCDEFGHIJKLMNOPQRSTUVWXYZ")-1)*{1,2,1,2,1,2,1,2,1,2,1,2,1,2},36)),36),36)+1,1)=MID(AN361,15,1),"OK","Typo? check digit wrong")),"Wrong format"))</f>
        <v/>
      </c>
      <c r="AK361" s="27">
        <f>IF(AO361="","",IF(AND(LEN(AO361)=10,SUMPRODUCT(--ISERROR(FIND(MID(AO361,{1,2,3,4,5,10},1),"ABCDEFGHIJKLMNOPQRSTUVWXYZ")))=0,SUMPRODUCT(--ISERROR(FIND(MID(AO361,{6,7,8,9},1),"0123456789")))=0),"OK","Wrong format"))</f>
        <v/>
      </c>
      <c r="AL361" s="27">
        <f>IF(TRIM(H361)="","",IF(AND(LEN(UPPER(TRIM(H361)))=10,SUMPRODUCT(--ISERROR(FIND(MID(UPPER(TRIM(H361)),{1,2,3,4,10},1),"ABCDEFGHIJKLMNOPQRSTUVWXYZ")))=0,SUMPRODUCT(--ISERROR(FIND(MID(UPPER(TRIM(H361)),{5,6,7,8,9},1),"0123456789")))=0),"OK","Wrong format"))</f>
        <v/>
      </c>
      <c r="AM361" s="28">
        <f>IF(NOT(COUNTA(A361:AE361)&gt;0),"",IF(AS361&lt;&gt;"","✖ "&amp;LEFT(AS361,LEN(AS361)-2),IF(AR361&gt;0,"✔ Ready — client + "&amp;AR361&amp;" service(s)","✔ Ready — client only")))</f>
        <v/>
      </c>
      <c r="AN361" s="29">
        <f>UPPER(SUBSTITUTE(TRIM(F361)," ",""))</f>
        <v/>
      </c>
      <c r="AO361" s="29">
        <f>UPPER(SUBSTITUTE(TRIM(E361)," ",""))</f>
        <v/>
      </c>
      <c r="AP361" s="29">
        <f>IF(D361&lt;&gt;"",D361,IFERROR(VLOOKUP(MID(AG361,4,1),Lists!$E$2:$F$8,2,FALSE),""))</f>
        <v/>
      </c>
      <c r="AQ361" s="29">
        <f>IFERROR(VLOOKUP(AP361,Lists!$A$2:$C$12,3,FALSE),"")</f>
        <v/>
      </c>
      <c r="AR361" s="29">
        <f>COUNTIF(W361:AC361,"Yes")</f>
        <v/>
      </c>
      <c r="AS361" s="29">
        <f>IF(TRIM(B361)="","Legal name missing; ","")&amp;IF(AND(AJ361&lt;&gt;"",AJ361&lt;&gt;"OK"),"GSTIN: "&amp;AJ361&amp;"; ","")&amp;IF(AND(AK361&lt;&gt;"",AK361&lt;&gt;"OK"),"PAN wrong format; ","")&amp;IF(AND(AO361&lt;&gt;"",LEN(AN361)=15,MID(AN361,3,10)&lt;&gt;AO361),"PAN does not match GSTIN; ","")&amp;IF(AND(AL361&lt;&gt;"",AL361&lt;&gt;"OK"),"TAN wrong format; ","")&amp;IF(AG361="","PAN missing; ","")&amp;IF(AP361="","Entity type missing; ","")&amp;IF(AND(AN361&lt;&gt;"",COUNTIF($AN$6:$AN$1005,AN361)&gt;1),"GSTIN repeated in this sheet; ","")&amp;IF(AND(AG361&lt;&gt;"",COUNTIF($AG$6:$AG$1005,AG361)&gt;1),"PAN repeated in this sheet (same client? put extra GSTINs in Other GSTINs); ","")&amp;IF(AND(AR361&gt;0,V361=""),"Financial year missing; ","")&amp;IF(AND(AR361=0,V361&lt;&gt;""),"Financial year given but no service is Yes; ","")&amp;IF(AND(W361="Yes",AN361=""),"GST needs a GSTIN; ","")&amp;IF(AND(W361="Yes",X361=""),"GST return frequency missing; ","")&amp;IF(AND(Y361="Yes",TRIM(H361)=""),"TDS needs a TAN; ","")&amp;IF(AND(AA361="Yes",AQ361&lt;&gt;"",AQ361&lt;&gt;"company",AQ361&lt;&gt;"llp"),"ROC is only for a company / LLP; ","")&amp;IF(AND(AA361="Yes",OR(AQ361="company",AQ361="llp"),TRIM(I361)=""),"ROC needs the CIN / LLPIN; ","")</f>
        <v/>
      </c>
    </row>
    <row r="362">
      <c r="A362" s="30" t="n"/>
      <c r="B362" s="31" t="n"/>
      <c r="C362" s="31" t="n"/>
      <c r="D362" s="31" t="n"/>
      <c r="E362" s="30" t="n"/>
      <c r="F362" s="30" t="n"/>
      <c r="G362" s="30" t="n"/>
      <c r="H362" s="30" t="n"/>
      <c r="I362" s="30" t="n"/>
      <c r="J362" s="32" t="n"/>
      <c r="K362" s="31" t="n"/>
      <c r="L362" s="30" t="n"/>
      <c r="M362" s="31" t="n"/>
      <c r="N362" s="31" t="n"/>
      <c r="O362" s="31" t="n"/>
      <c r="P362" s="30" t="n"/>
      <c r="Q362" s="31" t="n"/>
      <c r="R362" s="31" t="n"/>
      <c r="S362" s="31" t="n"/>
      <c r="T362" s="31" t="n"/>
      <c r="U362" s="30" t="n"/>
      <c r="V362" s="31" t="n"/>
      <c r="W362" s="31" t="n"/>
      <c r="X362" s="31" t="n"/>
      <c r="Y362" s="31" t="n"/>
      <c r="Z362" s="31" t="n"/>
      <c r="AA362" s="31" t="n"/>
      <c r="AB362" s="31" t="n"/>
      <c r="AC362" s="31" t="n"/>
      <c r="AD362" s="31" t="n"/>
      <c r="AE362" s="31" t="n"/>
      <c r="AF362" s="27">
        <f>IF(NOT(COUNTA(A362:AE362)&gt;0),"",IF(A362="","New client","Update"))</f>
        <v/>
      </c>
      <c r="AG362" s="27">
        <f>IF(AO362&lt;&gt;"",AO362,IF(LEN(AN362)=15,MID(AN362,3,10),""))</f>
        <v/>
      </c>
      <c r="AH362" s="27">
        <f>IF(AP362="","",AP362&amp;IF(D362="","  (guessed from PAN)",""))</f>
        <v/>
      </c>
      <c r="AI362" s="27">
        <f>IF(AN362="","",IFERROR(INDEX(Lists!$L$2:$L$38,MATCH(LEFT(AN362,2),Lists!$K$2:$K$38,0)),"Unknown code"))</f>
        <v/>
      </c>
      <c r="AJ362" s="27">
        <f>IF(AN362="","",IFERROR(IF(NOT(AND(LEN(AN362)=15,ISNUMBER(MATCH(LEFT(AN362,2),Lists!$K$2:$K$38,0)),SUMPRODUCT(--ISERROR(FIND(MID(MID(AN362,3,10),{1,2,3,4,5,10},1),"ABCDEFGHIJKLMNOPQRSTUVWXYZ")))=0,SUMPRODUCT(--ISERROR(FIND(MID(MID(AN362,3,10),{6,7,8,9},1),"0123456789")))=0,ISNUMBER(FIND(MID(AN362,13,1),"123456789ABCDEFGHIJKLMNOPQRSTUVWXYZ")),MID(AN362,14,1)="Z")),"Wrong format",IF(MID("0123456789ABCDEFGHIJKLMNOPQRSTUVWXYZ",MOD(36-MOD(SUMPRODUCT(INT((FIND(MID(AN362,{1,2,3,4,5,6,7,8,9,10,11,12,13,14},1),"0123456789ABCDEFGHIJKLMNOPQRSTUVWXYZ")-1)*{1,2,1,2,1,2,1,2,1,2,1,2,1,2}/36)+MOD((FIND(MID(AN362,{1,2,3,4,5,6,7,8,9,10,11,12,13,14},1),"0123456789ABCDEFGHIJKLMNOPQRSTUVWXYZ")-1)*{1,2,1,2,1,2,1,2,1,2,1,2,1,2},36)),36),36)+1,1)=MID(AN362,15,1),"OK","Typo? check digit wrong")),"Wrong format"))</f>
        <v/>
      </c>
      <c r="AK362" s="27">
        <f>IF(AO362="","",IF(AND(LEN(AO362)=10,SUMPRODUCT(--ISERROR(FIND(MID(AO362,{1,2,3,4,5,10},1),"ABCDEFGHIJKLMNOPQRSTUVWXYZ")))=0,SUMPRODUCT(--ISERROR(FIND(MID(AO362,{6,7,8,9},1),"0123456789")))=0),"OK","Wrong format"))</f>
        <v/>
      </c>
      <c r="AL362" s="27">
        <f>IF(TRIM(H362)="","",IF(AND(LEN(UPPER(TRIM(H362)))=10,SUMPRODUCT(--ISERROR(FIND(MID(UPPER(TRIM(H362)),{1,2,3,4,10},1),"ABCDEFGHIJKLMNOPQRSTUVWXYZ")))=0,SUMPRODUCT(--ISERROR(FIND(MID(UPPER(TRIM(H362)),{5,6,7,8,9},1),"0123456789")))=0),"OK","Wrong format"))</f>
        <v/>
      </c>
      <c r="AM362" s="28">
        <f>IF(NOT(COUNTA(A362:AE362)&gt;0),"",IF(AS362&lt;&gt;"","✖ "&amp;LEFT(AS362,LEN(AS362)-2),IF(AR362&gt;0,"✔ Ready — client + "&amp;AR362&amp;" service(s)","✔ Ready — client only")))</f>
        <v/>
      </c>
      <c r="AN362" s="29">
        <f>UPPER(SUBSTITUTE(TRIM(F362)," ",""))</f>
        <v/>
      </c>
      <c r="AO362" s="29">
        <f>UPPER(SUBSTITUTE(TRIM(E362)," ",""))</f>
        <v/>
      </c>
      <c r="AP362" s="29">
        <f>IF(D362&lt;&gt;"",D362,IFERROR(VLOOKUP(MID(AG362,4,1),Lists!$E$2:$F$8,2,FALSE),""))</f>
        <v/>
      </c>
      <c r="AQ362" s="29">
        <f>IFERROR(VLOOKUP(AP362,Lists!$A$2:$C$12,3,FALSE),"")</f>
        <v/>
      </c>
      <c r="AR362" s="29">
        <f>COUNTIF(W362:AC362,"Yes")</f>
        <v/>
      </c>
      <c r="AS362" s="29">
        <f>IF(TRIM(B362)="","Legal name missing; ","")&amp;IF(AND(AJ362&lt;&gt;"",AJ362&lt;&gt;"OK"),"GSTIN: "&amp;AJ362&amp;"; ","")&amp;IF(AND(AK362&lt;&gt;"",AK362&lt;&gt;"OK"),"PAN wrong format; ","")&amp;IF(AND(AO362&lt;&gt;"",LEN(AN362)=15,MID(AN362,3,10)&lt;&gt;AO362),"PAN does not match GSTIN; ","")&amp;IF(AND(AL362&lt;&gt;"",AL362&lt;&gt;"OK"),"TAN wrong format; ","")&amp;IF(AG362="","PAN missing; ","")&amp;IF(AP362="","Entity type missing; ","")&amp;IF(AND(AN362&lt;&gt;"",COUNTIF($AN$6:$AN$1005,AN362)&gt;1),"GSTIN repeated in this sheet; ","")&amp;IF(AND(AG362&lt;&gt;"",COUNTIF($AG$6:$AG$1005,AG362)&gt;1),"PAN repeated in this sheet (same client? put extra GSTINs in Other GSTINs); ","")&amp;IF(AND(AR362&gt;0,V362=""),"Financial year missing; ","")&amp;IF(AND(AR362=0,V362&lt;&gt;""),"Financial year given but no service is Yes; ","")&amp;IF(AND(W362="Yes",AN362=""),"GST needs a GSTIN; ","")&amp;IF(AND(W362="Yes",X362=""),"GST return frequency missing; ","")&amp;IF(AND(Y362="Yes",TRIM(H362)=""),"TDS needs a TAN; ","")&amp;IF(AND(AA362="Yes",AQ362&lt;&gt;"",AQ362&lt;&gt;"company",AQ362&lt;&gt;"llp"),"ROC is only for a company / LLP; ","")&amp;IF(AND(AA362="Yes",OR(AQ362="company",AQ362="llp"),TRIM(I362)=""),"ROC needs the CIN / LLPIN; ","")</f>
        <v/>
      </c>
    </row>
    <row r="363">
      <c r="A363" s="30" t="n"/>
      <c r="B363" s="31" t="n"/>
      <c r="C363" s="31" t="n"/>
      <c r="D363" s="31" t="n"/>
      <c r="E363" s="30" t="n"/>
      <c r="F363" s="30" t="n"/>
      <c r="G363" s="30" t="n"/>
      <c r="H363" s="30" t="n"/>
      <c r="I363" s="30" t="n"/>
      <c r="J363" s="32" t="n"/>
      <c r="K363" s="31" t="n"/>
      <c r="L363" s="30" t="n"/>
      <c r="M363" s="31" t="n"/>
      <c r="N363" s="31" t="n"/>
      <c r="O363" s="31" t="n"/>
      <c r="P363" s="30" t="n"/>
      <c r="Q363" s="31" t="n"/>
      <c r="R363" s="31" t="n"/>
      <c r="S363" s="31" t="n"/>
      <c r="T363" s="31" t="n"/>
      <c r="U363" s="30" t="n"/>
      <c r="V363" s="31" t="n"/>
      <c r="W363" s="31" t="n"/>
      <c r="X363" s="31" t="n"/>
      <c r="Y363" s="31" t="n"/>
      <c r="Z363" s="31" t="n"/>
      <c r="AA363" s="31" t="n"/>
      <c r="AB363" s="31" t="n"/>
      <c r="AC363" s="31" t="n"/>
      <c r="AD363" s="31" t="n"/>
      <c r="AE363" s="31" t="n"/>
      <c r="AF363" s="27">
        <f>IF(NOT(COUNTA(A363:AE363)&gt;0),"",IF(A363="","New client","Update"))</f>
        <v/>
      </c>
      <c r="AG363" s="27">
        <f>IF(AO363&lt;&gt;"",AO363,IF(LEN(AN363)=15,MID(AN363,3,10),""))</f>
        <v/>
      </c>
      <c r="AH363" s="27">
        <f>IF(AP363="","",AP363&amp;IF(D363="","  (guessed from PAN)",""))</f>
        <v/>
      </c>
      <c r="AI363" s="27">
        <f>IF(AN363="","",IFERROR(INDEX(Lists!$L$2:$L$38,MATCH(LEFT(AN363,2),Lists!$K$2:$K$38,0)),"Unknown code"))</f>
        <v/>
      </c>
      <c r="AJ363" s="27">
        <f>IF(AN363="","",IFERROR(IF(NOT(AND(LEN(AN363)=15,ISNUMBER(MATCH(LEFT(AN363,2),Lists!$K$2:$K$38,0)),SUMPRODUCT(--ISERROR(FIND(MID(MID(AN363,3,10),{1,2,3,4,5,10},1),"ABCDEFGHIJKLMNOPQRSTUVWXYZ")))=0,SUMPRODUCT(--ISERROR(FIND(MID(MID(AN363,3,10),{6,7,8,9},1),"0123456789")))=0,ISNUMBER(FIND(MID(AN363,13,1),"123456789ABCDEFGHIJKLMNOPQRSTUVWXYZ")),MID(AN363,14,1)="Z")),"Wrong format",IF(MID("0123456789ABCDEFGHIJKLMNOPQRSTUVWXYZ",MOD(36-MOD(SUMPRODUCT(INT((FIND(MID(AN363,{1,2,3,4,5,6,7,8,9,10,11,12,13,14},1),"0123456789ABCDEFGHIJKLMNOPQRSTUVWXYZ")-1)*{1,2,1,2,1,2,1,2,1,2,1,2,1,2}/36)+MOD((FIND(MID(AN363,{1,2,3,4,5,6,7,8,9,10,11,12,13,14},1),"0123456789ABCDEFGHIJKLMNOPQRSTUVWXYZ")-1)*{1,2,1,2,1,2,1,2,1,2,1,2,1,2},36)),36),36)+1,1)=MID(AN363,15,1),"OK","Typo? check digit wrong")),"Wrong format"))</f>
        <v/>
      </c>
      <c r="AK363" s="27">
        <f>IF(AO363="","",IF(AND(LEN(AO363)=10,SUMPRODUCT(--ISERROR(FIND(MID(AO363,{1,2,3,4,5,10},1),"ABCDEFGHIJKLMNOPQRSTUVWXYZ")))=0,SUMPRODUCT(--ISERROR(FIND(MID(AO363,{6,7,8,9},1),"0123456789")))=0),"OK","Wrong format"))</f>
        <v/>
      </c>
      <c r="AL363" s="27">
        <f>IF(TRIM(H363)="","",IF(AND(LEN(UPPER(TRIM(H363)))=10,SUMPRODUCT(--ISERROR(FIND(MID(UPPER(TRIM(H363)),{1,2,3,4,10},1),"ABCDEFGHIJKLMNOPQRSTUVWXYZ")))=0,SUMPRODUCT(--ISERROR(FIND(MID(UPPER(TRIM(H363)),{5,6,7,8,9},1),"0123456789")))=0),"OK","Wrong format"))</f>
        <v/>
      </c>
      <c r="AM363" s="28">
        <f>IF(NOT(COUNTA(A363:AE363)&gt;0),"",IF(AS363&lt;&gt;"","✖ "&amp;LEFT(AS363,LEN(AS363)-2),IF(AR363&gt;0,"✔ Ready — client + "&amp;AR363&amp;" service(s)","✔ Ready — client only")))</f>
        <v/>
      </c>
      <c r="AN363" s="29">
        <f>UPPER(SUBSTITUTE(TRIM(F363)," ",""))</f>
        <v/>
      </c>
      <c r="AO363" s="29">
        <f>UPPER(SUBSTITUTE(TRIM(E363)," ",""))</f>
        <v/>
      </c>
      <c r="AP363" s="29">
        <f>IF(D363&lt;&gt;"",D363,IFERROR(VLOOKUP(MID(AG363,4,1),Lists!$E$2:$F$8,2,FALSE),""))</f>
        <v/>
      </c>
      <c r="AQ363" s="29">
        <f>IFERROR(VLOOKUP(AP363,Lists!$A$2:$C$12,3,FALSE),"")</f>
        <v/>
      </c>
      <c r="AR363" s="29">
        <f>COUNTIF(W363:AC363,"Yes")</f>
        <v/>
      </c>
      <c r="AS363" s="29">
        <f>IF(TRIM(B363)="","Legal name missing; ","")&amp;IF(AND(AJ363&lt;&gt;"",AJ363&lt;&gt;"OK"),"GSTIN: "&amp;AJ363&amp;"; ","")&amp;IF(AND(AK363&lt;&gt;"",AK363&lt;&gt;"OK"),"PAN wrong format; ","")&amp;IF(AND(AO363&lt;&gt;"",LEN(AN363)=15,MID(AN363,3,10)&lt;&gt;AO363),"PAN does not match GSTIN; ","")&amp;IF(AND(AL363&lt;&gt;"",AL363&lt;&gt;"OK"),"TAN wrong format; ","")&amp;IF(AG363="","PAN missing; ","")&amp;IF(AP363="","Entity type missing; ","")&amp;IF(AND(AN363&lt;&gt;"",COUNTIF($AN$6:$AN$1005,AN363)&gt;1),"GSTIN repeated in this sheet; ","")&amp;IF(AND(AG363&lt;&gt;"",COUNTIF($AG$6:$AG$1005,AG363)&gt;1),"PAN repeated in this sheet (same client? put extra GSTINs in Other GSTINs); ","")&amp;IF(AND(AR363&gt;0,V363=""),"Financial year missing; ","")&amp;IF(AND(AR363=0,V363&lt;&gt;""),"Financial year given but no service is Yes; ","")&amp;IF(AND(W363="Yes",AN363=""),"GST needs a GSTIN; ","")&amp;IF(AND(W363="Yes",X363=""),"GST return frequency missing; ","")&amp;IF(AND(Y363="Yes",TRIM(H363)=""),"TDS needs a TAN; ","")&amp;IF(AND(AA363="Yes",AQ363&lt;&gt;"",AQ363&lt;&gt;"company",AQ363&lt;&gt;"llp"),"ROC is only for a company / LLP; ","")&amp;IF(AND(AA363="Yes",OR(AQ363="company",AQ363="llp"),TRIM(I363)=""),"ROC needs the CIN / LLPIN; ","")</f>
        <v/>
      </c>
    </row>
    <row r="364">
      <c r="A364" s="30" t="n"/>
      <c r="B364" s="31" t="n"/>
      <c r="C364" s="31" t="n"/>
      <c r="D364" s="31" t="n"/>
      <c r="E364" s="30" t="n"/>
      <c r="F364" s="30" t="n"/>
      <c r="G364" s="30" t="n"/>
      <c r="H364" s="30" t="n"/>
      <c r="I364" s="30" t="n"/>
      <c r="J364" s="32" t="n"/>
      <c r="K364" s="31" t="n"/>
      <c r="L364" s="30" t="n"/>
      <c r="M364" s="31" t="n"/>
      <c r="N364" s="31" t="n"/>
      <c r="O364" s="31" t="n"/>
      <c r="P364" s="30" t="n"/>
      <c r="Q364" s="31" t="n"/>
      <c r="R364" s="31" t="n"/>
      <c r="S364" s="31" t="n"/>
      <c r="T364" s="31" t="n"/>
      <c r="U364" s="30" t="n"/>
      <c r="V364" s="31" t="n"/>
      <c r="W364" s="31" t="n"/>
      <c r="X364" s="31" t="n"/>
      <c r="Y364" s="31" t="n"/>
      <c r="Z364" s="31" t="n"/>
      <c r="AA364" s="31" t="n"/>
      <c r="AB364" s="31" t="n"/>
      <c r="AC364" s="31" t="n"/>
      <c r="AD364" s="31" t="n"/>
      <c r="AE364" s="31" t="n"/>
      <c r="AF364" s="27">
        <f>IF(NOT(COUNTA(A364:AE364)&gt;0),"",IF(A364="","New client","Update"))</f>
        <v/>
      </c>
      <c r="AG364" s="27">
        <f>IF(AO364&lt;&gt;"",AO364,IF(LEN(AN364)=15,MID(AN364,3,10),""))</f>
        <v/>
      </c>
      <c r="AH364" s="27">
        <f>IF(AP364="","",AP364&amp;IF(D364="","  (guessed from PAN)",""))</f>
        <v/>
      </c>
      <c r="AI364" s="27">
        <f>IF(AN364="","",IFERROR(INDEX(Lists!$L$2:$L$38,MATCH(LEFT(AN364,2),Lists!$K$2:$K$38,0)),"Unknown code"))</f>
        <v/>
      </c>
      <c r="AJ364" s="27">
        <f>IF(AN364="","",IFERROR(IF(NOT(AND(LEN(AN364)=15,ISNUMBER(MATCH(LEFT(AN364,2),Lists!$K$2:$K$38,0)),SUMPRODUCT(--ISERROR(FIND(MID(MID(AN364,3,10),{1,2,3,4,5,10},1),"ABCDEFGHIJKLMNOPQRSTUVWXYZ")))=0,SUMPRODUCT(--ISERROR(FIND(MID(MID(AN364,3,10),{6,7,8,9},1),"0123456789")))=0,ISNUMBER(FIND(MID(AN364,13,1),"123456789ABCDEFGHIJKLMNOPQRSTUVWXYZ")),MID(AN364,14,1)="Z")),"Wrong format",IF(MID("0123456789ABCDEFGHIJKLMNOPQRSTUVWXYZ",MOD(36-MOD(SUMPRODUCT(INT((FIND(MID(AN364,{1,2,3,4,5,6,7,8,9,10,11,12,13,14},1),"0123456789ABCDEFGHIJKLMNOPQRSTUVWXYZ")-1)*{1,2,1,2,1,2,1,2,1,2,1,2,1,2}/36)+MOD((FIND(MID(AN364,{1,2,3,4,5,6,7,8,9,10,11,12,13,14},1),"0123456789ABCDEFGHIJKLMNOPQRSTUVWXYZ")-1)*{1,2,1,2,1,2,1,2,1,2,1,2,1,2},36)),36),36)+1,1)=MID(AN364,15,1),"OK","Typo? check digit wrong")),"Wrong format"))</f>
        <v/>
      </c>
      <c r="AK364" s="27">
        <f>IF(AO364="","",IF(AND(LEN(AO364)=10,SUMPRODUCT(--ISERROR(FIND(MID(AO364,{1,2,3,4,5,10},1),"ABCDEFGHIJKLMNOPQRSTUVWXYZ")))=0,SUMPRODUCT(--ISERROR(FIND(MID(AO364,{6,7,8,9},1),"0123456789")))=0),"OK","Wrong format"))</f>
        <v/>
      </c>
      <c r="AL364" s="27">
        <f>IF(TRIM(H364)="","",IF(AND(LEN(UPPER(TRIM(H364)))=10,SUMPRODUCT(--ISERROR(FIND(MID(UPPER(TRIM(H364)),{1,2,3,4,10},1),"ABCDEFGHIJKLMNOPQRSTUVWXYZ")))=0,SUMPRODUCT(--ISERROR(FIND(MID(UPPER(TRIM(H364)),{5,6,7,8,9},1),"0123456789")))=0),"OK","Wrong format"))</f>
        <v/>
      </c>
      <c r="AM364" s="28">
        <f>IF(NOT(COUNTA(A364:AE364)&gt;0),"",IF(AS364&lt;&gt;"","✖ "&amp;LEFT(AS364,LEN(AS364)-2),IF(AR364&gt;0,"✔ Ready — client + "&amp;AR364&amp;" service(s)","✔ Ready — client only")))</f>
        <v/>
      </c>
      <c r="AN364" s="29">
        <f>UPPER(SUBSTITUTE(TRIM(F364)," ",""))</f>
        <v/>
      </c>
      <c r="AO364" s="29">
        <f>UPPER(SUBSTITUTE(TRIM(E364)," ",""))</f>
        <v/>
      </c>
      <c r="AP364" s="29">
        <f>IF(D364&lt;&gt;"",D364,IFERROR(VLOOKUP(MID(AG364,4,1),Lists!$E$2:$F$8,2,FALSE),""))</f>
        <v/>
      </c>
      <c r="AQ364" s="29">
        <f>IFERROR(VLOOKUP(AP364,Lists!$A$2:$C$12,3,FALSE),"")</f>
        <v/>
      </c>
      <c r="AR364" s="29">
        <f>COUNTIF(W364:AC364,"Yes")</f>
        <v/>
      </c>
      <c r="AS364" s="29">
        <f>IF(TRIM(B364)="","Legal name missing; ","")&amp;IF(AND(AJ364&lt;&gt;"",AJ364&lt;&gt;"OK"),"GSTIN: "&amp;AJ364&amp;"; ","")&amp;IF(AND(AK364&lt;&gt;"",AK364&lt;&gt;"OK"),"PAN wrong format; ","")&amp;IF(AND(AO364&lt;&gt;"",LEN(AN364)=15,MID(AN364,3,10)&lt;&gt;AO364),"PAN does not match GSTIN; ","")&amp;IF(AND(AL364&lt;&gt;"",AL364&lt;&gt;"OK"),"TAN wrong format; ","")&amp;IF(AG364="","PAN missing; ","")&amp;IF(AP364="","Entity type missing; ","")&amp;IF(AND(AN364&lt;&gt;"",COUNTIF($AN$6:$AN$1005,AN364)&gt;1),"GSTIN repeated in this sheet; ","")&amp;IF(AND(AG364&lt;&gt;"",COUNTIF($AG$6:$AG$1005,AG364)&gt;1),"PAN repeated in this sheet (same client? put extra GSTINs in Other GSTINs); ","")&amp;IF(AND(AR364&gt;0,V364=""),"Financial year missing; ","")&amp;IF(AND(AR364=0,V364&lt;&gt;""),"Financial year given but no service is Yes; ","")&amp;IF(AND(W364="Yes",AN364=""),"GST needs a GSTIN; ","")&amp;IF(AND(W364="Yes",X364=""),"GST return frequency missing; ","")&amp;IF(AND(Y364="Yes",TRIM(H364)=""),"TDS needs a TAN; ","")&amp;IF(AND(AA364="Yes",AQ364&lt;&gt;"",AQ364&lt;&gt;"company",AQ364&lt;&gt;"llp"),"ROC is only for a company / LLP; ","")&amp;IF(AND(AA364="Yes",OR(AQ364="company",AQ364="llp"),TRIM(I364)=""),"ROC needs the CIN / LLPIN; ","")</f>
        <v/>
      </c>
    </row>
    <row r="365">
      <c r="A365" s="30" t="n"/>
      <c r="B365" s="31" t="n"/>
      <c r="C365" s="31" t="n"/>
      <c r="D365" s="31" t="n"/>
      <c r="E365" s="30" t="n"/>
      <c r="F365" s="30" t="n"/>
      <c r="G365" s="30" t="n"/>
      <c r="H365" s="30" t="n"/>
      <c r="I365" s="30" t="n"/>
      <c r="J365" s="32" t="n"/>
      <c r="K365" s="31" t="n"/>
      <c r="L365" s="30" t="n"/>
      <c r="M365" s="31" t="n"/>
      <c r="N365" s="31" t="n"/>
      <c r="O365" s="31" t="n"/>
      <c r="P365" s="30" t="n"/>
      <c r="Q365" s="31" t="n"/>
      <c r="R365" s="31" t="n"/>
      <c r="S365" s="31" t="n"/>
      <c r="T365" s="31" t="n"/>
      <c r="U365" s="30" t="n"/>
      <c r="V365" s="31" t="n"/>
      <c r="W365" s="31" t="n"/>
      <c r="X365" s="31" t="n"/>
      <c r="Y365" s="31" t="n"/>
      <c r="Z365" s="31" t="n"/>
      <c r="AA365" s="31" t="n"/>
      <c r="AB365" s="31" t="n"/>
      <c r="AC365" s="31" t="n"/>
      <c r="AD365" s="31" t="n"/>
      <c r="AE365" s="31" t="n"/>
      <c r="AF365" s="27">
        <f>IF(NOT(COUNTA(A365:AE365)&gt;0),"",IF(A365="","New client","Update"))</f>
        <v/>
      </c>
      <c r="AG365" s="27">
        <f>IF(AO365&lt;&gt;"",AO365,IF(LEN(AN365)=15,MID(AN365,3,10),""))</f>
        <v/>
      </c>
      <c r="AH365" s="27">
        <f>IF(AP365="","",AP365&amp;IF(D365="","  (guessed from PAN)",""))</f>
        <v/>
      </c>
      <c r="AI365" s="27">
        <f>IF(AN365="","",IFERROR(INDEX(Lists!$L$2:$L$38,MATCH(LEFT(AN365,2),Lists!$K$2:$K$38,0)),"Unknown code"))</f>
        <v/>
      </c>
      <c r="AJ365" s="27">
        <f>IF(AN365="","",IFERROR(IF(NOT(AND(LEN(AN365)=15,ISNUMBER(MATCH(LEFT(AN365,2),Lists!$K$2:$K$38,0)),SUMPRODUCT(--ISERROR(FIND(MID(MID(AN365,3,10),{1,2,3,4,5,10},1),"ABCDEFGHIJKLMNOPQRSTUVWXYZ")))=0,SUMPRODUCT(--ISERROR(FIND(MID(MID(AN365,3,10),{6,7,8,9},1),"0123456789")))=0,ISNUMBER(FIND(MID(AN365,13,1),"123456789ABCDEFGHIJKLMNOPQRSTUVWXYZ")),MID(AN365,14,1)="Z")),"Wrong format",IF(MID("0123456789ABCDEFGHIJKLMNOPQRSTUVWXYZ",MOD(36-MOD(SUMPRODUCT(INT((FIND(MID(AN365,{1,2,3,4,5,6,7,8,9,10,11,12,13,14},1),"0123456789ABCDEFGHIJKLMNOPQRSTUVWXYZ")-1)*{1,2,1,2,1,2,1,2,1,2,1,2,1,2}/36)+MOD((FIND(MID(AN365,{1,2,3,4,5,6,7,8,9,10,11,12,13,14},1),"0123456789ABCDEFGHIJKLMNOPQRSTUVWXYZ")-1)*{1,2,1,2,1,2,1,2,1,2,1,2,1,2},36)),36),36)+1,1)=MID(AN365,15,1),"OK","Typo? check digit wrong")),"Wrong format"))</f>
        <v/>
      </c>
      <c r="AK365" s="27">
        <f>IF(AO365="","",IF(AND(LEN(AO365)=10,SUMPRODUCT(--ISERROR(FIND(MID(AO365,{1,2,3,4,5,10},1),"ABCDEFGHIJKLMNOPQRSTUVWXYZ")))=0,SUMPRODUCT(--ISERROR(FIND(MID(AO365,{6,7,8,9},1),"0123456789")))=0),"OK","Wrong format"))</f>
        <v/>
      </c>
      <c r="AL365" s="27">
        <f>IF(TRIM(H365)="","",IF(AND(LEN(UPPER(TRIM(H365)))=10,SUMPRODUCT(--ISERROR(FIND(MID(UPPER(TRIM(H365)),{1,2,3,4,10},1),"ABCDEFGHIJKLMNOPQRSTUVWXYZ")))=0,SUMPRODUCT(--ISERROR(FIND(MID(UPPER(TRIM(H365)),{5,6,7,8,9},1),"0123456789")))=0),"OK","Wrong format"))</f>
        <v/>
      </c>
      <c r="AM365" s="28">
        <f>IF(NOT(COUNTA(A365:AE365)&gt;0),"",IF(AS365&lt;&gt;"","✖ "&amp;LEFT(AS365,LEN(AS365)-2),IF(AR365&gt;0,"✔ Ready — client + "&amp;AR365&amp;" service(s)","✔ Ready — client only")))</f>
        <v/>
      </c>
      <c r="AN365" s="29">
        <f>UPPER(SUBSTITUTE(TRIM(F365)," ",""))</f>
        <v/>
      </c>
      <c r="AO365" s="29">
        <f>UPPER(SUBSTITUTE(TRIM(E365)," ",""))</f>
        <v/>
      </c>
      <c r="AP365" s="29">
        <f>IF(D365&lt;&gt;"",D365,IFERROR(VLOOKUP(MID(AG365,4,1),Lists!$E$2:$F$8,2,FALSE),""))</f>
        <v/>
      </c>
      <c r="AQ365" s="29">
        <f>IFERROR(VLOOKUP(AP365,Lists!$A$2:$C$12,3,FALSE),"")</f>
        <v/>
      </c>
      <c r="AR365" s="29">
        <f>COUNTIF(W365:AC365,"Yes")</f>
        <v/>
      </c>
      <c r="AS365" s="29">
        <f>IF(TRIM(B365)="","Legal name missing; ","")&amp;IF(AND(AJ365&lt;&gt;"",AJ365&lt;&gt;"OK"),"GSTIN: "&amp;AJ365&amp;"; ","")&amp;IF(AND(AK365&lt;&gt;"",AK365&lt;&gt;"OK"),"PAN wrong format; ","")&amp;IF(AND(AO365&lt;&gt;"",LEN(AN365)=15,MID(AN365,3,10)&lt;&gt;AO365),"PAN does not match GSTIN; ","")&amp;IF(AND(AL365&lt;&gt;"",AL365&lt;&gt;"OK"),"TAN wrong format; ","")&amp;IF(AG365="","PAN missing; ","")&amp;IF(AP365="","Entity type missing; ","")&amp;IF(AND(AN365&lt;&gt;"",COUNTIF($AN$6:$AN$1005,AN365)&gt;1),"GSTIN repeated in this sheet; ","")&amp;IF(AND(AG365&lt;&gt;"",COUNTIF($AG$6:$AG$1005,AG365)&gt;1),"PAN repeated in this sheet (same client? put extra GSTINs in Other GSTINs); ","")&amp;IF(AND(AR365&gt;0,V365=""),"Financial year missing; ","")&amp;IF(AND(AR365=0,V365&lt;&gt;""),"Financial year given but no service is Yes; ","")&amp;IF(AND(W365="Yes",AN365=""),"GST needs a GSTIN; ","")&amp;IF(AND(W365="Yes",X365=""),"GST return frequency missing; ","")&amp;IF(AND(Y365="Yes",TRIM(H365)=""),"TDS needs a TAN; ","")&amp;IF(AND(AA365="Yes",AQ365&lt;&gt;"",AQ365&lt;&gt;"company",AQ365&lt;&gt;"llp"),"ROC is only for a company / LLP; ","")&amp;IF(AND(AA365="Yes",OR(AQ365="company",AQ365="llp"),TRIM(I365)=""),"ROC needs the CIN / LLPIN; ","")</f>
        <v/>
      </c>
    </row>
    <row r="366">
      <c r="A366" s="30" t="n"/>
      <c r="B366" s="31" t="n"/>
      <c r="C366" s="31" t="n"/>
      <c r="D366" s="31" t="n"/>
      <c r="E366" s="30" t="n"/>
      <c r="F366" s="30" t="n"/>
      <c r="G366" s="30" t="n"/>
      <c r="H366" s="30" t="n"/>
      <c r="I366" s="30" t="n"/>
      <c r="J366" s="32" t="n"/>
      <c r="K366" s="31" t="n"/>
      <c r="L366" s="30" t="n"/>
      <c r="M366" s="31" t="n"/>
      <c r="N366" s="31" t="n"/>
      <c r="O366" s="31" t="n"/>
      <c r="P366" s="30" t="n"/>
      <c r="Q366" s="31" t="n"/>
      <c r="R366" s="31" t="n"/>
      <c r="S366" s="31" t="n"/>
      <c r="T366" s="31" t="n"/>
      <c r="U366" s="30" t="n"/>
      <c r="V366" s="31" t="n"/>
      <c r="W366" s="31" t="n"/>
      <c r="X366" s="31" t="n"/>
      <c r="Y366" s="31" t="n"/>
      <c r="Z366" s="31" t="n"/>
      <c r="AA366" s="31" t="n"/>
      <c r="AB366" s="31" t="n"/>
      <c r="AC366" s="31" t="n"/>
      <c r="AD366" s="31" t="n"/>
      <c r="AE366" s="31" t="n"/>
      <c r="AF366" s="27">
        <f>IF(NOT(COUNTA(A366:AE366)&gt;0),"",IF(A366="","New client","Update"))</f>
        <v/>
      </c>
      <c r="AG366" s="27">
        <f>IF(AO366&lt;&gt;"",AO366,IF(LEN(AN366)=15,MID(AN366,3,10),""))</f>
        <v/>
      </c>
      <c r="AH366" s="27">
        <f>IF(AP366="","",AP366&amp;IF(D366="","  (guessed from PAN)",""))</f>
        <v/>
      </c>
      <c r="AI366" s="27">
        <f>IF(AN366="","",IFERROR(INDEX(Lists!$L$2:$L$38,MATCH(LEFT(AN366,2),Lists!$K$2:$K$38,0)),"Unknown code"))</f>
        <v/>
      </c>
      <c r="AJ366" s="27">
        <f>IF(AN366="","",IFERROR(IF(NOT(AND(LEN(AN366)=15,ISNUMBER(MATCH(LEFT(AN366,2),Lists!$K$2:$K$38,0)),SUMPRODUCT(--ISERROR(FIND(MID(MID(AN366,3,10),{1,2,3,4,5,10},1),"ABCDEFGHIJKLMNOPQRSTUVWXYZ")))=0,SUMPRODUCT(--ISERROR(FIND(MID(MID(AN366,3,10),{6,7,8,9},1),"0123456789")))=0,ISNUMBER(FIND(MID(AN366,13,1),"123456789ABCDEFGHIJKLMNOPQRSTUVWXYZ")),MID(AN366,14,1)="Z")),"Wrong format",IF(MID("0123456789ABCDEFGHIJKLMNOPQRSTUVWXYZ",MOD(36-MOD(SUMPRODUCT(INT((FIND(MID(AN366,{1,2,3,4,5,6,7,8,9,10,11,12,13,14},1),"0123456789ABCDEFGHIJKLMNOPQRSTUVWXYZ")-1)*{1,2,1,2,1,2,1,2,1,2,1,2,1,2}/36)+MOD((FIND(MID(AN366,{1,2,3,4,5,6,7,8,9,10,11,12,13,14},1),"0123456789ABCDEFGHIJKLMNOPQRSTUVWXYZ")-1)*{1,2,1,2,1,2,1,2,1,2,1,2,1,2},36)),36),36)+1,1)=MID(AN366,15,1),"OK","Typo? check digit wrong")),"Wrong format"))</f>
        <v/>
      </c>
      <c r="AK366" s="27">
        <f>IF(AO366="","",IF(AND(LEN(AO366)=10,SUMPRODUCT(--ISERROR(FIND(MID(AO366,{1,2,3,4,5,10},1),"ABCDEFGHIJKLMNOPQRSTUVWXYZ")))=0,SUMPRODUCT(--ISERROR(FIND(MID(AO366,{6,7,8,9},1),"0123456789")))=0),"OK","Wrong format"))</f>
        <v/>
      </c>
      <c r="AL366" s="27">
        <f>IF(TRIM(H366)="","",IF(AND(LEN(UPPER(TRIM(H366)))=10,SUMPRODUCT(--ISERROR(FIND(MID(UPPER(TRIM(H366)),{1,2,3,4,10},1),"ABCDEFGHIJKLMNOPQRSTUVWXYZ")))=0,SUMPRODUCT(--ISERROR(FIND(MID(UPPER(TRIM(H366)),{5,6,7,8,9},1),"0123456789")))=0),"OK","Wrong format"))</f>
        <v/>
      </c>
      <c r="AM366" s="28">
        <f>IF(NOT(COUNTA(A366:AE366)&gt;0),"",IF(AS366&lt;&gt;"","✖ "&amp;LEFT(AS366,LEN(AS366)-2),IF(AR366&gt;0,"✔ Ready — client + "&amp;AR366&amp;" service(s)","✔ Ready — client only")))</f>
        <v/>
      </c>
      <c r="AN366" s="29">
        <f>UPPER(SUBSTITUTE(TRIM(F366)," ",""))</f>
        <v/>
      </c>
      <c r="AO366" s="29">
        <f>UPPER(SUBSTITUTE(TRIM(E366)," ",""))</f>
        <v/>
      </c>
      <c r="AP366" s="29">
        <f>IF(D366&lt;&gt;"",D366,IFERROR(VLOOKUP(MID(AG366,4,1),Lists!$E$2:$F$8,2,FALSE),""))</f>
        <v/>
      </c>
      <c r="AQ366" s="29">
        <f>IFERROR(VLOOKUP(AP366,Lists!$A$2:$C$12,3,FALSE),"")</f>
        <v/>
      </c>
      <c r="AR366" s="29">
        <f>COUNTIF(W366:AC366,"Yes")</f>
        <v/>
      </c>
      <c r="AS366" s="29">
        <f>IF(TRIM(B366)="","Legal name missing; ","")&amp;IF(AND(AJ366&lt;&gt;"",AJ366&lt;&gt;"OK"),"GSTIN: "&amp;AJ366&amp;"; ","")&amp;IF(AND(AK366&lt;&gt;"",AK366&lt;&gt;"OK"),"PAN wrong format; ","")&amp;IF(AND(AO366&lt;&gt;"",LEN(AN366)=15,MID(AN366,3,10)&lt;&gt;AO366),"PAN does not match GSTIN; ","")&amp;IF(AND(AL366&lt;&gt;"",AL366&lt;&gt;"OK"),"TAN wrong format; ","")&amp;IF(AG366="","PAN missing; ","")&amp;IF(AP366="","Entity type missing; ","")&amp;IF(AND(AN366&lt;&gt;"",COUNTIF($AN$6:$AN$1005,AN366)&gt;1),"GSTIN repeated in this sheet; ","")&amp;IF(AND(AG366&lt;&gt;"",COUNTIF($AG$6:$AG$1005,AG366)&gt;1),"PAN repeated in this sheet (same client? put extra GSTINs in Other GSTINs); ","")&amp;IF(AND(AR366&gt;0,V366=""),"Financial year missing; ","")&amp;IF(AND(AR366=0,V366&lt;&gt;""),"Financial year given but no service is Yes; ","")&amp;IF(AND(W366="Yes",AN366=""),"GST needs a GSTIN; ","")&amp;IF(AND(W366="Yes",X366=""),"GST return frequency missing; ","")&amp;IF(AND(Y366="Yes",TRIM(H366)=""),"TDS needs a TAN; ","")&amp;IF(AND(AA366="Yes",AQ366&lt;&gt;"",AQ366&lt;&gt;"company",AQ366&lt;&gt;"llp"),"ROC is only for a company / LLP; ","")&amp;IF(AND(AA366="Yes",OR(AQ366="company",AQ366="llp"),TRIM(I366)=""),"ROC needs the CIN / LLPIN; ","")</f>
        <v/>
      </c>
    </row>
    <row r="367">
      <c r="A367" s="30" t="n"/>
      <c r="B367" s="31" t="n"/>
      <c r="C367" s="31" t="n"/>
      <c r="D367" s="31" t="n"/>
      <c r="E367" s="30" t="n"/>
      <c r="F367" s="30" t="n"/>
      <c r="G367" s="30" t="n"/>
      <c r="H367" s="30" t="n"/>
      <c r="I367" s="30" t="n"/>
      <c r="J367" s="32" t="n"/>
      <c r="K367" s="31" t="n"/>
      <c r="L367" s="30" t="n"/>
      <c r="M367" s="31" t="n"/>
      <c r="N367" s="31" t="n"/>
      <c r="O367" s="31" t="n"/>
      <c r="P367" s="30" t="n"/>
      <c r="Q367" s="31" t="n"/>
      <c r="R367" s="31" t="n"/>
      <c r="S367" s="31" t="n"/>
      <c r="T367" s="31" t="n"/>
      <c r="U367" s="30" t="n"/>
      <c r="V367" s="31" t="n"/>
      <c r="W367" s="31" t="n"/>
      <c r="X367" s="31" t="n"/>
      <c r="Y367" s="31" t="n"/>
      <c r="Z367" s="31" t="n"/>
      <c r="AA367" s="31" t="n"/>
      <c r="AB367" s="31" t="n"/>
      <c r="AC367" s="31" t="n"/>
      <c r="AD367" s="31" t="n"/>
      <c r="AE367" s="31" t="n"/>
      <c r="AF367" s="27">
        <f>IF(NOT(COUNTA(A367:AE367)&gt;0),"",IF(A367="","New client","Update"))</f>
        <v/>
      </c>
      <c r="AG367" s="27">
        <f>IF(AO367&lt;&gt;"",AO367,IF(LEN(AN367)=15,MID(AN367,3,10),""))</f>
        <v/>
      </c>
      <c r="AH367" s="27">
        <f>IF(AP367="","",AP367&amp;IF(D367="","  (guessed from PAN)",""))</f>
        <v/>
      </c>
      <c r="AI367" s="27">
        <f>IF(AN367="","",IFERROR(INDEX(Lists!$L$2:$L$38,MATCH(LEFT(AN367,2),Lists!$K$2:$K$38,0)),"Unknown code"))</f>
        <v/>
      </c>
      <c r="AJ367" s="27">
        <f>IF(AN367="","",IFERROR(IF(NOT(AND(LEN(AN367)=15,ISNUMBER(MATCH(LEFT(AN367,2),Lists!$K$2:$K$38,0)),SUMPRODUCT(--ISERROR(FIND(MID(MID(AN367,3,10),{1,2,3,4,5,10},1),"ABCDEFGHIJKLMNOPQRSTUVWXYZ")))=0,SUMPRODUCT(--ISERROR(FIND(MID(MID(AN367,3,10),{6,7,8,9},1),"0123456789")))=0,ISNUMBER(FIND(MID(AN367,13,1),"123456789ABCDEFGHIJKLMNOPQRSTUVWXYZ")),MID(AN367,14,1)="Z")),"Wrong format",IF(MID("0123456789ABCDEFGHIJKLMNOPQRSTUVWXYZ",MOD(36-MOD(SUMPRODUCT(INT((FIND(MID(AN367,{1,2,3,4,5,6,7,8,9,10,11,12,13,14},1),"0123456789ABCDEFGHIJKLMNOPQRSTUVWXYZ")-1)*{1,2,1,2,1,2,1,2,1,2,1,2,1,2}/36)+MOD((FIND(MID(AN367,{1,2,3,4,5,6,7,8,9,10,11,12,13,14},1),"0123456789ABCDEFGHIJKLMNOPQRSTUVWXYZ")-1)*{1,2,1,2,1,2,1,2,1,2,1,2,1,2},36)),36),36)+1,1)=MID(AN367,15,1),"OK","Typo? check digit wrong")),"Wrong format"))</f>
        <v/>
      </c>
      <c r="AK367" s="27">
        <f>IF(AO367="","",IF(AND(LEN(AO367)=10,SUMPRODUCT(--ISERROR(FIND(MID(AO367,{1,2,3,4,5,10},1),"ABCDEFGHIJKLMNOPQRSTUVWXYZ")))=0,SUMPRODUCT(--ISERROR(FIND(MID(AO367,{6,7,8,9},1),"0123456789")))=0),"OK","Wrong format"))</f>
        <v/>
      </c>
      <c r="AL367" s="27">
        <f>IF(TRIM(H367)="","",IF(AND(LEN(UPPER(TRIM(H367)))=10,SUMPRODUCT(--ISERROR(FIND(MID(UPPER(TRIM(H367)),{1,2,3,4,10},1),"ABCDEFGHIJKLMNOPQRSTUVWXYZ")))=0,SUMPRODUCT(--ISERROR(FIND(MID(UPPER(TRIM(H367)),{5,6,7,8,9},1),"0123456789")))=0),"OK","Wrong format"))</f>
        <v/>
      </c>
      <c r="AM367" s="28">
        <f>IF(NOT(COUNTA(A367:AE367)&gt;0),"",IF(AS367&lt;&gt;"","✖ "&amp;LEFT(AS367,LEN(AS367)-2),IF(AR367&gt;0,"✔ Ready — client + "&amp;AR367&amp;" service(s)","✔ Ready — client only")))</f>
        <v/>
      </c>
      <c r="AN367" s="29">
        <f>UPPER(SUBSTITUTE(TRIM(F367)," ",""))</f>
        <v/>
      </c>
      <c r="AO367" s="29">
        <f>UPPER(SUBSTITUTE(TRIM(E367)," ",""))</f>
        <v/>
      </c>
      <c r="AP367" s="29">
        <f>IF(D367&lt;&gt;"",D367,IFERROR(VLOOKUP(MID(AG367,4,1),Lists!$E$2:$F$8,2,FALSE),""))</f>
        <v/>
      </c>
      <c r="AQ367" s="29">
        <f>IFERROR(VLOOKUP(AP367,Lists!$A$2:$C$12,3,FALSE),"")</f>
        <v/>
      </c>
      <c r="AR367" s="29">
        <f>COUNTIF(W367:AC367,"Yes")</f>
        <v/>
      </c>
      <c r="AS367" s="29">
        <f>IF(TRIM(B367)="","Legal name missing; ","")&amp;IF(AND(AJ367&lt;&gt;"",AJ367&lt;&gt;"OK"),"GSTIN: "&amp;AJ367&amp;"; ","")&amp;IF(AND(AK367&lt;&gt;"",AK367&lt;&gt;"OK"),"PAN wrong format; ","")&amp;IF(AND(AO367&lt;&gt;"",LEN(AN367)=15,MID(AN367,3,10)&lt;&gt;AO367),"PAN does not match GSTIN; ","")&amp;IF(AND(AL367&lt;&gt;"",AL367&lt;&gt;"OK"),"TAN wrong format; ","")&amp;IF(AG367="","PAN missing; ","")&amp;IF(AP367="","Entity type missing; ","")&amp;IF(AND(AN367&lt;&gt;"",COUNTIF($AN$6:$AN$1005,AN367)&gt;1),"GSTIN repeated in this sheet; ","")&amp;IF(AND(AG367&lt;&gt;"",COUNTIF($AG$6:$AG$1005,AG367)&gt;1),"PAN repeated in this sheet (same client? put extra GSTINs in Other GSTINs); ","")&amp;IF(AND(AR367&gt;0,V367=""),"Financial year missing; ","")&amp;IF(AND(AR367=0,V367&lt;&gt;""),"Financial year given but no service is Yes; ","")&amp;IF(AND(W367="Yes",AN367=""),"GST needs a GSTIN; ","")&amp;IF(AND(W367="Yes",X367=""),"GST return frequency missing; ","")&amp;IF(AND(Y367="Yes",TRIM(H367)=""),"TDS needs a TAN; ","")&amp;IF(AND(AA367="Yes",AQ367&lt;&gt;"",AQ367&lt;&gt;"company",AQ367&lt;&gt;"llp"),"ROC is only for a company / LLP; ","")&amp;IF(AND(AA367="Yes",OR(AQ367="company",AQ367="llp"),TRIM(I367)=""),"ROC needs the CIN / LLPIN; ","")</f>
        <v/>
      </c>
    </row>
    <row r="368">
      <c r="A368" s="30" t="n"/>
      <c r="B368" s="31" t="n"/>
      <c r="C368" s="31" t="n"/>
      <c r="D368" s="31" t="n"/>
      <c r="E368" s="30" t="n"/>
      <c r="F368" s="30" t="n"/>
      <c r="G368" s="30" t="n"/>
      <c r="H368" s="30" t="n"/>
      <c r="I368" s="30" t="n"/>
      <c r="J368" s="32" t="n"/>
      <c r="K368" s="31" t="n"/>
      <c r="L368" s="30" t="n"/>
      <c r="M368" s="31" t="n"/>
      <c r="N368" s="31" t="n"/>
      <c r="O368" s="31" t="n"/>
      <c r="P368" s="30" t="n"/>
      <c r="Q368" s="31" t="n"/>
      <c r="R368" s="31" t="n"/>
      <c r="S368" s="31" t="n"/>
      <c r="T368" s="31" t="n"/>
      <c r="U368" s="30" t="n"/>
      <c r="V368" s="31" t="n"/>
      <c r="W368" s="31" t="n"/>
      <c r="X368" s="31" t="n"/>
      <c r="Y368" s="31" t="n"/>
      <c r="Z368" s="31" t="n"/>
      <c r="AA368" s="31" t="n"/>
      <c r="AB368" s="31" t="n"/>
      <c r="AC368" s="31" t="n"/>
      <c r="AD368" s="31" t="n"/>
      <c r="AE368" s="31" t="n"/>
      <c r="AF368" s="27">
        <f>IF(NOT(COUNTA(A368:AE368)&gt;0),"",IF(A368="","New client","Update"))</f>
        <v/>
      </c>
      <c r="AG368" s="27">
        <f>IF(AO368&lt;&gt;"",AO368,IF(LEN(AN368)=15,MID(AN368,3,10),""))</f>
        <v/>
      </c>
      <c r="AH368" s="27">
        <f>IF(AP368="","",AP368&amp;IF(D368="","  (guessed from PAN)",""))</f>
        <v/>
      </c>
      <c r="AI368" s="27">
        <f>IF(AN368="","",IFERROR(INDEX(Lists!$L$2:$L$38,MATCH(LEFT(AN368,2),Lists!$K$2:$K$38,0)),"Unknown code"))</f>
        <v/>
      </c>
      <c r="AJ368" s="27">
        <f>IF(AN368="","",IFERROR(IF(NOT(AND(LEN(AN368)=15,ISNUMBER(MATCH(LEFT(AN368,2),Lists!$K$2:$K$38,0)),SUMPRODUCT(--ISERROR(FIND(MID(MID(AN368,3,10),{1,2,3,4,5,10},1),"ABCDEFGHIJKLMNOPQRSTUVWXYZ")))=0,SUMPRODUCT(--ISERROR(FIND(MID(MID(AN368,3,10),{6,7,8,9},1),"0123456789")))=0,ISNUMBER(FIND(MID(AN368,13,1),"123456789ABCDEFGHIJKLMNOPQRSTUVWXYZ")),MID(AN368,14,1)="Z")),"Wrong format",IF(MID("0123456789ABCDEFGHIJKLMNOPQRSTUVWXYZ",MOD(36-MOD(SUMPRODUCT(INT((FIND(MID(AN368,{1,2,3,4,5,6,7,8,9,10,11,12,13,14},1),"0123456789ABCDEFGHIJKLMNOPQRSTUVWXYZ")-1)*{1,2,1,2,1,2,1,2,1,2,1,2,1,2}/36)+MOD((FIND(MID(AN368,{1,2,3,4,5,6,7,8,9,10,11,12,13,14},1),"0123456789ABCDEFGHIJKLMNOPQRSTUVWXYZ")-1)*{1,2,1,2,1,2,1,2,1,2,1,2,1,2},36)),36),36)+1,1)=MID(AN368,15,1),"OK","Typo? check digit wrong")),"Wrong format"))</f>
        <v/>
      </c>
      <c r="AK368" s="27">
        <f>IF(AO368="","",IF(AND(LEN(AO368)=10,SUMPRODUCT(--ISERROR(FIND(MID(AO368,{1,2,3,4,5,10},1),"ABCDEFGHIJKLMNOPQRSTUVWXYZ")))=0,SUMPRODUCT(--ISERROR(FIND(MID(AO368,{6,7,8,9},1),"0123456789")))=0),"OK","Wrong format"))</f>
        <v/>
      </c>
      <c r="AL368" s="27">
        <f>IF(TRIM(H368)="","",IF(AND(LEN(UPPER(TRIM(H368)))=10,SUMPRODUCT(--ISERROR(FIND(MID(UPPER(TRIM(H368)),{1,2,3,4,10},1),"ABCDEFGHIJKLMNOPQRSTUVWXYZ")))=0,SUMPRODUCT(--ISERROR(FIND(MID(UPPER(TRIM(H368)),{5,6,7,8,9},1),"0123456789")))=0),"OK","Wrong format"))</f>
        <v/>
      </c>
      <c r="AM368" s="28">
        <f>IF(NOT(COUNTA(A368:AE368)&gt;0),"",IF(AS368&lt;&gt;"","✖ "&amp;LEFT(AS368,LEN(AS368)-2),IF(AR368&gt;0,"✔ Ready — client + "&amp;AR368&amp;" service(s)","✔ Ready — client only")))</f>
        <v/>
      </c>
      <c r="AN368" s="29">
        <f>UPPER(SUBSTITUTE(TRIM(F368)," ",""))</f>
        <v/>
      </c>
      <c r="AO368" s="29">
        <f>UPPER(SUBSTITUTE(TRIM(E368)," ",""))</f>
        <v/>
      </c>
      <c r="AP368" s="29">
        <f>IF(D368&lt;&gt;"",D368,IFERROR(VLOOKUP(MID(AG368,4,1),Lists!$E$2:$F$8,2,FALSE),""))</f>
        <v/>
      </c>
      <c r="AQ368" s="29">
        <f>IFERROR(VLOOKUP(AP368,Lists!$A$2:$C$12,3,FALSE),"")</f>
        <v/>
      </c>
      <c r="AR368" s="29">
        <f>COUNTIF(W368:AC368,"Yes")</f>
        <v/>
      </c>
      <c r="AS368" s="29">
        <f>IF(TRIM(B368)="","Legal name missing; ","")&amp;IF(AND(AJ368&lt;&gt;"",AJ368&lt;&gt;"OK"),"GSTIN: "&amp;AJ368&amp;"; ","")&amp;IF(AND(AK368&lt;&gt;"",AK368&lt;&gt;"OK"),"PAN wrong format; ","")&amp;IF(AND(AO368&lt;&gt;"",LEN(AN368)=15,MID(AN368,3,10)&lt;&gt;AO368),"PAN does not match GSTIN; ","")&amp;IF(AND(AL368&lt;&gt;"",AL368&lt;&gt;"OK"),"TAN wrong format; ","")&amp;IF(AG368="","PAN missing; ","")&amp;IF(AP368="","Entity type missing; ","")&amp;IF(AND(AN368&lt;&gt;"",COUNTIF($AN$6:$AN$1005,AN368)&gt;1),"GSTIN repeated in this sheet; ","")&amp;IF(AND(AG368&lt;&gt;"",COUNTIF($AG$6:$AG$1005,AG368)&gt;1),"PAN repeated in this sheet (same client? put extra GSTINs in Other GSTINs); ","")&amp;IF(AND(AR368&gt;0,V368=""),"Financial year missing; ","")&amp;IF(AND(AR368=0,V368&lt;&gt;""),"Financial year given but no service is Yes; ","")&amp;IF(AND(W368="Yes",AN368=""),"GST needs a GSTIN; ","")&amp;IF(AND(W368="Yes",X368=""),"GST return frequency missing; ","")&amp;IF(AND(Y368="Yes",TRIM(H368)=""),"TDS needs a TAN; ","")&amp;IF(AND(AA368="Yes",AQ368&lt;&gt;"",AQ368&lt;&gt;"company",AQ368&lt;&gt;"llp"),"ROC is only for a company / LLP; ","")&amp;IF(AND(AA368="Yes",OR(AQ368="company",AQ368="llp"),TRIM(I368)=""),"ROC needs the CIN / LLPIN; ","")</f>
        <v/>
      </c>
    </row>
    <row r="369">
      <c r="A369" s="30" t="n"/>
      <c r="B369" s="31" t="n"/>
      <c r="C369" s="31" t="n"/>
      <c r="D369" s="31" t="n"/>
      <c r="E369" s="30" t="n"/>
      <c r="F369" s="30" t="n"/>
      <c r="G369" s="30" t="n"/>
      <c r="H369" s="30" t="n"/>
      <c r="I369" s="30" t="n"/>
      <c r="J369" s="32" t="n"/>
      <c r="K369" s="31" t="n"/>
      <c r="L369" s="30" t="n"/>
      <c r="M369" s="31" t="n"/>
      <c r="N369" s="31" t="n"/>
      <c r="O369" s="31" t="n"/>
      <c r="P369" s="30" t="n"/>
      <c r="Q369" s="31" t="n"/>
      <c r="R369" s="31" t="n"/>
      <c r="S369" s="31" t="n"/>
      <c r="T369" s="31" t="n"/>
      <c r="U369" s="30" t="n"/>
      <c r="V369" s="31" t="n"/>
      <c r="W369" s="31" t="n"/>
      <c r="X369" s="31" t="n"/>
      <c r="Y369" s="31" t="n"/>
      <c r="Z369" s="31" t="n"/>
      <c r="AA369" s="31" t="n"/>
      <c r="AB369" s="31" t="n"/>
      <c r="AC369" s="31" t="n"/>
      <c r="AD369" s="31" t="n"/>
      <c r="AE369" s="31" t="n"/>
      <c r="AF369" s="27">
        <f>IF(NOT(COUNTA(A369:AE369)&gt;0),"",IF(A369="","New client","Update"))</f>
        <v/>
      </c>
      <c r="AG369" s="27">
        <f>IF(AO369&lt;&gt;"",AO369,IF(LEN(AN369)=15,MID(AN369,3,10),""))</f>
        <v/>
      </c>
      <c r="AH369" s="27">
        <f>IF(AP369="","",AP369&amp;IF(D369="","  (guessed from PAN)",""))</f>
        <v/>
      </c>
      <c r="AI369" s="27">
        <f>IF(AN369="","",IFERROR(INDEX(Lists!$L$2:$L$38,MATCH(LEFT(AN369,2),Lists!$K$2:$K$38,0)),"Unknown code"))</f>
        <v/>
      </c>
      <c r="AJ369" s="27">
        <f>IF(AN369="","",IFERROR(IF(NOT(AND(LEN(AN369)=15,ISNUMBER(MATCH(LEFT(AN369,2),Lists!$K$2:$K$38,0)),SUMPRODUCT(--ISERROR(FIND(MID(MID(AN369,3,10),{1,2,3,4,5,10},1),"ABCDEFGHIJKLMNOPQRSTUVWXYZ")))=0,SUMPRODUCT(--ISERROR(FIND(MID(MID(AN369,3,10),{6,7,8,9},1),"0123456789")))=0,ISNUMBER(FIND(MID(AN369,13,1),"123456789ABCDEFGHIJKLMNOPQRSTUVWXYZ")),MID(AN369,14,1)="Z")),"Wrong format",IF(MID("0123456789ABCDEFGHIJKLMNOPQRSTUVWXYZ",MOD(36-MOD(SUMPRODUCT(INT((FIND(MID(AN369,{1,2,3,4,5,6,7,8,9,10,11,12,13,14},1),"0123456789ABCDEFGHIJKLMNOPQRSTUVWXYZ")-1)*{1,2,1,2,1,2,1,2,1,2,1,2,1,2}/36)+MOD((FIND(MID(AN369,{1,2,3,4,5,6,7,8,9,10,11,12,13,14},1),"0123456789ABCDEFGHIJKLMNOPQRSTUVWXYZ")-1)*{1,2,1,2,1,2,1,2,1,2,1,2,1,2},36)),36),36)+1,1)=MID(AN369,15,1),"OK","Typo? check digit wrong")),"Wrong format"))</f>
        <v/>
      </c>
      <c r="AK369" s="27">
        <f>IF(AO369="","",IF(AND(LEN(AO369)=10,SUMPRODUCT(--ISERROR(FIND(MID(AO369,{1,2,3,4,5,10},1),"ABCDEFGHIJKLMNOPQRSTUVWXYZ")))=0,SUMPRODUCT(--ISERROR(FIND(MID(AO369,{6,7,8,9},1),"0123456789")))=0),"OK","Wrong format"))</f>
        <v/>
      </c>
      <c r="AL369" s="27">
        <f>IF(TRIM(H369)="","",IF(AND(LEN(UPPER(TRIM(H369)))=10,SUMPRODUCT(--ISERROR(FIND(MID(UPPER(TRIM(H369)),{1,2,3,4,10},1),"ABCDEFGHIJKLMNOPQRSTUVWXYZ")))=0,SUMPRODUCT(--ISERROR(FIND(MID(UPPER(TRIM(H369)),{5,6,7,8,9},1),"0123456789")))=0),"OK","Wrong format"))</f>
        <v/>
      </c>
      <c r="AM369" s="28">
        <f>IF(NOT(COUNTA(A369:AE369)&gt;0),"",IF(AS369&lt;&gt;"","✖ "&amp;LEFT(AS369,LEN(AS369)-2),IF(AR369&gt;0,"✔ Ready — client + "&amp;AR369&amp;" service(s)","✔ Ready — client only")))</f>
        <v/>
      </c>
      <c r="AN369" s="29">
        <f>UPPER(SUBSTITUTE(TRIM(F369)," ",""))</f>
        <v/>
      </c>
      <c r="AO369" s="29">
        <f>UPPER(SUBSTITUTE(TRIM(E369)," ",""))</f>
        <v/>
      </c>
      <c r="AP369" s="29">
        <f>IF(D369&lt;&gt;"",D369,IFERROR(VLOOKUP(MID(AG369,4,1),Lists!$E$2:$F$8,2,FALSE),""))</f>
        <v/>
      </c>
      <c r="AQ369" s="29">
        <f>IFERROR(VLOOKUP(AP369,Lists!$A$2:$C$12,3,FALSE),"")</f>
        <v/>
      </c>
      <c r="AR369" s="29">
        <f>COUNTIF(W369:AC369,"Yes")</f>
        <v/>
      </c>
      <c r="AS369" s="29">
        <f>IF(TRIM(B369)="","Legal name missing; ","")&amp;IF(AND(AJ369&lt;&gt;"",AJ369&lt;&gt;"OK"),"GSTIN: "&amp;AJ369&amp;"; ","")&amp;IF(AND(AK369&lt;&gt;"",AK369&lt;&gt;"OK"),"PAN wrong format; ","")&amp;IF(AND(AO369&lt;&gt;"",LEN(AN369)=15,MID(AN369,3,10)&lt;&gt;AO369),"PAN does not match GSTIN; ","")&amp;IF(AND(AL369&lt;&gt;"",AL369&lt;&gt;"OK"),"TAN wrong format; ","")&amp;IF(AG369="","PAN missing; ","")&amp;IF(AP369="","Entity type missing; ","")&amp;IF(AND(AN369&lt;&gt;"",COUNTIF($AN$6:$AN$1005,AN369)&gt;1),"GSTIN repeated in this sheet; ","")&amp;IF(AND(AG369&lt;&gt;"",COUNTIF($AG$6:$AG$1005,AG369)&gt;1),"PAN repeated in this sheet (same client? put extra GSTINs in Other GSTINs); ","")&amp;IF(AND(AR369&gt;0,V369=""),"Financial year missing; ","")&amp;IF(AND(AR369=0,V369&lt;&gt;""),"Financial year given but no service is Yes; ","")&amp;IF(AND(W369="Yes",AN369=""),"GST needs a GSTIN; ","")&amp;IF(AND(W369="Yes",X369=""),"GST return frequency missing; ","")&amp;IF(AND(Y369="Yes",TRIM(H369)=""),"TDS needs a TAN; ","")&amp;IF(AND(AA369="Yes",AQ369&lt;&gt;"",AQ369&lt;&gt;"company",AQ369&lt;&gt;"llp"),"ROC is only for a company / LLP; ","")&amp;IF(AND(AA369="Yes",OR(AQ369="company",AQ369="llp"),TRIM(I369)=""),"ROC needs the CIN / LLPIN; ","")</f>
        <v/>
      </c>
    </row>
    <row r="370">
      <c r="A370" s="30" t="n"/>
      <c r="B370" s="31" t="n"/>
      <c r="C370" s="31" t="n"/>
      <c r="D370" s="31" t="n"/>
      <c r="E370" s="30" t="n"/>
      <c r="F370" s="30" t="n"/>
      <c r="G370" s="30" t="n"/>
      <c r="H370" s="30" t="n"/>
      <c r="I370" s="30" t="n"/>
      <c r="J370" s="32" t="n"/>
      <c r="K370" s="31" t="n"/>
      <c r="L370" s="30" t="n"/>
      <c r="M370" s="31" t="n"/>
      <c r="N370" s="31" t="n"/>
      <c r="O370" s="31" t="n"/>
      <c r="P370" s="30" t="n"/>
      <c r="Q370" s="31" t="n"/>
      <c r="R370" s="31" t="n"/>
      <c r="S370" s="31" t="n"/>
      <c r="T370" s="31" t="n"/>
      <c r="U370" s="30" t="n"/>
      <c r="V370" s="31" t="n"/>
      <c r="W370" s="31" t="n"/>
      <c r="X370" s="31" t="n"/>
      <c r="Y370" s="31" t="n"/>
      <c r="Z370" s="31" t="n"/>
      <c r="AA370" s="31" t="n"/>
      <c r="AB370" s="31" t="n"/>
      <c r="AC370" s="31" t="n"/>
      <c r="AD370" s="31" t="n"/>
      <c r="AE370" s="31" t="n"/>
      <c r="AF370" s="27">
        <f>IF(NOT(COUNTA(A370:AE370)&gt;0),"",IF(A370="","New client","Update"))</f>
        <v/>
      </c>
      <c r="AG370" s="27">
        <f>IF(AO370&lt;&gt;"",AO370,IF(LEN(AN370)=15,MID(AN370,3,10),""))</f>
        <v/>
      </c>
      <c r="AH370" s="27">
        <f>IF(AP370="","",AP370&amp;IF(D370="","  (guessed from PAN)",""))</f>
        <v/>
      </c>
      <c r="AI370" s="27">
        <f>IF(AN370="","",IFERROR(INDEX(Lists!$L$2:$L$38,MATCH(LEFT(AN370,2),Lists!$K$2:$K$38,0)),"Unknown code"))</f>
        <v/>
      </c>
      <c r="AJ370" s="27">
        <f>IF(AN370="","",IFERROR(IF(NOT(AND(LEN(AN370)=15,ISNUMBER(MATCH(LEFT(AN370,2),Lists!$K$2:$K$38,0)),SUMPRODUCT(--ISERROR(FIND(MID(MID(AN370,3,10),{1,2,3,4,5,10},1),"ABCDEFGHIJKLMNOPQRSTUVWXYZ")))=0,SUMPRODUCT(--ISERROR(FIND(MID(MID(AN370,3,10),{6,7,8,9},1),"0123456789")))=0,ISNUMBER(FIND(MID(AN370,13,1),"123456789ABCDEFGHIJKLMNOPQRSTUVWXYZ")),MID(AN370,14,1)="Z")),"Wrong format",IF(MID("0123456789ABCDEFGHIJKLMNOPQRSTUVWXYZ",MOD(36-MOD(SUMPRODUCT(INT((FIND(MID(AN370,{1,2,3,4,5,6,7,8,9,10,11,12,13,14},1),"0123456789ABCDEFGHIJKLMNOPQRSTUVWXYZ")-1)*{1,2,1,2,1,2,1,2,1,2,1,2,1,2}/36)+MOD((FIND(MID(AN370,{1,2,3,4,5,6,7,8,9,10,11,12,13,14},1),"0123456789ABCDEFGHIJKLMNOPQRSTUVWXYZ")-1)*{1,2,1,2,1,2,1,2,1,2,1,2,1,2},36)),36),36)+1,1)=MID(AN370,15,1),"OK","Typo? check digit wrong")),"Wrong format"))</f>
        <v/>
      </c>
      <c r="AK370" s="27">
        <f>IF(AO370="","",IF(AND(LEN(AO370)=10,SUMPRODUCT(--ISERROR(FIND(MID(AO370,{1,2,3,4,5,10},1),"ABCDEFGHIJKLMNOPQRSTUVWXYZ")))=0,SUMPRODUCT(--ISERROR(FIND(MID(AO370,{6,7,8,9},1),"0123456789")))=0),"OK","Wrong format"))</f>
        <v/>
      </c>
      <c r="AL370" s="27">
        <f>IF(TRIM(H370)="","",IF(AND(LEN(UPPER(TRIM(H370)))=10,SUMPRODUCT(--ISERROR(FIND(MID(UPPER(TRIM(H370)),{1,2,3,4,10},1),"ABCDEFGHIJKLMNOPQRSTUVWXYZ")))=0,SUMPRODUCT(--ISERROR(FIND(MID(UPPER(TRIM(H370)),{5,6,7,8,9},1),"0123456789")))=0),"OK","Wrong format"))</f>
        <v/>
      </c>
      <c r="AM370" s="28">
        <f>IF(NOT(COUNTA(A370:AE370)&gt;0),"",IF(AS370&lt;&gt;"","✖ "&amp;LEFT(AS370,LEN(AS370)-2),IF(AR370&gt;0,"✔ Ready — client + "&amp;AR370&amp;" service(s)","✔ Ready — client only")))</f>
        <v/>
      </c>
      <c r="AN370" s="29">
        <f>UPPER(SUBSTITUTE(TRIM(F370)," ",""))</f>
        <v/>
      </c>
      <c r="AO370" s="29">
        <f>UPPER(SUBSTITUTE(TRIM(E370)," ",""))</f>
        <v/>
      </c>
      <c r="AP370" s="29">
        <f>IF(D370&lt;&gt;"",D370,IFERROR(VLOOKUP(MID(AG370,4,1),Lists!$E$2:$F$8,2,FALSE),""))</f>
        <v/>
      </c>
      <c r="AQ370" s="29">
        <f>IFERROR(VLOOKUP(AP370,Lists!$A$2:$C$12,3,FALSE),"")</f>
        <v/>
      </c>
      <c r="AR370" s="29">
        <f>COUNTIF(W370:AC370,"Yes")</f>
        <v/>
      </c>
      <c r="AS370" s="29">
        <f>IF(TRIM(B370)="","Legal name missing; ","")&amp;IF(AND(AJ370&lt;&gt;"",AJ370&lt;&gt;"OK"),"GSTIN: "&amp;AJ370&amp;"; ","")&amp;IF(AND(AK370&lt;&gt;"",AK370&lt;&gt;"OK"),"PAN wrong format; ","")&amp;IF(AND(AO370&lt;&gt;"",LEN(AN370)=15,MID(AN370,3,10)&lt;&gt;AO370),"PAN does not match GSTIN; ","")&amp;IF(AND(AL370&lt;&gt;"",AL370&lt;&gt;"OK"),"TAN wrong format; ","")&amp;IF(AG370="","PAN missing; ","")&amp;IF(AP370="","Entity type missing; ","")&amp;IF(AND(AN370&lt;&gt;"",COUNTIF($AN$6:$AN$1005,AN370)&gt;1),"GSTIN repeated in this sheet; ","")&amp;IF(AND(AG370&lt;&gt;"",COUNTIF($AG$6:$AG$1005,AG370)&gt;1),"PAN repeated in this sheet (same client? put extra GSTINs in Other GSTINs); ","")&amp;IF(AND(AR370&gt;0,V370=""),"Financial year missing; ","")&amp;IF(AND(AR370=0,V370&lt;&gt;""),"Financial year given but no service is Yes; ","")&amp;IF(AND(W370="Yes",AN370=""),"GST needs a GSTIN; ","")&amp;IF(AND(W370="Yes",X370=""),"GST return frequency missing; ","")&amp;IF(AND(Y370="Yes",TRIM(H370)=""),"TDS needs a TAN; ","")&amp;IF(AND(AA370="Yes",AQ370&lt;&gt;"",AQ370&lt;&gt;"company",AQ370&lt;&gt;"llp"),"ROC is only for a company / LLP; ","")&amp;IF(AND(AA370="Yes",OR(AQ370="company",AQ370="llp"),TRIM(I370)=""),"ROC needs the CIN / LLPIN; ","")</f>
        <v/>
      </c>
    </row>
    <row r="371">
      <c r="A371" s="30" t="n"/>
      <c r="B371" s="31" t="n"/>
      <c r="C371" s="31" t="n"/>
      <c r="D371" s="31" t="n"/>
      <c r="E371" s="30" t="n"/>
      <c r="F371" s="30" t="n"/>
      <c r="G371" s="30" t="n"/>
      <c r="H371" s="30" t="n"/>
      <c r="I371" s="30" t="n"/>
      <c r="J371" s="32" t="n"/>
      <c r="K371" s="31" t="n"/>
      <c r="L371" s="30" t="n"/>
      <c r="M371" s="31" t="n"/>
      <c r="N371" s="31" t="n"/>
      <c r="O371" s="31" t="n"/>
      <c r="P371" s="30" t="n"/>
      <c r="Q371" s="31" t="n"/>
      <c r="R371" s="31" t="n"/>
      <c r="S371" s="31" t="n"/>
      <c r="T371" s="31" t="n"/>
      <c r="U371" s="30" t="n"/>
      <c r="V371" s="31" t="n"/>
      <c r="W371" s="31" t="n"/>
      <c r="X371" s="31" t="n"/>
      <c r="Y371" s="31" t="n"/>
      <c r="Z371" s="31" t="n"/>
      <c r="AA371" s="31" t="n"/>
      <c r="AB371" s="31" t="n"/>
      <c r="AC371" s="31" t="n"/>
      <c r="AD371" s="31" t="n"/>
      <c r="AE371" s="31" t="n"/>
      <c r="AF371" s="27">
        <f>IF(NOT(COUNTA(A371:AE371)&gt;0),"",IF(A371="","New client","Update"))</f>
        <v/>
      </c>
      <c r="AG371" s="27">
        <f>IF(AO371&lt;&gt;"",AO371,IF(LEN(AN371)=15,MID(AN371,3,10),""))</f>
        <v/>
      </c>
      <c r="AH371" s="27">
        <f>IF(AP371="","",AP371&amp;IF(D371="","  (guessed from PAN)",""))</f>
        <v/>
      </c>
      <c r="AI371" s="27">
        <f>IF(AN371="","",IFERROR(INDEX(Lists!$L$2:$L$38,MATCH(LEFT(AN371,2),Lists!$K$2:$K$38,0)),"Unknown code"))</f>
        <v/>
      </c>
      <c r="AJ371" s="27">
        <f>IF(AN371="","",IFERROR(IF(NOT(AND(LEN(AN371)=15,ISNUMBER(MATCH(LEFT(AN371,2),Lists!$K$2:$K$38,0)),SUMPRODUCT(--ISERROR(FIND(MID(MID(AN371,3,10),{1,2,3,4,5,10},1),"ABCDEFGHIJKLMNOPQRSTUVWXYZ")))=0,SUMPRODUCT(--ISERROR(FIND(MID(MID(AN371,3,10),{6,7,8,9},1),"0123456789")))=0,ISNUMBER(FIND(MID(AN371,13,1),"123456789ABCDEFGHIJKLMNOPQRSTUVWXYZ")),MID(AN371,14,1)="Z")),"Wrong format",IF(MID("0123456789ABCDEFGHIJKLMNOPQRSTUVWXYZ",MOD(36-MOD(SUMPRODUCT(INT((FIND(MID(AN371,{1,2,3,4,5,6,7,8,9,10,11,12,13,14},1),"0123456789ABCDEFGHIJKLMNOPQRSTUVWXYZ")-1)*{1,2,1,2,1,2,1,2,1,2,1,2,1,2}/36)+MOD((FIND(MID(AN371,{1,2,3,4,5,6,7,8,9,10,11,12,13,14},1),"0123456789ABCDEFGHIJKLMNOPQRSTUVWXYZ")-1)*{1,2,1,2,1,2,1,2,1,2,1,2,1,2},36)),36),36)+1,1)=MID(AN371,15,1),"OK","Typo? check digit wrong")),"Wrong format"))</f>
        <v/>
      </c>
      <c r="AK371" s="27">
        <f>IF(AO371="","",IF(AND(LEN(AO371)=10,SUMPRODUCT(--ISERROR(FIND(MID(AO371,{1,2,3,4,5,10},1),"ABCDEFGHIJKLMNOPQRSTUVWXYZ")))=0,SUMPRODUCT(--ISERROR(FIND(MID(AO371,{6,7,8,9},1),"0123456789")))=0),"OK","Wrong format"))</f>
        <v/>
      </c>
      <c r="AL371" s="27">
        <f>IF(TRIM(H371)="","",IF(AND(LEN(UPPER(TRIM(H371)))=10,SUMPRODUCT(--ISERROR(FIND(MID(UPPER(TRIM(H371)),{1,2,3,4,10},1),"ABCDEFGHIJKLMNOPQRSTUVWXYZ")))=0,SUMPRODUCT(--ISERROR(FIND(MID(UPPER(TRIM(H371)),{5,6,7,8,9},1),"0123456789")))=0),"OK","Wrong format"))</f>
        <v/>
      </c>
      <c r="AM371" s="28">
        <f>IF(NOT(COUNTA(A371:AE371)&gt;0),"",IF(AS371&lt;&gt;"","✖ "&amp;LEFT(AS371,LEN(AS371)-2),IF(AR371&gt;0,"✔ Ready — client + "&amp;AR371&amp;" service(s)","✔ Ready — client only")))</f>
        <v/>
      </c>
      <c r="AN371" s="29">
        <f>UPPER(SUBSTITUTE(TRIM(F371)," ",""))</f>
        <v/>
      </c>
      <c r="AO371" s="29">
        <f>UPPER(SUBSTITUTE(TRIM(E371)," ",""))</f>
        <v/>
      </c>
      <c r="AP371" s="29">
        <f>IF(D371&lt;&gt;"",D371,IFERROR(VLOOKUP(MID(AG371,4,1),Lists!$E$2:$F$8,2,FALSE),""))</f>
        <v/>
      </c>
      <c r="AQ371" s="29">
        <f>IFERROR(VLOOKUP(AP371,Lists!$A$2:$C$12,3,FALSE),"")</f>
        <v/>
      </c>
      <c r="AR371" s="29">
        <f>COUNTIF(W371:AC371,"Yes")</f>
        <v/>
      </c>
      <c r="AS371" s="29">
        <f>IF(TRIM(B371)="","Legal name missing; ","")&amp;IF(AND(AJ371&lt;&gt;"",AJ371&lt;&gt;"OK"),"GSTIN: "&amp;AJ371&amp;"; ","")&amp;IF(AND(AK371&lt;&gt;"",AK371&lt;&gt;"OK"),"PAN wrong format; ","")&amp;IF(AND(AO371&lt;&gt;"",LEN(AN371)=15,MID(AN371,3,10)&lt;&gt;AO371),"PAN does not match GSTIN; ","")&amp;IF(AND(AL371&lt;&gt;"",AL371&lt;&gt;"OK"),"TAN wrong format; ","")&amp;IF(AG371="","PAN missing; ","")&amp;IF(AP371="","Entity type missing; ","")&amp;IF(AND(AN371&lt;&gt;"",COUNTIF($AN$6:$AN$1005,AN371)&gt;1),"GSTIN repeated in this sheet; ","")&amp;IF(AND(AG371&lt;&gt;"",COUNTIF($AG$6:$AG$1005,AG371)&gt;1),"PAN repeated in this sheet (same client? put extra GSTINs in Other GSTINs); ","")&amp;IF(AND(AR371&gt;0,V371=""),"Financial year missing; ","")&amp;IF(AND(AR371=0,V371&lt;&gt;""),"Financial year given but no service is Yes; ","")&amp;IF(AND(W371="Yes",AN371=""),"GST needs a GSTIN; ","")&amp;IF(AND(W371="Yes",X371=""),"GST return frequency missing; ","")&amp;IF(AND(Y371="Yes",TRIM(H371)=""),"TDS needs a TAN; ","")&amp;IF(AND(AA371="Yes",AQ371&lt;&gt;"",AQ371&lt;&gt;"company",AQ371&lt;&gt;"llp"),"ROC is only for a company / LLP; ","")&amp;IF(AND(AA371="Yes",OR(AQ371="company",AQ371="llp"),TRIM(I371)=""),"ROC needs the CIN / LLPIN; ","")</f>
        <v/>
      </c>
    </row>
    <row r="372">
      <c r="A372" s="30" t="n"/>
      <c r="B372" s="31" t="n"/>
      <c r="C372" s="31" t="n"/>
      <c r="D372" s="31" t="n"/>
      <c r="E372" s="30" t="n"/>
      <c r="F372" s="30" t="n"/>
      <c r="G372" s="30" t="n"/>
      <c r="H372" s="30" t="n"/>
      <c r="I372" s="30" t="n"/>
      <c r="J372" s="32" t="n"/>
      <c r="K372" s="31" t="n"/>
      <c r="L372" s="30" t="n"/>
      <c r="M372" s="31" t="n"/>
      <c r="N372" s="31" t="n"/>
      <c r="O372" s="31" t="n"/>
      <c r="P372" s="30" t="n"/>
      <c r="Q372" s="31" t="n"/>
      <c r="R372" s="31" t="n"/>
      <c r="S372" s="31" t="n"/>
      <c r="T372" s="31" t="n"/>
      <c r="U372" s="30" t="n"/>
      <c r="V372" s="31" t="n"/>
      <c r="W372" s="31" t="n"/>
      <c r="X372" s="31" t="n"/>
      <c r="Y372" s="31" t="n"/>
      <c r="Z372" s="31" t="n"/>
      <c r="AA372" s="31" t="n"/>
      <c r="AB372" s="31" t="n"/>
      <c r="AC372" s="31" t="n"/>
      <c r="AD372" s="31" t="n"/>
      <c r="AE372" s="31" t="n"/>
      <c r="AF372" s="27">
        <f>IF(NOT(COUNTA(A372:AE372)&gt;0),"",IF(A372="","New client","Update"))</f>
        <v/>
      </c>
      <c r="AG372" s="27">
        <f>IF(AO372&lt;&gt;"",AO372,IF(LEN(AN372)=15,MID(AN372,3,10),""))</f>
        <v/>
      </c>
      <c r="AH372" s="27">
        <f>IF(AP372="","",AP372&amp;IF(D372="","  (guessed from PAN)",""))</f>
        <v/>
      </c>
      <c r="AI372" s="27">
        <f>IF(AN372="","",IFERROR(INDEX(Lists!$L$2:$L$38,MATCH(LEFT(AN372,2),Lists!$K$2:$K$38,0)),"Unknown code"))</f>
        <v/>
      </c>
      <c r="AJ372" s="27">
        <f>IF(AN372="","",IFERROR(IF(NOT(AND(LEN(AN372)=15,ISNUMBER(MATCH(LEFT(AN372,2),Lists!$K$2:$K$38,0)),SUMPRODUCT(--ISERROR(FIND(MID(MID(AN372,3,10),{1,2,3,4,5,10},1),"ABCDEFGHIJKLMNOPQRSTUVWXYZ")))=0,SUMPRODUCT(--ISERROR(FIND(MID(MID(AN372,3,10),{6,7,8,9},1),"0123456789")))=0,ISNUMBER(FIND(MID(AN372,13,1),"123456789ABCDEFGHIJKLMNOPQRSTUVWXYZ")),MID(AN372,14,1)="Z")),"Wrong format",IF(MID("0123456789ABCDEFGHIJKLMNOPQRSTUVWXYZ",MOD(36-MOD(SUMPRODUCT(INT((FIND(MID(AN372,{1,2,3,4,5,6,7,8,9,10,11,12,13,14},1),"0123456789ABCDEFGHIJKLMNOPQRSTUVWXYZ")-1)*{1,2,1,2,1,2,1,2,1,2,1,2,1,2}/36)+MOD((FIND(MID(AN372,{1,2,3,4,5,6,7,8,9,10,11,12,13,14},1),"0123456789ABCDEFGHIJKLMNOPQRSTUVWXYZ")-1)*{1,2,1,2,1,2,1,2,1,2,1,2,1,2},36)),36),36)+1,1)=MID(AN372,15,1),"OK","Typo? check digit wrong")),"Wrong format"))</f>
        <v/>
      </c>
      <c r="AK372" s="27">
        <f>IF(AO372="","",IF(AND(LEN(AO372)=10,SUMPRODUCT(--ISERROR(FIND(MID(AO372,{1,2,3,4,5,10},1),"ABCDEFGHIJKLMNOPQRSTUVWXYZ")))=0,SUMPRODUCT(--ISERROR(FIND(MID(AO372,{6,7,8,9},1),"0123456789")))=0),"OK","Wrong format"))</f>
        <v/>
      </c>
      <c r="AL372" s="27">
        <f>IF(TRIM(H372)="","",IF(AND(LEN(UPPER(TRIM(H372)))=10,SUMPRODUCT(--ISERROR(FIND(MID(UPPER(TRIM(H372)),{1,2,3,4,10},1),"ABCDEFGHIJKLMNOPQRSTUVWXYZ")))=0,SUMPRODUCT(--ISERROR(FIND(MID(UPPER(TRIM(H372)),{5,6,7,8,9},1),"0123456789")))=0),"OK","Wrong format"))</f>
        <v/>
      </c>
      <c r="AM372" s="28">
        <f>IF(NOT(COUNTA(A372:AE372)&gt;0),"",IF(AS372&lt;&gt;"","✖ "&amp;LEFT(AS372,LEN(AS372)-2),IF(AR372&gt;0,"✔ Ready — client + "&amp;AR372&amp;" service(s)","✔ Ready — client only")))</f>
        <v/>
      </c>
      <c r="AN372" s="29">
        <f>UPPER(SUBSTITUTE(TRIM(F372)," ",""))</f>
        <v/>
      </c>
      <c r="AO372" s="29">
        <f>UPPER(SUBSTITUTE(TRIM(E372)," ",""))</f>
        <v/>
      </c>
      <c r="AP372" s="29">
        <f>IF(D372&lt;&gt;"",D372,IFERROR(VLOOKUP(MID(AG372,4,1),Lists!$E$2:$F$8,2,FALSE),""))</f>
        <v/>
      </c>
      <c r="AQ372" s="29">
        <f>IFERROR(VLOOKUP(AP372,Lists!$A$2:$C$12,3,FALSE),"")</f>
        <v/>
      </c>
      <c r="AR372" s="29">
        <f>COUNTIF(W372:AC372,"Yes")</f>
        <v/>
      </c>
      <c r="AS372" s="29">
        <f>IF(TRIM(B372)="","Legal name missing; ","")&amp;IF(AND(AJ372&lt;&gt;"",AJ372&lt;&gt;"OK"),"GSTIN: "&amp;AJ372&amp;"; ","")&amp;IF(AND(AK372&lt;&gt;"",AK372&lt;&gt;"OK"),"PAN wrong format; ","")&amp;IF(AND(AO372&lt;&gt;"",LEN(AN372)=15,MID(AN372,3,10)&lt;&gt;AO372),"PAN does not match GSTIN; ","")&amp;IF(AND(AL372&lt;&gt;"",AL372&lt;&gt;"OK"),"TAN wrong format; ","")&amp;IF(AG372="","PAN missing; ","")&amp;IF(AP372="","Entity type missing; ","")&amp;IF(AND(AN372&lt;&gt;"",COUNTIF($AN$6:$AN$1005,AN372)&gt;1),"GSTIN repeated in this sheet; ","")&amp;IF(AND(AG372&lt;&gt;"",COUNTIF($AG$6:$AG$1005,AG372)&gt;1),"PAN repeated in this sheet (same client? put extra GSTINs in Other GSTINs); ","")&amp;IF(AND(AR372&gt;0,V372=""),"Financial year missing; ","")&amp;IF(AND(AR372=0,V372&lt;&gt;""),"Financial year given but no service is Yes; ","")&amp;IF(AND(W372="Yes",AN372=""),"GST needs a GSTIN; ","")&amp;IF(AND(W372="Yes",X372=""),"GST return frequency missing; ","")&amp;IF(AND(Y372="Yes",TRIM(H372)=""),"TDS needs a TAN; ","")&amp;IF(AND(AA372="Yes",AQ372&lt;&gt;"",AQ372&lt;&gt;"company",AQ372&lt;&gt;"llp"),"ROC is only for a company / LLP; ","")&amp;IF(AND(AA372="Yes",OR(AQ372="company",AQ372="llp"),TRIM(I372)=""),"ROC needs the CIN / LLPIN; ","")</f>
        <v/>
      </c>
    </row>
    <row r="373">
      <c r="A373" s="30" t="n"/>
      <c r="B373" s="31" t="n"/>
      <c r="C373" s="31" t="n"/>
      <c r="D373" s="31" t="n"/>
      <c r="E373" s="30" t="n"/>
      <c r="F373" s="30" t="n"/>
      <c r="G373" s="30" t="n"/>
      <c r="H373" s="30" t="n"/>
      <c r="I373" s="30" t="n"/>
      <c r="J373" s="32" t="n"/>
      <c r="K373" s="31" t="n"/>
      <c r="L373" s="30" t="n"/>
      <c r="M373" s="31" t="n"/>
      <c r="N373" s="31" t="n"/>
      <c r="O373" s="31" t="n"/>
      <c r="P373" s="30" t="n"/>
      <c r="Q373" s="31" t="n"/>
      <c r="R373" s="31" t="n"/>
      <c r="S373" s="31" t="n"/>
      <c r="T373" s="31" t="n"/>
      <c r="U373" s="30" t="n"/>
      <c r="V373" s="31" t="n"/>
      <c r="W373" s="31" t="n"/>
      <c r="X373" s="31" t="n"/>
      <c r="Y373" s="31" t="n"/>
      <c r="Z373" s="31" t="n"/>
      <c r="AA373" s="31" t="n"/>
      <c r="AB373" s="31" t="n"/>
      <c r="AC373" s="31" t="n"/>
      <c r="AD373" s="31" t="n"/>
      <c r="AE373" s="31" t="n"/>
      <c r="AF373" s="27">
        <f>IF(NOT(COUNTA(A373:AE373)&gt;0),"",IF(A373="","New client","Update"))</f>
        <v/>
      </c>
      <c r="AG373" s="27">
        <f>IF(AO373&lt;&gt;"",AO373,IF(LEN(AN373)=15,MID(AN373,3,10),""))</f>
        <v/>
      </c>
      <c r="AH373" s="27">
        <f>IF(AP373="","",AP373&amp;IF(D373="","  (guessed from PAN)",""))</f>
        <v/>
      </c>
      <c r="AI373" s="27">
        <f>IF(AN373="","",IFERROR(INDEX(Lists!$L$2:$L$38,MATCH(LEFT(AN373,2),Lists!$K$2:$K$38,0)),"Unknown code"))</f>
        <v/>
      </c>
      <c r="AJ373" s="27">
        <f>IF(AN373="","",IFERROR(IF(NOT(AND(LEN(AN373)=15,ISNUMBER(MATCH(LEFT(AN373,2),Lists!$K$2:$K$38,0)),SUMPRODUCT(--ISERROR(FIND(MID(MID(AN373,3,10),{1,2,3,4,5,10},1),"ABCDEFGHIJKLMNOPQRSTUVWXYZ")))=0,SUMPRODUCT(--ISERROR(FIND(MID(MID(AN373,3,10),{6,7,8,9},1),"0123456789")))=0,ISNUMBER(FIND(MID(AN373,13,1),"123456789ABCDEFGHIJKLMNOPQRSTUVWXYZ")),MID(AN373,14,1)="Z")),"Wrong format",IF(MID("0123456789ABCDEFGHIJKLMNOPQRSTUVWXYZ",MOD(36-MOD(SUMPRODUCT(INT((FIND(MID(AN373,{1,2,3,4,5,6,7,8,9,10,11,12,13,14},1),"0123456789ABCDEFGHIJKLMNOPQRSTUVWXYZ")-1)*{1,2,1,2,1,2,1,2,1,2,1,2,1,2}/36)+MOD((FIND(MID(AN373,{1,2,3,4,5,6,7,8,9,10,11,12,13,14},1),"0123456789ABCDEFGHIJKLMNOPQRSTUVWXYZ")-1)*{1,2,1,2,1,2,1,2,1,2,1,2,1,2},36)),36),36)+1,1)=MID(AN373,15,1),"OK","Typo? check digit wrong")),"Wrong format"))</f>
        <v/>
      </c>
      <c r="AK373" s="27">
        <f>IF(AO373="","",IF(AND(LEN(AO373)=10,SUMPRODUCT(--ISERROR(FIND(MID(AO373,{1,2,3,4,5,10},1),"ABCDEFGHIJKLMNOPQRSTUVWXYZ")))=0,SUMPRODUCT(--ISERROR(FIND(MID(AO373,{6,7,8,9},1),"0123456789")))=0),"OK","Wrong format"))</f>
        <v/>
      </c>
      <c r="AL373" s="27">
        <f>IF(TRIM(H373)="","",IF(AND(LEN(UPPER(TRIM(H373)))=10,SUMPRODUCT(--ISERROR(FIND(MID(UPPER(TRIM(H373)),{1,2,3,4,10},1),"ABCDEFGHIJKLMNOPQRSTUVWXYZ")))=0,SUMPRODUCT(--ISERROR(FIND(MID(UPPER(TRIM(H373)),{5,6,7,8,9},1),"0123456789")))=0),"OK","Wrong format"))</f>
        <v/>
      </c>
      <c r="AM373" s="28">
        <f>IF(NOT(COUNTA(A373:AE373)&gt;0),"",IF(AS373&lt;&gt;"","✖ "&amp;LEFT(AS373,LEN(AS373)-2),IF(AR373&gt;0,"✔ Ready — client + "&amp;AR373&amp;" service(s)","✔ Ready — client only")))</f>
        <v/>
      </c>
      <c r="AN373" s="29">
        <f>UPPER(SUBSTITUTE(TRIM(F373)," ",""))</f>
        <v/>
      </c>
      <c r="AO373" s="29">
        <f>UPPER(SUBSTITUTE(TRIM(E373)," ",""))</f>
        <v/>
      </c>
      <c r="AP373" s="29">
        <f>IF(D373&lt;&gt;"",D373,IFERROR(VLOOKUP(MID(AG373,4,1),Lists!$E$2:$F$8,2,FALSE),""))</f>
        <v/>
      </c>
      <c r="AQ373" s="29">
        <f>IFERROR(VLOOKUP(AP373,Lists!$A$2:$C$12,3,FALSE),"")</f>
        <v/>
      </c>
      <c r="AR373" s="29">
        <f>COUNTIF(W373:AC373,"Yes")</f>
        <v/>
      </c>
      <c r="AS373" s="29">
        <f>IF(TRIM(B373)="","Legal name missing; ","")&amp;IF(AND(AJ373&lt;&gt;"",AJ373&lt;&gt;"OK"),"GSTIN: "&amp;AJ373&amp;"; ","")&amp;IF(AND(AK373&lt;&gt;"",AK373&lt;&gt;"OK"),"PAN wrong format; ","")&amp;IF(AND(AO373&lt;&gt;"",LEN(AN373)=15,MID(AN373,3,10)&lt;&gt;AO373),"PAN does not match GSTIN; ","")&amp;IF(AND(AL373&lt;&gt;"",AL373&lt;&gt;"OK"),"TAN wrong format; ","")&amp;IF(AG373="","PAN missing; ","")&amp;IF(AP373="","Entity type missing; ","")&amp;IF(AND(AN373&lt;&gt;"",COUNTIF($AN$6:$AN$1005,AN373)&gt;1),"GSTIN repeated in this sheet; ","")&amp;IF(AND(AG373&lt;&gt;"",COUNTIF($AG$6:$AG$1005,AG373)&gt;1),"PAN repeated in this sheet (same client? put extra GSTINs in Other GSTINs); ","")&amp;IF(AND(AR373&gt;0,V373=""),"Financial year missing; ","")&amp;IF(AND(AR373=0,V373&lt;&gt;""),"Financial year given but no service is Yes; ","")&amp;IF(AND(W373="Yes",AN373=""),"GST needs a GSTIN; ","")&amp;IF(AND(W373="Yes",X373=""),"GST return frequency missing; ","")&amp;IF(AND(Y373="Yes",TRIM(H373)=""),"TDS needs a TAN; ","")&amp;IF(AND(AA373="Yes",AQ373&lt;&gt;"",AQ373&lt;&gt;"company",AQ373&lt;&gt;"llp"),"ROC is only for a company / LLP; ","")&amp;IF(AND(AA373="Yes",OR(AQ373="company",AQ373="llp"),TRIM(I373)=""),"ROC needs the CIN / LLPIN; ","")</f>
        <v/>
      </c>
    </row>
    <row r="374">
      <c r="A374" s="30" t="n"/>
      <c r="B374" s="31" t="n"/>
      <c r="C374" s="31" t="n"/>
      <c r="D374" s="31" t="n"/>
      <c r="E374" s="30" t="n"/>
      <c r="F374" s="30" t="n"/>
      <c r="G374" s="30" t="n"/>
      <c r="H374" s="30" t="n"/>
      <c r="I374" s="30" t="n"/>
      <c r="J374" s="32" t="n"/>
      <c r="K374" s="31" t="n"/>
      <c r="L374" s="30" t="n"/>
      <c r="M374" s="31" t="n"/>
      <c r="N374" s="31" t="n"/>
      <c r="O374" s="31" t="n"/>
      <c r="P374" s="30" t="n"/>
      <c r="Q374" s="31" t="n"/>
      <c r="R374" s="31" t="n"/>
      <c r="S374" s="31" t="n"/>
      <c r="T374" s="31" t="n"/>
      <c r="U374" s="30" t="n"/>
      <c r="V374" s="31" t="n"/>
      <c r="W374" s="31" t="n"/>
      <c r="X374" s="31" t="n"/>
      <c r="Y374" s="31" t="n"/>
      <c r="Z374" s="31" t="n"/>
      <c r="AA374" s="31" t="n"/>
      <c r="AB374" s="31" t="n"/>
      <c r="AC374" s="31" t="n"/>
      <c r="AD374" s="31" t="n"/>
      <c r="AE374" s="31" t="n"/>
      <c r="AF374" s="27">
        <f>IF(NOT(COUNTA(A374:AE374)&gt;0),"",IF(A374="","New client","Update"))</f>
        <v/>
      </c>
      <c r="AG374" s="27">
        <f>IF(AO374&lt;&gt;"",AO374,IF(LEN(AN374)=15,MID(AN374,3,10),""))</f>
        <v/>
      </c>
      <c r="AH374" s="27">
        <f>IF(AP374="","",AP374&amp;IF(D374="","  (guessed from PAN)",""))</f>
        <v/>
      </c>
      <c r="AI374" s="27">
        <f>IF(AN374="","",IFERROR(INDEX(Lists!$L$2:$L$38,MATCH(LEFT(AN374,2),Lists!$K$2:$K$38,0)),"Unknown code"))</f>
        <v/>
      </c>
      <c r="AJ374" s="27">
        <f>IF(AN374="","",IFERROR(IF(NOT(AND(LEN(AN374)=15,ISNUMBER(MATCH(LEFT(AN374,2),Lists!$K$2:$K$38,0)),SUMPRODUCT(--ISERROR(FIND(MID(MID(AN374,3,10),{1,2,3,4,5,10},1),"ABCDEFGHIJKLMNOPQRSTUVWXYZ")))=0,SUMPRODUCT(--ISERROR(FIND(MID(MID(AN374,3,10),{6,7,8,9},1),"0123456789")))=0,ISNUMBER(FIND(MID(AN374,13,1),"123456789ABCDEFGHIJKLMNOPQRSTUVWXYZ")),MID(AN374,14,1)="Z")),"Wrong format",IF(MID("0123456789ABCDEFGHIJKLMNOPQRSTUVWXYZ",MOD(36-MOD(SUMPRODUCT(INT((FIND(MID(AN374,{1,2,3,4,5,6,7,8,9,10,11,12,13,14},1),"0123456789ABCDEFGHIJKLMNOPQRSTUVWXYZ")-1)*{1,2,1,2,1,2,1,2,1,2,1,2,1,2}/36)+MOD((FIND(MID(AN374,{1,2,3,4,5,6,7,8,9,10,11,12,13,14},1),"0123456789ABCDEFGHIJKLMNOPQRSTUVWXYZ")-1)*{1,2,1,2,1,2,1,2,1,2,1,2,1,2},36)),36),36)+1,1)=MID(AN374,15,1),"OK","Typo? check digit wrong")),"Wrong format"))</f>
        <v/>
      </c>
      <c r="AK374" s="27">
        <f>IF(AO374="","",IF(AND(LEN(AO374)=10,SUMPRODUCT(--ISERROR(FIND(MID(AO374,{1,2,3,4,5,10},1),"ABCDEFGHIJKLMNOPQRSTUVWXYZ")))=0,SUMPRODUCT(--ISERROR(FIND(MID(AO374,{6,7,8,9},1),"0123456789")))=0),"OK","Wrong format"))</f>
        <v/>
      </c>
      <c r="AL374" s="27">
        <f>IF(TRIM(H374)="","",IF(AND(LEN(UPPER(TRIM(H374)))=10,SUMPRODUCT(--ISERROR(FIND(MID(UPPER(TRIM(H374)),{1,2,3,4,10},1),"ABCDEFGHIJKLMNOPQRSTUVWXYZ")))=0,SUMPRODUCT(--ISERROR(FIND(MID(UPPER(TRIM(H374)),{5,6,7,8,9},1),"0123456789")))=0),"OK","Wrong format"))</f>
        <v/>
      </c>
      <c r="AM374" s="28">
        <f>IF(NOT(COUNTA(A374:AE374)&gt;0),"",IF(AS374&lt;&gt;"","✖ "&amp;LEFT(AS374,LEN(AS374)-2),IF(AR374&gt;0,"✔ Ready — client + "&amp;AR374&amp;" service(s)","✔ Ready — client only")))</f>
        <v/>
      </c>
      <c r="AN374" s="29">
        <f>UPPER(SUBSTITUTE(TRIM(F374)," ",""))</f>
        <v/>
      </c>
      <c r="AO374" s="29">
        <f>UPPER(SUBSTITUTE(TRIM(E374)," ",""))</f>
        <v/>
      </c>
      <c r="AP374" s="29">
        <f>IF(D374&lt;&gt;"",D374,IFERROR(VLOOKUP(MID(AG374,4,1),Lists!$E$2:$F$8,2,FALSE),""))</f>
        <v/>
      </c>
      <c r="AQ374" s="29">
        <f>IFERROR(VLOOKUP(AP374,Lists!$A$2:$C$12,3,FALSE),"")</f>
        <v/>
      </c>
      <c r="AR374" s="29">
        <f>COUNTIF(W374:AC374,"Yes")</f>
        <v/>
      </c>
      <c r="AS374" s="29">
        <f>IF(TRIM(B374)="","Legal name missing; ","")&amp;IF(AND(AJ374&lt;&gt;"",AJ374&lt;&gt;"OK"),"GSTIN: "&amp;AJ374&amp;"; ","")&amp;IF(AND(AK374&lt;&gt;"",AK374&lt;&gt;"OK"),"PAN wrong format; ","")&amp;IF(AND(AO374&lt;&gt;"",LEN(AN374)=15,MID(AN374,3,10)&lt;&gt;AO374),"PAN does not match GSTIN; ","")&amp;IF(AND(AL374&lt;&gt;"",AL374&lt;&gt;"OK"),"TAN wrong format; ","")&amp;IF(AG374="","PAN missing; ","")&amp;IF(AP374="","Entity type missing; ","")&amp;IF(AND(AN374&lt;&gt;"",COUNTIF($AN$6:$AN$1005,AN374)&gt;1),"GSTIN repeated in this sheet; ","")&amp;IF(AND(AG374&lt;&gt;"",COUNTIF($AG$6:$AG$1005,AG374)&gt;1),"PAN repeated in this sheet (same client? put extra GSTINs in Other GSTINs); ","")&amp;IF(AND(AR374&gt;0,V374=""),"Financial year missing; ","")&amp;IF(AND(AR374=0,V374&lt;&gt;""),"Financial year given but no service is Yes; ","")&amp;IF(AND(W374="Yes",AN374=""),"GST needs a GSTIN; ","")&amp;IF(AND(W374="Yes",X374=""),"GST return frequency missing; ","")&amp;IF(AND(Y374="Yes",TRIM(H374)=""),"TDS needs a TAN; ","")&amp;IF(AND(AA374="Yes",AQ374&lt;&gt;"",AQ374&lt;&gt;"company",AQ374&lt;&gt;"llp"),"ROC is only for a company / LLP; ","")&amp;IF(AND(AA374="Yes",OR(AQ374="company",AQ374="llp"),TRIM(I374)=""),"ROC needs the CIN / LLPIN; ","")</f>
        <v/>
      </c>
    </row>
    <row r="375">
      <c r="A375" s="30" t="n"/>
      <c r="B375" s="31" t="n"/>
      <c r="C375" s="31" t="n"/>
      <c r="D375" s="31" t="n"/>
      <c r="E375" s="30" t="n"/>
      <c r="F375" s="30" t="n"/>
      <c r="G375" s="30" t="n"/>
      <c r="H375" s="30" t="n"/>
      <c r="I375" s="30" t="n"/>
      <c r="J375" s="32" t="n"/>
      <c r="K375" s="31" t="n"/>
      <c r="L375" s="30" t="n"/>
      <c r="M375" s="31" t="n"/>
      <c r="N375" s="31" t="n"/>
      <c r="O375" s="31" t="n"/>
      <c r="P375" s="30" t="n"/>
      <c r="Q375" s="31" t="n"/>
      <c r="R375" s="31" t="n"/>
      <c r="S375" s="31" t="n"/>
      <c r="T375" s="31" t="n"/>
      <c r="U375" s="30" t="n"/>
      <c r="V375" s="31" t="n"/>
      <c r="W375" s="31" t="n"/>
      <c r="X375" s="31" t="n"/>
      <c r="Y375" s="31" t="n"/>
      <c r="Z375" s="31" t="n"/>
      <c r="AA375" s="31" t="n"/>
      <c r="AB375" s="31" t="n"/>
      <c r="AC375" s="31" t="n"/>
      <c r="AD375" s="31" t="n"/>
      <c r="AE375" s="31" t="n"/>
      <c r="AF375" s="27">
        <f>IF(NOT(COUNTA(A375:AE375)&gt;0),"",IF(A375="","New client","Update"))</f>
        <v/>
      </c>
      <c r="AG375" s="27">
        <f>IF(AO375&lt;&gt;"",AO375,IF(LEN(AN375)=15,MID(AN375,3,10),""))</f>
        <v/>
      </c>
      <c r="AH375" s="27">
        <f>IF(AP375="","",AP375&amp;IF(D375="","  (guessed from PAN)",""))</f>
        <v/>
      </c>
      <c r="AI375" s="27">
        <f>IF(AN375="","",IFERROR(INDEX(Lists!$L$2:$L$38,MATCH(LEFT(AN375,2),Lists!$K$2:$K$38,0)),"Unknown code"))</f>
        <v/>
      </c>
      <c r="AJ375" s="27">
        <f>IF(AN375="","",IFERROR(IF(NOT(AND(LEN(AN375)=15,ISNUMBER(MATCH(LEFT(AN375,2),Lists!$K$2:$K$38,0)),SUMPRODUCT(--ISERROR(FIND(MID(MID(AN375,3,10),{1,2,3,4,5,10},1),"ABCDEFGHIJKLMNOPQRSTUVWXYZ")))=0,SUMPRODUCT(--ISERROR(FIND(MID(MID(AN375,3,10),{6,7,8,9},1),"0123456789")))=0,ISNUMBER(FIND(MID(AN375,13,1),"123456789ABCDEFGHIJKLMNOPQRSTUVWXYZ")),MID(AN375,14,1)="Z")),"Wrong format",IF(MID("0123456789ABCDEFGHIJKLMNOPQRSTUVWXYZ",MOD(36-MOD(SUMPRODUCT(INT((FIND(MID(AN375,{1,2,3,4,5,6,7,8,9,10,11,12,13,14},1),"0123456789ABCDEFGHIJKLMNOPQRSTUVWXYZ")-1)*{1,2,1,2,1,2,1,2,1,2,1,2,1,2}/36)+MOD((FIND(MID(AN375,{1,2,3,4,5,6,7,8,9,10,11,12,13,14},1),"0123456789ABCDEFGHIJKLMNOPQRSTUVWXYZ")-1)*{1,2,1,2,1,2,1,2,1,2,1,2,1,2},36)),36),36)+1,1)=MID(AN375,15,1),"OK","Typo? check digit wrong")),"Wrong format"))</f>
        <v/>
      </c>
      <c r="AK375" s="27">
        <f>IF(AO375="","",IF(AND(LEN(AO375)=10,SUMPRODUCT(--ISERROR(FIND(MID(AO375,{1,2,3,4,5,10},1),"ABCDEFGHIJKLMNOPQRSTUVWXYZ")))=0,SUMPRODUCT(--ISERROR(FIND(MID(AO375,{6,7,8,9},1),"0123456789")))=0),"OK","Wrong format"))</f>
        <v/>
      </c>
      <c r="AL375" s="27">
        <f>IF(TRIM(H375)="","",IF(AND(LEN(UPPER(TRIM(H375)))=10,SUMPRODUCT(--ISERROR(FIND(MID(UPPER(TRIM(H375)),{1,2,3,4,10},1),"ABCDEFGHIJKLMNOPQRSTUVWXYZ")))=0,SUMPRODUCT(--ISERROR(FIND(MID(UPPER(TRIM(H375)),{5,6,7,8,9},1),"0123456789")))=0),"OK","Wrong format"))</f>
        <v/>
      </c>
      <c r="AM375" s="28">
        <f>IF(NOT(COUNTA(A375:AE375)&gt;0),"",IF(AS375&lt;&gt;"","✖ "&amp;LEFT(AS375,LEN(AS375)-2),IF(AR375&gt;0,"✔ Ready — client + "&amp;AR375&amp;" service(s)","✔ Ready — client only")))</f>
        <v/>
      </c>
      <c r="AN375" s="29">
        <f>UPPER(SUBSTITUTE(TRIM(F375)," ",""))</f>
        <v/>
      </c>
      <c r="AO375" s="29">
        <f>UPPER(SUBSTITUTE(TRIM(E375)," ",""))</f>
        <v/>
      </c>
      <c r="AP375" s="29">
        <f>IF(D375&lt;&gt;"",D375,IFERROR(VLOOKUP(MID(AG375,4,1),Lists!$E$2:$F$8,2,FALSE),""))</f>
        <v/>
      </c>
      <c r="AQ375" s="29">
        <f>IFERROR(VLOOKUP(AP375,Lists!$A$2:$C$12,3,FALSE),"")</f>
        <v/>
      </c>
      <c r="AR375" s="29">
        <f>COUNTIF(W375:AC375,"Yes")</f>
        <v/>
      </c>
      <c r="AS375" s="29">
        <f>IF(TRIM(B375)="","Legal name missing; ","")&amp;IF(AND(AJ375&lt;&gt;"",AJ375&lt;&gt;"OK"),"GSTIN: "&amp;AJ375&amp;"; ","")&amp;IF(AND(AK375&lt;&gt;"",AK375&lt;&gt;"OK"),"PAN wrong format; ","")&amp;IF(AND(AO375&lt;&gt;"",LEN(AN375)=15,MID(AN375,3,10)&lt;&gt;AO375),"PAN does not match GSTIN; ","")&amp;IF(AND(AL375&lt;&gt;"",AL375&lt;&gt;"OK"),"TAN wrong format; ","")&amp;IF(AG375="","PAN missing; ","")&amp;IF(AP375="","Entity type missing; ","")&amp;IF(AND(AN375&lt;&gt;"",COUNTIF($AN$6:$AN$1005,AN375)&gt;1),"GSTIN repeated in this sheet; ","")&amp;IF(AND(AG375&lt;&gt;"",COUNTIF($AG$6:$AG$1005,AG375)&gt;1),"PAN repeated in this sheet (same client? put extra GSTINs in Other GSTINs); ","")&amp;IF(AND(AR375&gt;0,V375=""),"Financial year missing; ","")&amp;IF(AND(AR375=0,V375&lt;&gt;""),"Financial year given but no service is Yes; ","")&amp;IF(AND(W375="Yes",AN375=""),"GST needs a GSTIN; ","")&amp;IF(AND(W375="Yes",X375=""),"GST return frequency missing; ","")&amp;IF(AND(Y375="Yes",TRIM(H375)=""),"TDS needs a TAN; ","")&amp;IF(AND(AA375="Yes",AQ375&lt;&gt;"",AQ375&lt;&gt;"company",AQ375&lt;&gt;"llp"),"ROC is only for a company / LLP; ","")&amp;IF(AND(AA375="Yes",OR(AQ375="company",AQ375="llp"),TRIM(I375)=""),"ROC needs the CIN / LLPIN; ","")</f>
        <v/>
      </c>
    </row>
    <row r="376">
      <c r="A376" s="30" t="n"/>
      <c r="B376" s="31" t="n"/>
      <c r="C376" s="31" t="n"/>
      <c r="D376" s="31" t="n"/>
      <c r="E376" s="30" t="n"/>
      <c r="F376" s="30" t="n"/>
      <c r="G376" s="30" t="n"/>
      <c r="H376" s="30" t="n"/>
      <c r="I376" s="30" t="n"/>
      <c r="J376" s="32" t="n"/>
      <c r="K376" s="31" t="n"/>
      <c r="L376" s="30" t="n"/>
      <c r="M376" s="31" t="n"/>
      <c r="N376" s="31" t="n"/>
      <c r="O376" s="31" t="n"/>
      <c r="P376" s="30" t="n"/>
      <c r="Q376" s="31" t="n"/>
      <c r="R376" s="31" t="n"/>
      <c r="S376" s="31" t="n"/>
      <c r="T376" s="31" t="n"/>
      <c r="U376" s="30" t="n"/>
      <c r="V376" s="31" t="n"/>
      <c r="W376" s="31" t="n"/>
      <c r="X376" s="31" t="n"/>
      <c r="Y376" s="31" t="n"/>
      <c r="Z376" s="31" t="n"/>
      <c r="AA376" s="31" t="n"/>
      <c r="AB376" s="31" t="n"/>
      <c r="AC376" s="31" t="n"/>
      <c r="AD376" s="31" t="n"/>
      <c r="AE376" s="31" t="n"/>
      <c r="AF376" s="27">
        <f>IF(NOT(COUNTA(A376:AE376)&gt;0),"",IF(A376="","New client","Update"))</f>
        <v/>
      </c>
      <c r="AG376" s="27">
        <f>IF(AO376&lt;&gt;"",AO376,IF(LEN(AN376)=15,MID(AN376,3,10),""))</f>
        <v/>
      </c>
      <c r="AH376" s="27">
        <f>IF(AP376="","",AP376&amp;IF(D376="","  (guessed from PAN)",""))</f>
        <v/>
      </c>
      <c r="AI376" s="27">
        <f>IF(AN376="","",IFERROR(INDEX(Lists!$L$2:$L$38,MATCH(LEFT(AN376,2),Lists!$K$2:$K$38,0)),"Unknown code"))</f>
        <v/>
      </c>
      <c r="AJ376" s="27">
        <f>IF(AN376="","",IFERROR(IF(NOT(AND(LEN(AN376)=15,ISNUMBER(MATCH(LEFT(AN376,2),Lists!$K$2:$K$38,0)),SUMPRODUCT(--ISERROR(FIND(MID(MID(AN376,3,10),{1,2,3,4,5,10},1),"ABCDEFGHIJKLMNOPQRSTUVWXYZ")))=0,SUMPRODUCT(--ISERROR(FIND(MID(MID(AN376,3,10),{6,7,8,9},1),"0123456789")))=0,ISNUMBER(FIND(MID(AN376,13,1),"123456789ABCDEFGHIJKLMNOPQRSTUVWXYZ")),MID(AN376,14,1)="Z")),"Wrong format",IF(MID("0123456789ABCDEFGHIJKLMNOPQRSTUVWXYZ",MOD(36-MOD(SUMPRODUCT(INT((FIND(MID(AN376,{1,2,3,4,5,6,7,8,9,10,11,12,13,14},1),"0123456789ABCDEFGHIJKLMNOPQRSTUVWXYZ")-1)*{1,2,1,2,1,2,1,2,1,2,1,2,1,2}/36)+MOD((FIND(MID(AN376,{1,2,3,4,5,6,7,8,9,10,11,12,13,14},1),"0123456789ABCDEFGHIJKLMNOPQRSTUVWXYZ")-1)*{1,2,1,2,1,2,1,2,1,2,1,2,1,2},36)),36),36)+1,1)=MID(AN376,15,1),"OK","Typo? check digit wrong")),"Wrong format"))</f>
        <v/>
      </c>
      <c r="AK376" s="27">
        <f>IF(AO376="","",IF(AND(LEN(AO376)=10,SUMPRODUCT(--ISERROR(FIND(MID(AO376,{1,2,3,4,5,10},1),"ABCDEFGHIJKLMNOPQRSTUVWXYZ")))=0,SUMPRODUCT(--ISERROR(FIND(MID(AO376,{6,7,8,9},1),"0123456789")))=0),"OK","Wrong format"))</f>
        <v/>
      </c>
      <c r="AL376" s="27">
        <f>IF(TRIM(H376)="","",IF(AND(LEN(UPPER(TRIM(H376)))=10,SUMPRODUCT(--ISERROR(FIND(MID(UPPER(TRIM(H376)),{1,2,3,4,10},1),"ABCDEFGHIJKLMNOPQRSTUVWXYZ")))=0,SUMPRODUCT(--ISERROR(FIND(MID(UPPER(TRIM(H376)),{5,6,7,8,9},1),"0123456789")))=0),"OK","Wrong format"))</f>
        <v/>
      </c>
      <c r="AM376" s="28">
        <f>IF(NOT(COUNTA(A376:AE376)&gt;0),"",IF(AS376&lt;&gt;"","✖ "&amp;LEFT(AS376,LEN(AS376)-2),IF(AR376&gt;0,"✔ Ready — client + "&amp;AR376&amp;" service(s)","✔ Ready — client only")))</f>
        <v/>
      </c>
      <c r="AN376" s="29">
        <f>UPPER(SUBSTITUTE(TRIM(F376)," ",""))</f>
        <v/>
      </c>
      <c r="AO376" s="29">
        <f>UPPER(SUBSTITUTE(TRIM(E376)," ",""))</f>
        <v/>
      </c>
      <c r="AP376" s="29">
        <f>IF(D376&lt;&gt;"",D376,IFERROR(VLOOKUP(MID(AG376,4,1),Lists!$E$2:$F$8,2,FALSE),""))</f>
        <v/>
      </c>
      <c r="AQ376" s="29">
        <f>IFERROR(VLOOKUP(AP376,Lists!$A$2:$C$12,3,FALSE),"")</f>
        <v/>
      </c>
      <c r="AR376" s="29">
        <f>COUNTIF(W376:AC376,"Yes")</f>
        <v/>
      </c>
      <c r="AS376" s="29">
        <f>IF(TRIM(B376)="","Legal name missing; ","")&amp;IF(AND(AJ376&lt;&gt;"",AJ376&lt;&gt;"OK"),"GSTIN: "&amp;AJ376&amp;"; ","")&amp;IF(AND(AK376&lt;&gt;"",AK376&lt;&gt;"OK"),"PAN wrong format; ","")&amp;IF(AND(AO376&lt;&gt;"",LEN(AN376)=15,MID(AN376,3,10)&lt;&gt;AO376),"PAN does not match GSTIN; ","")&amp;IF(AND(AL376&lt;&gt;"",AL376&lt;&gt;"OK"),"TAN wrong format; ","")&amp;IF(AG376="","PAN missing; ","")&amp;IF(AP376="","Entity type missing; ","")&amp;IF(AND(AN376&lt;&gt;"",COUNTIF($AN$6:$AN$1005,AN376)&gt;1),"GSTIN repeated in this sheet; ","")&amp;IF(AND(AG376&lt;&gt;"",COUNTIF($AG$6:$AG$1005,AG376)&gt;1),"PAN repeated in this sheet (same client? put extra GSTINs in Other GSTINs); ","")&amp;IF(AND(AR376&gt;0,V376=""),"Financial year missing; ","")&amp;IF(AND(AR376=0,V376&lt;&gt;""),"Financial year given but no service is Yes; ","")&amp;IF(AND(W376="Yes",AN376=""),"GST needs a GSTIN; ","")&amp;IF(AND(W376="Yes",X376=""),"GST return frequency missing; ","")&amp;IF(AND(Y376="Yes",TRIM(H376)=""),"TDS needs a TAN; ","")&amp;IF(AND(AA376="Yes",AQ376&lt;&gt;"",AQ376&lt;&gt;"company",AQ376&lt;&gt;"llp"),"ROC is only for a company / LLP; ","")&amp;IF(AND(AA376="Yes",OR(AQ376="company",AQ376="llp"),TRIM(I376)=""),"ROC needs the CIN / LLPIN; ","")</f>
        <v/>
      </c>
    </row>
    <row r="377">
      <c r="A377" s="30" t="n"/>
      <c r="B377" s="31" t="n"/>
      <c r="C377" s="31" t="n"/>
      <c r="D377" s="31" t="n"/>
      <c r="E377" s="30" t="n"/>
      <c r="F377" s="30" t="n"/>
      <c r="G377" s="30" t="n"/>
      <c r="H377" s="30" t="n"/>
      <c r="I377" s="30" t="n"/>
      <c r="J377" s="32" t="n"/>
      <c r="K377" s="31" t="n"/>
      <c r="L377" s="30" t="n"/>
      <c r="M377" s="31" t="n"/>
      <c r="N377" s="31" t="n"/>
      <c r="O377" s="31" t="n"/>
      <c r="P377" s="30" t="n"/>
      <c r="Q377" s="31" t="n"/>
      <c r="R377" s="31" t="n"/>
      <c r="S377" s="31" t="n"/>
      <c r="T377" s="31" t="n"/>
      <c r="U377" s="30" t="n"/>
      <c r="V377" s="31" t="n"/>
      <c r="W377" s="31" t="n"/>
      <c r="X377" s="31" t="n"/>
      <c r="Y377" s="31" t="n"/>
      <c r="Z377" s="31" t="n"/>
      <c r="AA377" s="31" t="n"/>
      <c r="AB377" s="31" t="n"/>
      <c r="AC377" s="31" t="n"/>
      <c r="AD377" s="31" t="n"/>
      <c r="AE377" s="31" t="n"/>
      <c r="AF377" s="27">
        <f>IF(NOT(COUNTA(A377:AE377)&gt;0),"",IF(A377="","New client","Update"))</f>
        <v/>
      </c>
      <c r="AG377" s="27">
        <f>IF(AO377&lt;&gt;"",AO377,IF(LEN(AN377)=15,MID(AN377,3,10),""))</f>
        <v/>
      </c>
      <c r="AH377" s="27">
        <f>IF(AP377="","",AP377&amp;IF(D377="","  (guessed from PAN)",""))</f>
        <v/>
      </c>
      <c r="AI377" s="27">
        <f>IF(AN377="","",IFERROR(INDEX(Lists!$L$2:$L$38,MATCH(LEFT(AN377,2),Lists!$K$2:$K$38,0)),"Unknown code"))</f>
        <v/>
      </c>
      <c r="AJ377" s="27">
        <f>IF(AN377="","",IFERROR(IF(NOT(AND(LEN(AN377)=15,ISNUMBER(MATCH(LEFT(AN377,2),Lists!$K$2:$K$38,0)),SUMPRODUCT(--ISERROR(FIND(MID(MID(AN377,3,10),{1,2,3,4,5,10},1),"ABCDEFGHIJKLMNOPQRSTUVWXYZ")))=0,SUMPRODUCT(--ISERROR(FIND(MID(MID(AN377,3,10),{6,7,8,9},1),"0123456789")))=0,ISNUMBER(FIND(MID(AN377,13,1),"123456789ABCDEFGHIJKLMNOPQRSTUVWXYZ")),MID(AN377,14,1)="Z")),"Wrong format",IF(MID("0123456789ABCDEFGHIJKLMNOPQRSTUVWXYZ",MOD(36-MOD(SUMPRODUCT(INT((FIND(MID(AN377,{1,2,3,4,5,6,7,8,9,10,11,12,13,14},1),"0123456789ABCDEFGHIJKLMNOPQRSTUVWXYZ")-1)*{1,2,1,2,1,2,1,2,1,2,1,2,1,2}/36)+MOD((FIND(MID(AN377,{1,2,3,4,5,6,7,8,9,10,11,12,13,14},1),"0123456789ABCDEFGHIJKLMNOPQRSTUVWXYZ")-1)*{1,2,1,2,1,2,1,2,1,2,1,2,1,2},36)),36),36)+1,1)=MID(AN377,15,1),"OK","Typo? check digit wrong")),"Wrong format"))</f>
        <v/>
      </c>
      <c r="AK377" s="27">
        <f>IF(AO377="","",IF(AND(LEN(AO377)=10,SUMPRODUCT(--ISERROR(FIND(MID(AO377,{1,2,3,4,5,10},1),"ABCDEFGHIJKLMNOPQRSTUVWXYZ")))=0,SUMPRODUCT(--ISERROR(FIND(MID(AO377,{6,7,8,9},1),"0123456789")))=0),"OK","Wrong format"))</f>
        <v/>
      </c>
      <c r="AL377" s="27">
        <f>IF(TRIM(H377)="","",IF(AND(LEN(UPPER(TRIM(H377)))=10,SUMPRODUCT(--ISERROR(FIND(MID(UPPER(TRIM(H377)),{1,2,3,4,10},1),"ABCDEFGHIJKLMNOPQRSTUVWXYZ")))=0,SUMPRODUCT(--ISERROR(FIND(MID(UPPER(TRIM(H377)),{5,6,7,8,9},1),"0123456789")))=0),"OK","Wrong format"))</f>
        <v/>
      </c>
      <c r="AM377" s="28">
        <f>IF(NOT(COUNTA(A377:AE377)&gt;0),"",IF(AS377&lt;&gt;"","✖ "&amp;LEFT(AS377,LEN(AS377)-2),IF(AR377&gt;0,"✔ Ready — client + "&amp;AR377&amp;" service(s)","✔ Ready — client only")))</f>
        <v/>
      </c>
      <c r="AN377" s="29">
        <f>UPPER(SUBSTITUTE(TRIM(F377)," ",""))</f>
        <v/>
      </c>
      <c r="AO377" s="29">
        <f>UPPER(SUBSTITUTE(TRIM(E377)," ",""))</f>
        <v/>
      </c>
      <c r="AP377" s="29">
        <f>IF(D377&lt;&gt;"",D377,IFERROR(VLOOKUP(MID(AG377,4,1),Lists!$E$2:$F$8,2,FALSE),""))</f>
        <v/>
      </c>
      <c r="AQ377" s="29">
        <f>IFERROR(VLOOKUP(AP377,Lists!$A$2:$C$12,3,FALSE),"")</f>
        <v/>
      </c>
      <c r="AR377" s="29">
        <f>COUNTIF(W377:AC377,"Yes")</f>
        <v/>
      </c>
      <c r="AS377" s="29">
        <f>IF(TRIM(B377)="","Legal name missing; ","")&amp;IF(AND(AJ377&lt;&gt;"",AJ377&lt;&gt;"OK"),"GSTIN: "&amp;AJ377&amp;"; ","")&amp;IF(AND(AK377&lt;&gt;"",AK377&lt;&gt;"OK"),"PAN wrong format; ","")&amp;IF(AND(AO377&lt;&gt;"",LEN(AN377)=15,MID(AN377,3,10)&lt;&gt;AO377),"PAN does not match GSTIN; ","")&amp;IF(AND(AL377&lt;&gt;"",AL377&lt;&gt;"OK"),"TAN wrong format; ","")&amp;IF(AG377="","PAN missing; ","")&amp;IF(AP377="","Entity type missing; ","")&amp;IF(AND(AN377&lt;&gt;"",COUNTIF($AN$6:$AN$1005,AN377)&gt;1),"GSTIN repeated in this sheet; ","")&amp;IF(AND(AG377&lt;&gt;"",COUNTIF($AG$6:$AG$1005,AG377)&gt;1),"PAN repeated in this sheet (same client? put extra GSTINs in Other GSTINs); ","")&amp;IF(AND(AR377&gt;0,V377=""),"Financial year missing; ","")&amp;IF(AND(AR377=0,V377&lt;&gt;""),"Financial year given but no service is Yes; ","")&amp;IF(AND(W377="Yes",AN377=""),"GST needs a GSTIN; ","")&amp;IF(AND(W377="Yes",X377=""),"GST return frequency missing; ","")&amp;IF(AND(Y377="Yes",TRIM(H377)=""),"TDS needs a TAN; ","")&amp;IF(AND(AA377="Yes",AQ377&lt;&gt;"",AQ377&lt;&gt;"company",AQ377&lt;&gt;"llp"),"ROC is only for a company / LLP; ","")&amp;IF(AND(AA377="Yes",OR(AQ377="company",AQ377="llp"),TRIM(I377)=""),"ROC needs the CIN / LLPIN; ","")</f>
        <v/>
      </c>
    </row>
    <row r="378">
      <c r="A378" s="30" t="n"/>
      <c r="B378" s="31" t="n"/>
      <c r="C378" s="31" t="n"/>
      <c r="D378" s="31" t="n"/>
      <c r="E378" s="30" t="n"/>
      <c r="F378" s="30" t="n"/>
      <c r="G378" s="30" t="n"/>
      <c r="H378" s="30" t="n"/>
      <c r="I378" s="30" t="n"/>
      <c r="J378" s="32" t="n"/>
      <c r="K378" s="31" t="n"/>
      <c r="L378" s="30" t="n"/>
      <c r="M378" s="31" t="n"/>
      <c r="N378" s="31" t="n"/>
      <c r="O378" s="31" t="n"/>
      <c r="P378" s="30" t="n"/>
      <c r="Q378" s="31" t="n"/>
      <c r="R378" s="31" t="n"/>
      <c r="S378" s="31" t="n"/>
      <c r="T378" s="31" t="n"/>
      <c r="U378" s="30" t="n"/>
      <c r="V378" s="31" t="n"/>
      <c r="W378" s="31" t="n"/>
      <c r="X378" s="31" t="n"/>
      <c r="Y378" s="31" t="n"/>
      <c r="Z378" s="31" t="n"/>
      <c r="AA378" s="31" t="n"/>
      <c r="AB378" s="31" t="n"/>
      <c r="AC378" s="31" t="n"/>
      <c r="AD378" s="31" t="n"/>
      <c r="AE378" s="31" t="n"/>
      <c r="AF378" s="27">
        <f>IF(NOT(COUNTA(A378:AE378)&gt;0),"",IF(A378="","New client","Update"))</f>
        <v/>
      </c>
      <c r="AG378" s="27">
        <f>IF(AO378&lt;&gt;"",AO378,IF(LEN(AN378)=15,MID(AN378,3,10),""))</f>
        <v/>
      </c>
      <c r="AH378" s="27">
        <f>IF(AP378="","",AP378&amp;IF(D378="","  (guessed from PAN)",""))</f>
        <v/>
      </c>
      <c r="AI378" s="27">
        <f>IF(AN378="","",IFERROR(INDEX(Lists!$L$2:$L$38,MATCH(LEFT(AN378,2),Lists!$K$2:$K$38,0)),"Unknown code"))</f>
        <v/>
      </c>
      <c r="AJ378" s="27">
        <f>IF(AN378="","",IFERROR(IF(NOT(AND(LEN(AN378)=15,ISNUMBER(MATCH(LEFT(AN378,2),Lists!$K$2:$K$38,0)),SUMPRODUCT(--ISERROR(FIND(MID(MID(AN378,3,10),{1,2,3,4,5,10},1),"ABCDEFGHIJKLMNOPQRSTUVWXYZ")))=0,SUMPRODUCT(--ISERROR(FIND(MID(MID(AN378,3,10),{6,7,8,9},1),"0123456789")))=0,ISNUMBER(FIND(MID(AN378,13,1),"123456789ABCDEFGHIJKLMNOPQRSTUVWXYZ")),MID(AN378,14,1)="Z")),"Wrong format",IF(MID("0123456789ABCDEFGHIJKLMNOPQRSTUVWXYZ",MOD(36-MOD(SUMPRODUCT(INT((FIND(MID(AN378,{1,2,3,4,5,6,7,8,9,10,11,12,13,14},1),"0123456789ABCDEFGHIJKLMNOPQRSTUVWXYZ")-1)*{1,2,1,2,1,2,1,2,1,2,1,2,1,2}/36)+MOD((FIND(MID(AN378,{1,2,3,4,5,6,7,8,9,10,11,12,13,14},1),"0123456789ABCDEFGHIJKLMNOPQRSTUVWXYZ")-1)*{1,2,1,2,1,2,1,2,1,2,1,2,1,2},36)),36),36)+1,1)=MID(AN378,15,1),"OK","Typo? check digit wrong")),"Wrong format"))</f>
        <v/>
      </c>
      <c r="AK378" s="27">
        <f>IF(AO378="","",IF(AND(LEN(AO378)=10,SUMPRODUCT(--ISERROR(FIND(MID(AO378,{1,2,3,4,5,10},1),"ABCDEFGHIJKLMNOPQRSTUVWXYZ")))=0,SUMPRODUCT(--ISERROR(FIND(MID(AO378,{6,7,8,9},1),"0123456789")))=0),"OK","Wrong format"))</f>
        <v/>
      </c>
      <c r="AL378" s="27">
        <f>IF(TRIM(H378)="","",IF(AND(LEN(UPPER(TRIM(H378)))=10,SUMPRODUCT(--ISERROR(FIND(MID(UPPER(TRIM(H378)),{1,2,3,4,10},1),"ABCDEFGHIJKLMNOPQRSTUVWXYZ")))=0,SUMPRODUCT(--ISERROR(FIND(MID(UPPER(TRIM(H378)),{5,6,7,8,9},1),"0123456789")))=0),"OK","Wrong format"))</f>
        <v/>
      </c>
      <c r="AM378" s="28">
        <f>IF(NOT(COUNTA(A378:AE378)&gt;0),"",IF(AS378&lt;&gt;"","✖ "&amp;LEFT(AS378,LEN(AS378)-2),IF(AR378&gt;0,"✔ Ready — client + "&amp;AR378&amp;" service(s)","✔ Ready — client only")))</f>
        <v/>
      </c>
      <c r="AN378" s="29">
        <f>UPPER(SUBSTITUTE(TRIM(F378)," ",""))</f>
        <v/>
      </c>
      <c r="AO378" s="29">
        <f>UPPER(SUBSTITUTE(TRIM(E378)," ",""))</f>
        <v/>
      </c>
      <c r="AP378" s="29">
        <f>IF(D378&lt;&gt;"",D378,IFERROR(VLOOKUP(MID(AG378,4,1),Lists!$E$2:$F$8,2,FALSE),""))</f>
        <v/>
      </c>
      <c r="AQ378" s="29">
        <f>IFERROR(VLOOKUP(AP378,Lists!$A$2:$C$12,3,FALSE),"")</f>
        <v/>
      </c>
      <c r="AR378" s="29">
        <f>COUNTIF(W378:AC378,"Yes")</f>
        <v/>
      </c>
      <c r="AS378" s="29">
        <f>IF(TRIM(B378)="","Legal name missing; ","")&amp;IF(AND(AJ378&lt;&gt;"",AJ378&lt;&gt;"OK"),"GSTIN: "&amp;AJ378&amp;"; ","")&amp;IF(AND(AK378&lt;&gt;"",AK378&lt;&gt;"OK"),"PAN wrong format; ","")&amp;IF(AND(AO378&lt;&gt;"",LEN(AN378)=15,MID(AN378,3,10)&lt;&gt;AO378),"PAN does not match GSTIN; ","")&amp;IF(AND(AL378&lt;&gt;"",AL378&lt;&gt;"OK"),"TAN wrong format; ","")&amp;IF(AG378="","PAN missing; ","")&amp;IF(AP378="","Entity type missing; ","")&amp;IF(AND(AN378&lt;&gt;"",COUNTIF($AN$6:$AN$1005,AN378)&gt;1),"GSTIN repeated in this sheet; ","")&amp;IF(AND(AG378&lt;&gt;"",COUNTIF($AG$6:$AG$1005,AG378)&gt;1),"PAN repeated in this sheet (same client? put extra GSTINs in Other GSTINs); ","")&amp;IF(AND(AR378&gt;0,V378=""),"Financial year missing; ","")&amp;IF(AND(AR378=0,V378&lt;&gt;""),"Financial year given but no service is Yes; ","")&amp;IF(AND(W378="Yes",AN378=""),"GST needs a GSTIN; ","")&amp;IF(AND(W378="Yes",X378=""),"GST return frequency missing; ","")&amp;IF(AND(Y378="Yes",TRIM(H378)=""),"TDS needs a TAN; ","")&amp;IF(AND(AA378="Yes",AQ378&lt;&gt;"",AQ378&lt;&gt;"company",AQ378&lt;&gt;"llp"),"ROC is only for a company / LLP; ","")&amp;IF(AND(AA378="Yes",OR(AQ378="company",AQ378="llp"),TRIM(I378)=""),"ROC needs the CIN / LLPIN; ","")</f>
        <v/>
      </c>
    </row>
    <row r="379">
      <c r="A379" s="30" t="n"/>
      <c r="B379" s="31" t="n"/>
      <c r="C379" s="31" t="n"/>
      <c r="D379" s="31" t="n"/>
      <c r="E379" s="30" t="n"/>
      <c r="F379" s="30" t="n"/>
      <c r="G379" s="30" t="n"/>
      <c r="H379" s="30" t="n"/>
      <c r="I379" s="30" t="n"/>
      <c r="J379" s="32" t="n"/>
      <c r="K379" s="31" t="n"/>
      <c r="L379" s="30" t="n"/>
      <c r="M379" s="31" t="n"/>
      <c r="N379" s="31" t="n"/>
      <c r="O379" s="31" t="n"/>
      <c r="P379" s="30" t="n"/>
      <c r="Q379" s="31" t="n"/>
      <c r="R379" s="31" t="n"/>
      <c r="S379" s="31" t="n"/>
      <c r="T379" s="31" t="n"/>
      <c r="U379" s="30" t="n"/>
      <c r="V379" s="31" t="n"/>
      <c r="W379" s="31" t="n"/>
      <c r="X379" s="31" t="n"/>
      <c r="Y379" s="31" t="n"/>
      <c r="Z379" s="31" t="n"/>
      <c r="AA379" s="31" t="n"/>
      <c r="AB379" s="31" t="n"/>
      <c r="AC379" s="31" t="n"/>
      <c r="AD379" s="31" t="n"/>
      <c r="AE379" s="31" t="n"/>
      <c r="AF379" s="27">
        <f>IF(NOT(COUNTA(A379:AE379)&gt;0),"",IF(A379="","New client","Update"))</f>
        <v/>
      </c>
      <c r="AG379" s="27">
        <f>IF(AO379&lt;&gt;"",AO379,IF(LEN(AN379)=15,MID(AN379,3,10),""))</f>
        <v/>
      </c>
      <c r="AH379" s="27">
        <f>IF(AP379="","",AP379&amp;IF(D379="","  (guessed from PAN)",""))</f>
        <v/>
      </c>
      <c r="AI379" s="27">
        <f>IF(AN379="","",IFERROR(INDEX(Lists!$L$2:$L$38,MATCH(LEFT(AN379,2),Lists!$K$2:$K$38,0)),"Unknown code"))</f>
        <v/>
      </c>
      <c r="AJ379" s="27">
        <f>IF(AN379="","",IFERROR(IF(NOT(AND(LEN(AN379)=15,ISNUMBER(MATCH(LEFT(AN379,2),Lists!$K$2:$K$38,0)),SUMPRODUCT(--ISERROR(FIND(MID(MID(AN379,3,10),{1,2,3,4,5,10},1),"ABCDEFGHIJKLMNOPQRSTUVWXYZ")))=0,SUMPRODUCT(--ISERROR(FIND(MID(MID(AN379,3,10),{6,7,8,9},1),"0123456789")))=0,ISNUMBER(FIND(MID(AN379,13,1),"123456789ABCDEFGHIJKLMNOPQRSTUVWXYZ")),MID(AN379,14,1)="Z")),"Wrong format",IF(MID("0123456789ABCDEFGHIJKLMNOPQRSTUVWXYZ",MOD(36-MOD(SUMPRODUCT(INT((FIND(MID(AN379,{1,2,3,4,5,6,7,8,9,10,11,12,13,14},1),"0123456789ABCDEFGHIJKLMNOPQRSTUVWXYZ")-1)*{1,2,1,2,1,2,1,2,1,2,1,2,1,2}/36)+MOD((FIND(MID(AN379,{1,2,3,4,5,6,7,8,9,10,11,12,13,14},1),"0123456789ABCDEFGHIJKLMNOPQRSTUVWXYZ")-1)*{1,2,1,2,1,2,1,2,1,2,1,2,1,2},36)),36),36)+1,1)=MID(AN379,15,1),"OK","Typo? check digit wrong")),"Wrong format"))</f>
        <v/>
      </c>
      <c r="AK379" s="27">
        <f>IF(AO379="","",IF(AND(LEN(AO379)=10,SUMPRODUCT(--ISERROR(FIND(MID(AO379,{1,2,3,4,5,10},1),"ABCDEFGHIJKLMNOPQRSTUVWXYZ")))=0,SUMPRODUCT(--ISERROR(FIND(MID(AO379,{6,7,8,9},1),"0123456789")))=0),"OK","Wrong format"))</f>
        <v/>
      </c>
      <c r="AL379" s="27">
        <f>IF(TRIM(H379)="","",IF(AND(LEN(UPPER(TRIM(H379)))=10,SUMPRODUCT(--ISERROR(FIND(MID(UPPER(TRIM(H379)),{1,2,3,4,10},1),"ABCDEFGHIJKLMNOPQRSTUVWXYZ")))=0,SUMPRODUCT(--ISERROR(FIND(MID(UPPER(TRIM(H379)),{5,6,7,8,9},1),"0123456789")))=0),"OK","Wrong format"))</f>
        <v/>
      </c>
      <c r="AM379" s="28">
        <f>IF(NOT(COUNTA(A379:AE379)&gt;0),"",IF(AS379&lt;&gt;"","✖ "&amp;LEFT(AS379,LEN(AS379)-2),IF(AR379&gt;0,"✔ Ready — client + "&amp;AR379&amp;" service(s)","✔ Ready — client only")))</f>
        <v/>
      </c>
      <c r="AN379" s="29">
        <f>UPPER(SUBSTITUTE(TRIM(F379)," ",""))</f>
        <v/>
      </c>
      <c r="AO379" s="29">
        <f>UPPER(SUBSTITUTE(TRIM(E379)," ",""))</f>
        <v/>
      </c>
      <c r="AP379" s="29">
        <f>IF(D379&lt;&gt;"",D379,IFERROR(VLOOKUP(MID(AG379,4,1),Lists!$E$2:$F$8,2,FALSE),""))</f>
        <v/>
      </c>
      <c r="AQ379" s="29">
        <f>IFERROR(VLOOKUP(AP379,Lists!$A$2:$C$12,3,FALSE),"")</f>
        <v/>
      </c>
      <c r="AR379" s="29">
        <f>COUNTIF(W379:AC379,"Yes")</f>
        <v/>
      </c>
      <c r="AS379" s="29">
        <f>IF(TRIM(B379)="","Legal name missing; ","")&amp;IF(AND(AJ379&lt;&gt;"",AJ379&lt;&gt;"OK"),"GSTIN: "&amp;AJ379&amp;"; ","")&amp;IF(AND(AK379&lt;&gt;"",AK379&lt;&gt;"OK"),"PAN wrong format; ","")&amp;IF(AND(AO379&lt;&gt;"",LEN(AN379)=15,MID(AN379,3,10)&lt;&gt;AO379),"PAN does not match GSTIN; ","")&amp;IF(AND(AL379&lt;&gt;"",AL379&lt;&gt;"OK"),"TAN wrong format; ","")&amp;IF(AG379="","PAN missing; ","")&amp;IF(AP379="","Entity type missing; ","")&amp;IF(AND(AN379&lt;&gt;"",COUNTIF($AN$6:$AN$1005,AN379)&gt;1),"GSTIN repeated in this sheet; ","")&amp;IF(AND(AG379&lt;&gt;"",COUNTIF($AG$6:$AG$1005,AG379)&gt;1),"PAN repeated in this sheet (same client? put extra GSTINs in Other GSTINs); ","")&amp;IF(AND(AR379&gt;0,V379=""),"Financial year missing; ","")&amp;IF(AND(AR379=0,V379&lt;&gt;""),"Financial year given but no service is Yes; ","")&amp;IF(AND(W379="Yes",AN379=""),"GST needs a GSTIN; ","")&amp;IF(AND(W379="Yes",X379=""),"GST return frequency missing; ","")&amp;IF(AND(Y379="Yes",TRIM(H379)=""),"TDS needs a TAN; ","")&amp;IF(AND(AA379="Yes",AQ379&lt;&gt;"",AQ379&lt;&gt;"company",AQ379&lt;&gt;"llp"),"ROC is only for a company / LLP; ","")&amp;IF(AND(AA379="Yes",OR(AQ379="company",AQ379="llp"),TRIM(I379)=""),"ROC needs the CIN / LLPIN; ","")</f>
        <v/>
      </c>
    </row>
    <row r="380">
      <c r="A380" s="30" t="n"/>
      <c r="B380" s="31" t="n"/>
      <c r="C380" s="31" t="n"/>
      <c r="D380" s="31" t="n"/>
      <c r="E380" s="30" t="n"/>
      <c r="F380" s="30" t="n"/>
      <c r="G380" s="30" t="n"/>
      <c r="H380" s="30" t="n"/>
      <c r="I380" s="30" t="n"/>
      <c r="J380" s="32" t="n"/>
      <c r="K380" s="31" t="n"/>
      <c r="L380" s="30" t="n"/>
      <c r="M380" s="31" t="n"/>
      <c r="N380" s="31" t="n"/>
      <c r="O380" s="31" t="n"/>
      <c r="P380" s="30" t="n"/>
      <c r="Q380" s="31" t="n"/>
      <c r="R380" s="31" t="n"/>
      <c r="S380" s="31" t="n"/>
      <c r="T380" s="31" t="n"/>
      <c r="U380" s="30" t="n"/>
      <c r="V380" s="31" t="n"/>
      <c r="W380" s="31" t="n"/>
      <c r="X380" s="31" t="n"/>
      <c r="Y380" s="31" t="n"/>
      <c r="Z380" s="31" t="n"/>
      <c r="AA380" s="31" t="n"/>
      <c r="AB380" s="31" t="n"/>
      <c r="AC380" s="31" t="n"/>
      <c r="AD380" s="31" t="n"/>
      <c r="AE380" s="31" t="n"/>
      <c r="AF380" s="27">
        <f>IF(NOT(COUNTA(A380:AE380)&gt;0),"",IF(A380="","New client","Update"))</f>
        <v/>
      </c>
      <c r="AG380" s="27">
        <f>IF(AO380&lt;&gt;"",AO380,IF(LEN(AN380)=15,MID(AN380,3,10),""))</f>
        <v/>
      </c>
      <c r="AH380" s="27">
        <f>IF(AP380="","",AP380&amp;IF(D380="","  (guessed from PAN)",""))</f>
        <v/>
      </c>
      <c r="AI380" s="27">
        <f>IF(AN380="","",IFERROR(INDEX(Lists!$L$2:$L$38,MATCH(LEFT(AN380,2),Lists!$K$2:$K$38,0)),"Unknown code"))</f>
        <v/>
      </c>
      <c r="AJ380" s="27">
        <f>IF(AN380="","",IFERROR(IF(NOT(AND(LEN(AN380)=15,ISNUMBER(MATCH(LEFT(AN380,2),Lists!$K$2:$K$38,0)),SUMPRODUCT(--ISERROR(FIND(MID(MID(AN380,3,10),{1,2,3,4,5,10},1),"ABCDEFGHIJKLMNOPQRSTUVWXYZ")))=0,SUMPRODUCT(--ISERROR(FIND(MID(MID(AN380,3,10),{6,7,8,9},1),"0123456789")))=0,ISNUMBER(FIND(MID(AN380,13,1),"123456789ABCDEFGHIJKLMNOPQRSTUVWXYZ")),MID(AN380,14,1)="Z")),"Wrong format",IF(MID("0123456789ABCDEFGHIJKLMNOPQRSTUVWXYZ",MOD(36-MOD(SUMPRODUCT(INT((FIND(MID(AN380,{1,2,3,4,5,6,7,8,9,10,11,12,13,14},1),"0123456789ABCDEFGHIJKLMNOPQRSTUVWXYZ")-1)*{1,2,1,2,1,2,1,2,1,2,1,2,1,2}/36)+MOD((FIND(MID(AN380,{1,2,3,4,5,6,7,8,9,10,11,12,13,14},1),"0123456789ABCDEFGHIJKLMNOPQRSTUVWXYZ")-1)*{1,2,1,2,1,2,1,2,1,2,1,2,1,2},36)),36),36)+1,1)=MID(AN380,15,1),"OK","Typo? check digit wrong")),"Wrong format"))</f>
        <v/>
      </c>
      <c r="AK380" s="27">
        <f>IF(AO380="","",IF(AND(LEN(AO380)=10,SUMPRODUCT(--ISERROR(FIND(MID(AO380,{1,2,3,4,5,10},1),"ABCDEFGHIJKLMNOPQRSTUVWXYZ")))=0,SUMPRODUCT(--ISERROR(FIND(MID(AO380,{6,7,8,9},1),"0123456789")))=0),"OK","Wrong format"))</f>
        <v/>
      </c>
      <c r="AL380" s="27">
        <f>IF(TRIM(H380)="","",IF(AND(LEN(UPPER(TRIM(H380)))=10,SUMPRODUCT(--ISERROR(FIND(MID(UPPER(TRIM(H380)),{1,2,3,4,10},1),"ABCDEFGHIJKLMNOPQRSTUVWXYZ")))=0,SUMPRODUCT(--ISERROR(FIND(MID(UPPER(TRIM(H380)),{5,6,7,8,9},1),"0123456789")))=0),"OK","Wrong format"))</f>
        <v/>
      </c>
      <c r="AM380" s="28">
        <f>IF(NOT(COUNTA(A380:AE380)&gt;0),"",IF(AS380&lt;&gt;"","✖ "&amp;LEFT(AS380,LEN(AS380)-2),IF(AR380&gt;0,"✔ Ready — client + "&amp;AR380&amp;" service(s)","✔ Ready — client only")))</f>
        <v/>
      </c>
      <c r="AN380" s="29">
        <f>UPPER(SUBSTITUTE(TRIM(F380)," ",""))</f>
        <v/>
      </c>
      <c r="AO380" s="29">
        <f>UPPER(SUBSTITUTE(TRIM(E380)," ",""))</f>
        <v/>
      </c>
      <c r="AP380" s="29">
        <f>IF(D380&lt;&gt;"",D380,IFERROR(VLOOKUP(MID(AG380,4,1),Lists!$E$2:$F$8,2,FALSE),""))</f>
        <v/>
      </c>
      <c r="AQ380" s="29">
        <f>IFERROR(VLOOKUP(AP380,Lists!$A$2:$C$12,3,FALSE),"")</f>
        <v/>
      </c>
      <c r="AR380" s="29">
        <f>COUNTIF(W380:AC380,"Yes")</f>
        <v/>
      </c>
      <c r="AS380" s="29">
        <f>IF(TRIM(B380)="","Legal name missing; ","")&amp;IF(AND(AJ380&lt;&gt;"",AJ380&lt;&gt;"OK"),"GSTIN: "&amp;AJ380&amp;"; ","")&amp;IF(AND(AK380&lt;&gt;"",AK380&lt;&gt;"OK"),"PAN wrong format; ","")&amp;IF(AND(AO380&lt;&gt;"",LEN(AN380)=15,MID(AN380,3,10)&lt;&gt;AO380),"PAN does not match GSTIN; ","")&amp;IF(AND(AL380&lt;&gt;"",AL380&lt;&gt;"OK"),"TAN wrong format; ","")&amp;IF(AG380="","PAN missing; ","")&amp;IF(AP380="","Entity type missing; ","")&amp;IF(AND(AN380&lt;&gt;"",COUNTIF($AN$6:$AN$1005,AN380)&gt;1),"GSTIN repeated in this sheet; ","")&amp;IF(AND(AG380&lt;&gt;"",COUNTIF($AG$6:$AG$1005,AG380)&gt;1),"PAN repeated in this sheet (same client? put extra GSTINs in Other GSTINs); ","")&amp;IF(AND(AR380&gt;0,V380=""),"Financial year missing; ","")&amp;IF(AND(AR380=0,V380&lt;&gt;""),"Financial year given but no service is Yes; ","")&amp;IF(AND(W380="Yes",AN380=""),"GST needs a GSTIN; ","")&amp;IF(AND(W380="Yes",X380=""),"GST return frequency missing; ","")&amp;IF(AND(Y380="Yes",TRIM(H380)=""),"TDS needs a TAN; ","")&amp;IF(AND(AA380="Yes",AQ380&lt;&gt;"",AQ380&lt;&gt;"company",AQ380&lt;&gt;"llp"),"ROC is only for a company / LLP; ","")&amp;IF(AND(AA380="Yes",OR(AQ380="company",AQ380="llp"),TRIM(I380)=""),"ROC needs the CIN / LLPIN; ","")</f>
        <v/>
      </c>
    </row>
    <row r="381">
      <c r="A381" s="30" t="n"/>
      <c r="B381" s="31" t="n"/>
      <c r="C381" s="31" t="n"/>
      <c r="D381" s="31" t="n"/>
      <c r="E381" s="30" t="n"/>
      <c r="F381" s="30" t="n"/>
      <c r="G381" s="30" t="n"/>
      <c r="H381" s="30" t="n"/>
      <c r="I381" s="30" t="n"/>
      <c r="J381" s="32" t="n"/>
      <c r="K381" s="31" t="n"/>
      <c r="L381" s="30" t="n"/>
      <c r="M381" s="31" t="n"/>
      <c r="N381" s="31" t="n"/>
      <c r="O381" s="31" t="n"/>
      <c r="P381" s="30" t="n"/>
      <c r="Q381" s="31" t="n"/>
      <c r="R381" s="31" t="n"/>
      <c r="S381" s="31" t="n"/>
      <c r="T381" s="31" t="n"/>
      <c r="U381" s="30" t="n"/>
      <c r="V381" s="31" t="n"/>
      <c r="W381" s="31" t="n"/>
      <c r="X381" s="31" t="n"/>
      <c r="Y381" s="31" t="n"/>
      <c r="Z381" s="31" t="n"/>
      <c r="AA381" s="31" t="n"/>
      <c r="AB381" s="31" t="n"/>
      <c r="AC381" s="31" t="n"/>
      <c r="AD381" s="31" t="n"/>
      <c r="AE381" s="31" t="n"/>
      <c r="AF381" s="27">
        <f>IF(NOT(COUNTA(A381:AE381)&gt;0),"",IF(A381="","New client","Update"))</f>
        <v/>
      </c>
      <c r="AG381" s="27">
        <f>IF(AO381&lt;&gt;"",AO381,IF(LEN(AN381)=15,MID(AN381,3,10),""))</f>
        <v/>
      </c>
      <c r="AH381" s="27">
        <f>IF(AP381="","",AP381&amp;IF(D381="","  (guessed from PAN)",""))</f>
        <v/>
      </c>
      <c r="AI381" s="27">
        <f>IF(AN381="","",IFERROR(INDEX(Lists!$L$2:$L$38,MATCH(LEFT(AN381,2),Lists!$K$2:$K$38,0)),"Unknown code"))</f>
        <v/>
      </c>
      <c r="AJ381" s="27">
        <f>IF(AN381="","",IFERROR(IF(NOT(AND(LEN(AN381)=15,ISNUMBER(MATCH(LEFT(AN381,2),Lists!$K$2:$K$38,0)),SUMPRODUCT(--ISERROR(FIND(MID(MID(AN381,3,10),{1,2,3,4,5,10},1),"ABCDEFGHIJKLMNOPQRSTUVWXYZ")))=0,SUMPRODUCT(--ISERROR(FIND(MID(MID(AN381,3,10),{6,7,8,9},1),"0123456789")))=0,ISNUMBER(FIND(MID(AN381,13,1),"123456789ABCDEFGHIJKLMNOPQRSTUVWXYZ")),MID(AN381,14,1)="Z")),"Wrong format",IF(MID("0123456789ABCDEFGHIJKLMNOPQRSTUVWXYZ",MOD(36-MOD(SUMPRODUCT(INT((FIND(MID(AN381,{1,2,3,4,5,6,7,8,9,10,11,12,13,14},1),"0123456789ABCDEFGHIJKLMNOPQRSTUVWXYZ")-1)*{1,2,1,2,1,2,1,2,1,2,1,2,1,2}/36)+MOD((FIND(MID(AN381,{1,2,3,4,5,6,7,8,9,10,11,12,13,14},1),"0123456789ABCDEFGHIJKLMNOPQRSTUVWXYZ")-1)*{1,2,1,2,1,2,1,2,1,2,1,2,1,2},36)),36),36)+1,1)=MID(AN381,15,1),"OK","Typo? check digit wrong")),"Wrong format"))</f>
        <v/>
      </c>
      <c r="AK381" s="27">
        <f>IF(AO381="","",IF(AND(LEN(AO381)=10,SUMPRODUCT(--ISERROR(FIND(MID(AO381,{1,2,3,4,5,10},1),"ABCDEFGHIJKLMNOPQRSTUVWXYZ")))=0,SUMPRODUCT(--ISERROR(FIND(MID(AO381,{6,7,8,9},1),"0123456789")))=0),"OK","Wrong format"))</f>
        <v/>
      </c>
      <c r="AL381" s="27">
        <f>IF(TRIM(H381)="","",IF(AND(LEN(UPPER(TRIM(H381)))=10,SUMPRODUCT(--ISERROR(FIND(MID(UPPER(TRIM(H381)),{1,2,3,4,10},1),"ABCDEFGHIJKLMNOPQRSTUVWXYZ")))=0,SUMPRODUCT(--ISERROR(FIND(MID(UPPER(TRIM(H381)),{5,6,7,8,9},1),"0123456789")))=0),"OK","Wrong format"))</f>
        <v/>
      </c>
      <c r="AM381" s="28">
        <f>IF(NOT(COUNTA(A381:AE381)&gt;0),"",IF(AS381&lt;&gt;"","✖ "&amp;LEFT(AS381,LEN(AS381)-2),IF(AR381&gt;0,"✔ Ready — client + "&amp;AR381&amp;" service(s)","✔ Ready — client only")))</f>
        <v/>
      </c>
      <c r="AN381" s="29">
        <f>UPPER(SUBSTITUTE(TRIM(F381)," ",""))</f>
        <v/>
      </c>
      <c r="AO381" s="29">
        <f>UPPER(SUBSTITUTE(TRIM(E381)," ",""))</f>
        <v/>
      </c>
      <c r="AP381" s="29">
        <f>IF(D381&lt;&gt;"",D381,IFERROR(VLOOKUP(MID(AG381,4,1),Lists!$E$2:$F$8,2,FALSE),""))</f>
        <v/>
      </c>
      <c r="AQ381" s="29">
        <f>IFERROR(VLOOKUP(AP381,Lists!$A$2:$C$12,3,FALSE),"")</f>
        <v/>
      </c>
      <c r="AR381" s="29">
        <f>COUNTIF(W381:AC381,"Yes")</f>
        <v/>
      </c>
      <c r="AS381" s="29">
        <f>IF(TRIM(B381)="","Legal name missing; ","")&amp;IF(AND(AJ381&lt;&gt;"",AJ381&lt;&gt;"OK"),"GSTIN: "&amp;AJ381&amp;"; ","")&amp;IF(AND(AK381&lt;&gt;"",AK381&lt;&gt;"OK"),"PAN wrong format; ","")&amp;IF(AND(AO381&lt;&gt;"",LEN(AN381)=15,MID(AN381,3,10)&lt;&gt;AO381),"PAN does not match GSTIN; ","")&amp;IF(AND(AL381&lt;&gt;"",AL381&lt;&gt;"OK"),"TAN wrong format; ","")&amp;IF(AG381="","PAN missing; ","")&amp;IF(AP381="","Entity type missing; ","")&amp;IF(AND(AN381&lt;&gt;"",COUNTIF($AN$6:$AN$1005,AN381)&gt;1),"GSTIN repeated in this sheet; ","")&amp;IF(AND(AG381&lt;&gt;"",COUNTIF($AG$6:$AG$1005,AG381)&gt;1),"PAN repeated in this sheet (same client? put extra GSTINs in Other GSTINs); ","")&amp;IF(AND(AR381&gt;0,V381=""),"Financial year missing; ","")&amp;IF(AND(AR381=0,V381&lt;&gt;""),"Financial year given but no service is Yes; ","")&amp;IF(AND(W381="Yes",AN381=""),"GST needs a GSTIN; ","")&amp;IF(AND(W381="Yes",X381=""),"GST return frequency missing; ","")&amp;IF(AND(Y381="Yes",TRIM(H381)=""),"TDS needs a TAN; ","")&amp;IF(AND(AA381="Yes",AQ381&lt;&gt;"",AQ381&lt;&gt;"company",AQ381&lt;&gt;"llp"),"ROC is only for a company / LLP; ","")&amp;IF(AND(AA381="Yes",OR(AQ381="company",AQ381="llp"),TRIM(I381)=""),"ROC needs the CIN / LLPIN; ","")</f>
        <v/>
      </c>
    </row>
    <row r="382">
      <c r="A382" s="30" t="n"/>
      <c r="B382" s="31" t="n"/>
      <c r="C382" s="31" t="n"/>
      <c r="D382" s="31" t="n"/>
      <c r="E382" s="30" t="n"/>
      <c r="F382" s="30" t="n"/>
      <c r="G382" s="30" t="n"/>
      <c r="H382" s="30" t="n"/>
      <c r="I382" s="30" t="n"/>
      <c r="J382" s="32" t="n"/>
      <c r="K382" s="31" t="n"/>
      <c r="L382" s="30" t="n"/>
      <c r="M382" s="31" t="n"/>
      <c r="N382" s="31" t="n"/>
      <c r="O382" s="31" t="n"/>
      <c r="P382" s="30" t="n"/>
      <c r="Q382" s="31" t="n"/>
      <c r="R382" s="31" t="n"/>
      <c r="S382" s="31" t="n"/>
      <c r="T382" s="31" t="n"/>
      <c r="U382" s="30" t="n"/>
      <c r="V382" s="31" t="n"/>
      <c r="W382" s="31" t="n"/>
      <c r="X382" s="31" t="n"/>
      <c r="Y382" s="31" t="n"/>
      <c r="Z382" s="31" t="n"/>
      <c r="AA382" s="31" t="n"/>
      <c r="AB382" s="31" t="n"/>
      <c r="AC382" s="31" t="n"/>
      <c r="AD382" s="31" t="n"/>
      <c r="AE382" s="31" t="n"/>
      <c r="AF382" s="27">
        <f>IF(NOT(COUNTA(A382:AE382)&gt;0),"",IF(A382="","New client","Update"))</f>
        <v/>
      </c>
      <c r="AG382" s="27">
        <f>IF(AO382&lt;&gt;"",AO382,IF(LEN(AN382)=15,MID(AN382,3,10),""))</f>
        <v/>
      </c>
      <c r="AH382" s="27">
        <f>IF(AP382="","",AP382&amp;IF(D382="","  (guessed from PAN)",""))</f>
        <v/>
      </c>
      <c r="AI382" s="27">
        <f>IF(AN382="","",IFERROR(INDEX(Lists!$L$2:$L$38,MATCH(LEFT(AN382,2),Lists!$K$2:$K$38,0)),"Unknown code"))</f>
        <v/>
      </c>
      <c r="AJ382" s="27">
        <f>IF(AN382="","",IFERROR(IF(NOT(AND(LEN(AN382)=15,ISNUMBER(MATCH(LEFT(AN382,2),Lists!$K$2:$K$38,0)),SUMPRODUCT(--ISERROR(FIND(MID(MID(AN382,3,10),{1,2,3,4,5,10},1),"ABCDEFGHIJKLMNOPQRSTUVWXYZ")))=0,SUMPRODUCT(--ISERROR(FIND(MID(MID(AN382,3,10),{6,7,8,9},1),"0123456789")))=0,ISNUMBER(FIND(MID(AN382,13,1),"123456789ABCDEFGHIJKLMNOPQRSTUVWXYZ")),MID(AN382,14,1)="Z")),"Wrong format",IF(MID("0123456789ABCDEFGHIJKLMNOPQRSTUVWXYZ",MOD(36-MOD(SUMPRODUCT(INT((FIND(MID(AN382,{1,2,3,4,5,6,7,8,9,10,11,12,13,14},1),"0123456789ABCDEFGHIJKLMNOPQRSTUVWXYZ")-1)*{1,2,1,2,1,2,1,2,1,2,1,2,1,2}/36)+MOD((FIND(MID(AN382,{1,2,3,4,5,6,7,8,9,10,11,12,13,14},1),"0123456789ABCDEFGHIJKLMNOPQRSTUVWXYZ")-1)*{1,2,1,2,1,2,1,2,1,2,1,2,1,2},36)),36),36)+1,1)=MID(AN382,15,1),"OK","Typo? check digit wrong")),"Wrong format"))</f>
        <v/>
      </c>
      <c r="AK382" s="27">
        <f>IF(AO382="","",IF(AND(LEN(AO382)=10,SUMPRODUCT(--ISERROR(FIND(MID(AO382,{1,2,3,4,5,10},1),"ABCDEFGHIJKLMNOPQRSTUVWXYZ")))=0,SUMPRODUCT(--ISERROR(FIND(MID(AO382,{6,7,8,9},1),"0123456789")))=0),"OK","Wrong format"))</f>
        <v/>
      </c>
      <c r="AL382" s="27">
        <f>IF(TRIM(H382)="","",IF(AND(LEN(UPPER(TRIM(H382)))=10,SUMPRODUCT(--ISERROR(FIND(MID(UPPER(TRIM(H382)),{1,2,3,4,10},1),"ABCDEFGHIJKLMNOPQRSTUVWXYZ")))=0,SUMPRODUCT(--ISERROR(FIND(MID(UPPER(TRIM(H382)),{5,6,7,8,9},1),"0123456789")))=0),"OK","Wrong format"))</f>
        <v/>
      </c>
      <c r="AM382" s="28">
        <f>IF(NOT(COUNTA(A382:AE382)&gt;0),"",IF(AS382&lt;&gt;"","✖ "&amp;LEFT(AS382,LEN(AS382)-2),IF(AR382&gt;0,"✔ Ready — client + "&amp;AR382&amp;" service(s)","✔ Ready — client only")))</f>
        <v/>
      </c>
      <c r="AN382" s="29">
        <f>UPPER(SUBSTITUTE(TRIM(F382)," ",""))</f>
        <v/>
      </c>
      <c r="AO382" s="29">
        <f>UPPER(SUBSTITUTE(TRIM(E382)," ",""))</f>
        <v/>
      </c>
      <c r="AP382" s="29">
        <f>IF(D382&lt;&gt;"",D382,IFERROR(VLOOKUP(MID(AG382,4,1),Lists!$E$2:$F$8,2,FALSE),""))</f>
        <v/>
      </c>
      <c r="AQ382" s="29">
        <f>IFERROR(VLOOKUP(AP382,Lists!$A$2:$C$12,3,FALSE),"")</f>
        <v/>
      </c>
      <c r="AR382" s="29">
        <f>COUNTIF(W382:AC382,"Yes")</f>
        <v/>
      </c>
      <c r="AS382" s="29">
        <f>IF(TRIM(B382)="","Legal name missing; ","")&amp;IF(AND(AJ382&lt;&gt;"",AJ382&lt;&gt;"OK"),"GSTIN: "&amp;AJ382&amp;"; ","")&amp;IF(AND(AK382&lt;&gt;"",AK382&lt;&gt;"OK"),"PAN wrong format; ","")&amp;IF(AND(AO382&lt;&gt;"",LEN(AN382)=15,MID(AN382,3,10)&lt;&gt;AO382),"PAN does not match GSTIN; ","")&amp;IF(AND(AL382&lt;&gt;"",AL382&lt;&gt;"OK"),"TAN wrong format; ","")&amp;IF(AG382="","PAN missing; ","")&amp;IF(AP382="","Entity type missing; ","")&amp;IF(AND(AN382&lt;&gt;"",COUNTIF($AN$6:$AN$1005,AN382)&gt;1),"GSTIN repeated in this sheet; ","")&amp;IF(AND(AG382&lt;&gt;"",COUNTIF($AG$6:$AG$1005,AG382)&gt;1),"PAN repeated in this sheet (same client? put extra GSTINs in Other GSTINs); ","")&amp;IF(AND(AR382&gt;0,V382=""),"Financial year missing; ","")&amp;IF(AND(AR382=0,V382&lt;&gt;""),"Financial year given but no service is Yes; ","")&amp;IF(AND(W382="Yes",AN382=""),"GST needs a GSTIN; ","")&amp;IF(AND(W382="Yes",X382=""),"GST return frequency missing; ","")&amp;IF(AND(Y382="Yes",TRIM(H382)=""),"TDS needs a TAN; ","")&amp;IF(AND(AA382="Yes",AQ382&lt;&gt;"",AQ382&lt;&gt;"company",AQ382&lt;&gt;"llp"),"ROC is only for a company / LLP; ","")&amp;IF(AND(AA382="Yes",OR(AQ382="company",AQ382="llp"),TRIM(I382)=""),"ROC needs the CIN / LLPIN; ","")</f>
        <v/>
      </c>
    </row>
    <row r="383">
      <c r="A383" s="30" t="n"/>
      <c r="B383" s="31" t="n"/>
      <c r="C383" s="31" t="n"/>
      <c r="D383" s="31" t="n"/>
      <c r="E383" s="30" t="n"/>
      <c r="F383" s="30" t="n"/>
      <c r="G383" s="30" t="n"/>
      <c r="H383" s="30" t="n"/>
      <c r="I383" s="30" t="n"/>
      <c r="J383" s="32" t="n"/>
      <c r="K383" s="31" t="n"/>
      <c r="L383" s="30" t="n"/>
      <c r="M383" s="31" t="n"/>
      <c r="N383" s="31" t="n"/>
      <c r="O383" s="31" t="n"/>
      <c r="P383" s="30" t="n"/>
      <c r="Q383" s="31" t="n"/>
      <c r="R383" s="31" t="n"/>
      <c r="S383" s="31" t="n"/>
      <c r="T383" s="31" t="n"/>
      <c r="U383" s="30" t="n"/>
      <c r="V383" s="31" t="n"/>
      <c r="W383" s="31" t="n"/>
      <c r="X383" s="31" t="n"/>
      <c r="Y383" s="31" t="n"/>
      <c r="Z383" s="31" t="n"/>
      <c r="AA383" s="31" t="n"/>
      <c r="AB383" s="31" t="n"/>
      <c r="AC383" s="31" t="n"/>
      <c r="AD383" s="31" t="n"/>
      <c r="AE383" s="31" t="n"/>
      <c r="AF383" s="27">
        <f>IF(NOT(COUNTA(A383:AE383)&gt;0),"",IF(A383="","New client","Update"))</f>
        <v/>
      </c>
      <c r="AG383" s="27">
        <f>IF(AO383&lt;&gt;"",AO383,IF(LEN(AN383)=15,MID(AN383,3,10),""))</f>
        <v/>
      </c>
      <c r="AH383" s="27">
        <f>IF(AP383="","",AP383&amp;IF(D383="","  (guessed from PAN)",""))</f>
        <v/>
      </c>
      <c r="AI383" s="27">
        <f>IF(AN383="","",IFERROR(INDEX(Lists!$L$2:$L$38,MATCH(LEFT(AN383,2),Lists!$K$2:$K$38,0)),"Unknown code"))</f>
        <v/>
      </c>
      <c r="AJ383" s="27">
        <f>IF(AN383="","",IFERROR(IF(NOT(AND(LEN(AN383)=15,ISNUMBER(MATCH(LEFT(AN383,2),Lists!$K$2:$K$38,0)),SUMPRODUCT(--ISERROR(FIND(MID(MID(AN383,3,10),{1,2,3,4,5,10},1),"ABCDEFGHIJKLMNOPQRSTUVWXYZ")))=0,SUMPRODUCT(--ISERROR(FIND(MID(MID(AN383,3,10),{6,7,8,9},1),"0123456789")))=0,ISNUMBER(FIND(MID(AN383,13,1),"123456789ABCDEFGHIJKLMNOPQRSTUVWXYZ")),MID(AN383,14,1)="Z")),"Wrong format",IF(MID("0123456789ABCDEFGHIJKLMNOPQRSTUVWXYZ",MOD(36-MOD(SUMPRODUCT(INT((FIND(MID(AN383,{1,2,3,4,5,6,7,8,9,10,11,12,13,14},1),"0123456789ABCDEFGHIJKLMNOPQRSTUVWXYZ")-1)*{1,2,1,2,1,2,1,2,1,2,1,2,1,2}/36)+MOD((FIND(MID(AN383,{1,2,3,4,5,6,7,8,9,10,11,12,13,14},1),"0123456789ABCDEFGHIJKLMNOPQRSTUVWXYZ")-1)*{1,2,1,2,1,2,1,2,1,2,1,2,1,2},36)),36),36)+1,1)=MID(AN383,15,1),"OK","Typo? check digit wrong")),"Wrong format"))</f>
        <v/>
      </c>
      <c r="AK383" s="27">
        <f>IF(AO383="","",IF(AND(LEN(AO383)=10,SUMPRODUCT(--ISERROR(FIND(MID(AO383,{1,2,3,4,5,10},1),"ABCDEFGHIJKLMNOPQRSTUVWXYZ")))=0,SUMPRODUCT(--ISERROR(FIND(MID(AO383,{6,7,8,9},1),"0123456789")))=0),"OK","Wrong format"))</f>
        <v/>
      </c>
      <c r="AL383" s="27">
        <f>IF(TRIM(H383)="","",IF(AND(LEN(UPPER(TRIM(H383)))=10,SUMPRODUCT(--ISERROR(FIND(MID(UPPER(TRIM(H383)),{1,2,3,4,10},1),"ABCDEFGHIJKLMNOPQRSTUVWXYZ")))=0,SUMPRODUCT(--ISERROR(FIND(MID(UPPER(TRIM(H383)),{5,6,7,8,9},1),"0123456789")))=0),"OK","Wrong format"))</f>
        <v/>
      </c>
      <c r="AM383" s="28">
        <f>IF(NOT(COUNTA(A383:AE383)&gt;0),"",IF(AS383&lt;&gt;"","✖ "&amp;LEFT(AS383,LEN(AS383)-2),IF(AR383&gt;0,"✔ Ready — client + "&amp;AR383&amp;" service(s)","✔ Ready — client only")))</f>
        <v/>
      </c>
      <c r="AN383" s="29">
        <f>UPPER(SUBSTITUTE(TRIM(F383)," ",""))</f>
        <v/>
      </c>
      <c r="AO383" s="29">
        <f>UPPER(SUBSTITUTE(TRIM(E383)," ",""))</f>
        <v/>
      </c>
      <c r="AP383" s="29">
        <f>IF(D383&lt;&gt;"",D383,IFERROR(VLOOKUP(MID(AG383,4,1),Lists!$E$2:$F$8,2,FALSE),""))</f>
        <v/>
      </c>
      <c r="AQ383" s="29">
        <f>IFERROR(VLOOKUP(AP383,Lists!$A$2:$C$12,3,FALSE),"")</f>
        <v/>
      </c>
      <c r="AR383" s="29">
        <f>COUNTIF(W383:AC383,"Yes")</f>
        <v/>
      </c>
      <c r="AS383" s="29">
        <f>IF(TRIM(B383)="","Legal name missing; ","")&amp;IF(AND(AJ383&lt;&gt;"",AJ383&lt;&gt;"OK"),"GSTIN: "&amp;AJ383&amp;"; ","")&amp;IF(AND(AK383&lt;&gt;"",AK383&lt;&gt;"OK"),"PAN wrong format; ","")&amp;IF(AND(AO383&lt;&gt;"",LEN(AN383)=15,MID(AN383,3,10)&lt;&gt;AO383),"PAN does not match GSTIN; ","")&amp;IF(AND(AL383&lt;&gt;"",AL383&lt;&gt;"OK"),"TAN wrong format; ","")&amp;IF(AG383="","PAN missing; ","")&amp;IF(AP383="","Entity type missing; ","")&amp;IF(AND(AN383&lt;&gt;"",COUNTIF($AN$6:$AN$1005,AN383)&gt;1),"GSTIN repeated in this sheet; ","")&amp;IF(AND(AG383&lt;&gt;"",COUNTIF($AG$6:$AG$1005,AG383)&gt;1),"PAN repeated in this sheet (same client? put extra GSTINs in Other GSTINs); ","")&amp;IF(AND(AR383&gt;0,V383=""),"Financial year missing; ","")&amp;IF(AND(AR383=0,V383&lt;&gt;""),"Financial year given but no service is Yes; ","")&amp;IF(AND(W383="Yes",AN383=""),"GST needs a GSTIN; ","")&amp;IF(AND(W383="Yes",X383=""),"GST return frequency missing; ","")&amp;IF(AND(Y383="Yes",TRIM(H383)=""),"TDS needs a TAN; ","")&amp;IF(AND(AA383="Yes",AQ383&lt;&gt;"",AQ383&lt;&gt;"company",AQ383&lt;&gt;"llp"),"ROC is only for a company / LLP; ","")&amp;IF(AND(AA383="Yes",OR(AQ383="company",AQ383="llp"),TRIM(I383)=""),"ROC needs the CIN / LLPIN; ","")</f>
        <v/>
      </c>
    </row>
    <row r="384">
      <c r="A384" s="30" t="n"/>
      <c r="B384" s="31" t="n"/>
      <c r="C384" s="31" t="n"/>
      <c r="D384" s="31" t="n"/>
      <c r="E384" s="30" t="n"/>
      <c r="F384" s="30" t="n"/>
      <c r="G384" s="30" t="n"/>
      <c r="H384" s="30" t="n"/>
      <c r="I384" s="30" t="n"/>
      <c r="J384" s="32" t="n"/>
      <c r="K384" s="31" t="n"/>
      <c r="L384" s="30" t="n"/>
      <c r="M384" s="31" t="n"/>
      <c r="N384" s="31" t="n"/>
      <c r="O384" s="31" t="n"/>
      <c r="P384" s="30" t="n"/>
      <c r="Q384" s="31" t="n"/>
      <c r="R384" s="31" t="n"/>
      <c r="S384" s="31" t="n"/>
      <c r="T384" s="31" t="n"/>
      <c r="U384" s="30" t="n"/>
      <c r="V384" s="31" t="n"/>
      <c r="W384" s="31" t="n"/>
      <c r="X384" s="31" t="n"/>
      <c r="Y384" s="31" t="n"/>
      <c r="Z384" s="31" t="n"/>
      <c r="AA384" s="31" t="n"/>
      <c r="AB384" s="31" t="n"/>
      <c r="AC384" s="31" t="n"/>
      <c r="AD384" s="31" t="n"/>
      <c r="AE384" s="31" t="n"/>
      <c r="AF384" s="27">
        <f>IF(NOT(COUNTA(A384:AE384)&gt;0),"",IF(A384="","New client","Update"))</f>
        <v/>
      </c>
      <c r="AG384" s="27">
        <f>IF(AO384&lt;&gt;"",AO384,IF(LEN(AN384)=15,MID(AN384,3,10),""))</f>
        <v/>
      </c>
      <c r="AH384" s="27">
        <f>IF(AP384="","",AP384&amp;IF(D384="","  (guessed from PAN)",""))</f>
        <v/>
      </c>
      <c r="AI384" s="27">
        <f>IF(AN384="","",IFERROR(INDEX(Lists!$L$2:$L$38,MATCH(LEFT(AN384,2),Lists!$K$2:$K$38,0)),"Unknown code"))</f>
        <v/>
      </c>
      <c r="AJ384" s="27">
        <f>IF(AN384="","",IFERROR(IF(NOT(AND(LEN(AN384)=15,ISNUMBER(MATCH(LEFT(AN384,2),Lists!$K$2:$K$38,0)),SUMPRODUCT(--ISERROR(FIND(MID(MID(AN384,3,10),{1,2,3,4,5,10},1),"ABCDEFGHIJKLMNOPQRSTUVWXYZ")))=0,SUMPRODUCT(--ISERROR(FIND(MID(MID(AN384,3,10),{6,7,8,9},1),"0123456789")))=0,ISNUMBER(FIND(MID(AN384,13,1),"123456789ABCDEFGHIJKLMNOPQRSTUVWXYZ")),MID(AN384,14,1)="Z")),"Wrong format",IF(MID("0123456789ABCDEFGHIJKLMNOPQRSTUVWXYZ",MOD(36-MOD(SUMPRODUCT(INT((FIND(MID(AN384,{1,2,3,4,5,6,7,8,9,10,11,12,13,14},1),"0123456789ABCDEFGHIJKLMNOPQRSTUVWXYZ")-1)*{1,2,1,2,1,2,1,2,1,2,1,2,1,2}/36)+MOD((FIND(MID(AN384,{1,2,3,4,5,6,7,8,9,10,11,12,13,14},1),"0123456789ABCDEFGHIJKLMNOPQRSTUVWXYZ")-1)*{1,2,1,2,1,2,1,2,1,2,1,2,1,2},36)),36),36)+1,1)=MID(AN384,15,1),"OK","Typo? check digit wrong")),"Wrong format"))</f>
        <v/>
      </c>
      <c r="AK384" s="27">
        <f>IF(AO384="","",IF(AND(LEN(AO384)=10,SUMPRODUCT(--ISERROR(FIND(MID(AO384,{1,2,3,4,5,10},1),"ABCDEFGHIJKLMNOPQRSTUVWXYZ")))=0,SUMPRODUCT(--ISERROR(FIND(MID(AO384,{6,7,8,9},1),"0123456789")))=0),"OK","Wrong format"))</f>
        <v/>
      </c>
      <c r="AL384" s="27">
        <f>IF(TRIM(H384)="","",IF(AND(LEN(UPPER(TRIM(H384)))=10,SUMPRODUCT(--ISERROR(FIND(MID(UPPER(TRIM(H384)),{1,2,3,4,10},1),"ABCDEFGHIJKLMNOPQRSTUVWXYZ")))=0,SUMPRODUCT(--ISERROR(FIND(MID(UPPER(TRIM(H384)),{5,6,7,8,9},1),"0123456789")))=0),"OK","Wrong format"))</f>
        <v/>
      </c>
      <c r="AM384" s="28">
        <f>IF(NOT(COUNTA(A384:AE384)&gt;0),"",IF(AS384&lt;&gt;"","✖ "&amp;LEFT(AS384,LEN(AS384)-2),IF(AR384&gt;0,"✔ Ready — client + "&amp;AR384&amp;" service(s)","✔ Ready — client only")))</f>
        <v/>
      </c>
      <c r="AN384" s="29">
        <f>UPPER(SUBSTITUTE(TRIM(F384)," ",""))</f>
        <v/>
      </c>
      <c r="AO384" s="29">
        <f>UPPER(SUBSTITUTE(TRIM(E384)," ",""))</f>
        <v/>
      </c>
      <c r="AP384" s="29">
        <f>IF(D384&lt;&gt;"",D384,IFERROR(VLOOKUP(MID(AG384,4,1),Lists!$E$2:$F$8,2,FALSE),""))</f>
        <v/>
      </c>
      <c r="AQ384" s="29">
        <f>IFERROR(VLOOKUP(AP384,Lists!$A$2:$C$12,3,FALSE),"")</f>
        <v/>
      </c>
      <c r="AR384" s="29">
        <f>COUNTIF(W384:AC384,"Yes")</f>
        <v/>
      </c>
      <c r="AS384" s="29">
        <f>IF(TRIM(B384)="","Legal name missing; ","")&amp;IF(AND(AJ384&lt;&gt;"",AJ384&lt;&gt;"OK"),"GSTIN: "&amp;AJ384&amp;"; ","")&amp;IF(AND(AK384&lt;&gt;"",AK384&lt;&gt;"OK"),"PAN wrong format; ","")&amp;IF(AND(AO384&lt;&gt;"",LEN(AN384)=15,MID(AN384,3,10)&lt;&gt;AO384),"PAN does not match GSTIN; ","")&amp;IF(AND(AL384&lt;&gt;"",AL384&lt;&gt;"OK"),"TAN wrong format; ","")&amp;IF(AG384="","PAN missing; ","")&amp;IF(AP384="","Entity type missing; ","")&amp;IF(AND(AN384&lt;&gt;"",COUNTIF($AN$6:$AN$1005,AN384)&gt;1),"GSTIN repeated in this sheet; ","")&amp;IF(AND(AG384&lt;&gt;"",COUNTIF($AG$6:$AG$1005,AG384)&gt;1),"PAN repeated in this sheet (same client? put extra GSTINs in Other GSTINs); ","")&amp;IF(AND(AR384&gt;0,V384=""),"Financial year missing; ","")&amp;IF(AND(AR384=0,V384&lt;&gt;""),"Financial year given but no service is Yes; ","")&amp;IF(AND(W384="Yes",AN384=""),"GST needs a GSTIN; ","")&amp;IF(AND(W384="Yes",X384=""),"GST return frequency missing; ","")&amp;IF(AND(Y384="Yes",TRIM(H384)=""),"TDS needs a TAN; ","")&amp;IF(AND(AA384="Yes",AQ384&lt;&gt;"",AQ384&lt;&gt;"company",AQ384&lt;&gt;"llp"),"ROC is only for a company / LLP; ","")&amp;IF(AND(AA384="Yes",OR(AQ384="company",AQ384="llp"),TRIM(I384)=""),"ROC needs the CIN / LLPIN; ","")</f>
        <v/>
      </c>
    </row>
    <row r="385">
      <c r="A385" s="30" t="n"/>
      <c r="B385" s="31" t="n"/>
      <c r="C385" s="31" t="n"/>
      <c r="D385" s="31" t="n"/>
      <c r="E385" s="30" t="n"/>
      <c r="F385" s="30" t="n"/>
      <c r="G385" s="30" t="n"/>
      <c r="H385" s="30" t="n"/>
      <c r="I385" s="30" t="n"/>
      <c r="J385" s="32" t="n"/>
      <c r="K385" s="31" t="n"/>
      <c r="L385" s="30" t="n"/>
      <c r="M385" s="31" t="n"/>
      <c r="N385" s="31" t="n"/>
      <c r="O385" s="31" t="n"/>
      <c r="P385" s="30" t="n"/>
      <c r="Q385" s="31" t="n"/>
      <c r="R385" s="31" t="n"/>
      <c r="S385" s="31" t="n"/>
      <c r="T385" s="31" t="n"/>
      <c r="U385" s="30" t="n"/>
      <c r="V385" s="31" t="n"/>
      <c r="W385" s="31" t="n"/>
      <c r="X385" s="31" t="n"/>
      <c r="Y385" s="31" t="n"/>
      <c r="Z385" s="31" t="n"/>
      <c r="AA385" s="31" t="n"/>
      <c r="AB385" s="31" t="n"/>
      <c r="AC385" s="31" t="n"/>
      <c r="AD385" s="31" t="n"/>
      <c r="AE385" s="31" t="n"/>
      <c r="AF385" s="27">
        <f>IF(NOT(COUNTA(A385:AE385)&gt;0),"",IF(A385="","New client","Update"))</f>
        <v/>
      </c>
      <c r="AG385" s="27">
        <f>IF(AO385&lt;&gt;"",AO385,IF(LEN(AN385)=15,MID(AN385,3,10),""))</f>
        <v/>
      </c>
      <c r="AH385" s="27">
        <f>IF(AP385="","",AP385&amp;IF(D385="","  (guessed from PAN)",""))</f>
        <v/>
      </c>
      <c r="AI385" s="27">
        <f>IF(AN385="","",IFERROR(INDEX(Lists!$L$2:$L$38,MATCH(LEFT(AN385,2),Lists!$K$2:$K$38,0)),"Unknown code"))</f>
        <v/>
      </c>
      <c r="AJ385" s="27">
        <f>IF(AN385="","",IFERROR(IF(NOT(AND(LEN(AN385)=15,ISNUMBER(MATCH(LEFT(AN385,2),Lists!$K$2:$K$38,0)),SUMPRODUCT(--ISERROR(FIND(MID(MID(AN385,3,10),{1,2,3,4,5,10},1),"ABCDEFGHIJKLMNOPQRSTUVWXYZ")))=0,SUMPRODUCT(--ISERROR(FIND(MID(MID(AN385,3,10),{6,7,8,9},1),"0123456789")))=0,ISNUMBER(FIND(MID(AN385,13,1),"123456789ABCDEFGHIJKLMNOPQRSTUVWXYZ")),MID(AN385,14,1)="Z")),"Wrong format",IF(MID("0123456789ABCDEFGHIJKLMNOPQRSTUVWXYZ",MOD(36-MOD(SUMPRODUCT(INT((FIND(MID(AN385,{1,2,3,4,5,6,7,8,9,10,11,12,13,14},1),"0123456789ABCDEFGHIJKLMNOPQRSTUVWXYZ")-1)*{1,2,1,2,1,2,1,2,1,2,1,2,1,2}/36)+MOD((FIND(MID(AN385,{1,2,3,4,5,6,7,8,9,10,11,12,13,14},1),"0123456789ABCDEFGHIJKLMNOPQRSTUVWXYZ")-1)*{1,2,1,2,1,2,1,2,1,2,1,2,1,2},36)),36),36)+1,1)=MID(AN385,15,1),"OK","Typo? check digit wrong")),"Wrong format"))</f>
        <v/>
      </c>
      <c r="AK385" s="27">
        <f>IF(AO385="","",IF(AND(LEN(AO385)=10,SUMPRODUCT(--ISERROR(FIND(MID(AO385,{1,2,3,4,5,10},1),"ABCDEFGHIJKLMNOPQRSTUVWXYZ")))=0,SUMPRODUCT(--ISERROR(FIND(MID(AO385,{6,7,8,9},1),"0123456789")))=0),"OK","Wrong format"))</f>
        <v/>
      </c>
      <c r="AL385" s="27">
        <f>IF(TRIM(H385)="","",IF(AND(LEN(UPPER(TRIM(H385)))=10,SUMPRODUCT(--ISERROR(FIND(MID(UPPER(TRIM(H385)),{1,2,3,4,10},1),"ABCDEFGHIJKLMNOPQRSTUVWXYZ")))=0,SUMPRODUCT(--ISERROR(FIND(MID(UPPER(TRIM(H385)),{5,6,7,8,9},1),"0123456789")))=0),"OK","Wrong format"))</f>
        <v/>
      </c>
      <c r="AM385" s="28">
        <f>IF(NOT(COUNTA(A385:AE385)&gt;0),"",IF(AS385&lt;&gt;"","✖ "&amp;LEFT(AS385,LEN(AS385)-2),IF(AR385&gt;0,"✔ Ready — client + "&amp;AR385&amp;" service(s)","✔ Ready — client only")))</f>
        <v/>
      </c>
      <c r="AN385" s="29">
        <f>UPPER(SUBSTITUTE(TRIM(F385)," ",""))</f>
        <v/>
      </c>
      <c r="AO385" s="29">
        <f>UPPER(SUBSTITUTE(TRIM(E385)," ",""))</f>
        <v/>
      </c>
      <c r="AP385" s="29">
        <f>IF(D385&lt;&gt;"",D385,IFERROR(VLOOKUP(MID(AG385,4,1),Lists!$E$2:$F$8,2,FALSE),""))</f>
        <v/>
      </c>
      <c r="AQ385" s="29">
        <f>IFERROR(VLOOKUP(AP385,Lists!$A$2:$C$12,3,FALSE),"")</f>
        <v/>
      </c>
      <c r="AR385" s="29">
        <f>COUNTIF(W385:AC385,"Yes")</f>
        <v/>
      </c>
      <c r="AS385" s="29">
        <f>IF(TRIM(B385)="","Legal name missing; ","")&amp;IF(AND(AJ385&lt;&gt;"",AJ385&lt;&gt;"OK"),"GSTIN: "&amp;AJ385&amp;"; ","")&amp;IF(AND(AK385&lt;&gt;"",AK385&lt;&gt;"OK"),"PAN wrong format; ","")&amp;IF(AND(AO385&lt;&gt;"",LEN(AN385)=15,MID(AN385,3,10)&lt;&gt;AO385),"PAN does not match GSTIN; ","")&amp;IF(AND(AL385&lt;&gt;"",AL385&lt;&gt;"OK"),"TAN wrong format; ","")&amp;IF(AG385="","PAN missing; ","")&amp;IF(AP385="","Entity type missing; ","")&amp;IF(AND(AN385&lt;&gt;"",COUNTIF($AN$6:$AN$1005,AN385)&gt;1),"GSTIN repeated in this sheet; ","")&amp;IF(AND(AG385&lt;&gt;"",COUNTIF($AG$6:$AG$1005,AG385)&gt;1),"PAN repeated in this sheet (same client? put extra GSTINs in Other GSTINs); ","")&amp;IF(AND(AR385&gt;0,V385=""),"Financial year missing; ","")&amp;IF(AND(AR385=0,V385&lt;&gt;""),"Financial year given but no service is Yes; ","")&amp;IF(AND(W385="Yes",AN385=""),"GST needs a GSTIN; ","")&amp;IF(AND(W385="Yes",X385=""),"GST return frequency missing; ","")&amp;IF(AND(Y385="Yes",TRIM(H385)=""),"TDS needs a TAN; ","")&amp;IF(AND(AA385="Yes",AQ385&lt;&gt;"",AQ385&lt;&gt;"company",AQ385&lt;&gt;"llp"),"ROC is only for a company / LLP; ","")&amp;IF(AND(AA385="Yes",OR(AQ385="company",AQ385="llp"),TRIM(I385)=""),"ROC needs the CIN / LLPIN; ","")</f>
        <v/>
      </c>
    </row>
    <row r="386">
      <c r="A386" s="30" t="n"/>
      <c r="B386" s="31" t="n"/>
      <c r="C386" s="31" t="n"/>
      <c r="D386" s="31" t="n"/>
      <c r="E386" s="30" t="n"/>
      <c r="F386" s="30" t="n"/>
      <c r="G386" s="30" t="n"/>
      <c r="H386" s="30" t="n"/>
      <c r="I386" s="30" t="n"/>
      <c r="J386" s="32" t="n"/>
      <c r="K386" s="31" t="n"/>
      <c r="L386" s="30" t="n"/>
      <c r="M386" s="31" t="n"/>
      <c r="N386" s="31" t="n"/>
      <c r="O386" s="31" t="n"/>
      <c r="P386" s="30" t="n"/>
      <c r="Q386" s="31" t="n"/>
      <c r="R386" s="31" t="n"/>
      <c r="S386" s="31" t="n"/>
      <c r="T386" s="31" t="n"/>
      <c r="U386" s="30" t="n"/>
      <c r="V386" s="31" t="n"/>
      <c r="W386" s="31" t="n"/>
      <c r="X386" s="31" t="n"/>
      <c r="Y386" s="31" t="n"/>
      <c r="Z386" s="31" t="n"/>
      <c r="AA386" s="31" t="n"/>
      <c r="AB386" s="31" t="n"/>
      <c r="AC386" s="31" t="n"/>
      <c r="AD386" s="31" t="n"/>
      <c r="AE386" s="31" t="n"/>
      <c r="AF386" s="27">
        <f>IF(NOT(COUNTA(A386:AE386)&gt;0),"",IF(A386="","New client","Update"))</f>
        <v/>
      </c>
      <c r="AG386" s="27">
        <f>IF(AO386&lt;&gt;"",AO386,IF(LEN(AN386)=15,MID(AN386,3,10),""))</f>
        <v/>
      </c>
      <c r="AH386" s="27">
        <f>IF(AP386="","",AP386&amp;IF(D386="","  (guessed from PAN)",""))</f>
        <v/>
      </c>
      <c r="AI386" s="27">
        <f>IF(AN386="","",IFERROR(INDEX(Lists!$L$2:$L$38,MATCH(LEFT(AN386,2),Lists!$K$2:$K$38,0)),"Unknown code"))</f>
        <v/>
      </c>
      <c r="AJ386" s="27">
        <f>IF(AN386="","",IFERROR(IF(NOT(AND(LEN(AN386)=15,ISNUMBER(MATCH(LEFT(AN386,2),Lists!$K$2:$K$38,0)),SUMPRODUCT(--ISERROR(FIND(MID(MID(AN386,3,10),{1,2,3,4,5,10},1),"ABCDEFGHIJKLMNOPQRSTUVWXYZ")))=0,SUMPRODUCT(--ISERROR(FIND(MID(MID(AN386,3,10),{6,7,8,9},1),"0123456789")))=0,ISNUMBER(FIND(MID(AN386,13,1),"123456789ABCDEFGHIJKLMNOPQRSTUVWXYZ")),MID(AN386,14,1)="Z")),"Wrong format",IF(MID("0123456789ABCDEFGHIJKLMNOPQRSTUVWXYZ",MOD(36-MOD(SUMPRODUCT(INT((FIND(MID(AN386,{1,2,3,4,5,6,7,8,9,10,11,12,13,14},1),"0123456789ABCDEFGHIJKLMNOPQRSTUVWXYZ")-1)*{1,2,1,2,1,2,1,2,1,2,1,2,1,2}/36)+MOD((FIND(MID(AN386,{1,2,3,4,5,6,7,8,9,10,11,12,13,14},1),"0123456789ABCDEFGHIJKLMNOPQRSTUVWXYZ")-1)*{1,2,1,2,1,2,1,2,1,2,1,2,1,2},36)),36),36)+1,1)=MID(AN386,15,1),"OK","Typo? check digit wrong")),"Wrong format"))</f>
        <v/>
      </c>
      <c r="AK386" s="27">
        <f>IF(AO386="","",IF(AND(LEN(AO386)=10,SUMPRODUCT(--ISERROR(FIND(MID(AO386,{1,2,3,4,5,10},1),"ABCDEFGHIJKLMNOPQRSTUVWXYZ")))=0,SUMPRODUCT(--ISERROR(FIND(MID(AO386,{6,7,8,9},1),"0123456789")))=0),"OK","Wrong format"))</f>
        <v/>
      </c>
      <c r="AL386" s="27">
        <f>IF(TRIM(H386)="","",IF(AND(LEN(UPPER(TRIM(H386)))=10,SUMPRODUCT(--ISERROR(FIND(MID(UPPER(TRIM(H386)),{1,2,3,4,10},1),"ABCDEFGHIJKLMNOPQRSTUVWXYZ")))=0,SUMPRODUCT(--ISERROR(FIND(MID(UPPER(TRIM(H386)),{5,6,7,8,9},1),"0123456789")))=0),"OK","Wrong format"))</f>
        <v/>
      </c>
      <c r="AM386" s="28">
        <f>IF(NOT(COUNTA(A386:AE386)&gt;0),"",IF(AS386&lt;&gt;"","✖ "&amp;LEFT(AS386,LEN(AS386)-2),IF(AR386&gt;0,"✔ Ready — client + "&amp;AR386&amp;" service(s)","✔ Ready — client only")))</f>
        <v/>
      </c>
      <c r="AN386" s="29">
        <f>UPPER(SUBSTITUTE(TRIM(F386)," ",""))</f>
        <v/>
      </c>
      <c r="AO386" s="29">
        <f>UPPER(SUBSTITUTE(TRIM(E386)," ",""))</f>
        <v/>
      </c>
      <c r="AP386" s="29">
        <f>IF(D386&lt;&gt;"",D386,IFERROR(VLOOKUP(MID(AG386,4,1),Lists!$E$2:$F$8,2,FALSE),""))</f>
        <v/>
      </c>
      <c r="AQ386" s="29">
        <f>IFERROR(VLOOKUP(AP386,Lists!$A$2:$C$12,3,FALSE),"")</f>
        <v/>
      </c>
      <c r="AR386" s="29">
        <f>COUNTIF(W386:AC386,"Yes")</f>
        <v/>
      </c>
      <c r="AS386" s="29">
        <f>IF(TRIM(B386)="","Legal name missing; ","")&amp;IF(AND(AJ386&lt;&gt;"",AJ386&lt;&gt;"OK"),"GSTIN: "&amp;AJ386&amp;"; ","")&amp;IF(AND(AK386&lt;&gt;"",AK386&lt;&gt;"OK"),"PAN wrong format; ","")&amp;IF(AND(AO386&lt;&gt;"",LEN(AN386)=15,MID(AN386,3,10)&lt;&gt;AO386),"PAN does not match GSTIN; ","")&amp;IF(AND(AL386&lt;&gt;"",AL386&lt;&gt;"OK"),"TAN wrong format; ","")&amp;IF(AG386="","PAN missing; ","")&amp;IF(AP386="","Entity type missing; ","")&amp;IF(AND(AN386&lt;&gt;"",COUNTIF($AN$6:$AN$1005,AN386)&gt;1),"GSTIN repeated in this sheet; ","")&amp;IF(AND(AG386&lt;&gt;"",COUNTIF($AG$6:$AG$1005,AG386)&gt;1),"PAN repeated in this sheet (same client? put extra GSTINs in Other GSTINs); ","")&amp;IF(AND(AR386&gt;0,V386=""),"Financial year missing; ","")&amp;IF(AND(AR386=0,V386&lt;&gt;""),"Financial year given but no service is Yes; ","")&amp;IF(AND(W386="Yes",AN386=""),"GST needs a GSTIN; ","")&amp;IF(AND(W386="Yes",X386=""),"GST return frequency missing; ","")&amp;IF(AND(Y386="Yes",TRIM(H386)=""),"TDS needs a TAN; ","")&amp;IF(AND(AA386="Yes",AQ386&lt;&gt;"",AQ386&lt;&gt;"company",AQ386&lt;&gt;"llp"),"ROC is only for a company / LLP; ","")&amp;IF(AND(AA386="Yes",OR(AQ386="company",AQ386="llp"),TRIM(I386)=""),"ROC needs the CIN / LLPIN; ","")</f>
        <v/>
      </c>
    </row>
    <row r="387">
      <c r="A387" s="30" t="n"/>
      <c r="B387" s="31" t="n"/>
      <c r="C387" s="31" t="n"/>
      <c r="D387" s="31" t="n"/>
      <c r="E387" s="30" t="n"/>
      <c r="F387" s="30" t="n"/>
      <c r="G387" s="30" t="n"/>
      <c r="H387" s="30" t="n"/>
      <c r="I387" s="30" t="n"/>
      <c r="J387" s="32" t="n"/>
      <c r="K387" s="31" t="n"/>
      <c r="L387" s="30" t="n"/>
      <c r="M387" s="31" t="n"/>
      <c r="N387" s="31" t="n"/>
      <c r="O387" s="31" t="n"/>
      <c r="P387" s="30" t="n"/>
      <c r="Q387" s="31" t="n"/>
      <c r="R387" s="31" t="n"/>
      <c r="S387" s="31" t="n"/>
      <c r="T387" s="31" t="n"/>
      <c r="U387" s="30" t="n"/>
      <c r="V387" s="31" t="n"/>
      <c r="W387" s="31" t="n"/>
      <c r="X387" s="31" t="n"/>
      <c r="Y387" s="31" t="n"/>
      <c r="Z387" s="31" t="n"/>
      <c r="AA387" s="31" t="n"/>
      <c r="AB387" s="31" t="n"/>
      <c r="AC387" s="31" t="n"/>
      <c r="AD387" s="31" t="n"/>
      <c r="AE387" s="31" t="n"/>
      <c r="AF387" s="27">
        <f>IF(NOT(COUNTA(A387:AE387)&gt;0),"",IF(A387="","New client","Update"))</f>
        <v/>
      </c>
      <c r="AG387" s="27">
        <f>IF(AO387&lt;&gt;"",AO387,IF(LEN(AN387)=15,MID(AN387,3,10),""))</f>
        <v/>
      </c>
      <c r="AH387" s="27">
        <f>IF(AP387="","",AP387&amp;IF(D387="","  (guessed from PAN)",""))</f>
        <v/>
      </c>
      <c r="AI387" s="27">
        <f>IF(AN387="","",IFERROR(INDEX(Lists!$L$2:$L$38,MATCH(LEFT(AN387,2),Lists!$K$2:$K$38,0)),"Unknown code"))</f>
        <v/>
      </c>
      <c r="AJ387" s="27">
        <f>IF(AN387="","",IFERROR(IF(NOT(AND(LEN(AN387)=15,ISNUMBER(MATCH(LEFT(AN387,2),Lists!$K$2:$K$38,0)),SUMPRODUCT(--ISERROR(FIND(MID(MID(AN387,3,10),{1,2,3,4,5,10},1),"ABCDEFGHIJKLMNOPQRSTUVWXYZ")))=0,SUMPRODUCT(--ISERROR(FIND(MID(MID(AN387,3,10),{6,7,8,9},1),"0123456789")))=0,ISNUMBER(FIND(MID(AN387,13,1),"123456789ABCDEFGHIJKLMNOPQRSTUVWXYZ")),MID(AN387,14,1)="Z")),"Wrong format",IF(MID("0123456789ABCDEFGHIJKLMNOPQRSTUVWXYZ",MOD(36-MOD(SUMPRODUCT(INT((FIND(MID(AN387,{1,2,3,4,5,6,7,8,9,10,11,12,13,14},1),"0123456789ABCDEFGHIJKLMNOPQRSTUVWXYZ")-1)*{1,2,1,2,1,2,1,2,1,2,1,2,1,2}/36)+MOD((FIND(MID(AN387,{1,2,3,4,5,6,7,8,9,10,11,12,13,14},1),"0123456789ABCDEFGHIJKLMNOPQRSTUVWXYZ")-1)*{1,2,1,2,1,2,1,2,1,2,1,2,1,2},36)),36),36)+1,1)=MID(AN387,15,1),"OK","Typo? check digit wrong")),"Wrong format"))</f>
        <v/>
      </c>
      <c r="AK387" s="27">
        <f>IF(AO387="","",IF(AND(LEN(AO387)=10,SUMPRODUCT(--ISERROR(FIND(MID(AO387,{1,2,3,4,5,10},1),"ABCDEFGHIJKLMNOPQRSTUVWXYZ")))=0,SUMPRODUCT(--ISERROR(FIND(MID(AO387,{6,7,8,9},1),"0123456789")))=0),"OK","Wrong format"))</f>
        <v/>
      </c>
      <c r="AL387" s="27">
        <f>IF(TRIM(H387)="","",IF(AND(LEN(UPPER(TRIM(H387)))=10,SUMPRODUCT(--ISERROR(FIND(MID(UPPER(TRIM(H387)),{1,2,3,4,10},1),"ABCDEFGHIJKLMNOPQRSTUVWXYZ")))=0,SUMPRODUCT(--ISERROR(FIND(MID(UPPER(TRIM(H387)),{5,6,7,8,9},1),"0123456789")))=0),"OK","Wrong format"))</f>
        <v/>
      </c>
      <c r="AM387" s="28">
        <f>IF(NOT(COUNTA(A387:AE387)&gt;0),"",IF(AS387&lt;&gt;"","✖ "&amp;LEFT(AS387,LEN(AS387)-2),IF(AR387&gt;0,"✔ Ready — client + "&amp;AR387&amp;" service(s)","✔ Ready — client only")))</f>
        <v/>
      </c>
      <c r="AN387" s="29">
        <f>UPPER(SUBSTITUTE(TRIM(F387)," ",""))</f>
        <v/>
      </c>
      <c r="AO387" s="29">
        <f>UPPER(SUBSTITUTE(TRIM(E387)," ",""))</f>
        <v/>
      </c>
      <c r="AP387" s="29">
        <f>IF(D387&lt;&gt;"",D387,IFERROR(VLOOKUP(MID(AG387,4,1),Lists!$E$2:$F$8,2,FALSE),""))</f>
        <v/>
      </c>
      <c r="AQ387" s="29">
        <f>IFERROR(VLOOKUP(AP387,Lists!$A$2:$C$12,3,FALSE),"")</f>
        <v/>
      </c>
      <c r="AR387" s="29">
        <f>COUNTIF(W387:AC387,"Yes")</f>
        <v/>
      </c>
      <c r="AS387" s="29">
        <f>IF(TRIM(B387)="","Legal name missing; ","")&amp;IF(AND(AJ387&lt;&gt;"",AJ387&lt;&gt;"OK"),"GSTIN: "&amp;AJ387&amp;"; ","")&amp;IF(AND(AK387&lt;&gt;"",AK387&lt;&gt;"OK"),"PAN wrong format; ","")&amp;IF(AND(AO387&lt;&gt;"",LEN(AN387)=15,MID(AN387,3,10)&lt;&gt;AO387),"PAN does not match GSTIN; ","")&amp;IF(AND(AL387&lt;&gt;"",AL387&lt;&gt;"OK"),"TAN wrong format; ","")&amp;IF(AG387="","PAN missing; ","")&amp;IF(AP387="","Entity type missing; ","")&amp;IF(AND(AN387&lt;&gt;"",COUNTIF($AN$6:$AN$1005,AN387)&gt;1),"GSTIN repeated in this sheet; ","")&amp;IF(AND(AG387&lt;&gt;"",COUNTIF($AG$6:$AG$1005,AG387)&gt;1),"PAN repeated in this sheet (same client? put extra GSTINs in Other GSTINs); ","")&amp;IF(AND(AR387&gt;0,V387=""),"Financial year missing; ","")&amp;IF(AND(AR387=0,V387&lt;&gt;""),"Financial year given but no service is Yes; ","")&amp;IF(AND(W387="Yes",AN387=""),"GST needs a GSTIN; ","")&amp;IF(AND(W387="Yes",X387=""),"GST return frequency missing; ","")&amp;IF(AND(Y387="Yes",TRIM(H387)=""),"TDS needs a TAN; ","")&amp;IF(AND(AA387="Yes",AQ387&lt;&gt;"",AQ387&lt;&gt;"company",AQ387&lt;&gt;"llp"),"ROC is only for a company / LLP; ","")&amp;IF(AND(AA387="Yes",OR(AQ387="company",AQ387="llp"),TRIM(I387)=""),"ROC needs the CIN / LLPIN; ","")</f>
        <v/>
      </c>
    </row>
    <row r="388">
      <c r="A388" s="30" t="n"/>
      <c r="B388" s="31" t="n"/>
      <c r="C388" s="31" t="n"/>
      <c r="D388" s="31" t="n"/>
      <c r="E388" s="30" t="n"/>
      <c r="F388" s="30" t="n"/>
      <c r="G388" s="30" t="n"/>
      <c r="H388" s="30" t="n"/>
      <c r="I388" s="30" t="n"/>
      <c r="J388" s="32" t="n"/>
      <c r="K388" s="31" t="n"/>
      <c r="L388" s="30" t="n"/>
      <c r="M388" s="31" t="n"/>
      <c r="N388" s="31" t="n"/>
      <c r="O388" s="31" t="n"/>
      <c r="P388" s="30" t="n"/>
      <c r="Q388" s="31" t="n"/>
      <c r="R388" s="31" t="n"/>
      <c r="S388" s="31" t="n"/>
      <c r="T388" s="31" t="n"/>
      <c r="U388" s="30" t="n"/>
      <c r="V388" s="31" t="n"/>
      <c r="W388" s="31" t="n"/>
      <c r="X388" s="31" t="n"/>
      <c r="Y388" s="31" t="n"/>
      <c r="Z388" s="31" t="n"/>
      <c r="AA388" s="31" t="n"/>
      <c r="AB388" s="31" t="n"/>
      <c r="AC388" s="31" t="n"/>
      <c r="AD388" s="31" t="n"/>
      <c r="AE388" s="31" t="n"/>
      <c r="AF388" s="27">
        <f>IF(NOT(COUNTA(A388:AE388)&gt;0),"",IF(A388="","New client","Update"))</f>
        <v/>
      </c>
      <c r="AG388" s="27">
        <f>IF(AO388&lt;&gt;"",AO388,IF(LEN(AN388)=15,MID(AN388,3,10),""))</f>
        <v/>
      </c>
      <c r="AH388" s="27">
        <f>IF(AP388="","",AP388&amp;IF(D388="","  (guessed from PAN)",""))</f>
        <v/>
      </c>
      <c r="AI388" s="27">
        <f>IF(AN388="","",IFERROR(INDEX(Lists!$L$2:$L$38,MATCH(LEFT(AN388,2),Lists!$K$2:$K$38,0)),"Unknown code"))</f>
        <v/>
      </c>
      <c r="AJ388" s="27">
        <f>IF(AN388="","",IFERROR(IF(NOT(AND(LEN(AN388)=15,ISNUMBER(MATCH(LEFT(AN388,2),Lists!$K$2:$K$38,0)),SUMPRODUCT(--ISERROR(FIND(MID(MID(AN388,3,10),{1,2,3,4,5,10},1),"ABCDEFGHIJKLMNOPQRSTUVWXYZ")))=0,SUMPRODUCT(--ISERROR(FIND(MID(MID(AN388,3,10),{6,7,8,9},1),"0123456789")))=0,ISNUMBER(FIND(MID(AN388,13,1),"123456789ABCDEFGHIJKLMNOPQRSTUVWXYZ")),MID(AN388,14,1)="Z")),"Wrong format",IF(MID("0123456789ABCDEFGHIJKLMNOPQRSTUVWXYZ",MOD(36-MOD(SUMPRODUCT(INT((FIND(MID(AN388,{1,2,3,4,5,6,7,8,9,10,11,12,13,14},1),"0123456789ABCDEFGHIJKLMNOPQRSTUVWXYZ")-1)*{1,2,1,2,1,2,1,2,1,2,1,2,1,2}/36)+MOD((FIND(MID(AN388,{1,2,3,4,5,6,7,8,9,10,11,12,13,14},1),"0123456789ABCDEFGHIJKLMNOPQRSTUVWXYZ")-1)*{1,2,1,2,1,2,1,2,1,2,1,2,1,2},36)),36),36)+1,1)=MID(AN388,15,1),"OK","Typo? check digit wrong")),"Wrong format"))</f>
        <v/>
      </c>
      <c r="AK388" s="27">
        <f>IF(AO388="","",IF(AND(LEN(AO388)=10,SUMPRODUCT(--ISERROR(FIND(MID(AO388,{1,2,3,4,5,10},1),"ABCDEFGHIJKLMNOPQRSTUVWXYZ")))=0,SUMPRODUCT(--ISERROR(FIND(MID(AO388,{6,7,8,9},1),"0123456789")))=0),"OK","Wrong format"))</f>
        <v/>
      </c>
      <c r="AL388" s="27">
        <f>IF(TRIM(H388)="","",IF(AND(LEN(UPPER(TRIM(H388)))=10,SUMPRODUCT(--ISERROR(FIND(MID(UPPER(TRIM(H388)),{1,2,3,4,10},1),"ABCDEFGHIJKLMNOPQRSTUVWXYZ")))=0,SUMPRODUCT(--ISERROR(FIND(MID(UPPER(TRIM(H388)),{5,6,7,8,9},1),"0123456789")))=0),"OK","Wrong format"))</f>
        <v/>
      </c>
      <c r="AM388" s="28">
        <f>IF(NOT(COUNTA(A388:AE388)&gt;0),"",IF(AS388&lt;&gt;"","✖ "&amp;LEFT(AS388,LEN(AS388)-2),IF(AR388&gt;0,"✔ Ready — client + "&amp;AR388&amp;" service(s)","✔ Ready — client only")))</f>
        <v/>
      </c>
      <c r="AN388" s="29">
        <f>UPPER(SUBSTITUTE(TRIM(F388)," ",""))</f>
        <v/>
      </c>
      <c r="AO388" s="29">
        <f>UPPER(SUBSTITUTE(TRIM(E388)," ",""))</f>
        <v/>
      </c>
      <c r="AP388" s="29">
        <f>IF(D388&lt;&gt;"",D388,IFERROR(VLOOKUP(MID(AG388,4,1),Lists!$E$2:$F$8,2,FALSE),""))</f>
        <v/>
      </c>
      <c r="AQ388" s="29">
        <f>IFERROR(VLOOKUP(AP388,Lists!$A$2:$C$12,3,FALSE),"")</f>
        <v/>
      </c>
      <c r="AR388" s="29">
        <f>COUNTIF(W388:AC388,"Yes")</f>
        <v/>
      </c>
      <c r="AS388" s="29">
        <f>IF(TRIM(B388)="","Legal name missing; ","")&amp;IF(AND(AJ388&lt;&gt;"",AJ388&lt;&gt;"OK"),"GSTIN: "&amp;AJ388&amp;"; ","")&amp;IF(AND(AK388&lt;&gt;"",AK388&lt;&gt;"OK"),"PAN wrong format; ","")&amp;IF(AND(AO388&lt;&gt;"",LEN(AN388)=15,MID(AN388,3,10)&lt;&gt;AO388),"PAN does not match GSTIN; ","")&amp;IF(AND(AL388&lt;&gt;"",AL388&lt;&gt;"OK"),"TAN wrong format; ","")&amp;IF(AG388="","PAN missing; ","")&amp;IF(AP388="","Entity type missing; ","")&amp;IF(AND(AN388&lt;&gt;"",COUNTIF($AN$6:$AN$1005,AN388)&gt;1),"GSTIN repeated in this sheet; ","")&amp;IF(AND(AG388&lt;&gt;"",COUNTIF($AG$6:$AG$1005,AG388)&gt;1),"PAN repeated in this sheet (same client? put extra GSTINs in Other GSTINs); ","")&amp;IF(AND(AR388&gt;0,V388=""),"Financial year missing; ","")&amp;IF(AND(AR388=0,V388&lt;&gt;""),"Financial year given but no service is Yes; ","")&amp;IF(AND(W388="Yes",AN388=""),"GST needs a GSTIN; ","")&amp;IF(AND(W388="Yes",X388=""),"GST return frequency missing; ","")&amp;IF(AND(Y388="Yes",TRIM(H388)=""),"TDS needs a TAN; ","")&amp;IF(AND(AA388="Yes",AQ388&lt;&gt;"",AQ388&lt;&gt;"company",AQ388&lt;&gt;"llp"),"ROC is only for a company / LLP; ","")&amp;IF(AND(AA388="Yes",OR(AQ388="company",AQ388="llp"),TRIM(I388)=""),"ROC needs the CIN / LLPIN; ","")</f>
        <v/>
      </c>
    </row>
    <row r="389">
      <c r="A389" s="30" t="n"/>
      <c r="B389" s="31" t="n"/>
      <c r="C389" s="31" t="n"/>
      <c r="D389" s="31" t="n"/>
      <c r="E389" s="30" t="n"/>
      <c r="F389" s="30" t="n"/>
      <c r="G389" s="30" t="n"/>
      <c r="H389" s="30" t="n"/>
      <c r="I389" s="30" t="n"/>
      <c r="J389" s="32" t="n"/>
      <c r="K389" s="31" t="n"/>
      <c r="L389" s="30" t="n"/>
      <c r="M389" s="31" t="n"/>
      <c r="N389" s="31" t="n"/>
      <c r="O389" s="31" t="n"/>
      <c r="P389" s="30" t="n"/>
      <c r="Q389" s="31" t="n"/>
      <c r="R389" s="31" t="n"/>
      <c r="S389" s="31" t="n"/>
      <c r="T389" s="31" t="n"/>
      <c r="U389" s="30" t="n"/>
      <c r="V389" s="31" t="n"/>
      <c r="W389" s="31" t="n"/>
      <c r="X389" s="31" t="n"/>
      <c r="Y389" s="31" t="n"/>
      <c r="Z389" s="31" t="n"/>
      <c r="AA389" s="31" t="n"/>
      <c r="AB389" s="31" t="n"/>
      <c r="AC389" s="31" t="n"/>
      <c r="AD389" s="31" t="n"/>
      <c r="AE389" s="31" t="n"/>
      <c r="AF389" s="27">
        <f>IF(NOT(COUNTA(A389:AE389)&gt;0),"",IF(A389="","New client","Update"))</f>
        <v/>
      </c>
      <c r="AG389" s="27">
        <f>IF(AO389&lt;&gt;"",AO389,IF(LEN(AN389)=15,MID(AN389,3,10),""))</f>
        <v/>
      </c>
      <c r="AH389" s="27">
        <f>IF(AP389="","",AP389&amp;IF(D389="","  (guessed from PAN)",""))</f>
        <v/>
      </c>
      <c r="AI389" s="27">
        <f>IF(AN389="","",IFERROR(INDEX(Lists!$L$2:$L$38,MATCH(LEFT(AN389,2),Lists!$K$2:$K$38,0)),"Unknown code"))</f>
        <v/>
      </c>
      <c r="AJ389" s="27">
        <f>IF(AN389="","",IFERROR(IF(NOT(AND(LEN(AN389)=15,ISNUMBER(MATCH(LEFT(AN389,2),Lists!$K$2:$K$38,0)),SUMPRODUCT(--ISERROR(FIND(MID(MID(AN389,3,10),{1,2,3,4,5,10},1),"ABCDEFGHIJKLMNOPQRSTUVWXYZ")))=0,SUMPRODUCT(--ISERROR(FIND(MID(MID(AN389,3,10),{6,7,8,9},1),"0123456789")))=0,ISNUMBER(FIND(MID(AN389,13,1),"123456789ABCDEFGHIJKLMNOPQRSTUVWXYZ")),MID(AN389,14,1)="Z")),"Wrong format",IF(MID("0123456789ABCDEFGHIJKLMNOPQRSTUVWXYZ",MOD(36-MOD(SUMPRODUCT(INT((FIND(MID(AN389,{1,2,3,4,5,6,7,8,9,10,11,12,13,14},1),"0123456789ABCDEFGHIJKLMNOPQRSTUVWXYZ")-1)*{1,2,1,2,1,2,1,2,1,2,1,2,1,2}/36)+MOD((FIND(MID(AN389,{1,2,3,4,5,6,7,8,9,10,11,12,13,14},1),"0123456789ABCDEFGHIJKLMNOPQRSTUVWXYZ")-1)*{1,2,1,2,1,2,1,2,1,2,1,2,1,2},36)),36),36)+1,1)=MID(AN389,15,1),"OK","Typo? check digit wrong")),"Wrong format"))</f>
        <v/>
      </c>
      <c r="AK389" s="27">
        <f>IF(AO389="","",IF(AND(LEN(AO389)=10,SUMPRODUCT(--ISERROR(FIND(MID(AO389,{1,2,3,4,5,10},1),"ABCDEFGHIJKLMNOPQRSTUVWXYZ")))=0,SUMPRODUCT(--ISERROR(FIND(MID(AO389,{6,7,8,9},1),"0123456789")))=0),"OK","Wrong format"))</f>
        <v/>
      </c>
      <c r="AL389" s="27">
        <f>IF(TRIM(H389)="","",IF(AND(LEN(UPPER(TRIM(H389)))=10,SUMPRODUCT(--ISERROR(FIND(MID(UPPER(TRIM(H389)),{1,2,3,4,10},1),"ABCDEFGHIJKLMNOPQRSTUVWXYZ")))=0,SUMPRODUCT(--ISERROR(FIND(MID(UPPER(TRIM(H389)),{5,6,7,8,9},1),"0123456789")))=0),"OK","Wrong format"))</f>
        <v/>
      </c>
      <c r="AM389" s="28">
        <f>IF(NOT(COUNTA(A389:AE389)&gt;0),"",IF(AS389&lt;&gt;"","✖ "&amp;LEFT(AS389,LEN(AS389)-2),IF(AR389&gt;0,"✔ Ready — client + "&amp;AR389&amp;" service(s)","✔ Ready — client only")))</f>
        <v/>
      </c>
      <c r="AN389" s="29">
        <f>UPPER(SUBSTITUTE(TRIM(F389)," ",""))</f>
        <v/>
      </c>
      <c r="AO389" s="29">
        <f>UPPER(SUBSTITUTE(TRIM(E389)," ",""))</f>
        <v/>
      </c>
      <c r="AP389" s="29">
        <f>IF(D389&lt;&gt;"",D389,IFERROR(VLOOKUP(MID(AG389,4,1),Lists!$E$2:$F$8,2,FALSE),""))</f>
        <v/>
      </c>
      <c r="AQ389" s="29">
        <f>IFERROR(VLOOKUP(AP389,Lists!$A$2:$C$12,3,FALSE),"")</f>
        <v/>
      </c>
      <c r="AR389" s="29">
        <f>COUNTIF(W389:AC389,"Yes")</f>
        <v/>
      </c>
      <c r="AS389" s="29">
        <f>IF(TRIM(B389)="","Legal name missing; ","")&amp;IF(AND(AJ389&lt;&gt;"",AJ389&lt;&gt;"OK"),"GSTIN: "&amp;AJ389&amp;"; ","")&amp;IF(AND(AK389&lt;&gt;"",AK389&lt;&gt;"OK"),"PAN wrong format; ","")&amp;IF(AND(AO389&lt;&gt;"",LEN(AN389)=15,MID(AN389,3,10)&lt;&gt;AO389),"PAN does not match GSTIN; ","")&amp;IF(AND(AL389&lt;&gt;"",AL389&lt;&gt;"OK"),"TAN wrong format; ","")&amp;IF(AG389="","PAN missing; ","")&amp;IF(AP389="","Entity type missing; ","")&amp;IF(AND(AN389&lt;&gt;"",COUNTIF($AN$6:$AN$1005,AN389)&gt;1),"GSTIN repeated in this sheet; ","")&amp;IF(AND(AG389&lt;&gt;"",COUNTIF($AG$6:$AG$1005,AG389)&gt;1),"PAN repeated in this sheet (same client? put extra GSTINs in Other GSTINs); ","")&amp;IF(AND(AR389&gt;0,V389=""),"Financial year missing; ","")&amp;IF(AND(AR389=0,V389&lt;&gt;""),"Financial year given but no service is Yes; ","")&amp;IF(AND(W389="Yes",AN389=""),"GST needs a GSTIN; ","")&amp;IF(AND(W389="Yes",X389=""),"GST return frequency missing; ","")&amp;IF(AND(Y389="Yes",TRIM(H389)=""),"TDS needs a TAN; ","")&amp;IF(AND(AA389="Yes",AQ389&lt;&gt;"",AQ389&lt;&gt;"company",AQ389&lt;&gt;"llp"),"ROC is only for a company / LLP; ","")&amp;IF(AND(AA389="Yes",OR(AQ389="company",AQ389="llp"),TRIM(I389)=""),"ROC needs the CIN / LLPIN; ","")</f>
        <v/>
      </c>
    </row>
    <row r="390">
      <c r="A390" s="30" t="n"/>
      <c r="B390" s="31" t="n"/>
      <c r="C390" s="31" t="n"/>
      <c r="D390" s="31" t="n"/>
      <c r="E390" s="30" t="n"/>
      <c r="F390" s="30" t="n"/>
      <c r="G390" s="30" t="n"/>
      <c r="H390" s="30" t="n"/>
      <c r="I390" s="30" t="n"/>
      <c r="J390" s="32" t="n"/>
      <c r="K390" s="31" t="n"/>
      <c r="L390" s="30" t="n"/>
      <c r="M390" s="31" t="n"/>
      <c r="N390" s="31" t="n"/>
      <c r="O390" s="31" t="n"/>
      <c r="P390" s="30" t="n"/>
      <c r="Q390" s="31" t="n"/>
      <c r="R390" s="31" t="n"/>
      <c r="S390" s="31" t="n"/>
      <c r="T390" s="31" t="n"/>
      <c r="U390" s="30" t="n"/>
      <c r="V390" s="31" t="n"/>
      <c r="W390" s="31" t="n"/>
      <c r="X390" s="31" t="n"/>
      <c r="Y390" s="31" t="n"/>
      <c r="Z390" s="31" t="n"/>
      <c r="AA390" s="31" t="n"/>
      <c r="AB390" s="31" t="n"/>
      <c r="AC390" s="31" t="n"/>
      <c r="AD390" s="31" t="n"/>
      <c r="AE390" s="31" t="n"/>
      <c r="AF390" s="27">
        <f>IF(NOT(COUNTA(A390:AE390)&gt;0),"",IF(A390="","New client","Update"))</f>
        <v/>
      </c>
      <c r="AG390" s="27">
        <f>IF(AO390&lt;&gt;"",AO390,IF(LEN(AN390)=15,MID(AN390,3,10),""))</f>
        <v/>
      </c>
      <c r="AH390" s="27">
        <f>IF(AP390="","",AP390&amp;IF(D390="","  (guessed from PAN)",""))</f>
        <v/>
      </c>
      <c r="AI390" s="27">
        <f>IF(AN390="","",IFERROR(INDEX(Lists!$L$2:$L$38,MATCH(LEFT(AN390,2),Lists!$K$2:$K$38,0)),"Unknown code"))</f>
        <v/>
      </c>
      <c r="AJ390" s="27">
        <f>IF(AN390="","",IFERROR(IF(NOT(AND(LEN(AN390)=15,ISNUMBER(MATCH(LEFT(AN390,2),Lists!$K$2:$K$38,0)),SUMPRODUCT(--ISERROR(FIND(MID(MID(AN390,3,10),{1,2,3,4,5,10},1),"ABCDEFGHIJKLMNOPQRSTUVWXYZ")))=0,SUMPRODUCT(--ISERROR(FIND(MID(MID(AN390,3,10),{6,7,8,9},1),"0123456789")))=0,ISNUMBER(FIND(MID(AN390,13,1),"123456789ABCDEFGHIJKLMNOPQRSTUVWXYZ")),MID(AN390,14,1)="Z")),"Wrong format",IF(MID("0123456789ABCDEFGHIJKLMNOPQRSTUVWXYZ",MOD(36-MOD(SUMPRODUCT(INT((FIND(MID(AN390,{1,2,3,4,5,6,7,8,9,10,11,12,13,14},1),"0123456789ABCDEFGHIJKLMNOPQRSTUVWXYZ")-1)*{1,2,1,2,1,2,1,2,1,2,1,2,1,2}/36)+MOD((FIND(MID(AN390,{1,2,3,4,5,6,7,8,9,10,11,12,13,14},1),"0123456789ABCDEFGHIJKLMNOPQRSTUVWXYZ")-1)*{1,2,1,2,1,2,1,2,1,2,1,2,1,2},36)),36),36)+1,1)=MID(AN390,15,1),"OK","Typo? check digit wrong")),"Wrong format"))</f>
        <v/>
      </c>
      <c r="AK390" s="27">
        <f>IF(AO390="","",IF(AND(LEN(AO390)=10,SUMPRODUCT(--ISERROR(FIND(MID(AO390,{1,2,3,4,5,10},1),"ABCDEFGHIJKLMNOPQRSTUVWXYZ")))=0,SUMPRODUCT(--ISERROR(FIND(MID(AO390,{6,7,8,9},1),"0123456789")))=0),"OK","Wrong format"))</f>
        <v/>
      </c>
      <c r="AL390" s="27">
        <f>IF(TRIM(H390)="","",IF(AND(LEN(UPPER(TRIM(H390)))=10,SUMPRODUCT(--ISERROR(FIND(MID(UPPER(TRIM(H390)),{1,2,3,4,10},1),"ABCDEFGHIJKLMNOPQRSTUVWXYZ")))=0,SUMPRODUCT(--ISERROR(FIND(MID(UPPER(TRIM(H390)),{5,6,7,8,9},1),"0123456789")))=0),"OK","Wrong format"))</f>
        <v/>
      </c>
      <c r="AM390" s="28">
        <f>IF(NOT(COUNTA(A390:AE390)&gt;0),"",IF(AS390&lt;&gt;"","✖ "&amp;LEFT(AS390,LEN(AS390)-2),IF(AR390&gt;0,"✔ Ready — client + "&amp;AR390&amp;" service(s)","✔ Ready — client only")))</f>
        <v/>
      </c>
      <c r="AN390" s="29">
        <f>UPPER(SUBSTITUTE(TRIM(F390)," ",""))</f>
        <v/>
      </c>
      <c r="AO390" s="29">
        <f>UPPER(SUBSTITUTE(TRIM(E390)," ",""))</f>
        <v/>
      </c>
      <c r="AP390" s="29">
        <f>IF(D390&lt;&gt;"",D390,IFERROR(VLOOKUP(MID(AG390,4,1),Lists!$E$2:$F$8,2,FALSE),""))</f>
        <v/>
      </c>
      <c r="AQ390" s="29">
        <f>IFERROR(VLOOKUP(AP390,Lists!$A$2:$C$12,3,FALSE),"")</f>
        <v/>
      </c>
      <c r="AR390" s="29">
        <f>COUNTIF(W390:AC390,"Yes")</f>
        <v/>
      </c>
      <c r="AS390" s="29">
        <f>IF(TRIM(B390)="","Legal name missing; ","")&amp;IF(AND(AJ390&lt;&gt;"",AJ390&lt;&gt;"OK"),"GSTIN: "&amp;AJ390&amp;"; ","")&amp;IF(AND(AK390&lt;&gt;"",AK390&lt;&gt;"OK"),"PAN wrong format; ","")&amp;IF(AND(AO390&lt;&gt;"",LEN(AN390)=15,MID(AN390,3,10)&lt;&gt;AO390),"PAN does not match GSTIN; ","")&amp;IF(AND(AL390&lt;&gt;"",AL390&lt;&gt;"OK"),"TAN wrong format; ","")&amp;IF(AG390="","PAN missing; ","")&amp;IF(AP390="","Entity type missing; ","")&amp;IF(AND(AN390&lt;&gt;"",COUNTIF($AN$6:$AN$1005,AN390)&gt;1),"GSTIN repeated in this sheet; ","")&amp;IF(AND(AG390&lt;&gt;"",COUNTIF($AG$6:$AG$1005,AG390)&gt;1),"PAN repeated in this sheet (same client? put extra GSTINs in Other GSTINs); ","")&amp;IF(AND(AR390&gt;0,V390=""),"Financial year missing; ","")&amp;IF(AND(AR390=0,V390&lt;&gt;""),"Financial year given but no service is Yes; ","")&amp;IF(AND(W390="Yes",AN390=""),"GST needs a GSTIN; ","")&amp;IF(AND(W390="Yes",X390=""),"GST return frequency missing; ","")&amp;IF(AND(Y390="Yes",TRIM(H390)=""),"TDS needs a TAN; ","")&amp;IF(AND(AA390="Yes",AQ390&lt;&gt;"",AQ390&lt;&gt;"company",AQ390&lt;&gt;"llp"),"ROC is only for a company / LLP; ","")&amp;IF(AND(AA390="Yes",OR(AQ390="company",AQ390="llp"),TRIM(I390)=""),"ROC needs the CIN / LLPIN; ","")</f>
        <v/>
      </c>
    </row>
    <row r="391">
      <c r="A391" s="30" t="n"/>
      <c r="B391" s="31" t="n"/>
      <c r="C391" s="31" t="n"/>
      <c r="D391" s="31" t="n"/>
      <c r="E391" s="30" t="n"/>
      <c r="F391" s="30" t="n"/>
      <c r="G391" s="30" t="n"/>
      <c r="H391" s="30" t="n"/>
      <c r="I391" s="30" t="n"/>
      <c r="J391" s="32" t="n"/>
      <c r="K391" s="31" t="n"/>
      <c r="L391" s="30" t="n"/>
      <c r="M391" s="31" t="n"/>
      <c r="N391" s="31" t="n"/>
      <c r="O391" s="31" t="n"/>
      <c r="P391" s="30" t="n"/>
      <c r="Q391" s="31" t="n"/>
      <c r="R391" s="31" t="n"/>
      <c r="S391" s="31" t="n"/>
      <c r="T391" s="31" t="n"/>
      <c r="U391" s="30" t="n"/>
      <c r="V391" s="31" t="n"/>
      <c r="W391" s="31" t="n"/>
      <c r="X391" s="31" t="n"/>
      <c r="Y391" s="31" t="n"/>
      <c r="Z391" s="31" t="n"/>
      <c r="AA391" s="31" t="n"/>
      <c r="AB391" s="31" t="n"/>
      <c r="AC391" s="31" t="n"/>
      <c r="AD391" s="31" t="n"/>
      <c r="AE391" s="31" t="n"/>
      <c r="AF391" s="27">
        <f>IF(NOT(COUNTA(A391:AE391)&gt;0),"",IF(A391="","New client","Update"))</f>
        <v/>
      </c>
      <c r="AG391" s="27">
        <f>IF(AO391&lt;&gt;"",AO391,IF(LEN(AN391)=15,MID(AN391,3,10),""))</f>
        <v/>
      </c>
      <c r="AH391" s="27">
        <f>IF(AP391="","",AP391&amp;IF(D391="","  (guessed from PAN)",""))</f>
        <v/>
      </c>
      <c r="AI391" s="27">
        <f>IF(AN391="","",IFERROR(INDEX(Lists!$L$2:$L$38,MATCH(LEFT(AN391,2),Lists!$K$2:$K$38,0)),"Unknown code"))</f>
        <v/>
      </c>
      <c r="AJ391" s="27">
        <f>IF(AN391="","",IFERROR(IF(NOT(AND(LEN(AN391)=15,ISNUMBER(MATCH(LEFT(AN391,2),Lists!$K$2:$K$38,0)),SUMPRODUCT(--ISERROR(FIND(MID(MID(AN391,3,10),{1,2,3,4,5,10},1),"ABCDEFGHIJKLMNOPQRSTUVWXYZ")))=0,SUMPRODUCT(--ISERROR(FIND(MID(MID(AN391,3,10),{6,7,8,9},1),"0123456789")))=0,ISNUMBER(FIND(MID(AN391,13,1),"123456789ABCDEFGHIJKLMNOPQRSTUVWXYZ")),MID(AN391,14,1)="Z")),"Wrong format",IF(MID("0123456789ABCDEFGHIJKLMNOPQRSTUVWXYZ",MOD(36-MOD(SUMPRODUCT(INT((FIND(MID(AN391,{1,2,3,4,5,6,7,8,9,10,11,12,13,14},1),"0123456789ABCDEFGHIJKLMNOPQRSTUVWXYZ")-1)*{1,2,1,2,1,2,1,2,1,2,1,2,1,2}/36)+MOD((FIND(MID(AN391,{1,2,3,4,5,6,7,8,9,10,11,12,13,14},1),"0123456789ABCDEFGHIJKLMNOPQRSTUVWXYZ")-1)*{1,2,1,2,1,2,1,2,1,2,1,2,1,2},36)),36),36)+1,1)=MID(AN391,15,1),"OK","Typo? check digit wrong")),"Wrong format"))</f>
        <v/>
      </c>
      <c r="AK391" s="27">
        <f>IF(AO391="","",IF(AND(LEN(AO391)=10,SUMPRODUCT(--ISERROR(FIND(MID(AO391,{1,2,3,4,5,10},1),"ABCDEFGHIJKLMNOPQRSTUVWXYZ")))=0,SUMPRODUCT(--ISERROR(FIND(MID(AO391,{6,7,8,9},1),"0123456789")))=0),"OK","Wrong format"))</f>
        <v/>
      </c>
      <c r="AL391" s="27">
        <f>IF(TRIM(H391)="","",IF(AND(LEN(UPPER(TRIM(H391)))=10,SUMPRODUCT(--ISERROR(FIND(MID(UPPER(TRIM(H391)),{1,2,3,4,10},1),"ABCDEFGHIJKLMNOPQRSTUVWXYZ")))=0,SUMPRODUCT(--ISERROR(FIND(MID(UPPER(TRIM(H391)),{5,6,7,8,9},1),"0123456789")))=0),"OK","Wrong format"))</f>
        <v/>
      </c>
      <c r="AM391" s="28">
        <f>IF(NOT(COUNTA(A391:AE391)&gt;0),"",IF(AS391&lt;&gt;"","✖ "&amp;LEFT(AS391,LEN(AS391)-2),IF(AR391&gt;0,"✔ Ready — client + "&amp;AR391&amp;" service(s)","✔ Ready — client only")))</f>
        <v/>
      </c>
      <c r="AN391" s="29">
        <f>UPPER(SUBSTITUTE(TRIM(F391)," ",""))</f>
        <v/>
      </c>
      <c r="AO391" s="29">
        <f>UPPER(SUBSTITUTE(TRIM(E391)," ",""))</f>
        <v/>
      </c>
      <c r="AP391" s="29">
        <f>IF(D391&lt;&gt;"",D391,IFERROR(VLOOKUP(MID(AG391,4,1),Lists!$E$2:$F$8,2,FALSE),""))</f>
        <v/>
      </c>
      <c r="AQ391" s="29">
        <f>IFERROR(VLOOKUP(AP391,Lists!$A$2:$C$12,3,FALSE),"")</f>
        <v/>
      </c>
      <c r="AR391" s="29">
        <f>COUNTIF(W391:AC391,"Yes")</f>
        <v/>
      </c>
      <c r="AS391" s="29">
        <f>IF(TRIM(B391)="","Legal name missing; ","")&amp;IF(AND(AJ391&lt;&gt;"",AJ391&lt;&gt;"OK"),"GSTIN: "&amp;AJ391&amp;"; ","")&amp;IF(AND(AK391&lt;&gt;"",AK391&lt;&gt;"OK"),"PAN wrong format; ","")&amp;IF(AND(AO391&lt;&gt;"",LEN(AN391)=15,MID(AN391,3,10)&lt;&gt;AO391),"PAN does not match GSTIN; ","")&amp;IF(AND(AL391&lt;&gt;"",AL391&lt;&gt;"OK"),"TAN wrong format; ","")&amp;IF(AG391="","PAN missing; ","")&amp;IF(AP391="","Entity type missing; ","")&amp;IF(AND(AN391&lt;&gt;"",COUNTIF($AN$6:$AN$1005,AN391)&gt;1),"GSTIN repeated in this sheet; ","")&amp;IF(AND(AG391&lt;&gt;"",COUNTIF($AG$6:$AG$1005,AG391)&gt;1),"PAN repeated in this sheet (same client? put extra GSTINs in Other GSTINs); ","")&amp;IF(AND(AR391&gt;0,V391=""),"Financial year missing; ","")&amp;IF(AND(AR391=0,V391&lt;&gt;""),"Financial year given but no service is Yes; ","")&amp;IF(AND(W391="Yes",AN391=""),"GST needs a GSTIN; ","")&amp;IF(AND(W391="Yes",X391=""),"GST return frequency missing; ","")&amp;IF(AND(Y391="Yes",TRIM(H391)=""),"TDS needs a TAN; ","")&amp;IF(AND(AA391="Yes",AQ391&lt;&gt;"",AQ391&lt;&gt;"company",AQ391&lt;&gt;"llp"),"ROC is only for a company / LLP; ","")&amp;IF(AND(AA391="Yes",OR(AQ391="company",AQ391="llp"),TRIM(I391)=""),"ROC needs the CIN / LLPIN; ","")</f>
        <v/>
      </c>
    </row>
    <row r="392">
      <c r="A392" s="30" t="n"/>
      <c r="B392" s="31" t="n"/>
      <c r="C392" s="31" t="n"/>
      <c r="D392" s="31" t="n"/>
      <c r="E392" s="30" t="n"/>
      <c r="F392" s="30" t="n"/>
      <c r="G392" s="30" t="n"/>
      <c r="H392" s="30" t="n"/>
      <c r="I392" s="30" t="n"/>
      <c r="J392" s="32" t="n"/>
      <c r="K392" s="31" t="n"/>
      <c r="L392" s="30" t="n"/>
      <c r="M392" s="31" t="n"/>
      <c r="N392" s="31" t="n"/>
      <c r="O392" s="31" t="n"/>
      <c r="P392" s="30" t="n"/>
      <c r="Q392" s="31" t="n"/>
      <c r="R392" s="31" t="n"/>
      <c r="S392" s="31" t="n"/>
      <c r="T392" s="31" t="n"/>
      <c r="U392" s="30" t="n"/>
      <c r="V392" s="31" t="n"/>
      <c r="W392" s="31" t="n"/>
      <c r="X392" s="31" t="n"/>
      <c r="Y392" s="31" t="n"/>
      <c r="Z392" s="31" t="n"/>
      <c r="AA392" s="31" t="n"/>
      <c r="AB392" s="31" t="n"/>
      <c r="AC392" s="31" t="n"/>
      <c r="AD392" s="31" t="n"/>
      <c r="AE392" s="31" t="n"/>
      <c r="AF392" s="27">
        <f>IF(NOT(COUNTA(A392:AE392)&gt;0),"",IF(A392="","New client","Update"))</f>
        <v/>
      </c>
      <c r="AG392" s="27">
        <f>IF(AO392&lt;&gt;"",AO392,IF(LEN(AN392)=15,MID(AN392,3,10),""))</f>
        <v/>
      </c>
      <c r="AH392" s="27">
        <f>IF(AP392="","",AP392&amp;IF(D392="","  (guessed from PAN)",""))</f>
        <v/>
      </c>
      <c r="AI392" s="27">
        <f>IF(AN392="","",IFERROR(INDEX(Lists!$L$2:$L$38,MATCH(LEFT(AN392,2),Lists!$K$2:$K$38,0)),"Unknown code"))</f>
        <v/>
      </c>
      <c r="AJ392" s="27">
        <f>IF(AN392="","",IFERROR(IF(NOT(AND(LEN(AN392)=15,ISNUMBER(MATCH(LEFT(AN392,2),Lists!$K$2:$K$38,0)),SUMPRODUCT(--ISERROR(FIND(MID(MID(AN392,3,10),{1,2,3,4,5,10},1),"ABCDEFGHIJKLMNOPQRSTUVWXYZ")))=0,SUMPRODUCT(--ISERROR(FIND(MID(MID(AN392,3,10),{6,7,8,9},1),"0123456789")))=0,ISNUMBER(FIND(MID(AN392,13,1),"123456789ABCDEFGHIJKLMNOPQRSTUVWXYZ")),MID(AN392,14,1)="Z")),"Wrong format",IF(MID("0123456789ABCDEFGHIJKLMNOPQRSTUVWXYZ",MOD(36-MOD(SUMPRODUCT(INT((FIND(MID(AN392,{1,2,3,4,5,6,7,8,9,10,11,12,13,14},1),"0123456789ABCDEFGHIJKLMNOPQRSTUVWXYZ")-1)*{1,2,1,2,1,2,1,2,1,2,1,2,1,2}/36)+MOD((FIND(MID(AN392,{1,2,3,4,5,6,7,8,9,10,11,12,13,14},1),"0123456789ABCDEFGHIJKLMNOPQRSTUVWXYZ")-1)*{1,2,1,2,1,2,1,2,1,2,1,2,1,2},36)),36),36)+1,1)=MID(AN392,15,1),"OK","Typo? check digit wrong")),"Wrong format"))</f>
        <v/>
      </c>
      <c r="AK392" s="27">
        <f>IF(AO392="","",IF(AND(LEN(AO392)=10,SUMPRODUCT(--ISERROR(FIND(MID(AO392,{1,2,3,4,5,10},1),"ABCDEFGHIJKLMNOPQRSTUVWXYZ")))=0,SUMPRODUCT(--ISERROR(FIND(MID(AO392,{6,7,8,9},1),"0123456789")))=0),"OK","Wrong format"))</f>
        <v/>
      </c>
      <c r="AL392" s="27">
        <f>IF(TRIM(H392)="","",IF(AND(LEN(UPPER(TRIM(H392)))=10,SUMPRODUCT(--ISERROR(FIND(MID(UPPER(TRIM(H392)),{1,2,3,4,10},1),"ABCDEFGHIJKLMNOPQRSTUVWXYZ")))=0,SUMPRODUCT(--ISERROR(FIND(MID(UPPER(TRIM(H392)),{5,6,7,8,9},1),"0123456789")))=0),"OK","Wrong format"))</f>
        <v/>
      </c>
      <c r="AM392" s="28">
        <f>IF(NOT(COUNTA(A392:AE392)&gt;0),"",IF(AS392&lt;&gt;"","✖ "&amp;LEFT(AS392,LEN(AS392)-2),IF(AR392&gt;0,"✔ Ready — client + "&amp;AR392&amp;" service(s)","✔ Ready — client only")))</f>
        <v/>
      </c>
      <c r="AN392" s="29">
        <f>UPPER(SUBSTITUTE(TRIM(F392)," ",""))</f>
        <v/>
      </c>
      <c r="AO392" s="29">
        <f>UPPER(SUBSTITUTE(TRIM(E392)," ",""))</f>
        <v/>
      </c>
      <c r="AP392" s="29">
        <f>IF(D392&lt;&gt;"",D392,IFERROR(VLOOKUP(MID(AG392,4,1),Lists!$E$2:$F$8,2,FALSE),""))</f>
        <v/>
      </c>
      <c r="AQ392" s="29">
        <f>IFERROR(VLOOKUP(AP392,Lists!$A$2:$C$12,3,FALSE),"")</f>
        <v/>
      </c>
      <c r="AR392" s="29">
        <f>COUNTIF(W392:AC392,"Yes")</f>
        <v/>
      </c>
      <c r="AS392" s="29">
        <f>IF(TRIM(B392)="","Legal name missing; ","")&amp;IF(AND(AJ392&lt;&gt;"",AJ392&lt;&gt;"OK"),"GSTIN: "&amp;AJ392&amp;"; ","")&amp;IF(AND(AK392&lt;&gt;"",AK392&lt;&gt;"OK"),"PAN wrong format; ","")&amp;IF(AND(AO392&lt;&gt;"",LEN(AN392)=15,MID(AN392,3,10)&lt;&gt;AO392),"PAN does not match GSTIN; ","")&amp;IF(AND(AL392&lt;&gt;"",AL392&lt;&gt;"OK"),"TAN wrong format; ","")&amp;IF(AG392="","PAN missing; ","")&amp;IF(AP392="","Entity type missing; ","")&amp;IF(AND(AN392&lt;&gt;"",COUNTIF($AN$6:$AN$1005,AN392)&gt;1),"GSTIN repeated in this sheet; ","")&amp;IF(AND(AG392&lt;&gt;"",COUNTIF($AG$6:$AG$1005,AG392)&gt;1),"PAN repeated in this sheet (same client? put extra GSTINs in Other GSTINs); ","")&amp;IF(AND(AR392&gt;0,V392=""),"Financial year missing; ","")&amp;IF(AND(AR392=0,V392&lt;&gt;""),"Financial year given but no service is Yes; ","")&amp;IF(AND(W392="Yes",AN392=""),"GST needs a GSTIN; ","")&amp;IF(AND(W392="Yes",X392=""),"GST return frequency missing; ","")&amp;IF(AND(Y392="Yes",TRIM(H392)=""),"TDS needs a TAN; ","")&amp;IF(AND(AA392="Yes",AQ392&lt;&gt;"",AQ392&lt;&gt;"company",AQ392&lt;&gt;"llp"),"ROC is only for a company / LLP; ","")&amp;IF(AND(AA392="Yes",OR(AQ392="company",AQ392="llp"),TRIM(I392)=""),"ROC needs the CIN / LLPIN; ","")</f>
        <v/>
      </c>
    </row>
    <row r="393">
      <c r="A393" s="30" t="n"/>
      <c r="B393" s="31" t="n"/>
      <c r="C393" s="31" t="n"/>
      <c r="D393" s="31" t="n"/>
      <c r="E393" s="30" t="n"/>
      <c r="F393" s="30" t="n"/>
      <c r="G393" s="30" t="n"/>
      <c r="H393" s="30" t="n"/>
      <c r="I393" s="30" t="n"/>
      <c r="J393" s="32" t="n"/>
      <c r="K393" s="31" t="n"/>
      <c r="L393" s="30" t="n"/>
      <c r="M393" s="31" t="n"/>
      <c r="N393" s="31" t="n"/>
      <c r="O393" s="31" t="n"/>
      <c r="P393" s="30" t="n"/>
      <c r="Q393" s="31" t="n"/>
      <c r="R393" s="31" t="n"/>
      <c r="S393" s="31" t="n"/>
      <c r="T393" s="31" t="n"/>
      <c r="U393" s="30" t="n"/>
      <c r="V393" s="31" t="n"/>
      <c r="W393" s="31" t="n"/>
      <c r="X393" s="31" t="n"/>
      <c r="Y393" s="31" t="n"/>
      <c r="Z393" s="31" t="n"/>
      <c r="AA393" s="31" t="n"/>
      <c r="AB393" s="31" t="n"/>
      <c r="AC393" s="31" t="n"/>
      <c r="AD393" s="31" t="n"/>
      <c r="AE393" s="31" t="n"/>
      <c r="AF393" s="27">
        <f>IF(NOT(COUNTA(A393:AE393)&gt;0),"",IF(A393="","New client","Update"))</f>
        <v/>
      </c>
      <c r="AG393" s="27">
        <f>IF(AO393&lt;&gt;"",AO393,IF(LEN(AN393)=15,MID(AN393,3,10),""))</f>
        <v/>
      </c>
      <c r="AH393" s="27">
        <f>IF(AP393="","",AP393&amp;IF(D393="","  (guessed from PAN)",""))</f>
        <v/>
      </c>
      <c r="AI393" s="27">
        <f>IF(AN393="","",IFERROR(INDEX(Lists!$L$2:$L$38,MATCH(LEFT(AN393,2),Lists!$K$2:$K$38,0)),"Unknown code"))</f>
        <v/>
      </c>
      <c r="AJ393" s="27">
        <f>IF(AN393="","",IFERROR(IF(NOT(AND(LEN(AN393)=15,ISNUMBER(MATCH(LEFT(AN393,2),Lists!$K$2:$K$38,0)),SUMPRODUCT(--ISERROR(FIND(MID(MID(AN393,3,10),{1,2,3,4,5,10},1),"ABCDEFGHIJKLMNOPQRSTUVWXYZ")))=0,SUMPRODUCT(--ISERROR(FIND(MID(MID(AN393,3,10),{6,7,8,9},1),"0123456789")))=0,ISNUMBER(FIND(MID(AN393,13,1),"123456789ABCDEFGHIJKLMNOPQRSTUVWXYZ")),MID(AN393,14,1)="Z")),"Wrong format",IF(MID("0123456789ABCDEFGHIJKLMNOPQRSTUVWXYZ",MOD(36-MOD(SUMPRODUCT(INT((FIND(MID(AN393,{1,2,3,4,5,6,7,8,9,10,11,12,13,14},1),"0123456789ABCDEFGHIJKLMNOPQRSTUVWXYZ")-1)*{1,2,1,2,1,2,1,2,1,2,1,2,1,2}/36)+MOD((FIND(MID(AN393,{1,2,3,4,5,6,7,8,9,10,11,12,13,14},1),"0123456789ABCDEFGHIJKLMNOPQRSTUVWXYZ")-1)*{1,2,1,2,1,2,1,2,1,2,1,2,1,2},36)),36),36)+1,1)=MID(AN393,15,1),"OK","Typo? check digit wrong")),"Wrong format"))</f>
        <v/>
      </c>
      <c r="AK393" s="27">
        <f>IF(AO393="","",IF(AND(LEN(AO393)=10,SUMPRODUCT(--ISERROR(FIND(MID(AO393,{1,2,3,4,5,10},1),"ABCDEFGHIJKLMNOPQRSTUVWXYZ")))=0,SUMPRODUCT(--ISERROR(FIND(MID(AO393,{6,7,8,9},1),"0123456789")))=0),"OK","Wrong format"))</f>
        <v/>
      </c>
      <c r="AL393" s="27">
        <f>IF(TRIM(H393)="","",IF(AND(LEN(UPPER(TRIM(H393)))=10,SUMPRODUCT(--ISERROR(FIND(MID(UPPER(TRIM(H393)),{1,2,3,4,10},1),"ABCDEFGHIJKLMNOPQRSTUVWXYZ")))=0,SUMPRODUCT(--ISERROR(FIND(MID(UPPER(TRIM(H393)),{5,6,7,8,9},1),"0123456789")))=0),"OK","Wrong format"))</f>
        <v/>
      </c>
      <c r="AM393" s="28">
        <f>IF(NOT(COUNTA(A393:AE393)&gt;0),"",IF(AS393&lt;&gt;"","✖ "&amp;LEFT(AS393,LEN(AS393)-2),IF(AR393&gt;0,"✔ Ready — client + "&amp;AR393&amp;" service(s)","✔ Ready — client only")))</f>
        <v/>
      </c>
      <c r="AN393" s="29">
        <f>UPPER(SUBSTITUTE(TRIM(F393)," ",""))</f>
        <v/>
      </c>
      <c r="AO393" s="29">
        <f>UPPER(SUBSTITUTE(TRIM(E393)," ",""))</f>
        <v/>
      </c>
      <c r="AP393" s="29">
        <f>IF(D393&lt;&gt;"",D393,IFERROR(VLOOKUP(MID(AG393,4,1),Lists!$E$2:$F$8,2,FALSE),""))</f>
        <v/>
      </c>
      <c r="AQ393" s="29">
        <f>IFERROR(VLOOKUP(AP393,Lists!$A$2:$C$12,3,FALSE),"")</f>
        <v/>
      </c>
      <c r="AR393" s="29">
        <f>COUNTIF(W393:AC393,"Yes")</f>
        <v/>
      </c>
      <c r="AS393" s="29">
        <f>IF(TRIM(B393)="","Legal name missing; ","")&amp;IF(AND(AJ393&lt;&gt;"",AJ393&lt;&gt;"OK"),"GSTIN: "&amp;AJ393&amp;"; ","")&amp;IF(AND(AK393&lt;&gt;"",AK393&lt;&gt;"OK"),"PAN wrong format; ","")&amp;IF(AND(AO393&lt;&gt;"",LEN(AN393)=15,MID(AN393,3,10)&lt;&gt;AO393),"PAN does not match GSTIN; ","")&amp;IF(AND(AL393&lt;&gt;"",AL393&lt;&gt;"OK"),"TAN wrong format; ","")&amp;IF(AG393="","PAN missing; ","")&amp;IF(AP393="","Entity type missing; ","")&amp;IF(AND(AN393&lt;&gt;"",COUNTIF($AN$6:$AN$1005,AN393)&gt;1),"GSTIN repeated in this sheet; ","")&amp;IF(AND(AG393&lt;&gt;"",COUNTIF($AG$6:$AG$1005,AG393)&gt;1),"PAN repeated in this sheet (same client? put extra GSTINs in Other GSTINs); ","")&amp;IF(AND(AR393&gt;0,V393=""),"Financial year missing; ","")&amp;IF(AND(AR393=0,V393&lt;&gt;""),"Financial year given but no service is Yes; ","")&amp;IF(AND(W393="Yes",AN393=""),"GST needs a GSTIN; ","")&amp;IF(AND(W393="Yes",X393=""),"GST return frequency missing; ","")&amp;IF(AND(Y393="Yes",TRIM(H393)=""),"TDS needs a TAN; ","")&amp;IF(AND(AA393="Yes",AQ393&lt;&gt;"",AQ393&lt;&gt;"company",AQ393&lt;&gt;"llp"),"ROC is only for a company / LLP; ","")&amp;IF(AND(AA393="Yes",OR(AQ393="company",AQ393="llp"),TRIM(I393)=""),"ROC needs the CIN / LLPIN; ","")</f>
        <v/>
      </c>
    </row>
    <row r="394">
      <c r="A394" s="30" t="n"/>
      <c r="B394" s="31" t="n"/>
      <c r="C394" s="31" t="n"/>
      <c r="D394" s="31" t="n"/>
      <c r="E394" s="30" t="n"/>
      <c r="F394" s="30" t="n"/>
      <c r="G394" s="30" t="n"/>
      <c r="H394" s="30" t="n"/>
      <c r="I394" s="30" t="n"/>
      <c r="J394" s="32" t="n"/>
      <c r="K394" s="31" t="n"/>
      <c r="L394" s="30" t="n"/>
      <c r="M394" s="31" t="n"/>
      <c r="N394" s="31" t="n"/>
      <c r="O394" s="31" t="n"/>
      <c r="P394" s="30" t="n"/>
      <c r="Q394" s="31" t="n"/>
      <c r="R394" s="31" t="n"/>
      <c r="S394" s="31" t="n"/>
      <c r="T394" s="31" t="n"/>
      <c r="U394" s="30" t="n"/>
      <c r="V394" s="31" t="n"/>
      <c r="W394" s="31" t="n"/>
      <c r="X394" s="31" t="n"/>
      <c r="Y394" s="31" t="n"/>
      <c r="Z394" s="31" t="n"/>
      <c r="AA394" s="31" t="n"/>
      <c r="AB394" s="31" t="n"/>
      <c r="AC394" s="31" t="n"/>
      <c r="AD394" s="31" t="n"/>
      <c r="AE394" s="31" t="n"/>
      <c r="AF394" s="27">
        <f>IF(NOT(COUNTA(A394:AE394)&gt;0),"",IF(A394="","New client","Update"))</f>
        <v/>
      </c>
      <c r="AG394" s="27">
        <f>IF(AO394&lt;&gt;"",AO394,IF(LEN(AN394)=15,MID(AN394,3,10),""))</f>
        <v/>
      </c>
      <c r="AH394" s="27">
        <f>IF(AP394="","",AP394&amp;IF(D394="","  (guessed from PAN)",""))</f>
        <v/>
      </c>
      <c r="AI394" s="27">
        <f>IF(AN394="","",IFERROR(INDEX(Lists!$L$2:$L$38,MATCH(LEFT(AN394,2),Lists!$K$2:$K$38,0)),"Unknown code"))</f>
        <v/>
      </c>
      <c r="AJ394" s="27">
        <f>IF(AN394="","",IFERROR(IF(NOT(AND(LEN(AN394)=15,ISNUMBER(MATCH(LEFT(AN394,2),Lists!$K$2:$K$38,0)),SUMPRODUCT(--ISERROR(FIND(MID(MID(AN394,3,10),{1,2,3,4,5,10},1),"ABCDEFGHIJKLMNOPQRSTUVWXYZ")))=0,SUMPRODUCT(--ISERROR(FIND(MID(MID(AN394,3,10),{6,7,8,9},1),"0123456789")))=0,ISNUMBER(FIND(MID(AN394,13,1),"123456789ABCDEFGHIJKLMNOPQRSTUVWXYZ")),MID(AN394,14,1)="Z")),"Wrong format",IF(MID("0123456789ABCDEFGHIJKLMNOPQRSTUVWXYZ",MOD(36-MOD(SUMPRODUCT(INT((FIND(MID(AN394,{1,2,3,4,5,6,7,8,9,10,11,12,13,14},1),"0123456789ABCDEFGHIJKLMNOPQRSTUVWXYZ")-1)*{1,2,1,2,1,2,1,2,1,2,1,2,1,2}/36)+MOD((FIND(MID(AN394,{1,2,3,4,5,6,7,8,9,10,11,12,13,14},1),"0123456789ABCDEFGHIJKLMNOPQRSTUVWXYZ")-1)*{1,2,1,2,1,2,1,2,1,2,1,2,1,2},36)),36),36)+1,1)=MID(AN394,15,1),"OK","Typo? check digit wrong")),"Wrong format"))</f>
        <v/>
      </c>
      <c r="AK394" s="27">
        <f>IF(AO394="","",IF(AND(LEN(AO394)=10,SUMPRODUCT(--ISERROR(FIND(MID(AO394,{1,2,3,4,5,10},1),"ABCDEFGHIJKLMNOPQRSTUVWXYZ")))=0,SUMPRODUCT(--ISERROR(FIND(MID(AO394,{6,7,8,9},1),"0123456789")))=0),"OK","Wrong format"))</f>
        <v/>
      </c>
      <c r="AL394" s="27">
        <f>IF(TRIM(H394)="","",IF(AND(LEN(UPPER(TRIM(H394)))=10,SUMPRODUCT(--ISERROR(FIND(MID(UPPER(TRIM(H394)),{1,2,3,4,10},1),"ABCDEFGHIJKLMNOPQRSTUVWXYZ")))=0,SUMPRODUCT(--ISERROR(FIND(MID(UPPER(TRIM(H394)),{5,6,7,8,9},1),"0123456789")))=0),"OK","Wrong format"))</f>
        <v/>
      </c>
      <c r="AM394" s="28">
        <f>IF(NOT(COUNTA(A394:AE394)&gt;0),"",IF(AS394&lt;&gt;"","✖ "&amp;LEFT(AS394,LEN(AS394)-2),IF(AR394&gt;0,"✔ Ready — client + "&amp;AR394&amp;" service(s)","✔ Ready — client only")))</f>
        <v/>
      </c>
      <c r="AN394" s="29">
        <f>UPPER(SUBSTITUTE(TRIM(F394)," ",""))</f>
        <v/>
      </c>
      <c r="AO394" s="29">
        <f>UPPER(SUBSTITUTE(TRIM(E394)," ",""))</f>
        <v/>
      </c>
      <c r="AP394" s="29">
        <f>IF(D394&lt;&gt;"",D394,IFERROR(VLOOKUP(MID(AG394,4,1),Lists!$E$2:$F$8,2,FALSE),""))</f>
        <v/>
      </c>
      <c r="AQ394" s="29">
        <f>IFERROR(VLOOKUP(AP394,Lists!$A$2:$C$12,3,FALSE),"")</f>
        <v/>
      </c>
      <c r="AR394" s="29">
        <f>COUNTIF(W394:AC394,"Yes")</f>
        <v/>
      </c>
      <c r="AS394" s="29">
        <f>IF(TRIM(B394)="","Legal name missing; ","")&amp;IF(AND(AJ394&lt;&gt;"",AJ394&lt;&gt;"OK"),"GSTIN: "&amp;AJ394&amp;"; ","")&amp;IF(AND(AK394&lt;&gt;"",AK394&lt;&gt;"OK"),"PAN wrong format; ","")&amp;IF(AND(AO394&lt;&gt;"",LEN(AN394)=15,MID(AN394,3,10)&lt;&gt;AO394),"PAN does not match GSTIN; ","")&amp;IF(AND(AL394&lt;&gt;"",AL394&lt;&gt;"OK"),"TAN wrong format; ","")&amp;IF(AG394="","PAN missing; ","")&amp;IF(AP394="","Entity type missing; ","")&amp;IF(AND(AN394&lt;&gt;"",COUNTIF($AN$6:$AN$1005,AN394)&gt;1),"GSTIN repeated in this sheet; ","")&amp;IF(AND(AG394&lt;&gt;"",COUNTIF($AG$6:$AG$1005,AG394)&gt;1),"PAN repeated in this sheet (same client? put extra GSTINs in Other GSTINs); ","")&amp;IF(AND(AR394&gt;0,V394=""),"Financial year missing; ","")&amp;IF(AND(AR394=0,V394&lt;&gt;""),"Financial year given but no service is Yes; ","")&amp;IF(AND(W394="Yes",AN394=""),"GST needs a GSTIN; ","")&amp;IF(AND(W394="Yes",X394=""),"GST return frequency missing; ","")&amp;IF(AND(Y394="Yes",TRIM(H394)=""),"TDS needs a TAN; ","")&amp;IF(AND(AA394="Yes",AQ394&lt;&gt;"",AQ394&lt;&gt;"company",AQ394&lt;&gt;"llp"),"ROC is only for a company / LLP; ","")&amp;IF(AND(AA394="Yes",OR(AQ394="company",AQ394="llp"),TRIM(I394)=""),"ROC needs the CIN / LLPIN; ","")</f>
        <v/>
      </c>
    </row>
    <row r="395">
      <c r="A395" s="30" t="n"/>
      <c r="B395" s="31" t="n"/>
      <c r="C395" s="31" t="n"/>
      <c r="D395" s="31" t="n"/>
      <c r="E395" s="30" t="n"/>
      <c r="F395" s="30" t="n"/>
      <c r="G395" s="30" t="n"/>
      <c r="H395" s="30" t="n"/>
      <c r="I395" s="30" t="n"/>
      <c r="J395" s="32" t="n"/>
      <c r="K395" s="31" t="n"/>
      <c r="L395" s="30" t="n"/>
      <c r="M395" s="31" t="n"/>
      <c r="N395" s="31" t="n"/>
      <c r="O395" s="31" t="n"/>
      <c r="P395" s="30" t="n"/>
      <c r="Q395" s="31" t="n"/>
      <c r="R395" s="31" t="n"/>
      <c r="S395" s="31" t="n"/>
      <c r="T395" s="31" t="n"/>
      <c r="U395" s="30" t="n"/>
      <c r="V395" s="31" t="n"/>
      <c r="W395" s="31" t="n"/>
      <c r="X395" s="31" t="n"/>
      <c r="Y395" s="31" t="n"/>
      <c r="Z395" s="31" t="n"/>
      <c r="AA395" s="31" t="n"/>
      <c r="AB395" s="31" t="n"/>
      <c r="AC395" s="31" t="n"/>
      <c r="AD395" s="31" t="n"/>
      <c r="AE395" s="31" t="n"/>
      <c r="AF395" s="27">
        <f>IF(NOT(COUNTA(A395:AE395)&gt;0),"",IF(A395="","New client","Update"))</f>
        <v/>
      </c>
      <c r="AG395" s="27">
        <f>IF(AO395&lt;&gt;"",AO395,IF(LEN(AN395)=15,MID(AN395,3,10),""))</f>
        <v/>
      </c>
      <c r="AH395" s="27">
        <f>IF(AP395="","",AP395&amp;IF(D395="","  (guessed from PAN)",""))</f>
        <v/>
      </c>
      <c r="AI395" s="27">
        <f>IF(AN395="","",IFERROR(INDEX(Lists!$L$2:$L$38,MATCH(LEFT(AN395,2),Lists!$K$2:$K$38,0)),"Unknown code"))</f>
        <v/>
      </c>
      <c r="AJ395" s="27">
        <f>IF(AN395="","",IFERROR(IF(NOT(AND(LEN(AN395)=15,ISNUMBER(MATCH(LEFT(AN395,2),Lists!$K$2:$K$38,0)),SUMPRODUCT(--ISERROR(FIND(MID(MID(AN395,3,10),{1,2,3,4,5,10},1),"ABCDEFGHIJKLMNOPQRSTUVWXYZ")))=0,SUMPRODUCT(--ISERROR(FIND(MID(MID(AN395,3,10),{6,7,8,9},1),"0123456789")))=0,ISNUMBER(FIND(MID(AN395,13,1),"123456789ABCDEFGHIJKLMNOPQRSTUVWXYZ")),MID(AN395,14,1)="Z")),"Wrong format",IF(MID("0123456789ABCDEFGHIJKLMNOPQRSTUVWXYZ",MOD(36-MOD(SUMPRODUCT(INT((FIND(MID(AN395,{1,2,3,4,5,6,7,8,9,10,11,12,13,14},1),"0123456789ABCDEFGHIJKLMNOPQRSTUVWXYZ")-1)*{1,2,1,2,1,2,1,2,1,2,1,2,1,2}/36)+MOD((FIND(MID(AN395,{1,2,3,4,5,6,7,8,9,10,11,12,13,14},1),"0123456789ABCDEFGHIJKLMNOPQRSTUVWXYZ")-1)*{1,2,1,2,1,2,1,2,1,2,1,2,1,2},36)),36),36)+1,1)=MID(AN395,15,1),"OK","Typo? check digit wrong")),"Wrong format"))</f>
        <v/>
      </c>
      <c r="AK395" s="27">
        <f>IF(AO395="","",IF(AND(LEN(AO395)=10,SUMPRODUCT(--ISERROR(FIND(MID(AO395,{1,2,3,4,5,10},1),"ABCDEFGHIJKLMNOPQRSTUVWXYZ")))=0,SUMPRODUCT(--ISERROR(FIND(MID(AO395,{6,7,8,9},1),"0123456789")))=0),"OK","Wrong format"))</f>
        <v/>
      </c>
      <c r="AL395" s="27">
        <f>IF(TRIM(H395)="","",IF(AND(LEN(UPPER(TRIM(H395)))=10,SUMPRODUCT(--ISERROR(FIND(MID(UPPER(TRIM(H395)),{1,2,3,4,10},1),"ABCDEFGHIJKLMNOPQRSTUVWXYZ")))=0,SUMPRODUCT(--ISERROR(FIND(MID(UPPER(TRIM(H395)),{5,6,7,8,9},1),"0123456789")))=0),"OK","Wrong format"))</f>
        <v/>
      </c>
      <c r="AM395" s="28">
        <f>IF(NOT(COUNTA(A395:AE395)&gt;0),"",IF(AS395&lt;&gt;"","✖ "&amp;LEFT(AS395,LEN(AS395)-2),IF(AR395&gt;0,"✔ Ready — client + "&amp;AR395&amp;" service(s)","✔ Ready — client only")))</f>
        <v/>
      </c>
      <c r="AN395" s="29">
        <f>UPPER(SUBSTITUTE(TRIM(F395)," ",""))</f>
        <v/>
      </c>
      <c r="AO395" s="29">
        <f>UPPER(SUBSTITUTE(TRIM(E395)," ",""))</f>
        <v/>
      </c>
      <c r="AP395" s="29">
        <f>IF(D395&lt;&gt;"",D395,IFERROR(VLOOKUP(MID(AG395,4,1),Lists!$E$2:$F$8,2,FALSE),""))</f>
        <v/>
      </c>
      <c r="AQ395" s="29">
        <f>IFERROR(VLOOKUP(AP395,Lists!$A$2:$C$12,3,FALSE),"")</f>
        <v/>
      </c>
      <c r="AR395" s="29">
        <f>COUNTIF(W395:AC395,"Yes")</f>
        <v/>
      </c>
      <c r="AS395" s="29">
        <f>IF(TRIM(B395)="","Legal name missing; ","")&amp;IF(AND(AJ395&lt;&gt;"",AJ395&lt;&gt;"OK"),"GSTIN: "&amp;AJ395&amp;"; ","")&amp;IF(AND(AK395&lt;&gt;"",AK395&lt;&gt;"OK"),"PAN wrong format; ","")&amp;IF(AND(AO395&lt;&gt;"",LEN(AN395)=15,MID(AN395,3,10)&lt;&gt;AO395),"PAN does not match GSTIN; ","")&amp;IF(AND(AL395&lt;&gt;"",AL395&lt;&gt;"OK"),"TAN wrong format; ","")&amp;IF(AG395="","PAN missing; ","")&amp;IF(AP395="","Entity type missing; ","")&amp;IF(AND(AN395&lt;&gt;"",COUNTIF($AN$6:$AN$1005,AN395)&gt;1),"GSTIN repeated in this sheet; ","")&amp;IF(AND(AG395&lt;&gt;"",COUNTIF($AG$6:$AG$1005,AG395)&gt;1),"PAN repeated in this sheet (same client? put extra GSTINs in Other GSTINs); ","")&amp;IF(AND(AR395&gt;0,V395=""),"Financial year missing; ","")&amp;IF(AND(AR395=0,V395&lt;&gt;""),"Financial year given but no service is Yes; ","")&amp;IF(AND(W395="Yes",AN395=""),"GST needs a GSTIN; ","")&amp;IF(AND(W395="Yes",X395=""),"GST return frequency missing; ","")&amp;IF(AND(Y395="Yes",TRIM(H395)=""),"TDS needs a TAN; ","")&amp;IF(AND(AA395="Yes",AQ395&lt;&gt;"",AQ395&lt;&gt;"company",AQ395&lt;&gt;"llp"),"ROC is only for a company / LLP; ","")&amp;IF(AND(AA395="Yes",OR(AQ395="company",AQ395="llp"),TRIM(I395)=""),"ROC needs the CIN / LLPIN; ","")</f>
        <v/>
      </c>
    </row>
    <row r="396">
      <c r="A396" s="30" t="n"/>
      <c r="B396" s="31" t="n"/>
      <c r="C396" s="31" t="n"/>
      <c r="D396" s="31" t="n"/>
      <c r="E396" s="30" t="n"/>
      <c r="F396" s="30" t="n"/>
      <c r="G396" s="30" t="n"/>
      <c r="H396" s="30" t="n"/>
      <c r="I396" s="30" t="n"/>
      <c r="J396" s="32" t="n"/>
      <c r="K396" s="31" t="n"/>
      <c r="L396" s="30" t="n"/>
      <c r="M396" s="31" t="n"/>
      <c r="N396" s="31" t="n"/>
      <c r="O396" s="31" t="n"/>
      <c r="P396" s="30" t="n"/>
      <c r="Q396" s="31" t="n"/>
      <c r="R396" s="31" t="n"/>
      <c r="S396" s="31" t="n"/>
      <c r="T396" s="31" t="n"/>
      <c r="U396" s="30" t="n"/>
      <c r="V396" s="31" t="n"/>
      <c r="W396" s="31" t="n"/>
      <c r="X396" s="31" t="n"/>
      <c r="Y396" s="31" t="n"/>
      <c r="Z396" s="31" t="n"/>
      <c r="AA396" s="31" t="n"/>
      <c r="AB396" s="31" t="n"/>
      <c r="AC396" s="31" t="n"/>
      <c r="AD396" s="31" t="n"/>
      <c r="AE396" s="31" t="n"/>
      <c r="AF396" s="27">
        <f>IF(NOT(COUNTA(A396:AE396)&gt;0),"",IF(A396="","New client","Update"))</f>
        <v/>
      </c>
      <c r="AG396" s="27">
        <f>IF(AO396&lt;&gt;"",AO396,IF(LEN(AN396)=15,MID(AN396,3,10),""))</f>
        <v/>
      </c>
      <c r="AH396" s="27">
        <f>IF(AP396="","",AP396&amp;IF(D396="","  (guessed from PAN)",""))</f>
        <v/>
      </c>
      <c r="AI396" s="27">
        <f>IF(AN396="","",IFERROR(INDEX(Lists!$L$2:$L$38,MATCH(LEFT(AN396,2),Lists!$K$2:$K$38,0)),"Unknown code"))</f>
        <v/>
      </c>
      <c r="AJ396" s="27">
        <f>IF(AN396="","",IFERROR(IF(NOT(AND(LEN(AN396)=15,ISNUMBER(MATCH(LEFT(AN396,2),Lists!$K$2:$K$38,0)),SUMPRODUCT(--ISERROR(FIND(MID(MID(AN396,3,10),{1,2,3,4,5,10},1),"ABCDEFGHIJKLMNOPQRSTUVWXYZ")))=0,SUMPRODUCT(--ISERROR(FIND(MID(MID(AN396,3,10),{6,7,8,9},1),"0123456789")))=0,ISNUMBER(FIND(MID(AN396,13,1),"123456789ABCDEFGHIJKLMNOPQRSTUVWXYZ")),MID(AN396,14,1)="Z")),"Wrong format",IF(MID("0123456789ABCDEFGHIJKLMNOPQRSTUVWXYZ",MOD(36-MOD(SUMPRODUCT(INT((FIND(MID(AN396,{1,2,3,4,5,6,7,8,9,10,11,12,13,14},1),"0123456789ABCDEFGHIJKLMNOPQRSTUVWXYZ")-1)*{1,2,1,2,1,2,1,2,1,2,1,2,1,2}/36)+MOD((FIND(MID(AN396,{1,2,3,4,5,6,7,8,9,10,11,12,13,14},1),"0123456789ABCDEFGHIJKLMNOPQRSTUVWXYZ")-1)*{1,2,1,2,1,2,1,2,1,2,1,2,1,2},36)),36),36)+1,1)=MID(AN396,15,1),"OK","Typo? check digit wrong")),"Wrong format"))</f>
        <v/>
      </c>
      <c r="AK396" s="27">
        <f>IF(AO396="","",IF(AND(LEN(AO396)=10,SUMPRODUCT(--ISERROR(FIND(MID(AO396,{1,2,3,4,5,10},1),"ABCDEFGHIJKLMNOPQRSTUVWXYZ")))=0,SUMPRODUCT(--ISERROR(FIND(MID(AO396,{6,7,8,9},1),"0123456789")))=0),"OK","Wrong format"))</f>
        <v/>
      </c>
      <c r="AL396" s="27">
        <f>IF(TRIM(H396)="","",IF(AND(LEN(UPPER(TRIM(H396)))=10,SUMPRODUCT(--ISERROR(FIND(MID(UPPER(TRIM(H396)),{1,2,3,4,10},1),"ABCDEFGHIJKLMNOPQRSTUVWXYZ")))=0,SUMPRODUCT(--ISERROR(FIND(MID(UPPER(TRIM(H396)),{5,6,7,8,9},1),"0123456789")))=0),"OK","Wrong format"))</f>
        <v/>
      </c>
      <c r="AM396" s="28">
        <f>IF(NOT(COUNTA(A396:AE396)&gt;0),"",IF(AS396&lt;&gt;"","✖ "&amp;LEFT(AS396,LEN(AS396)-2),IF(AR396&gt;0,"✔ Ready — client + "&amp;AR396&amp;" service(s)","✔ Ready — client only")))</f>
        <v/>
      </c>
      <c r="AN396" s="29">
        <f>UPPER(SUBSTITUTE(TRIM(F396)," ",""))</f>
        <v/>
      </c>
      <c r="AO396" s="29">
        <f>UPPER(SUBSTITUTE(TRIM(E396)," ",""))</f>
        <v/>
      </c>
      <c r="AP396" s="29">
        <f>IF(D396&lt;&gt;"",D396,IFERROR(VLOOKUP(MID(AG396,4,1),Lists!$E$2:$F$8,2,FALSE),""))</f>
        <v/>
      </c>
      <c r="AQ396" s="29">
        <f>IFERROR(VLOOKUP(AP396,Lists!$A$2:$C$12,3,FALSE),"")</f>
        <v/>
      </c>
      <c r="AR396" s="29">
        <f>COUNTIF(W396:AC396,"Yes")</f>
        <v/>
      </c>
      <c r="AS396" s="29">
        <f>IF(TRIM(B396)="","Legal name missing; ","")&amp;IF(AND(AJ396&lt;&gt;"",AJ396&lt;&gt;"OK"),"GSTIN: "&amp;AJ396&amp;"; ","")&amp;IF(AND(AK396&lt;&gt;"",AK396&lt;&gt;"OK"),"PAN wrong format; ","")&amp;IF(AND(AO396&lt;&gt;"",LEN(AN396)=15,MID(AN396,3,10)&lt;&gt;AO396),"PAN does not match GSTIN; ","")&amp;IF(AND(AL396&lt;&gt;"",AL396&lt;&gt;"OK"),"TAN wrong format; ","")&amp;IF(AG396="","PAN missing; ","")&amp;IF(AP396="","Entity type missing; ","")&amp;IF(AND(AN396&lt;&gt;"",COUNTIF($AN$6:$AN$1005,AN396)&gt;1),"GSTIN repeated in this sheet; ","")&amp;IF(AND(AG396&lt;&gt;"",COUNTIF($AG$6:$AG$1005,AG396)&gt;1),"PAN repeated in this sheet (same client? put extra GSTINs in Other GSTINs); ","")&amp;IF(AND(AR396&gt;0,V396=""),"Financial year missing; ","")&amp;IF(AND(AR396=0,V396&lt;&gt;""),"Financial year given but no service is Yes; ","")&amp;IF(AND(W396="Yes",AN396=""),"GST needs a GSTIN; ","")&amp;IF(AND(W396="Yes",X396=""),"GST return frequency missing; ","")&amp;IF(AND(Y396="Yes",TRIM(H396)=""),"TDS needs a TAN; ","")&amp;IF(AND(AA396="Yes",AQ396&lt;&gt;"",AQ396&lt;&gt;"company",AQ396&lt;&gt;"llp"),"ROC is only for a company / LLP; ","")&amp;IF(AND(AA396="Yes",OR(AQ396="company",AQ396="llp"),TRIM(I396)=""),"ROC needs the CIN / LLPIN; ","")</f>
        <v/>
      </c>
    </row>
    <row r="397">
      <c r="A397" s="30" t="n"/>
      <c r="B397" s="31" t="n"/>
      <c r="C397" s="31" t="n"/>
      <c r="D397" s="31" t="n"/>
      <c r="E397" s="30" t="n"/>
      <c r="F397" s="30" t="n"/>
      <c r="G397" s="30" t="n"/>
      <c r="H397" s="30" t="n"/>
      <c r="I397" s="30" t="n"/>
      <c r="J397" s="32" t="n"/>
      <c r="K397" s="31" t="n"/>
      <c r="L397" s="30" t="n"/>
      <c r="M397" s="31" t="n"/>
      <c r="N397" s="31" t="n"/>
      <c r="O397" s="31" t="n"/>
      <c r="P397" s="30" t="n"/>
      <c r="Q397" s="31" t="n"/>
      <c r="R397" s="31" t="n"/>
      <c r="S397" s="31" t="n"/>
      <c r="T397" s="31" t="n"/>
      <c r="U397" s="30" t="n"/>
      <c r="V397" s="31" t="n"/>
      <c r="W397" s="31" t="n"/>
      <c r="X397" s="31" t="n"/>
      <c r="Y397" s="31" t="n"/>
      <c r="Z397" s="31" t="n"/>
      <c r="AA397" s="31" t="n"/>
      <c r="AB397" s="31" t="n"/>
      <c r="AC397" s="31" t="n"/>
      <c r="AD397" s="31" t="n"/>
      <c r="AE397" s="31" t="n"/>
      <c r="AF397" s="27">
        <f>IF(NOT(COUNTA(A397:AE397)&gt;0),"",IF(A397="","New client","Update"))</f>
        <v/>
      </c>
      <c r="AG397" s="27">
        <f>IF(AO397&lt;&gt;"",AO397,IF(LEN(AN397)=15,MID(AN397,3,10),""))</f>
        <v/>
      </c>
      <c r="AH397" s="27">
        <f>IF(AP397="","",AP397&amp;IF(D397="","  (guessed from PAN)",""))</f>
        <v/>
      </c>
      <c r="AI397" s="27">
        <f>IF(AN397="","",IFERROR(INDEX(Lists!$L$2:$L$38,MATCH(LEFT(AN397,2),Lists!$K$2:$K$38,0)),"Unknown code"))</f>
        <v/>
      </c>
      <c r="AJ397" s="27">
        <f>IF(AN397="","",IFERROR(IF(NOT(AND(LEN(AN397)=15,ISNUMBER(MATCH(LEFT(AN397,2),Lists!$K$2:$K$38,0)),SUMPRODUCT(--ISERROR(FIND(MID(MID(AN397,3,10),{1,2,3,4,5,10},1),"ABCDEFGHIJKLMNOPQRSTUVWXYZ")))=0,SUMPRODUCT(--ISERROR(FIND(MID(MID(AN397,3,10),{6,7,8,9},1),"0123456789")))=0,ISNUMBER(FIND(MID(AN397,13,1),"123456789ABCDEFGHIJKLMNOPQRSTUVWXYZ")),MID(AN397,14,1)="Z")),"Wrong format",IF(MID("0123456789ABCDEFGHIJKLMNOPQRSTUVWXYZ",MOD(36-MOD(SUMPRODUCT(INT((FIND(MID(AN397,{1,2,3,4,5,6,7,8,9,10,11,12,13,14},1),"0123456789ABCDEFGHIJKLMNOPQRSTUVWXYZ")-1)*{1,2,1,2,1,2,1,2,1,2,1,2,1,2}/36)+MOD((FIND(MID(AN397,{1,2,3,4,5,6,7,8,9,10,11,12,13,14},1),"0123456789ABCDEFGHIJKLMNOPQRSTUVWXYZ")-1)*{1,2,1,2,1,2,1,2,1,2,1,2,1,2},36)),36),36)+1,1)=MID(AN397,15,1),"OK","Typo? check digit wrong")),"Wrong format"))</f>
        <v/>
      </c>
      <c r="AK397" s="27">
        <f>IF(AO397="","",IF(AND(LEN(AO397)=10,SUMPRODUCT(--ISERROR(FIND(MID(AO397,{1,2,3,4,5,10},1),"ABCDEFGHIJKLMNOPQRSTUVWXYZ")))=0,SUMPRODUCT(--ISERROR(FIND(MID(AO397,{6,7,8,9},1),"0123456789")))=0),"OK","Wrong format"))</f>
        <v/>
      </c>
      <c r="AL397" s="27">
        <f>IF(TRIM(H397)="","",IF(AND(LEN(UPPER(TRIM(H397)))=10,SUMPRODUCT(--ISERROR(FIND(MID(UPPER(TRIM(H397)),{1,2,3,4,10},1),"ABCDEFGHIJKLMNOPQRSTUVWXYZ")))=0,SUMPRODUCT(--ISERROR(FIND(MID(UPPER(TRIM(H397)),{5,6,7,8,9},1),"0123456789")))=0),"OK","Wrong format"))</f>
        <v/>
      </c>
      <c r="AM397" s="28">
        <f>IF(NOT(COUNTA(A397:AE397)&gt;0),"",IF(AS397&lt;&gt;"","✖ "&amp;LEFT(AS397,LEN(AS397)-2),IF(AR397&gt;0,"✔ Ready — client + "&amp;AR397&amp;" service(s)","✔ Ready — client only")))</f>
        <v/>
      </c>
      <c r="AN397" s="29">
        <f>UPPER(SUBSTITUTE(TRIM(F397)," ",""))</f>
        <v/>
      </c>
      <c r="AO397" s="29">
        <f>UPPER(SUBSTITUTE(TRIM(E397)," ",""))</f>
        <v/>
      </c>
      <c r="AP397" s="29">
        <f>IF(D397&lt;&gt;"",D397,IFERROR(VLOOKUP(MID(AG397,4,1),Lists!$E$2:$F$8,2,FALSE),""))</f>
        <v/>
      </c>
      <c r="AQ397" s="29">
        <f>IFERROR(VLOOKUP(AP397,Lists!$A$2:$C$12,3,FALSE),"")</f>
        <v/>
      </c>
      <c r="AR397" s="29">
        <f>COUNTIF(W397:AC397,"Yes")</f>
        <v/>
      </c>
      <c r="AS397" s="29">
        <f>IF(TRIM(B397)="","Legal name missing; ","")&amp;IF(AND(AJ397&lt;&gt;"",AJ397&lt;&gt;"OK"),"GSTIN: "&amp;AJ397&amp;"; ","")&amp;IF(AND(AK397&lt;&gt;"",AK397&lt;&gt;"OK"),"PAN wrong format; ","")&amp;IF(AND(AO397&lt;&gt;"",LEN(AN397)=15,MID(AN397,3,10)&lt;&gt;AO397),"PAN does not match GSTIN; ","")&amp;IF(AND(AL397&lt;&gt;"",AL397&lt;&gt;"OK"),"TAN wrong format; ","")&amp;IF(AG397="","PAN missing; ","")&amp;IF(AP397="","Entity type missing; ","")&amp;IF(AND(AN397&lt;&gt;"",COUNTIF($AN$6:$AN$1005,AN397)&gt;1),"GSTIN repeated in this sheet; ","")&amp;IF(AND(AG397&lt;&gt;"",COUNTIF($AG$6:$AG$1005,AG397)&gt;1),"PAN repeated in this sheet (same client? put extra GSTINs in Other GSTINs); ","")&amp;IF(AND(AR397&gt;0,V397=""),"Financial year missing; ","")&amp;IF(AND(AR397=0,V397&lt;&gt;""),"Financial year given but no service is Yes; ","")&amp;IF(AND(W397="Yes",AN397=""),"GST needs a GSTIN; ","")&amp;IF(AND(W397="Yes",X397=""),"GST return frequency missing; ","")&amp;IF(AND(Y397="Yes",TRIM(H397)=""),"TDS needs a TAN; ","")&amp;IF(AND(AA397="Yes",AQ397&lt;&gt;"",AQ397&lt;&gt;"company",AQ397&lt;&gt;"llp"),"ROC is only for a company / LLP; ","")&amp;IF(AND(AA397="Yes",OR(AQ397="company",AQ397="llp"),TRIM(I397)=""),"ROC needs the CIN / LLPIN; ","")</f>
        <v/>
      </c>
    </row>
    <row r="398">
      <c r="A398" s="30" t="n"/>
      <c r="B398" s="31" t="n"/>
      <c r="C398" s="31" t="n"/>
      <c r="D398" s="31" t="n"/>
      <c r="E398" s="30" t="n"/>
      <c r="F398" s="30" t="n"/>
      <c r="G398" s="30" t="n"/>
      <c r="H398" s="30" t="n"/>
      <c r="I398" s="30" t="n"/>
      <c r="J398" s="32" t="n"/>
      <c r="K398" s="31" t="n"/>
      <c r="L398" s="30" t="n"/>
      <c r="M398" s="31" t="n"/>
      <c r="N398" s="31" t="n"/>
      <c r="O398" s="31" t="n"/>
      <c r="P398" s="30" t="n"/>
      <c r="Q398" s="31" t="n"/>
      <c r="R398" s="31" t="n"/>
      <c r="S398" s="31" t="n"/>
      <c r="T398" s="31" t="n"/>
      <c r="U398" s="30" t="n"/>
      <c r="V398" s="31" t="n"/>
      <c r="W398" s="31" t="n"/>
      <c r="X398" s="31" t="n"/>
      <c r="Y398" s="31" t="n"/>
      <c r="Z398" s="31" t="n"/>
      <c r="AA398" s="31" t="n"/>
      <c r="AB398" s="31" t="n"/>
      <c r="AC398" s="31" t="n"/>
      <c r="AD398" s="31" t="n"/>
      <c r="AE398" s="31" t="n"/>
      <c r="AF398" s="27">
        <f>IF(NOT(COUNTA(A398:AE398)&gt;0),"",IF(A398="","New client","Update"))</f>
        <v/>
      </c>
      <c r="AG398" s="27">
        <f>IF(AO398&lt;&gt;"",AO398,IF(LEN(AN398)=15,MID(AN398,3,10),""))</f>
        <v/>
      </c>
      <c r="AH398" s="27">
        <f>IF(AP398="","",AP398&amp;IF(D398="","  (guessed from PAN)",""))</f>
        <v/>
      </c>
      <c r="AI398" s="27">
        <f>IF(AN398="","",IFERROR(INDEX(Lists!$L$2:$L$38,MATCH(LEFT(AN398,2),Lists!$K$2:$K$38,0)),"Unknown code"))</f>
        <v/>
      </c>
      <c r="AJ398" s="27">
        <f>IF(AN398="","",IFERROR(IF(NOT(AND(LEN(AN398)=15,ISNUMBER(MATCH(LEFT(AN398,2),Lists!$K$2:$K$38,0)),SUMPRODUCT(--ISERROR(FIND(MID(MID(AN398,3,10),{1,2,3,4,5,10},1),"ABCDEFGHIJKLMNOPQRSTUVWXYZ")))=0,SUMPRODUCT(--ISERROR(FIND(MID(MID(AN398,3,10),{6,7,8,9},1),"0123456789")))=0,ISNUMBER(FIND(MID(AN398,13,1),"123456789ABCDEFGHIJKLMNOPQRSTUVWXYZ")),MID(AN398,14,1)="Z")),"Wrong format",IF(MID("0123456789ABCDEFGHIJKLMNOPQRSTUVWXYZ",MOD(36-MOD(SUMPRODUCT(INT((FIND(MID(AN398,{1,2,3,4,5,6,7,8,9,10,11,12,13,14},1),"0123456789ABCDEFGHIJKLMNOPQRSTUVWXYZ")-1)*{1,2,1,2,1,2,1,2,1,2,1,2,1,2}/36)+MOD((FIND(MID(AN398,{1,2,3,4,5,6,7,8,9,10,11,12,13,14},1),"0123456789ABCDEFGHIJKLMNOPQRSTUVWXYZ")-1)*{1,2,1,2,1,2,1,2,1,2,1,2,1,2},36)),36),36)+1,1)=MID(AN398,15,1),"OK","Typo? check digit wrong")),"Wrong format"))</f>
        <v/>
      </c>
      <c r="AK398" s="27">
        <f>IF(AO398="","",IF(AND(LEN(AO398)=10,SUMPRODUCT(--ISERROR(FIND(MID(AO398,{1,2,3,4,5,10},1),"ABCDEFGHIJKLMNOPQRSTUVWXYZ")))=0,SUMPRODUCT(--ISERROR(FIND(MID(AO398,{6,7,8,9},1),"0123456789")))=0),"OK","Wrong format"))</f>
        <v/>
      </c>
      <c r="AL398" s="27">
        <f>IF(TRIM(H398)="","",IF(AND(LEN(UPPER(TRIM(H398)))=10,SUMPRODUCT(--ISERROR(FIND(MID(UPPER(TRIM(H398)),{1,2,3,4,10},1),"ABCDEFGHIJKLMNOPQRSTUVWXYZ")))=0,SUMPRODUCT(--ISERROR(FIND(MID(UPPER(TRIM(H398)),{5,6,7,8,9},1),"0123456789")))=0),"OK","Wrong format"))</f>
        <v/>
      </c>
      <c r="AM398" s="28">
        <f>IF(NOT(COUNTA(A398:AE398)&gt;0),"",IF(AS398&lt;&gt;"","✖ "&amp;LEFT(AS398,LEN(AS398)-2),IF(AR398&gt;0,"✔ Ready — client + "&amp;AR398&amp;" service(s)","✔ Ready — client only")))</f>
        <v/>
      </c>
      <c r="AN398" s="29">
        <f>UPPER(SUBSTITUTE(TRIM(F398)," ",""))</f>
        <v/>
      </c>
      <c r="AO398" s="29">
        <f>UPPER(SUBSTITUTE(TRIM(E398)," ",""))</f>
        <v/>
      </c>
      <c r="AP398" s="29">
        <f>IF(D398&lt;&gt;"",D398,IFERROR(VLOOKUP(MID(AG398,4,1),Lists!$E$2:$F$8,2,FALSE),""))</f>
        <v/>
      </c>
      <c r="AQ398" s="29">
        <f>IFERROR(VLOOKUP(AP398,Lists!$A$2:$C$12,3,FALSE),"")</f>
        <v/>
      </c>
      <c r="AR398" s="29">
        <f>COUNTIF(W398:AC398,"Yes")</f>
        <v/>
      </c>
      <c r="AS398" s="29">
        <f>IF(TRIM(B398)="","Legal name missing; ","")&amp;IF(AND(AJ398&lt;&gt;"",AJ398&lt;&gt;"OK"),"GSTIN: "&amp;AJ398&amp;"; ","")&amp;IF(AND(AK398&lt;&gt;"",AK398&lt;&gt;"OK"),"PAN wrong format; ","")&amp;IF(AND(AO398&lt;&gt;"",LEN(AN398)=15,MID(AN398,3,10)&lt;&gt;AO398),"PAN does not match GSTIN; ","")&amp;IF(AND(AL398&lt;&gt;"",AL398&lt;&gt;"OK"),"TAN wrong format; ","")&amp;IF(AG398="","PAN missing; ","")&amp;IF(AP398="","Entity type missing; ","")&amp;IF(AND(AN398&lt;&gt;"",COUNTIF($AN$6:$AN$1005,AN398)&gt;1),"GSTIN repeated in this sheet; ","")&amp;IF(AND(AG398&lt;&gt;"",COUNTIF($AG$6:$AG$1005,AG398)&gt;1),"PAN repeated in this sheet (same client? put extra GSTINs in Other GSTINs); ","")&amp;IF(AND(AR398&gt;0,V398=""),"Financial year missing; ","")&amp;IF(AND(AR398=0,V398&lt;&gt;""),"Financial year given but no service is Yes; ","")&amp;IF(AND(W398="Yes",AN398=""),"GST needs a GSTIN; ","")&amp;IF(AND(W398="Yes",X398=""),"GST return frequency missing; ","")&amp;IF(AND(Y398="Yes",TRIM(H398)=""),"TDS needs a TAN; ","")&amp;IF(AND(AA398="Yes",AQ398&lt;&gt;"",AQ398&lt;&gt;"company",AQ398&lt;&gt;"llp"),"ROC is only for a company / LLP; ","")&amp;IF(AND(AA398="Yes",OR(AQ398="company",AQ398="llp"),TRIM(I398)=""),"ROC needs the CIN / LLPIN; ","")</f>
        <v/>
      </c>
    </row>
    <row r="399">
      <c r="A399" s="30" t="n"/>
      <c r="B399" s="31" t="n"/>
      <c r="C399" s="31" t="n"/>
      <c r="D399" s="31" t="n"/>
      <c r="E399" s="30" t="n"/>
      <c r="F399" s="30" t="n"/>
      <c r="G399" s="30" t="n"/>
      <c r="H399" s="30" t="n"/>
      <c r="I399" s="30" t="n"/>
      <c r="J399" s="32" t="n"/>
      <c r="K399" s="31" t="n"/>
      <c r="L399" s="30" t="n"/>
      <c r="M399" s="31" t="n"/>
      <c r="N399" s="31" t="n"/>
      <c r="O399" s="31" t="n"/>
      <c r="P399" s="30" t="n"/>
      <c r="Q399" s="31" t="n"/>
      <c r="R399" s="31" t="n"/>
      <c r="S399" s="31" t="n"/>
      <c r="T399" s="31" t="n"/>
      <c r="U399" s="30" t="n"/>
      <c r="V399" s="31" t="n"/>
      <c r="W399" s="31" t="n"/>
      <c r="X399" s="31" t="n"/>
      <c r="Y399" s="31" t="n"/>
      <c r="Z399" s="31" t="n"/>
      <c r="AA399" s="31" t="n"/>
      <c r="AB399" s="31" t="n"/>
      <c r="AC399" s="31" t="n"/>
      <c r="AD399" s="31" t="n"/>
      <c r="AE399" s="31" t="n"/>
      <c r="AF399" s="27">
        <f>IF(NOT(COUNTA(A399:AE399)&gt;0),"",IF(A399="","New client","Update"))</f>
        <v/>
      </c>
      <c r="AG399" s="27">
        <f>IF(AO399&lt;&gt;"",AO399,IF(LEN(AN399)=15,MID(AN399,3,10),""))</f>
        <v/>
      </c>
      <c r="AH399" s="27">
        <f>IF(AP399="","",AP399&amp;IF(D399="","  (guessed from PAN)",""))</f>
        <v/>
      </c>
      <c r="AI399" s="27">
        <f>IF(AN399="","",IFERROR(INDEX(Lists!$L$2:$L$38,MATCH(LEFT(AN399,2),Lists!$K$2:$K$38,0)),"Unknown code"))</f>
        <v/>
      </c>
      <c r="AJ399" s="27">
        <f>IF(AN399="","",IFERROR(IF(NOT(AND(LEN(AN399)=15,ISNUMBER(MATCH(LEFT(AN399,2),Lists!$K$2:$K$38,0)),SUMPRODUCT(--ISERROR(FIND(MID(MID(AN399,3,10),{1,2,3,4,5,10},1),"ABCDEFGHIJKLMNOPQRSTUVWXYZ")))=0,SUMPRODUCT(--ISERROR(FIND(MID(MID(AN399,3,10),{6,7,8,9},1),"0123456789")))=0,ISNUMBER(FIND(MID(AN399,13,1),"123456789ABCDEFGHIJKLMNOPQRSTUVWXYZ")),MID(AN399,14,1)="Z")),"Wrong format",IF(MID("0123456789ABCDEFGHIJKLMNOPQRSTUVWXYZ",MOD(36-MOD(SUMPRODUCT(INT((FIND(MID(AN399,{1,2,3,4,5,6,7,8,9,10,11,12,13,14},1),"0123456789ABCDEFGHIJKLMNOPQRSTUVWXYZ")-1)*{1,2,1,2,1,2,1,2,1,2,1,2,1,2}/36)+MOD((FIND(MID(AN399,{1,2,3,4,5,6,7,8,9,10,11,12,13,14},1),"0123456789ABCDEFGHIJKLMNOPQRSTUVWXYZ")-1)*{1,2,1,2,1,2,1,2,1,2,1,2,1,2},36)),36),36)+1,1)=MID(AN399,15,1),"OK","Typo? check digit wrong")),"Wrong format"))</f>
        <v/>
      </c>
      <c r="AK399" s="27">
        <f>IF(AO399="","",IF(AND(LEN(AO399)=10,SUMPRODUCT(--ISERROR(FIND(MID(AO399,{1,2,3,4,5,10},1),"ABCDEFGHIJKLMNOPQRSTUVWXYZ")))=0,SUMPRODUCT(--ISERROR(FIND(MID(AO399,{6,7,8,9},1),"0123456789")))=0),"OK","Wrong format"))</f>
        <v/>
      </c>
      <c r="AL399" s="27">
        <f>IF(TRIM(H399)="","",IF(AND(LEN(UPPER(TRIM(H399)))=10,SUMPRODUCT(--ISERROR(FIND(MID(UPPER(TRIM(H399)),{1,2,3,4,10},1),"ABCDEFGHIJKLMNOPQRSTUVWXYZ")))=0,SUMPRODUCT(--ISERROR(FIND(MID(UPPER(TRIM(H399)),{5,6,7,8,9},1),"0123456789")))=0),"OK","Wrong format"))</f>
        <v/>
      </c>
      <c r="AM399" s="28">
        <f>IF(NOT(COUNTA(A399:AE399)&gt;0),"",IF(AS399&lt;&gt;"","✖ "&amp;LEFT(AS399,LEN(AS399)-2),IF(AR399&gt;0,"✔ Ready — client + "&amp;AR399&amp;" service(s)","✔ Ready — client only")))</f>
        <v/>
      </c>
      <c r="AN399" s="29">
        <f>UPPER(SUBSTITUTE(TRIM(F399)," ",""))</f>
        <v/>
      </c>
      <c r="AO399" s="29">
        <f>UPPER(SUBSTITUTE(TRIM(E399)," ",""))</f>
        <v/>
      </c>
      <c r="AP399" s="29">
        <f>IF(D399&lt;&gt;"",D399,IFERROR(VLOOKUP(MID(AG399,4,1),Lists!$E$2:$F$8,2,FALSE),""))</f>
        <v/>
      </c>
      <c r="AQ399" s="29">
        <f>IFERROR(VLOOKUP(AP399,Lists!$A$2:$C$12,3,FALSE),"")</f>
        <v/>
      </c>
      <c r="AR399" s="29">
        <f>COUNTIF(W399:AC399,"Yes")</f>
        <v/>
      </c>
      <c r="AS399" s="29">
        <f>IF(TRIM(B399)="","Legal name missing; ","")&amp;IF(AND(AJ399&lt;&gt;"",AJ399&lt;&gt;"OK"),"GSTIN: "&amp;AJ399&amp;"; ","")&amp;IF(AND(AK399&lt;&gt;"",AK399&lt;&gt;"OK"),"PAN wrong format; ","")&amp;IF(AND(AO399&lt;&gt;"",LEN(AN399)=15,MID(AN399,3,10)&lt;&gt;AO399),"PAN does not match GSTIN; ","")&amp;IF(AND(AL399&lt;&gt;"",AL399&lt;&gt;"OK"),"TAN wrong format; ","")&amp;IF(AG399="","PAN missing; ","")&amp;IF(AP399="","Entity type missing; ","")&amp;IF(AND(AN399&lt;&gt;"",COUNTIF($AN$6:$AN$1005,AN399)&gt;1),"GSTIN repeated in this sheet; ","")&amp;IF(AND(AG399&lt;&gt;"",COUNTIF($AG$6:$AG$1005,AG399)&gt;1),"PAN repeated in this sheet (same client? put extra GSTINs in Other GSTINs); ","")&amp;IF(AND(AR399&gt;0,V399=""),"Financial year missing; ","")&amp;IF(AND(AR399=0,V399&lt;&gt;""),"Financial year given but no service is Yes; ","")&amp;IF(AND(W399="Yes",AN399=""),"GST needs a GSTIN; ","")&amp;IF(AND(W399="Yes",X399=""),"GST return frequency missing; ","")&amp;IF(AND(Y399="Yes",TRIM(H399)=""),"TDS needs a TAN; ","")&amp;IF(AND(AA399="Yes",AQ399&lt;&gt;"",AQ399&lt;&gt;"company",AQ399&lt;&gt;"llp"),"ROC is only for a company / LLP; ","")&amp;IF(AND(AA399="Yes",OR(AQ399="company",AQ399="llp"),TRIM(I399)=""),"ROC needs the CIN / LLPIN; ","")</f>
        <v/>
      </c>
    </row>
    <row r="400">
      <c r="A400" s="30" t="n"/>
      <c r="B400" s="31" t="n"/>
      <c r="C400" s="31" t="n"/>
      <c r="D400" s="31" t="n"/>
      <c r="E400" s="30" t="n"/>
      <c r="F400" s="30" t="n"/>
      <c r="G400" s="30" t="n"/>
      <c r="H400" s="30" t="n"/>
      <c r="I400" s="30" t="n"/>
      <c r="J400" s="32" t="n"/>
      <c r="K400" s="31" t="n"/>
      <c r="L400" s="30" t="n"/>
      <c r="M400" s="31" t="n"/>
      <c r="N400" s="31" t="n"/>
      <c r="O400" s="31" t="n"/>
      <c r="P400" s="30" t="n"/>
      <c r="Q400" s="31" t="n"/>
      <c r="R400" s="31" t="n"/>
      <c r="S400" s="31" t="n"/>
      <c r="T400" s="31" t="n"/>
      <c r="U400" s="30" t="n"/>
      <c r="V400" s="31" t="n"/>
      <c r="W400" s="31" t="n"/>
      <c r="X400" s="31" t="n"/>
      <c r="Y400" s="31" t="n"/>
      <c r="Z400" s="31" t="n"/>
      <c r="AA400" s="31" t="n"/>
      <c r="AB400" s="31" t="n"/>
      <c r="AC400" s="31" t="n"/>
      <c r="AD400" s="31" t="n"/>
      <c r="AE400" s="31" t="n"/>
      <c r="AF400" s="27">
        <f>IF(NOT(COUNTA(A400:AE400)&gt;0),"",IF(A400="","New client","Update"))</f>
        <v/>
      </c>
      <c r="AG400" s="27">
        <f>IF(AO400&lt;&gt;"",AO400,IF(LEN(AN400)=15,MID(AN400,3,10),""))</f>
        <v/>
      </c>
      <c r="AH400" s="27">
        <f>IF(AP400="","",AP400&amp;IF(D400="","  (guessed from PAN)",""))</f>
        <v/>
      </c>
      <c r="AI400" s="27">
        <f>IF(AN400="","",IFERROR(INDEX(Lists!$L$2:$L$38,MATCH(LEFT(AN400,2),Lists!$K$2:$K$38,0)),"Unknown code"))</f>
        <v/>
      </c>
      <c r="AJ400" s="27">
        <f>IF(AN400="","",IFERROR(IF(NOT(AND(LEN(AN400)=15,ISNUMBER(MATCH(LEFT(AN400,2),Lists!$K$2:$K$38,0)),SUMPRODUCT(--ISERROR(FIND(MID(MID(AN400,3,10),{1,2,3,4,5,10},1),"ABCDEFGHIJKLMNOPQRSTUVWXYZ")))=0,SUMPRODUCT(--ISERROR(FIND(MID(MID(AN400,3,10),{6,7,8,9},1),"0123456789")))=0,ISNUMBER(FIND(MID(AN400,13,1),"123456789ABCDEFGHIJKLMNOPQRSTUVWXYZ")),MID(AN400,14,1)="Z")),"Wrong format",IF(MID("0123456789ABCDEFGHIJKLMNOPQRSTUVWXYZ",MOD(36-MOD(SUMPRODUCT(INT((FIND(MID(AN400,{1,2,3,4,5,6,7,8,9,10,11,12,13,14},1),"0123456789ABCDEFGHIJKLMNOPQRSTUVWXYZ")-1)*{1,2,1,2,1,2,1,2,1,2,1,2,1,2}/36)+MOD((FIND(MID(AN400,{1,2,3,4,5,6,7,8,9,10,11,12,13,14},1),"0123456789ABCDEFGHIJKLMNOPQRSTUVWXYZ")-1)*{1,2,1,2,1,2,1,2,1,2,1,2,1,2},36)),36),36)+1,1)=MID(AN400,15,1),"OK","Typo? check digit wrong")),"Wrong format"))</f>
        <v/>
      </c>
      <c r="AK400" s="27">
        <f>IF(AO400="","",IF(AND(LEN(AO400)=10,SUMPRODUCT(--ISERROR(FIND(MID(AO400,{1,2,3,4,5,10},1),"ABCDEFGHIJKLMNOPQRSTUVWXYZ")))=0,SUMPRODUCT(--ISERROR(FIND(MID(AO400,{6,7,8,9},1),"0123456789")))=0),"OK","Wrong format"))</f>
        <v/>
      </c>
      <c r="AL400" s="27">
        <f>IF(TRIM(H400)="","",IF(AND(LEN(UPPER(TRIM(H400)))=10,SUMPRODUCT(--ISERROR(FIND(MID(UPPER(TRIM(H400)),{1,2,3,4,10},1),"ABCDEFGHIJKLMNOPQRSTUVWXYZ")))=0,SUMPRODUCT(--ISERROR(FIND(MID(UPPER(TRIM(H400)),{5,6,7,8,9},1),"0123456789")))=0),"OK","Wrong format"))</f>
        <v/>
      </c>
      <c r="AM400" s="28">
        <f>IF(NOT(COUNTA(A400:AE400)&gt;0),"",IF(AS400&lt;&gt;"","✖ "&amp;LEFT(AS400,LEN(AS400)-2),IF(AR400&gt;0,"✔ Ready — client + "&amp;AR400&amp;" service(s)","✔ Ready — client only")))</f>
        <v/>
      </c>
      <c r="AN400" s="29">
        <f>UPPER(SUBSTITUTE(TRIM(F400)," ",""))</f>
        <v/>
      </c>
      <c r="AO400" s="29">
        <f>UPPER(SUBSTITUTE(TRIM(E400)," ",""))</f>
        <v/>
      </c>
      <c r="AP400" s="29">
        <f>IF(D400&lt;&gt;"",D400,IFERROR(VLOOKUP(MID(AG400,4,1),Lists!$E$2:$F$8,2,FALSE),""))</f>
        <v/>
      </c>
      <c r="AQ400" s="29">
        <f>IFERROR(VLOOKUP(AP400,Lists!$A$2:$C$12,3,FALSE),"")</f>
        <v/>
      </c>
      <c r="AR400" s="29">
        <f>COUNTIF(W400:AC400,"Yes")</f>
        <v/>
      </c>
      <c r="AS400" s="29">
        <f>IF(TRIM(B400)="","Legal name missing; ","")&amp;IF(AND(AJ400&lt;&gt;"",AJ400&lt;&gt;"OK"),"GSTIN: "&amp;AJ400&amp;"; ","")&amp;IF(AND(AK400&lt;&gt;"",AK400&lt;&gt;"OK"),"PAN wrong format; ","")&amp;IF(AND(AO400&lt;&gt;"",LEN(AN400)=15,MID(AN400,3,10)&lt;&gt;AO400),"PAN does not match GSTIN; ","")&amp;IF(AND(AL400&lt;&gt;"",AL400&lt;&gt;"OK"),"TAN wrong format; ","")&amp;IF(AG400="","PAN missing; ","")&amp;IF(AP400="","Entity type missing; ","")&amp;IF(AND(AN400&lt;&gt;"",COUNTIF($AN$6:$AN$1005,AN400)&gt;1),"GSTIN repeated in this sheet; ","")&amp;IF(AND(AG400&lt;&gt;"",COUNTIF($AG$6:$AG$1005,AG400)&gt;1),"PAN repeated in this sheet (same client? put extra GSTINs in Other GSTINs); ","")&amp;IF(AND(AR400&gt;0,V400=""),"Financial year missing; ","")&amp;IF(AND(AR400=0,V400&lt;&gt;""),"Financial year given but no service is Yes; ","")&amp;IF(AND(W400="Yes",AN400=""),"GST needs a GSTIN; ","")&amp;IF(AND(W400="Yes",X400=""),"GST return frequency missing; ","")&amp;IF(AND(Y400="Yes",TRIM(H400)=""),"TDS needs a TAN; ","")&amp;IF(AND(AA400="Yes",AQ400&lt;&gt;"",AQ400&lt;&gt;"company",AQ400&lt;&gt;"llp"),"ROC is only for a company / LLP; ","")&amp;IF(AND(AA400="Yes",OR(AQ400="company",AQ400="llp"),TRIM(I400)=""),"ROC needs the CIN / LLPIN; ","")</f>
        <v/>
      </c>
    </row>
    <row r="401">
      <c r="A401" s="30" t="n"/>
      <c r="B401" s="31" t="n"/>
      <c r="C401" s="31" t="n"/>
      <c r="D401" s="31" t="n"/>
      <c r="E401" s="30" t="n"/>
      <c r="F401" s="30" t="n"/>
      <c r="G401" s="30" t="n"/>
      <c r="H401" s="30" t="n"/>
      <c r="I401" s="30" t="n"/>
      <c r="J401" s="32" t="n"/>
      <c r="K401" s="31" t="n"/>
      <c r="L401" s="30" t="n"/>
      <c r="M401" s="31" t="n"/>
      <c r="N401" s="31" t="n"/>
      <c r="O401" s="31" t="n"/>
      <c r="P401" s="30" t="n"/>
      <c r="Q401" s="31" t="n"/>
      <c r="R401" s="31" t="n"/>
      <c r="S401" s="31" t="n"/>
      <c r="T401" s="31" t="n"/>
      <c r="U401" s="30" t="n"/>
      <c r="V401" s="31" t="n"/>
      <c r="W401" s="31" t="n"/>
      <c r="X401" s="31" t="n"/>
      <c r="Y401" s="31" t="n"/>
      <c r="Z401" s="31" t="n"/>
      <c r="AA401" s="31" t="n"/>
      <c r="AB401" s="31" t="n"/>
      <c r="AC401" s="31" t="n"/>
      <c r="AD401" s="31" t="n"/>
      <c r="AE401" s="31" t="n"/>
      <c r="AF401" s="27">
        <f>IF(NOT(COUNTA(A401:AE401)&gt;0),"",IF(A401="","New client","Update"))</f>
        <v/>
      </c>
      <c r="AG401" s="27">
        <f>IF(AO401&lt;&gt;"",AO401,IF(LEN(AN401)=15,MID(AN401,3,10),""))</f>
        <v/>
      </c>
      <c r="AH401" s="27">
        <f>IF(AP401="","",AP401&amp;IF(D401="","  (guessed from PAN)",""))</f>
        <v/>
      </c>
      <c r="AI401" s="27">
        <f>IF(AN401="","",IFERROR(INDEX(Lists!$L$2:$L$38,MATCH(LEFT(AN401,2),Lists!$K$2:$K$38,0)),"Unknown code"))</f>
        <v/>
      </c>
      <c r="AJ401" s="27">
        <f>IF(AN401="","",IFERROR(IF(NOT(AND(LEN(AN401)=15,ISNUMBER(MATCH(LEFT(AN401,2),Lists!$K$2:$K$38,0)),SUMPRODUCT(--ISERROR(FIND(MID(MID(AN401,3,10),{1,2,3,4,5,10},1),"ABCDEFGHIJKLMNOPQRSTUVWXYZ")))=0,SUMPRODUCT(--ISERROR(FIND(MID(MID(AN401,3,10),{6,7,8,9},1),"0123456789")))=0,ISNUMBER(FIND(MID(AN401,13,1),"123456789ABCDEFGHIJKLMNOPQRSTUVWXYZ")),MID(AN401,14,1)="Z")),"Wrong format",IF(MID("0123456789ABCDEFGHIJKLMNOPQRSTUVWXYZ",MOD(36-MOD(SUMPRODUCT(INT((FIND(MID(AN401,{1,2,3,4,5,6,7,8,9,10,11,12,13,14},1),"0123456789ABCDEFGHIJKLMNOPQRSTUVWXYZ")-1)*{1,2,1,2,1,2,1,2,1,2,1,2,1,2}/36)+MOD((FIND(MID(AN401,{1,2,3,4,5,6,7,8,9,10,11,12,13,14},1),"0123456789ABCDEFGHIJKLMNOPQRSTUVWXYZ")-1)*{1,2,1,2,1,2,1,2,1,2,1,2,1,2},36)),36),36)+1,1)=MID(AN401,15,1),"OK","Typo? check digit wrong")),"Wrong format"))</f>
        <v/>
      </c>
      <c r="AK401" s="27">
        <f>IF(AO401="","",IF(AND(LEN(AO401)=10,SUMPRODUCT(--ISERROR(FIND(MID(AO401,{1,2,3,4,5,10},1),"ABCDEFGHIJKLMNOPQRSTUVWXYZ")))=0,SUMPRODUCT(--ISERROR(FIND(MID(AO401,{6,7,8,9},1),"0123456789")))=0),"OK","Wrong format"))</f>
        <v/>
      </c>
      <c r="AL401" s="27">
        <f>IF(TRIM(H401)="","",IF(AND(LEN(UPPER(TRIM(H401)))=10,SUMPRODUCT(--ISERROR(FIND(MID(UPPER(TRIM(H401)),{1,2,3,4,10},1),"ABCDEFGHIJKLMNOPQRSTUVWXYZ")))=0,SUMPRODUCT(--ISERROR(FIND(MID(UPPER(TRIM(H401)),{5,6,7,8,9},1),"0123456789")))=0),"OK","Wrong format"))</f>
        <v/>
      </c>
      <c r="AM401" s="28">
        <f>IF(NOT(COUNTA(A401:AE401)&gt;0),"",IF(AS401&lt;&gt;"","✖ "&amp;LEFT(AS401,LEN(AS401)-2),IF(AR401&gt;0,"✔ Ready — client + "&amp;AR401&amp;" service(s)","✔ Ready — client only")))</f>
        <v/>
      </c>
      <c r="AN401" s="29">
        <f>UPPER(SUBSTITUTE(TRIM(F401)," ",""))</f>
        <v/>
      </c>
      <c r="AO401" s="29">
        <f>UPPER(SUBSTITUTE(TRIM(E401)," ",""))</f>
        <v/>
      </c>
      <c r="AP401" s="29">
        <f>IF(D401&lt;&gt;"",D401,IFERROR(VLOOKUP(MID(AG401,4,1),Lists!$E$2:$F$8,2,FALSE),""))</f>
        <v/>
      </c>
      <c r="AQ401" s="29">
        <f>IFERROR(VLOOKUP(AP401,Lists!$A$2:$C$12,3,FALSE),"")</f>
        <v/>
      </c>
      <c r="AR401" s="29">
        <f>COUNTIF(W401:AC401,"Yes")</f>
        <v/>
      </c>
      <c r="AS401" s="29">
        <f>IF(TRIM(B401)="","Legal name missing; ","")&amp;IF(AND(AJ401&lt;&gt;"",AJ401&lt;&gt;"OK"),"GSTIN: "&amp;AJ401&amp;"; ","")&amp;IF(AND(AK401&lt;&gt;"",AK401&lt;&gt;"OK"),"PAN wrong format; ","")&amp;IF(AND(AO401&lt;&gt;"",LEN(AN401)=15,MID(AN401,3,10)&lt;&gt;AO401),"PAN does not match GSTIN; ","")&amp;IF(AND(AL401&lt;&gt;"",AL401&lt;&gt;"OK"),"TAN wrong format; ","")&amp;IF(AG401="","PAN missing; ","")&amp;IF(AP401="","Entity type missing; ","")&amp;IF(AND(AN401&lt;&gt;"",COUNTIF($AN$6:$AN$1005,AN401)&gt;1),"GSTIN repeated in this sheet; ","")&amp;IF(AND(AG401&lt;&gt;"",COUNTIF($AG$6:$AG$1005,AG401)&gt;1),"PAN repeated in this sheet (same client? put extra GSTINs in Other GSTINs); ","")&amp;IF(AND(AR401&gt;0,V401=""),"Financial year missing; ","")&amp;IF(AND(AR401=0,V401&lt;&gt;""),"Financial year given but no service is Yes; ","")&amp;IF(AND(W401="Yes",AN401=""),"GST needs a GSTIN; ","")&amp;IF(AND(W401="Yes",X401=""),"GST return frequency missing; ","")&amp;IF(AND(Y401="Yes",TRIM(H401)=""),"TDS needs a TAN; ","")&amp;IF(AND(AA401="Yes",AQ401&lt;&gt;"",AQ401&lt;&gt;"company",AQ401&lt;&gt;"llp"),"ROC is only for a company / LLP; ","")&amp;IF(AND(AA401="Yes",OR(AQ401="company",AQ401="llp"),TRIM(I401)=""),"ROC needs the CIN / LLPIN; ","")</f>
        <v/>
      </c>
    </row>
    <row r="402">
      <c r="A402" s="30" t="n"/>
      <c r="B402" s="31" t="n"/>
      <c r="C402" s="31" t="n"/>
      <c r="D402" s="31" t="n"/>
      <c r="E402" s="30" t="n"/>
      <c r="F402" s="30" t="n"/>
      <c r="G402" s="30" t="n"/>
      <c r="H402" s="30" t="n"/>
      <c r="I402" s="30" t="n"/>
      <c r="J402" s="32" t="n"/>
      <c r="K402" s="31" t="n"/>
      <c r="L402" s="30" t="n"/>
      <c r="M402" s="31" t="n"/>
      <c r="N402" s="31" t="n"/>
      <c r="O402" s="31" t="n"/>
      <c r="P402" s="30" t="n"/>
      <c r="Q402" s="31" t="n"/>
      <c r="R402" s="31" t="n"/>
      <c r="S402" s="31" t="n"/>
      <c r="T402" s="31" t="n"/>
      <c r="U402" s="30" t="n"/>
      <c r="V402" s="31" t="n"/>
      <c r="W402" s="31" t="n"/>
      <c r="X402" s="31" t="n"/>
      <c r="Y402" s="31" t="n"/>
      <c r="Z402" s="31" t="n"/>
      <c r="AA402" s="31" t="n"/>
      <c r="AB402" s="31" t="n"/>
      <c r="AC402" s="31" t="n"/>
      <c r="AD402" s="31" t="n"/>
      <c r="AE402" s="31" t="n"/>
      <c r="AF402" s="27">
        <f>IF(NOT(COUNTA(A402:AE402)&gt;0),"",IF(A402="","New client","Update"))</f>
        <v/>
      </c>
      <c r="AG402" s="27">
        <f>IF(AO402&lt;&gt;"",AO402,IF(LEN(AN402)=15,MID(AN402,3,10),""))</f>
        <v/>
      </c>
      <c r="AH402" s="27">
        <f>IF(AP402="","",AP402&amp;IF(D402="","  (guessed from PAN)",""))</f>
        <v/>
      </c>
      <c r="AI402" s="27">
        <f>IF(AN402="","",IFERROR(INDEX(Lists!$L$2:$L$38,MATCH(LEFT(AN402,2),Lists!$K$2:$K$38,0)),"Unknown code"))</f>
        <v/>
      </c>
      <c r="AJ402" s="27">
        <f>IF(AN402="","",IFERROR(IF(NOT(AND(LEN(AN402)=15,ISNUMBER(MATCH(LEFT(AN402,2),Lists!$K$2:$K$38,0)),SUMPRODUCT(--ISERROR(FIND(MID(MID(AN402,3,10),{1,2,3,4,5,10},1),"ABCDEFGHIJKLMNOPQRSTUVWXYZ")))=0,SUMPRODUCT(--ISERROR(FIND(MID(MID(AN402,3,10),{6,7,8,9},1),"0123456789")))=0,ISNUMBER(FIND(MID(AN402,13,1),"123456789ABCDEFGHIJKLMNOPQRSTUVWXYZ")),MID(AN402,14,1)="Z")),"Wrong format",IF(MID("0123456789ABCDEFGHIJKLMNOPQRSTUVWXYZ",MOD(36-MOD(SUMPRODUCT(INT((FIND(MID(AN402,{1,2,3,4,5,6,7,8,9,10,11,12,13,14},1),"0123456789ABCDEFGHIJKLMNOPQRSTUVWXYZ")-1)*{1,2,1,2,1,2,1,2,1,2,1,2,1,2}/36)+MOD((FIND(MID(AN402,{1,2,3,4,5,6,7,8,9,10,11,12,13,14},1),"0123456789ABCDEFGHIJKLMNOPQRSTUVWXYZ")-1)*{1,2,1,2,1,2,1,2,1,2,1,2,1,2},36)),36),36)+1,1)=MID(AN402,15,1),"OK","Typo? check digit wrong")),"Wrong format"))</f>
        <v/>
      </c>
      <c r="AK402" s="27">
        <f>IF(AO402="","",IF(AND(LEN(AO402)=10,SUMPRODUCT(--ISERROR(FIND(MID(AO402,{1,2,3,4,5,10},1),"ABCDEFGHIJKLMNOPQRSTUVWXYZ")))=0,SUMPRODUCT(--ISERROR(FIND(MID(AO402,{6,7,8,9},1),"0123456789")))=0),"OK","Wrong format"))</f>
        <v/>
      </c>
      <c r="AL402" s="27">
        <f>IF(TRIM(H402)="","",IF(AND(LEN(UPPER(TRIM(H402)))=10,SUMPRODUCT(--ISERROR(FIND(MID(UPPER(TRIM(H402)),{1,2,3,4,10},1),"ABCDEFGHIJKLMNOPQRSTUVWXYZ")))=0,SUMPRODUCT(--ISERROR(FIND(MID(UPPER(TRIM(H402)),{5,6,7,8,9},1),"0123456789")))=0),"OK","Wrong format"))</f>
        <v/>
      </c>
      <c r="AM402" s="28">
        <f>IF(NOT(COUNTA(A402:AE402)&gt;0),"",IF(AS402&lt;&gt;"","✖ "&amp;LEFT(AS402,LEN(AS402)-2),IF(AR402&gt;0,"✔ Ready — client + "&amp;AR402&amp;" service(s)","✔ Ready — client only")))</f>
        <v/>
      </c>
      <c r="AN402" s="29">
        <f>UPPER(SUBSTITUTE(TRIM(F402)," ",""))</f>
        <v/>
      </c>
      <c r="AO402" s="29">
        <f>UPPER(SUBSTITUTE(TRIM(E402)," ",""))</f>
        <v/>
      </c>
      <c r="AP402" s="29">
        <f>IF(D402&lt;&gt;"",D402,IFERROR(VLOOKUP(MID(AG402,4,1),Lists!$E$2:$F$8,2,FALSE),""))</f>
        <v/>
      </c>
      <c r="AQ402" s="29">
        <f>IFERROR(VLOOKUP(AP402,Lists!$A$2:$C$12,3,FALSE),"")</f>
        <v/>
      </c>
      <c r="AR402" s="29">
        <f>COUNTIF(W402:AC402,"Yes")</f>
        <v/>
      </c>
      <c r="AS402" s="29">
        <f>IF(TRIM(B402)="","Legal name missing; ","")&amp;IF(AND(AJ402&lt;&gt;"",AJ402&lt;&gt;"OK"),"GSTIN: "&amp;AJ402&amp;"; ","")&amp;IF(AND(AK402&lt;&gt;"",AK402&lt;&gt;"OK"),"PAN wrong format; ","")&amp;IF(AND(AO402&lt;&gt;"",LEN(AN402)=15,MID(AN402,3,10)&lt;&gt;AO402),"PAN does not match GSTIN; ","")&amp;IF(AND(AL402&lt;&gt;"",AL402&lt;&gt;"OK"),"TAN wrong format; ","")&amp;IF(AG402="","PAN missing; ","")&amp;IF(AP402="","Entity type missing; ","")&amp;IF(AND(AN402&lt;&gt;"",COUNTIF($AN$6:$AN$1005,AN402)&gt;1),"GSTIN repeated in this sheet; ","")&amp;IF(AND(AG402&lt;&gt;"",COUNTIF($AG$6:$AG$1005,AG402)&gt;1),"PAN repeated in this sheet (same client? put extra GSTINs in Other GSTINs); ","")&amp;IF(AND(AR402&gt;0,V402=""),"Financial year missing; ","")&amp;IF(AND(AR402=0,V402&lt;&gt;""),"Financial year given but no service is Yes; ","")&amp;IF(AND(W402="Yes",AN402=""),"GST needs a GSTIN; ","")&amp;IF(AND(W402="Yes",X402=""),"GST return frequency missing; ","")&amp;IF(AND(Y402="Yes",TRIM(H402)=""),"TDS needs a TAN; ","")&amp;IF(AND(AA402="Yes",AQ402&lt;&gt;"",AQ402&lt;&gt;"company",AQ402&lt;&gt;"llp"),"ROC is only for a company / LLP; ","")&amp;IF(AND(AA402="Yes",OR(AQ402="company",AQ402="llp"),TRIM(I402)=""),"ROC needs the CIN / LLPIN; ","")</f>
        <v/>
      </c>
    </row>
    <row r="403">
      <c r="A403" s="30" t="n"/>
      <c r="B403" s="31" t="n"/>
      <c r="C403" s="31" t="n"/>
      <c r="D403" s="31" t="n"/>
      <c r="E403" s="30" t="n"/>
      <c r="F403" s="30" t="n"/>
      <c r="G403" s="30" t="n"/>
      <c r="H403" s="30" t="n"/>
      <c r="I403" s="30" t="n"/>
      <c r="J403" s="32" t="n"/>
      <c r="K403" s="31" t="n"/>
      <c r="L403" s="30" t="n"/>
      <c r="M403" s="31" t="n"/>
      <c r="N403" s="31" t="n"/>
      <c r="O403" s="31" t="n"/>
      <c r="P403" s="30" t="n"/>
      <c r="Q403" s="31" t="n"/>
      <c r="R403" s="31" t="n"/>
      <c r="S403" s="31" t="n"/>
      <c r="T403" s="31" t="n"/>
      <c r="U403" s="30" t="n"/>
      <c r="V403" s="31" t="n"/>
      <c r="W403" s="31" t="n"/>
      <c r="X403" s="31" t="n"/>
      <c r="Y403" s="31" t="n"/>
      <c r="Z403" s="31" t="n"/>
      <c r="AA403" s="31" t="n"/>
      <c r="AB403" s="31" t="n"/>
      <c r="AC403" s="31" t="n"/>
      <c r="AD403" s="31" t="n"/>
      <c r="AE403" s="31" t="n"/>
      <c r="AF403" s="27">
        <f>IF(NOT(COUNTA(A403:AE403)&gt;0),"",IF(A403="","New client","Update"))</f>
        <v/>
      </c>
      <c r="AG403" s="27">
        <f>IF(AO403&lt;&gt;"",AO403,IF(LEN(AN403)=15,MID(AN403,3,10),""))</f>
        <v/>
      </c>
      <c r="AH403" s="27">
        <f>IF(AP403="","",AP403&amp;IF(D403="","  (guessed from PAN)",""))</f>
        <v/>
      </c>
      <c r="AI403" s="27">
        <f>IF(AN403="","",IFERROR(INDEX(Lists!$L$2:$L$38,MATCH(LEFT(AN403,2),Lists!$K$2:$K$38,0)),"Unknown code"))</f>
        <v/>
      </c>
      <c r="AJ403" s="27">
        <f>IF(AN403="","",IFERROR(IF(NOT(AND(LEN(AN403)=15,ISNUMBER(MATCH(LEFT(AN403,2),Lists!$K$2:$K$38,0)),SUMPRODUCT(--ISERROR(FIND(MID(MID(AN403,3,10),{1,2,3,4,5,10},1),"ABCDEFGHIJKLMNOPQRSTUVWXYZ")))=0,SUMPRODUCT(--ISERROR(FIND(MID(MID(AN403,3,10),{6,7,8,9},1),"0123456789")))=0,ISNUMBER(FIND(MID(AN403,13,1),"123456789ABCDEFGHIJKLMNOPQRSTUVWXYZ")),MID(AN403,14,1)="Z")),"Wrong format",IF(MID("0123456789ABCDEFGHIJKLMNOPQRSTUVWXYZ",MOD(36-MOD(SUMPRODUCT(INT((FIND(MID(AN403,{1,2,3,4,5,6,7,8,9,10,11,12,13,14},1),"0123456789ABCDEFGHIJKLMNOPQRSTUVWXYZ")-1)*{1,2,1,2,1,2,1,2,1,2,1,2,1,2}/36)+MOD((FIND(MID(AN403,{1,2,3,4,5,6,7,8,9,10,11,12,13,14},1),"0123456789ABCDEFGHIJKLMNOPQRSTUVWXYZ")-1)*{1,2,1,2,1,2,1,2,1,2,1,2,1,2},36)),36),36)+1,1)=MID(AN403,15,1),"OK","Typo? check digit wrong")),"Wrong format"))</f>
        <v/>
      </c>
      <c r="AK403" s="27">
        <f>IF(AO403="","",IF(AND(LEN(AO403)=10,SUMPRODUCT(--ISERROR(FIND(MID(AO403,{1,2,3,4,5,10},1),"ABCDEFGHIJKLMNOPQRSTUVWXYZ")))=0,SUMPRODUCT(--ISERROR(FIND(MID(AO403,{6,7,8,9},1),"0123456789")))=0),"OK","Wrong format"))</f>
        <v/>
      </c>
      <c r="AL403" s="27">
        <f>IF(TRIM(H403)="","",IF(AND(LEN(UPPER(TRIM(H403)))=10,SUMPRODUCT(--ISERROR(FIND(MID(UPPER(TRIM(H403)),{1,2,3,4,10},1),"ABCDEFGHIJKLMNOPQRSTUVWXYZ")))=0,SUMPRODUCT(--ISERROR(FIND(MID(UPPER(TRIM(H403)),{5,6,7,8,9},1),"0123456789")))=0),"OK","Wrong format"))</f>
        <v/>
      </c>
      <c r="AM403" s="28">
        <f>IF(NOT(COUNTA(A403:AE403)&gt;0),"",IF(AS403&lt;&gt;"","✖ "&amp;LEFT(AS403,LEN(AS403)-2),IF(AR403&gt;0,"✔ Ready — client + "&amp;AR403&amp;" service(s)","✔ Ready — client only")))</f>
        <v/>
      </c>
      <c r="AN403" s="29">
        <f>UPPER(SUBSTITUTE(TRIM(F403)," ",""))</f>
        <v/>
      </c>
      <c r="AO403" s="29">
        <f>UPPER(SUBSTITUTE(TRIM(E403)," ",""))</f>
        <v/>
      </c>
      <c r="AP403" s="29">
        <f>IF(D403&lt;&gt;"",D403,IFERROR(VLOOKUP(MID(AG403,4,1),Lists!$E$2:$F$8,2,FALSE),""))</f>
        <v/>
      </c>
      <c r="AQ403" s="29">
        <f>IFERROR(VLOOKUP(AP403,Lists!$A$2:$C$12,3,FALSE),"")</f>
        <v/>
      </c>
      <c r="AR403" s="29">
        <f>COUNTIF(W403:AC403,"Yes")</f>
        <v/>
      </c>
      <c r="AS403" s="29">
        <f>IF(TRIM(B403)="","Legal name missing; ","")&amp;IF(AND(AJ403&lt;&gt;"",AJ403&lt;&gt;"OK"),"GSTIN: "&amp;AJ403&amp;"; ","")&amp;IF(AND(AK403&lt;&gt;"",AK403&lt;&gt;"OK"),"PAN wrong format; ","")&amp;IF(AND(AO403&lt;&gt;"",LEN(AN403)=15,MID(AN403,3,10)&lt;&gt;AO403),"PAN does not match GSTIN; ","")&amp;IF(AND(AL403&lt;&gt;"",AL403&lt;&gt;"OK"),"TAN wrong format; ","")&amp;IF(AG403="","PAN missing; ","")&amp;IF(AP403="","Entity type missing; ","")&amp;IF(AND(AN403&lt;&gt;"",COUNTIF($AN$6:$AN$1005,AN403)&gt;1),"GSTIN repeated in this sheet; ","")&amp;IF(AND(AG403&lt;&gt;"",COUNTIF($AG$6:$AG$1005,AG403)&gt;1),"PAN repeated in this sheet (same client? put extra GSTINs in Other GSTINs); ","")&amp;IF(AND(AR403&gt;0,V403=""),"Financial year missing; ","")&amp;IF(AND(AR403=0,V403&lt;&gt;""),"Financial year given but no service is Yes; ","")&amp;IF(AND(W403="Yes",AN403=""),"GST needs a GSTIN; ","")&amp;IF(AND(W403="Yes",X403=""),"GST return frequency missing; ","")&amp;IF(AND(Y403="Yes",TRIM(H403)=""),"TDS needs a TAN; ","")&amp;IF(AND(AA403="Yes",AQ403&lt;&gt;"",AQ403&lt;&gt;"company",AQ403&lt;&gt;"llp"),"ROC is only for a company / LLP; ","")&amp;IF(AND(AA403="Yes",OR(AQ403="company",AQ403="llp"),TRIM(I403)=""),"ROC needs the CIN / LLPIN; ","")</f>
        <v/>
      </c>
    </row>
    <row r="404">
      <c r="A404" s="30" t="n"/>
      <c r="B404" s="31" t="n"/>
      <c r="C404" s="31" t="n"/>
      <c r="D404" s="31" t="n"/>
      <c r="E404" s="30" t="n"/>
      <c r="F404" s="30" t="n"/>
      <c r="G404" s="30" t="n"/>
      <c r="H404" s="30" t="n"/>
      <c r="I404" s="30" t="n"/>
      <c r="J404" s="32" t="n"/>
      <c r="K404" s="31" t="n"/>
      <c r="L404" s="30" t="n"/>
      <c r="M404" s="31" t="n"/>
      <c r="N404" s="31" t="n"/>
      <c r="O404" s="31" t="n"/>
      <c r="P404" s="30" t="n"/>
      <c r="Q404" s="31" t="n"/>
      <c r="R404" s="31" t="n"/>
      <c r="S404" s="31" t="n"/>
      <c r="T404" s="31" t="n"/>
      <c r="U404" s="30" t="n"/>
      <c r="V404" s="31" t="n"/>
      <c r="W404" s="31" t="n"/>
      <c r="X404" s="31" t="n"/>
      <c r="Y404" s="31" t="n"/>
      <c r="Z404" s="31" t="n"/>
      <c r="AA404" s="31" t="n"/>
      <c r="AB404" s="31" t="n"/>
      <c r="AC404" s="31" t="n"/>
      <c r="AD404" s="31" t="n"/>
      <c r="AE404" s="31" t="n"/>
      <c r="AF404" s="27">
        <f>IF(NOT(COUNTA(A404:AE404)&gt;0),"",IF(A404="","New client","Update"))</f>
        <v/>
      </c>
      <c r="AG404" s="27">
        <f>IF(AO404&lt;&gt;"",AO404,IF(LEN(AN404)=15,MID(AN404,3,10),""))</f>
        <v/>
      </c>
      <c r="AH404" s="27">
        <f>IF(AP404="","",AP404&amp;IF(D404="","  (guessed from PAN)",""))</f>
        <v/>
      </c>
      <c r="AI404" s="27">
        <f>IF(AN404="","",IFERROR(INDEX(Lists!$L$2:$L$38,MATCH(LEFT(AN404,2),Lists!$K$2:$K$38,0)),"Unknown code"))</f>
        <v/>
      </c>
      <c r="AJ404" s="27">
        <f>IF(AN404="","",IFERROR(IF(NOT(AND(LEN(AN404)=15,ISNUMBER(MATCH(LEFT(AN404,2),Lists!$K$2:$K$38,0)),SUMPRODUCT(--ISERROR(FIND(MID(MID(AN404,3,10),{1,2,3,4,5,10},1),"ABCDEFGHIJKLMNOPQRSTUVWXYZ")))=0,SUMPRODUCT(--ISERROR(FIND(MID(MID(AN404,3,10),{6,7,8,9},1),"0123456789")))=0,ISNUMBER(FIND(MID(AN404,13,1),"123456789ABCDEFGHIJKLMNOPQRSTUVWXYZ")),MID(AN404,14,1)="Z")),"Wrong format",IF(MID("0123456789ABCDEFGHIJKLMNOPQRSTUVWXYZ",MOD(36-MOD(SUMPRODUCT(INT((FIND(MID(AN404,{1,2,3,4,5,6,7,8,9,10,11,12,13,14},1),"0123456789ABCDEFGHIJKLMNOPQRSTUVWXYZ")-1)*{1,2,1,2,1,2,1,2,1,2,1,2,1,2}/36)+MOD((FIND(MID(AN404,{1,2,3,4,5,6,7,8,9,10,11,12,13,14},1),"0123456789ABCDEFGHIJKLMNOPQRSTUVWXYZ")-1)*{1,2,1,2,1,2,1,2,1,2,1,2,1,2},36)),36),36)+1,1)=MID(AN404,15,1),"OK","Typo? check digit wrong")),"Wrong format"))</f>
        <v/>
      </c>
      <c r="AK404" s="27">
        <f>IF(AO404="","",IF(AND(LEN(AO404)=10,SUMPRODUCT(--ISERROR(FIND(MID(AO404,{1,2,3,4,5,10},1),"ABCDEFGHIJKLMNOPQRSTUVWXYZ")))=0,SUMPRODUCT(--ISERROR(FIND(MID(AO404,{6,7,8,9},1),"0123456789")))=0),"OK","Wrong format"))</f>
        <v/>
      </c>
      <c r="AL404" s="27">
        <f>IF(TRIM(H404)="","",IF(AND(LEN(UPPER(TRIM(H404)))=10,SUMPRODUCT(--ISERROR(FIND(MID(UPPER(TRIM(H404)),{1,2,3,4,10},1),"ABCDEFGHIJKLMNOPQRSTUVWXYZ")))=0,SUMPRODUCT(--ISERROR(FIND(MID(UPPER(TRIM(H404)),{5,6,7,8,9},1),"0123456789")))=0),"OK","Wrong format"))</f>
        <v/>
      </c>
      <c r="AM404" s="28">
        <f>IF(NOT(COUNTA(A404:AE404)&gt;0),"",IF(AS404&lt;&gt;"","✖ "&amp;LEFT(AS404,LEN(AS404)-2),IF(AR404&gt;0,"✔ Ready — client + "&amp;AR404&amp;" service(s)","✔ Ready — client only")))</f>
        <v/>
      </c>
      <c r="AN404" s="29">
        <f>UPPER(SUBSTITUTE(TRIM(F404)," ",""))</f>
        <v/>
      </c>
      <c r="AO404" s="29">
        <f>UPPER(SUBSTITUTE(TRIM(E404)," ",""))</f>
        <v/>
      </c>
      <c r="AP404" s="29">
        <f>IF(D404&lt;&gt;"",D404,IFERROR(VLOOKUP(MID(AG404,4,1),Lists!$E$2:$F$8,2,FALSE),""))</f>
        <v/>
      </c>
      <c r="AQ404" s="29">
        <f>IFERROR(VLOOKUP(AP404,Lists!$A$2:$C$12,3,FALSE),"")</f>
        <v/>
      </c>
      <c r="AR404" s="29">
        <f>COUNTIF(W404:AC404,"Yes")</f>
        <v/>
      </c>
      <c r="AS404" s="29">
        <f>IF(TRIM(B404)="","Legal name missing; ","")&amp;IF(AND(AJ404&lt;&gt;"",AJ404&lt;&gt;"OK"),"GSTIN: "&amp;AJ404&amp;"; ","")&amp;IF(AND(AK404&lt;&gt;"",AK404&lt;&gt;"OK"),"PAN wrong format; ","")&amp;IF(AND(AO404&lt;&gt;"",LEN(AN404)=15,MID(AN404,3,10)&lt;&gt;AO404),"PAN does not match GSTIN; ","")&amp;IF(AND(AL404&lt;&gt;"",AL404&lt;&gt;"OK"),"TAN wrong format; ","")&amp;IF(AG404="","PAN missing; ","")&amp;IF(AP404="","Entity type missing; ","")&amp;IF(AND(AN404&lt;&gt;"",COUNTIF($AN$6:$AN$1005,AN404)&gt;1),"GSTIN repeated in this sheet; ","")&amp;IF(AND(AG404&lt;&gt;"",COUNTIF($AG$6:$AG$1005,AG404)&gt;1),"PAN repeated in this sheet (same client? put extra GSTINs in Other GSTINs); ","")&amp;IF(AND(AR404&gt;0,V404=""),"Financial year missing; ","")&amp;IF(AND(AR404=0,V404&lt;&gt;""),"Financial year given but no service is Yes; ","")&amp;IF(AND(W404="Yes",AN404=""),"GST needs a GSTIN; ","")&amp;IF(AND(W404="Yes",X404=""),"GST return frequency missing; ","")&amp;IF(AND(Y404="Yes",TRIM(H404)=""),"TDS needs a TAN; ","")&amp;IF(AND(AA404="Yes",AQ404&lt;&gt;"",AQ404&lt;&gt;"company",AQ404&lt;&gt;"llp"),"ROC is only for a company / LLP; ","")&amp;IF(AND(AA404="Yes",OR(AQ404="company",AQ404="llp"),TRIM(I404)=""),"ROC needs the CIN / LLPIN; ","")</f>
        <v/>
      </c>
    </row>
    <row r="405">
      <c r="A405" s="30" t="n"/>
      <c r="B405" s="31" t="n"/>
      <c r="C405" s="31" t="n"/>
      <c r="D405" s="31" t="n"/>
      <c r="E405" s="30" t="n"/>
      <c r="F405" s="30" t="n"/>
      <c r="G405" s="30" t="n"/>
      <c r="H405" s="30" t="n"/>
      <c r="I405" s="30" t="n"/>
      <c r="J405" s="32" t="n"/>
      <c r="K405" s="31" t="n"/>
      <c r="L405" s="30" t="n"/>
      <c r="M405" s="31" t="n"/>
      <c r="N405" s="31" t="n"/>
      <c r="O405" s="31" t="n"/>
      <c r="P405" s="30" t="n"/>
      <c r="Q405" s="31" t="n"/>
      <c r="R405" s="31" t="n"/>
      <c r="S405" s="31" t="n"/>
      <c r="T405" s="31" t="n"/>
      <c r="U405" s="30" t="n"/>
      <c r="V405" s="31" t="n"/>
      <c r="W405" s="31" t="n"/>
      <c r="X405" s="31" t="n"/>
      <c r="Y405" s="31" t="n"/>
      <c r="Z405" s="31" t="n"/>
      <c r="AA405" s="31" t="n"/>
      <c r="AB405" s="31" t="n"/>
      <c r="AC405" s="31" t="n"/>
      <c r="AD405" s="31" t="n"/>
      <c r="AE405" s="31" t="n"/>
      <c r="AF405" s="27">
        <f>IF(NOT(COUNTA(A405:AE405)&gt;0),"",IF(A405="","New client","Update"))</f>
        <v/>
      </c>
      <c r="AG405" s="27">
        <f>IF(AO405&lt;&gt;"",AO405,IF(LEN(AN405)=15,MID(AN405,3,10),""))</f>
        <v/>
      </c>
      <c r="AH405" s="27">
        <f>IF(AP405="","",AP405&amp;IF(D405="","  (guessed from PAN)",""))</f>
        <v/>
      </c>
      <c r="AI405" s="27">
        <f>IF(AN405="","",IFERROR(INDEX(Lists!$L$2:$L$38,MATCH(LEFT(AN405,2),Lists!$K$2:$K$38,0)),"Unknown code"))</f>
        <v/>
      </c>
      <c r="AJ405" s="27">
        <f>IF(AN405="","",IFERROR(IF(NOT(AND(LEN(AN405)=15,ISNUMBER(MATCH(LEFT(AN405,2),Lists!$K$2:$K$38,0)),SUMPRODUCT(--ISERROR(FIND(MID(MID(AN405,3,10),{1,2,3,4,5,10},1),"ABCDEFGHIJKLMNOPQRSTUVWXYZ")))=0,SUMPRODUCT(--ISERROR(FIND(MID(MID(AN405,3,10),{6,7,8,9},1),"0123456789")))=0,ISNUMBER(FIND(MID(AN405,13,1),"123456789ABCDEFGHIJKLMNOPQRSTUVWXYZ")),MID(AN405,14,1)="Z")),"Wrong format",IF(MID("0123456789ABCDEFGHIJKLMNOPQRSTUVWXYZ",MOD(36-MOD(SUMPRODUCT(INT((FIND(MID(AN405,{1,2,3,4,5,6,7,8,9,10,11,12,13,14},1),"0123456789ABCDEFGHIJKLMNOPQRSTUVWXYZ")-1)*{1,2,1,2,1,2,1,2,1,2,1,2,1,2}/36)+MOD((FIND(MID(AN405,{1,2,3,4,5,6,7,8,9,10,11,12,13,14},1),"0123456789ABCDEFGHIJKLMNOPQRSTUVWXYZ")-1)*{1,2,1,2,1,2,1,2,1,2,1,2,1,2},36)),36),36)+1,1)=MID(AN405,15,1),"OK","Typo? check digit wrong")),"Wrong format"))</f>
        <v/>
      </c>
      <c r="AK405" s="27">
        <f>IF(AO405="","",IF(AND(LEN(AO405)=10,SUMPRODUCT(--ISERROR(FIND(MID(AO405,{1,2,3,4,5,10},1),"ABCDEFGHIJKLMNOPQRSTUVWXYZ")))=0,SUMPRODUCT(--ISERROR(FIND(MID(AO405,{6,7,8,9},1),"0123456789")))=0),"OK","Wrong format"))</f>
        <v/>
      </c>
      <c r="AL405" s="27">
        <f>IF(TRIM(H405)="","",IF(AND(LEN(UPPER(TRIM(H405)))=10,SUMPRODUCT(--ISERROR(FIND(MID(UPPER(TRIM(H405)),{1,2,3,4,10},1),"ABCDEFGHIJKLMNOPQRSTUVWXYZ")))=0,SUMPRODUCT(--ISERROR(FIND(MID(UPPER(TRIM(H405)),{5,6,7,8,9},1),"0123456789")))=0),"OK","Wrong format"))</f>
        <v/>
      </c>
      <c r="AM405" s="28">
        <f>IF(NOT(COUNTA(A405:AE405)&gt;0),"",IF(AS405&lt;&gt;"","✖ "&amp;LEFT(AS405,LEN(AS405)-2),IF(AR405&gt;0,"✔ Ready — client + "&amp;AR405&amp;" service(s)","✔ Ready — client only")))</f>
        <v/>
      </c>
      <c r="AN405" s="29">
        <f>UPPER(SUBSTITUTE(TRIM(F405)," ",""))</f>
        <v/>
      </c>
      <c r="AO405" s="29">
        <f>UPPER(SUBSTITUTE(TRIM(E405)," ",""))</f>
        <v/>
      </c>
      <c r="AP405" s="29">
        <f>IF(D405&lt;&gt;"",D405,IFERROR(VLOOKUP(MID(AG405,4,1),Lists!$E$2:$F$8,2,FALSE),""))</f>
        <v/>
      </c>
      <c r="AQ405" s="29">
        <f>IFERROR(VLOOKUP(AP405,Lists!$A$2:$C$12,3,FALSE),"")</f>
        <v/>
      </c>
      <c r="AR405" s="29">
        <f>COUNTIF(W405:AC405,"Yes")</f>
        <v/>
      </c>
      <c r="AS405" s="29">
        <f>IF(TRIM(B405)="","Legal name missing; ","")&amp;IF(AND(AJ405&lt;&gt;"",AJ405&lt;&gt;"OK"),"GSTIN: "&amp;AJ405&amp;"; ","")&amp;IF(AND(AK405&lt;&gt;"",AK405&lt;&gt;"OK"),"PAN wrong format; ","")&amp;IF(AND(AO405&lt;&gt;"",LEN(AN405)=15,MID(AN405,3,10)&lt;&gt;AO405),"PAN does not match GSTIN; ","")&amp;IF(AND(AL405&lt;&gt;"",AL405&lt;&gt;"OK"),"TAN wrong format; ","")&amp;IF(AG405="","PAN missing; ","")&amp;IF(AP405="","Entity type missing; ","")&amp;IF(AND(AN405&lt;&gt;"",COUNTIF($AN$6:$AN$1005,AN405)&gt;1),"GSTIN repeated in this sheet; ","")&amp;IF(AND(AG405&lt;&gt;"",COUNTIF($AG$6:$AG$1005,AG405)&gt;1),"PAN repeated in this sheet (same client? put extra GSTINs in Other GSTINs); ","")&amp;IF(AND(AR405&gt;0,V405=""),"Financial year missing; ","")&amp;IF(AND(AR405=0,V405&lt;&gt;""),"Financial year given but no service is Yes; ","")&amp;IF(AND(W405="Yes",AN405=""),"GST needs a GSTIN; ","")&amp;IF(AND(W405="Yes",X405=""),"GST return frequency missing; ","")&amp;IF(AND(Y405="Yes",TRIM(H405)=""),"TDS needs a TAN; ","")&amp;IF(AND(AA405="Yes",AQ405&lt;&gt;"",AQ405&lt;&gt;"company",AQ405&lt;&gt;"llp"),"ROC is only for a company / LLP; ","")&amp;IF(AND(AA405="Yes",OR(AQ405="company",AQ405="llp"),TRIM(I405)=""),"ROC needs the CIN / LLPIN; ","")</f>
        <v/>
      </c>
    </row>
    <row r="406">
      <c r="A406" s="30" t="n"/>
      <c r="B406" s="31" t="n"/>
      <c r="C406" s="31" t="n"/>
      <c r="D406" s="31" t="n"/>
      <c r="E406" s="30" t="n"/>
      <c r="F406" s="30" t="n"/>
      <c r="G406" s="30" t="n"/>
      <c r="H406" s="30" t="n"/>
      <c r="I406" s="30" t="n"/>
      <c r="J406" s="32" t="n"/>
      <c r="K406" s="31" t="n"/>
      <c r="L406" s="30" t="n"/>
      <c r="M406" s="31" t="n"/>
      <c r="N406" s="31" t="n"/>
      <c r="O406" s="31" t="n"/>
      <c r="P406" s="30" t="n"/>
      <c r="Q406" s="31" t="n"/>
      <c r="R406" s="31" t="n"/>
      <c r="S406" s="31" t="n"/>
      <c r="T406" s="31" t="n"/>
      <c r="U406" s="30" t="n"/>
      <c r="V406" s="31" t="n"/>
      <c r="W406" s="31" t="n"/>
      <c r="X406" s="31" t="n"/>
      <c r="Y406" s="31" t="n"/>
      <c r="Z406" s="31" t="n"/>
      <c r="AA406" s="31" t="n"/>
      <c r="AB406" s="31" t="n"/>
      <c r="AC406" s="31" t="n"/>
      <c r="AD406" s="31" t="n"/>
      <c r="AE406" s="31" t="n"/>
      <c r="AF406" s="27">
        <f>IF(NOT(COUNTA(A406:AE406)&gt;0),"",IF(A406="","New client","Update"))</f>
        <v/>
      </c>
      <c r="AG406" s="27">
        <f>IF(AO406&lt;&gt;"",AO406,IF(LEN(AN406)=15,MID(AN406,3,10),""))</f>
        <v/>
      </c>
      <c r="AH406" s="27">
        <f>IF(AP406="","",AP406&amp;IF(D406="","  (guessed from PAN)",""))</f>
        <v/>
      </c>
      <c r="AI406" s="27">
        <f>IF(AN406="","",IFERROR(INDEX(Lists!$L$2:$L$38,MATCH(LEFT(AN406,2),Lists!$K$2:$K$38,0)),"Unknown code"))</f>
        <v/>
      </c>
      <c r="AJ406" s="27">
        <f>IF(AN406="","",IFERROR(IF(NOT(AND(LEN(AN406)=15,ISNUMBER(MATCH(LEFT(AN406,2),Lists!$K$2:$K$38,0)),SUMPRODUCT(--ISERROR(FIND(MID(MID(AN406,3,10),{1,2,3,4,5,10},1),"ABCDEFGHIJKLMNOPQRSTUVWXYZ")))=0,SUMPRODUCT(--ISERROR(FIND(MID(MID(AN406,3,10),{6,7,8,9},1),"0123456789")))=0,ISNUMBER(FIND(MID(AN406,13,1),"123456789ABCDEFGHIJKLMNOPQRSTUVWXYZ")),MID(AN406,14,1)="Z")),"Wrong format",IF(MID("0123456789ABCDEFGHIJKLMNOPQRSTUVWXYZ",MOD(36-MOD(SUMPRODUCT(INT((FIND(MID(AN406,{1,2,3,4,5,6,7,8,9,10,11,12,13,14},1),"0123456789ABCDEFGHIJKLMNOPQRSTUVWXYZ")-1)*{1,2,1,2,1,2,1,2,1,2,1,2,1,2}/36)+MOD((FIND(MID(AN406,{1,2,3,4,5,6,7,8,9,10,11,12,13,14},1),"0123456789ABCDEFGHIJKLMNOPQRSTUVWXYZ")-1)*{1,2,1,2,1,2,1,2,1,2,1,2,1,2},36)),36),36)+1,1)=MID(AN406,15,1),"OK","Typo? check digit wrong")),"Wrong format"))</f>
        <v/>
      </c>
      <c r="AK406" s="27">
        <f>IF(AO406="","",IF(AND(LEN(AO406)=10,SUMPRODUCT(--ISERROR(FIND(MID(AO406,{1,2,3,4,5,10},1),"ABCDEFGHIJKLMNOPQRSTUVWXYZ")))=0,SUMPRODUCT(--ISERROR(FIND(MID(AO406,{6,7,8,9},1),"0123456789")))=0),"OK","Wrong format"))</f>
        <v/>
      </c>
      <c r="AL406" s="27">
        <f>IF(TRIM(H406)="","",IF(AND(LEN(UPPER(TRIM(H406)))=10,SUMPRODUCT(--ISERROR(FIND(MID(UPPER(TRIM(H406)),{1,2,3,4,10},1),"ABCDEFGHIJKLMNOPQRSTUVWXYZ")))=0,SUMPRODUCT(--ISERROR(FIND(MID(UPPER(TRIM(H406)),{5,6,7,8,9},1),"0123456789")))=0),"OK","Wrong format"))</f>
        <v/>
      </c>
      <c r="AM406" s="28">
        <f>IF(NOT(COUNTA(A406:AE406)&gt;0),"",IF(AS406&lt;&gt;"","✖ "&amp;LEFT(AS406,LEN(AS406)-2),IF(AR406&gt;0,"✔ Ready — client + "&amp;AR406&amp;" service(s)","✔ Ready — client only")))</f>
        <v/>
      </c>
      <c r="AN406" s="29">
        <f>UPPER(SUBSTITUTE(TRIM(F406)," ",""))</f>
        <v/>
      </c>
      <c r="AO406" s="29">
        <f>UPPER(SUBSTITUTE(TRIM(E406)," ",""))</f>
        <v/>
      </c>
      <c r="AP406" s="29">
        <f>IF(D406&lt;&gt;"",D406,IFERROR(VLOOKUP(MID(AG406,4,1),Lists!$E$2:$F$8,2,FALSE),""))</f>
        <v/>
      </c>
      <c r="AQ406" s="29">
        <f>IFERROR(VLOOKUP(AP406,Lists!$A$2:$C$12,3,FALSE),"")</f>
        <v/>
      </c>
      <c r="AR406" s="29">
        <f>COUNTIF(W406:AC406,"Yes")</f>
        <v/>
      </c>
      <c r="AS406" s="29">
        <f>IF(TRIM(B406)="","Legal name missing; ","")&amp;IF(AND(AJ406&lt;&gt;"",AJ406&lt;&gt;"OK"),"GSTIN: "&amp;AJ406&amp;"; ","")&amp;IF(AND(AK406&lt;&gt;"",AK406&lt;&gt;"OK"),"PAN wrong format; ","")&amp;IF(AND(AO406&lt;&gt;"",LEN(AN406)=15,MID(AN406,3,10)&lt;&gt;AO406),"PAN does not match GSTIN; ","")&amp;IF(AND(AL406&lt;&gt;"",AL406&lt;&gt;"OK"),"TAN wrong format; ","")&amp;IF(AG406="","PAN missing; ","")&amp;IF(AP406="","Entity type missing; ","")&amp;IF(AND(AN406&lt;&gt;"",COUNTIF($AN$6:$AN$1005,AN406)&gt;1),"GSTIN repeated in this sheet; ","")&amp;IF(AND(AG406&lt;&gt;"",COUNTIF($AG$6:$AG$1005,AG406)&gt;1),"PAN repeated in this sheet (same client? put extra GSTINs in Other GSTINs); ","")&amp;IF(AND(AR406&gt;0,V406=""),"Financial year missing; ","")&amp;IF(AND(AR406=0,V406&lt;&gt;""),"Financial year given but no service is Yes; ","")&amp;IF(AND(W406="Yes",AN406=""),"GST needs a GSTIN; ","")&amp;IF(AND(W406="Yes",X406=""),"GST return frequency missing; ","")&amp;IF(AND(Y406="Yes",TRIM(H406)=""),"TDS needs a TAN; ","")&amp;IF(AND(AA406="Yes",AQ406&lt;&gt;"",AQ406&lt;&gt;"company",AQ406&lt;&gt;"llp"),"ROC is only for a company / LLP; ","")&amp;IF(AND(AA406="Yes",OR(AQ406="company",AQ406="llp"),TRIM(I406)=""),"ROC needs the CIN / LLPIN; ","")</f>
        <v/>
      </c>
    </row>
    <row r="407">
      <c r="A407" s="30" t="n"/>
      <c r="B407" s="31" t="n"/>
      <c r="C407" s="31" t="n"/>
      <c r="D407" s="31" t="n"/>
      <c r="E407" s="30" t="n"/>
      <c r="F407" s="30" t="n"/>
      <c r="G407" s="30" t="n"/>
      <c r="H407" s="30" t="n"/>
      <c r="I407" s="30" t="n"/>
      <c r="J407" s="32" t="n"/>
      <c r="K407" s="31" t="n"/>
      <c r="L407" s="30" t="n"/>
      <c r="M407" s="31" t="n"/>
      <c r="N407" s="31" t="n"/>
      <c r="O407" s="31" t="n"/>
      <c r="P407" s="30" t="n"/>
      <c r="Q407" s="31" t="n"/>
      <c r="R407" s="31" t="n"/>
      <c r="S407" s="31" t="n"/>
      <c r="T407" s="31" t="n"/>
      <c r="U407" s="30" t="n"/>
      <c r="V407" s="31" t="n"/>
      <c r="W407" s="31" t="n"/>
      <c r="X407" s="31" t="n"/>
      <c r="Y407" s="31" t="n"/>
      <c r="Z407" s="31" t="n"/>
      <c r="AA407" s="31" t="n"/>
      <c r="AB407" s="31" t="n"/>
      <c r="AC407" s="31" t="n"/>
      <c r="AD407" s="31" t="n"/>
      <c r="AE407" s="31" t="n"/>
      <c r="AF407" s="27">
        <f>IF(NOT(COUNTA(A407:AE407)&gt;0),"",IF(A407="","New client","Update"))</f>
        <v/>
      </c>
      <c r="AG407" s="27">
        <f>IF(AO407&lt;&gt;"",AO407,IF(LEN(AN407)=15,MID(AN407,3,10),""))</f>
        <v/>
      </c>
      <c r="AH407" s="27">
        <f>IF(AP407="","",AP407&amp;IF(D407="","  (guessed from PAN)",""))</f>
        <v/>
      </c>
      <c r="AI407" s="27">
        <f>IF(AN407="","",IFERROR(INDEX(Lists!$L$2:$L$38,MATCH(LEFT(AN407,2),Lists!$K$2:$K$38,0)),"Unknown code"))</f>
        <v/>
      </c>
      <c r="AJ407" s="27">
        <f>IF(AN407="","",IFERROR(IF(NOT(AND(LEN(AN407)=15,ISNUMBER(MATCH(LEFT(AN407,2),Lists!$K$2:$K$38,0)),SUMPRODUCT(--ISERROR(FIND(MID(MID(AN407,3,10),{1,2,3,4,5,10},1),"ABCDEFGHIJKLMNOPQRSTUVWXYZ")))=0,SUMPRODUCT(--ISERROR(FIND(MID(MID(AN407,3,10),{6,7,8,9},1),"0123456789")))=0,ISNUMBER(FIND(MID(AN407,13,1),"123456789ABCDEFGHIJKLMNOPQRSTUVWXYZ")),MID(AN407,14,1)="Z")),"Wrong format",IF(MID("0123456789ABCDEFGHIJKLMNOPQRSTUVWXYZ",MOD(36-MOD(SUMPRODUCT(INT((FIND(MID(AN407,{1,2,3,4,5,6,7,8,9,10,11,12,13,14},1),"0123456789ABCDEFGHIJKLMNOPQRSTUVWXYZ")-1)*{1,2,1,2,1,2,1,2,1,2,1,2,1,2}/36)+MOD((FIND(MID(AN407,{1,2,3,4,5,6,7,8,9,10,11,12,13,14},1),"0123456789ABCDEFGHIJKLMNOPQRSTUVWXYZ")-1)*{1,2,1,2,1,2,1,2,1,2,1,2,1,2},36)),36),36)+1,1)=MID(AN407,15,1),"OK","Typo? check digit wrong")),"Wrong format"))</f>
        <v/>
      </c>
      <c r="AK407" s="27">
        <f>IF(AO407="","",IF(AND(LEN(AO407)=10,SUMPRODUCT(--ISERROR(FIND(MID(AO407,{1,2,3,4,5,10},1),"ABCDEFGHIJKLMNOPQRSTUVWXYZ")))=0,SUMPRODUCT(--ISERROR(FIND(MID(AO407,{6,7,8,9},1),"0123456789")))=0),"OK","Wrong format"))</f>
        <v/>
      </c>
      <c r="AL407" s="27">
        <f>IF(TRIM(H407)="","",IF(AND(LEN(UPPER(TRIM(H407)))=10,SUMPRODUCT(--ISERROR(FIND(MID(UPPER(TRIM(H407)),{1,2,3,4,10},1),"ABCDEFGHIJKLMNOPQRSTUVWXYZ")))=0,SUMPRODUCT(--ISERROR(FIND(MID(UPPER(TRIM(H407)),{5,6,7,8,9},1),"0123456789")))=0),"OK","Wrong format"))</f>
        <v/>
      </c>
      <c r="AM407" s="28">
        <f>IF(NOT(COUNTA(A407:AE407)&gt;0),"",IF(AS407&lt;&gt;"","✖ "&amp;LEFT(AS407,LEN(AS407)-2),IF(AR407&gt;0,"✔ Ready — client + "&amp;AR407&amp;" service(s)","✔ Ready — client only")))</f>
        <v/>
      </c>
      <c r="AN407" s="29">
        <f>UPPER(SUBSTITUTE(TRIM(F407)," ",""))</f>
        <v/>
      </c>
      <c r="AO407" s="29">
        <f>UPPER(SUBSTITUTE(TRIM(E407)," ",""))</f>
        <v/>
      </c>
      <c r="AP407" s="29">
        <f>IF(D407&lt;&gt;"",D407,IFERROR(VLOOKUP(MID(AG407,4,1),Lists!$E$2:$F$8,2,FALSE),""))</f>
        <v/>
      </c>
      <c r="AQ407" s="29">
        <f>IFERROR(VLOOKUP(AP407,Lists!$A$2:$C$12,3,FALSE),"")</f>
        <v/>
      </c>
      <c r="AR407" s="29">
        <f>COUNTIF(W407:AC407,"Yes")</f>
        <v/>
      </c>
      <c r="AS407" s="29">
        <f>IF(TRIM(B407)="","Legal name missing; ","")&amp;IF(AND(AJ407&lt;&gt;"",AJ407&lt;&gt;"OK"),"GSTIN: "&amp;AJ407&amp;"; ","")&amp;IF(AND(AK407&lt;&gt;"",AK407&lt;&gt;"OK"),"PAN wrong format; ","")&amp;IF(AND(AO407&lt;&gt;"",LEN(AN407)=15,MID(AN407,3,10)&lt;&gt;AO407),"PAN does not match GSTIN; ","")&amp;IF(AND(AL407&lt;&gt;"",AL407&lt;&gt;"OK"),"TAN wrong format; ","")&amp;IF(AG407="","PAN missing; ","")&amp;IF(AP407="","Entity type missing; ","")&amp;IF(AND(AN407&lt;&gt;"",COUNTIF($AN$6:$AN$1005,AN407)&gt;1),"GSTIN repeated in this sheet; ","")&amp;IF(AND(AG407&lt;&gt;"",COUNTIF($AG$6:$AG$1005,AG407)&gt;1),"PAN repeated in this sheet (same client? put extra GSTINs in Other GSTINs); ","")&amp;IF(AND(AR407&gt;0,V407=""),"Financial year missing; ","")&amp;IF(AND(AR407=0,V407&lt;&gt;""),"Financial year given but no service is Yes; ","")&amp;IF(AND(W407="Yes",AN407=""),"GST needs a GSTIN; ","")&amp;IF(AND(W407="Yes",X407=""),"GST return frequency missing; ","")&amp;IF(AND(Y407="Yes",TRIM(H407)=""),"TDS needs a TAN; ","")&amp;IF(AND(AA407="Yes",AQ407&lt;&gt;"",AQ407&lt;&gt;"company",AQ407&lt;&gt;"llp"),"ROC is only for a company / LLP; ","")&amp;IF(AND(AA407="Yes",OR(AQ407="company",AQ407="llp"),TRIM(I407)=""),"ROC needs the CIN / LLPIN; ","")</f>
        <v/>
      </c>
    </row>
    <row r="408">
      <c r="A408" s="30" t="n"/>
      <c r="B408" s="31" t="n"/>
      <c r="C408" s="31" t="n"/>
      <c r="D408" s="31" t="n"/>
      <c r="E408" s="30" t="n"/>
      <c r="F408" s="30" t="n"/>
      <c r="G408" s="30" t="n"/>
      <c r="H408" s="30" t="n"/>
      <c r="I408" s="30" t="n"/>
      <c r="J408" s="32" t="n"/>
      <c r="K408" s="31" t="n"/>
      <c r="L408" s="30" t="n"/>
      <c r="M408" s="31" t="n"/>
      <c r="N408" s="31" t="n"/>
      <c r="O408" s="31" t="n"/>
      <c r="P408" s="30" t="n"/>
      <c r="Q408" s="31" t="n"/>
      <c r="R408" s="31" t="n"/>
      <c r="S408" s="31" t="n"/>
      <c r="T408" s="31" t="n"/>
      <c r="U408" s="30" t="n"/>
      <c r="V408" s="31" t="n"/>
      <c r="W408" s="31" t="n"/>
      <c r="X408" s="31" t="n"/>
      <c r="Y408" s="31" t="n"/>
      <c r="Z408" s="31" t="n"/>
      <c r="AA408" s="31" t="n"/>
      <c r="AB408" s="31" t="n"/>
      <c r="AC408" s="31" t="n"/>
      <c r="AD408" s="31" t="n"/>
      <c r="AE408" s="31" t="n"/>
      <c r="AF408" s="27">
        <f>IF(NOT(COUNTA(A408:AE408)&gt;0),"",IF(A408="","New client","Update"))</f>
        <v/>
      </c>
      <c r="AG408" s="27">
        <f>IF(AO408&lt;&gt;"",AO408,IF(LEN(AN408)=15,MID(AN408,3,10),""))</f>
        <v/>
      </c>
      <c r="AH408" s="27">
        <f>IF(AP408="","",AP408&amp;IF(D408="","  (guessed from PAN)",""))</f>
        <v/>
      </c>
      <c r="AI408" s="27">
        <f>IF(AN408="","",IFERROR(INDEX(Lists!$L$2:$L$38,MATCH(LEFT(AN408,2),Lists!$K$2:$K$38,0)),"Unknown code"))</f>
        <v/>
      </c>
      <c r="AJ408" s="27">
        <f>IF(AN408="","",IFERROR(IF(NOT(AND(LEN(AN408)=15,ISNUMBER(MATCH(LEFT(AN408,2),Lists!$K$2:$K$38,0)),SUMPRODUCT(--ISERROR(FIND(MID(MID(AN408,3,10),{1,2,3,4,5,10},1),"ABCDEFGHIJKLMNOPQRSTUVWXYZ")))=0,SUMPRODUCT(--ISERROR(FIND(MID(MID(AN408,3,10),{6,7,8,9},1),"0123456789")))=0,ISNUMBER(FIND(MID(AN408,13,1),"123456789ABCDEFGHIJKLMNOPQRSTUVWXYZ")),MID(AN408,14,1)="Z")),"Wrong format",IF(MID("0123456789ABCDEFGHIJKLMNOPQRSTUVWXYZ",MOD(36-MOD(SUMPRODUCT(INT((FIND(MID(AN408,{1,2,3,4,5,6,7,8,9,10,11,12,13,14},1),"0123456789ABCDEFGHIJKLMNOPQRSTUVWXYZ")-1)*{1,2,1,2,1,2,1,2,1,2,1,2,1,2}/36)+MOD((FIND(MID(AN408,{1,2,3,4,5,6,7,8,9,10,11,12,13,14},1),"0123456789ABCDEFGHIJKLMNOPQRSTUVWXYZ")-1)*{1,2,1,2,1,2,1,2,1,2,1,2,1,2},36)),36),36)+1,1)=MID(AN408,15,1),"OK","Typo? check digit wrong")),"Wrong format"))</f>
        <v/>
      </c>
      <c r="AK408" s="27">
        <f>IF(AO408="","",IF(AND(LEN(AO408)=10,SUMPRODUCT(--ISERROR(FIND(MID(AO408,{1,2,3,4,5,10},1),"ABCDEFGHIJKLMNOPQRSTUVWXYZ")))=0,SUMPRODUCT(--ISERROR(FIND(MID(AO408,{6,7,8,9},1),"0123456789")))=0),"OK","Wrong format"))</f>
        <v/>
      </c>
      <c r="AL408" s="27">
        <f>IF(TRIM(H408)="","",IF(AND(LEN(UPPER(TRIM(H408)))=10,SUMPRODUCT(--ISERROR(FIND(MID(UPPER(TRIM(H408)),{1,2,3,4,10},1),"ABCDEFGHIJKLMNOPQRSTUVWXYZ")))=0,SUMPRODUCT(--ISERROR(FIND(MID(UPPER(TRIM(H408)),{5,6,7,8,9},1),"0123456789")))=0),"OK","Wrong format"))</f>
        <v/>
      </c>
      <c r="AM408" s="28">
        <f>IF(NOT(COUNTA(A408:AE408)&gt;0),"",IF(AS408&lt;&gt;"","✖ "&amp;LEFT(AS408,LEN(AS408)-2),IF(AR408&gt;0,"✔ Ready — client + "&amp;AR408&amp;" service(s)","✔ Ready — client only")))</f>
        <v/>
      </c>
      <c r="AN408" s="29">
        <f>UPPER(SUBSTITUTE(TRIM(F408)," ",""))</f>
        <v/>
      </c>
      <c r="AO408" s="29">
        <f>UPPER(SUBSTITUTE(TRIM(E408)," ",""))</f>
        <v/>
      </c>
      <c r="AP408" s="29">
        <f>IF(D408&lt;&gt;"",D408,IFERROR(VLOOKUP(MID(AG408,4,1),Lists!$E$2:$F$8,2,FALSE),""))</f>
        <v/>
      </c>
      <c r="AQ408" s="29">
        <f>IFERROR(VLOOKUP(AP408,Lists!$A$2:$C$12,3,FALSE),"")</f>
        <v/>
      </c>
      <c r="AR408" s="29">
        <f>COUNTIF(W408:AC408,"Yes")</f>
        <v/>
      </c>
      <c r="AS408" s="29">
        <f>IF(TRIM(B408)="","Legal name missing; ","")&amp;IF(AND(AJ408&lt;&gt;"",AJ408&lt;&gt;"OK"),"GSTIN: "&amp;AJ408&amp;"; ","")&amp;IF(AND(AK408&lt;&gt;"",AK408&lt;&gt;"OK"),"PAN wrong format; ","")&amp;IF(AND(AO408&lt;&gt;"",LEN(AN408)=15,MID(AN408,3,10)&lt;&gt;AO408),"PAN does not match GSTIN; ","")&amp;IF(AND(AL408&lt;&gt;"",AL408&lt;&gt;"OK"),"TAN wrong format; ","")&amp;IF(AG408="","PAN missing; ","")&amp;IF(AP408="","Entity type missing; ","")&amp;IF(AND(AN408&lt;&gt;"",COUNTIF($AN$6:$AN$1005,AN408)&gt;1),"GSTIN repeated in this sheet; ","")&amp;IF(AND(AG408&lt;&gt;"",COUNTIF($AG$6:$AG$1005,AG408)&gt;1),"PAN repeated in this sheet (same client? put extra GSTINs in Other GSTINs); ","")&amp;IF(AND(AR408&gt;0,V408=""),"Financial year missing; ","")&amp;IF(AND(AR408=0,V408&lt;&gt;""),"Financial year given but no service is Yes; ","")&amp;IF(AND(W408="Yes",AN408=""),"GST needs a GSTIN; ","")&amp;IF(AND(W408="Yes",X408=""),"GST return frequency missing; ","")&amp;IF(AND(Y408="Yes",TRIM(H408)=""),"TDS needs a TAN; ","")&amp;IF(AND(AA408="Yes",AQ408&lt;&gt;"",AQ408&lt;&gt;"company",AQ408&lt;&gt;"llp"),"ROC is only for a company / LLP; ","")&amp;IF(AND(AA408="Yes",OR(AQ408="company",AQ408="llp"),TRIM(I408)=""),"ROC needs the CIN / LLPIN; ","")</f>
        <v/>
      </c>
    </row>
    <row r="409">
      <c r="A409" s="30" t="n"/>
      <c r="B409" s="31" t="n"/>
      <c r="C409" s="31" t="n"/>
      <c r="D409" s="31" t="n"/>
      <c r="E409" s="30" t="n"/>
      <c r="F409" s="30" t="n"/>
      <c r="G409" s="30" t="n"/>
      <c r="H409" s="30" t="n"/>
      <c r="I409" s="30" t="n"/>
      <c r="J409" s="32" t="n"/>
      <c r="K409" s="31" t="n"/>
      <c r="L409" s="30" t="n"/>
      <c r="M409" s="31" t="n"/>
      <c r="N409" s="31" t="n"/>
      <c r="O409" s="31" t="n"/>
      <c r="P409" s="30" t="n"/>
      <c r="Q409" s="31" t="n"/>
      <c r="R409" s="31" t="n"/>
      <c r="S409" s="31" t="n"/>
      <c r="T409" s="31" t="n"/>
      <c r="U409" s="30" t="n"/>
      <c r="V409" s="31" t="n"/>
      <c r="W409" s="31" t="n"/>
      <c r="X409" s="31" t="n"/>
      <c r="Y409" s="31" t="n"/>
      <c r="Z409" s="31" t="n"/>
      <c r="AA409" s="31" t="n"/>
      <c r="AB409" s="31" t="n"/>
      <c r="AC409" s="31" t="n"/>
      <c r="AD409" s="31" t="n"/>
      <c r="AE409" s="31" t="n"/>
      <c r="AF409" s="27">
        <f>IF(NOT(COUNTA(A409:AE409)&gt;0),"",IF(A409="","New client","Update"))</f>
        <v/>
      </c>
      <c r="AG409" s="27">
        <f>IF(AO409&lt;&gt;"",AO409,IF(LEN(AN409)=15,MID(AN409,3,10),""))</f>
        <v/>
      </c>
      <c r="AH409" s="27">
        <f>IF(AP409="","",AP409&amp;IF(D409="","  (guessed from PAN)",""))</f>
        <v/>
      </c>
      <c r="AI409" s="27">
        <f>IF(AN409="","",IFERROR(INDEX(Lists!$L$2:$L$38,MATCH(LEFT(AN409,2),Lists!$K$2:$K$38,0)),"Unknown code"))</f>
        <v/>
      </c>
      <c r="AJ409" s="27">
        <f>IF(AN409="","",IFERROR(IF(NOT(AND(LEN(AN409)=15,ISNUMBER(MATCH(LEFT(AN409,2),Lists!$K$2:$K$38,0)),SUMPRODUCT(--ISERROR(FIND(MID(MID(AN409,3,10),{1,2,3,4,5,10},1),"ABCDEFGHIJKLMNOPQRSTUVWXYZ")))=0,SUMPRODUCT(--ISERROR(FIND(MID(MID(AN409,3,10),{6,7,8,9},1),"0123456789")))=0,ISNUMBER(FIND(MID(AN409,13,1),"123456789ABCDEFGHIJKLMNOPQRSTUVWXYZ")),MID(AN409,14,1)="Z")),"Wrong format",IF(MID("0123456789ABCDEFGHIJKLMNOPQRSTUVWXYZ",MOD(36-MOD(SUMPRODUCT(INT((FIND(MID(AN409,{1,2,3,4,5,6,7,8,9,10,11,12,13,14},1),"0123456789ABCDEFGHIJKLMNOPQRSTUVWXYZ")-1)*{1,2,1,2,1,2,1,2,1,2,1,2,1,2}/36)+MOD((FIND(MID(AN409,{1,2,3,4,5,6,7,8,9,10,11,12,13,14},1),"0123456789ABCDEFGHIJKLMNOPQRSTUVWXYZ")-1)*{1,2,1,2,1,2,1,2,1,2,1,2,1,2},36)),36),36)+1,1)=MID(AN409,15,1),"OK","Typo? check digit wrong")),"Wrong format"))</f>
        <v/>
      </c>
      <c r="AK409" s="27">
        <f>IF(AO409="","",IF(AND(LEN(AO409)=10,SUMPRODUCT(--ISERROR(FIND(MID(AO409,{1,2,3,4,5,10},1),"ABCDEFGHIJKLMNOPQRSTUVWXYZ")))=0,SUMPRODUCT(--ISERROR(FIND(MID(AO409,{6,7,8,9},1),"0123456789")))=0),"OK","Wrong format"))</f>
        <v/>
      </c>
      <c r="AL409" s="27">
        <f>IF(TRIM(H409)="","",IF(AND(LEN(UPPER(TRIM(H409)))=10,SUMPRODUCT(--ISERROR(FIND(MID(UPPER(TRIM(H409)),{1,2,3,4,10},1),"ABCDEFGHIJKLMNOPQRSTUVWXYZ")))=0,SUMPRODUCT(--ISERROR(FIND(MID(UPPER(TRIM(H409)),{5,6,7,8,9},1),"0123456789")))=0),"OK","Wrong format"))</f>
        <v/>
      </c>
      <c r="AM409" s="28">
        <f>IF(NOT(COUNTA(A409:AE409)&gt;0),"",IF(AS409&lt;&gt;"","✖ "&amp;LEFT(AS409,LEN(AS409)-2),IF(AR409&gt;0,"✔ Ready — client + "&amp;AR409&amp;" service(s)","✔ Ready — client only")))</f>
        <v/>
      </c>
      <c r="AN409" s="29">
        <f>UPPER(SUBSTITUTE(TRIM(F409)," ",""))</f>
        <v/>
      </c>
      <c r="AO409" s="29">
        <f>UPPER(SUBSTITUTE(TRIM(E409)," ",""))</f>
        <v/>
      </c>
      <c r="AP409" s="29">
        <f>IF(D409&lt;&gt;"",D409,IFERROR(VLOOKUP(MID(AG409,4,1),Lists!$E$2:$F$8,2,FALSE),""))</f>
        <v/>
      </c>
      <c r="AQ409" s="29">
        <f>IFERROR(VLOOKUP(AP409,Lists!$A$2:$C$12,3,FALSE),"")</f>
        <v/>
      </c>
      <c r="AR409" s="29">
        <f>COUNTIF(W409:AC409,"Yes")</f>
        <v/>
      </c>
      <c r="AS409" s="29">
        <f>IF(TRIM(B409)="","Legal name missing; ","")&amp;IF(AND(AJ409&lt;&gt;"",AJ409&lt;&gt;"OK"),"GSTIN: "&amp;AJ409&amp;"; ","")&amp;IF(AND(AK409&lt;&gt;"",AK409&lt;&gt;"OK"),"PAN wrong format; ","")&amp;IF(AND(AO409&lt;&gt;"",LEN(AN409)=15,MID(AN409,3,10)&lt;&gt;AO409),"PAN does not match GSTIN; ","")&amp;IF(AND(AL409&lt;&gt;"",AL409&lt;&gt;"OK"),"TAN wrong format; ","")&amp;IF(AG409="","PAN missing; ","")&amp;IF(AP409="","Entity type missing; ","")&amp;IF(AND(AN409&lt;&gt;"",COUNTIF($AN$6:$AN$1005,AN409)&gt;1),"GSTIN repeated in this sheet; ","")&amp;IF(AND(AG409&lt;&gt;"",COUNTIF($AG$6:$AG$1005,AG409)&gt;1),"PAN repeated in this sheet (same client? put extra GSTINs in Other GSTINs); ","")&amp;IF(AND(AR409&gt;0,V409=""),"Financial year missing; ","")&amp;IF(AND(AR409=0,V409&lt;&gt;""),"Financial year given but no service is Yes; ","")&amp;IF(AND(W409="Yes",AN409=""),"GST needs a GSTIN; ","")&amp;IF(AND(W409="Yes",X409=""),"GST return frequency missing; ","")&amp;IF(AND(Y409="Yes",TRIM(H409)=""),"TDS needs a TAN; ","")&amp;IF(AND(AA409="Yes",AQ409&lt;&gt;"",AQ409&lt;&gt;"company",AQ409&lt;&gt;"llp"),"ROC is only for a company / LLP; ","")&amp;IF(AND(AA409="Yes",OR(AQ409="company",AQ409="llp"),TRIM(I409)=""),"ROC needs the CIN / LLPIN; ","")</f>
        <v/>
      </c>
    </row>
    <row r="410">
      <c r="A410" s="30" t="n"/>
      <c r="B410" s="31" t="n"/>
      <c r="C410" s="31" t="n"/>
      <c r="D410" s="31" t="n"/>
      <c r="E410" s="30" t="n"/>
      <c r="F410" s="30" t="n"/>
      <c r="G410" s="30" t="n"/>
      <c r="H410" s="30" t="n"/>
      <c r="I410" s="30" t="n"/>
      <c r="J410" s="32" t="n"/>
      <c r="K410" s="31" t="n"/>
      <c r="L410" s="30" t="n"/>
      <c r="M410" s="31" t="n"/>
      <c r="N410" s="31" t="n"/>
      <c r="O410" s="31" t="n"/>
      <c r="P410" s="30" t="n"/>
      <c r="Q410" s="31" t="n"/>
      <c r="R410" s="31" t="n"/>
      <c r="S410" s="31" t="n"/>
      <c r="T410" s="31" t="n"/>
      <c r="U410" s="30" t="n"/>
      <c r="V410" s="31" t="n"/>
      <c r="W410" s="31" t="n"/>
      <c r="X410" s="31" t="n"/>
      <c r="Y410" s="31" t="n"/>
      <c r="Z410" s="31" t="n"/>
      <c r="AA410" s="31" t="n"/>
      <c r="AB410" s="31" t="n"/>
      <c r="AC410" s="31" t="n"/>
      <c r="AD410" s="31" t="n"/>
      <c r="AE410" s="31" t="n"/>
      <c r="AF410" s="27">
        <f>IF(NOT(COUNTA(A410:AE410)&gt;0),"",IF(A410="","New client","Update"))</f>
        <v/>
      </c>
      <c r="AG410" s="27">
        <f>IF(AO410&lt;&gt;"",AO410,IF(LEN(AN410)=15,MID(AN410,3,10),""))</f>
        <v/>
      </c>
      <c r="AH410" s="27">
        <f>IF(AP410="","",AP410&amp;IF(D410="","  (guessed from PAN)",""))</f>
        <v/>
      </c>
      <c r="AI410" s="27">
        <f>IF(AN410="","",IFERROR(INDEX(Lists!$L$2:$L$38,MATCH(LEFT(AN410,2),Lists!$K$2:$K$38,0)),"Unknown code"))</f>
        <v/>
      </c>
      <c r="AJ410" s="27">
        <f>IF(AN410="","",IFERROR(IF(NOT(AND(LEN(AN410)=15,ISNUMBER(MATCH(LEFT(AN410,2),Lists!$K$2:$K$38,0)),SUMPRODUCT(--ISERROR(FIND(MID(MID(AN410,3,10),{1,2,3,4,5,10},1),"ABCDEFGHIJKLMNOPQRSTUVWXYZ")))=0,SUMPRODUCT(--ISERROR(FIND(MID(MID(AN410,3,10),{6,7,8,9},1),"0123456789")))=0,ISNUMBER(FIND(MID(AN410,13,1),"123456789ABCDEFGHIJKLMNOPQRSTUVWXYZ")),MID(AN410,14,1)="Z")),"Wrong format",IF(MID("0123456789ABCDEFGHIJKLMNOPQRSTUVWXYZ",MOD(36-MOD(SUMPRODUCT(INT((FIND(MID(AN410,{1,2,3,4,5,6,7,8,9,10,11,12,13,14},1),"0123456789ABCDEFGHIJKLMNOPQRSTUVWXYZ")-1)*{1,2,1,2,1,2,1,2,1,2,1,2,1,2}/36)+MOD((FIND(MID(AN410,{1,2,3,4,5,6,7,8,9,10,11,12,13,14},1),"0123456789ABCDEFGHIJKLMNOPQRSTUVWXYZ")-1)*{1,2,1,2,1,2,1,2,1,2,1,2,1,2},36)),36),36)+1,1)=MID(AN410,15,1),"OK","Typo? check digit wrong")),"Wrong format"))</f>
        <v/>
      </c>
      <c r="AK410" s="27">
        <f>IF(AO410="","",IF(AND(LEN(AO410)=10,SUMPRODUCT(--ISERROR(FIND(MID(AO410,{1,2,3,4,5,10},1),"ABCDEFGHIJKLMNOPQRSTUVWXYZ")))=0,SUMPRODUCT(--ISERROR(FIND(MID(AO410,{6,7,8,9},1),"0123456789")))=0),"OK","Wrong format"))</f>
        <v/>
      </c>
      <c r="AL410" s="27">
        <f>IF(TRIM(H410)="","",IF(AND(LEN(UPPER(TRIM(H410)))=10,SUMPRODUCT(--ISERROR(FIND(MID(UPPER(TRIM(H410)),{1,2,3,4,10},1),"ABCDEFGHIJKLMNOPQRSTUVWXYZ")))=0,SUMPRODUCT(--ISERROR(FIND(MID(UPPER(TRIM(H410)),{5,6,7,8,9},1),"0123456789")))=0),"OK","Wrong format"))</f>
        <v/>
      </c>
      <c r="AM410" s="28">
        <f>IF(NOT(COUNTA(A410:AE410)&gt;0),"",IF(AS410&lt;&gt;"","✖ "&amp;LEFT(AS410,LEN(AS410)-2),IF(AR410&gt;0,"✔ Ready — client + "&amp;AR410&amp;" service(s)","✔ Ready — client only")))</f>
        <v/>
      </c>
      <c r="AN410" s="29">
        <f>UPPER(SUBSTITUTE(TRIM(F410)," ",""))</f>
        <v/>
      </c>
      <c r="AO410" s="29">
        <f>UPPER(SUBSTITUTE(TRIM(E410)," ",""))</f>
        <v/>
      </c>
      <c r="AP410" s="29">
        <f>IF(D410&lt;&gt;"",D410,IFERROR(VLOOKUP(MID(AG410,4,1),Lists!$E$2:$F$8,2,FALSE),""))</f>
        <v/>
      </c>
      <c r="AQ410" s="29">
        <f>IFERROR(VLOOKUP(AP410,Lists!$A$2:$C$12,3,FALSE),"")</f>
        <v/>
      </c>
      <c r="AR410" s="29">
        <f>COUNTIF(W410:AC410,"Yes")</f>
        <v/>
      </c>
      <c r="AS410" s="29">
        <f>IF(TRIM(B410)="","Legal name missing; ","")&amp;IF(AND(AJ410&lt;&gt;"",AJ410&lt;&gt;"OK"),"GSTIN: "&amp;AJ410&amp;"; ","")&amp;IF(AND(AK410&lt;&gt;"",AK410&lt;&gt;"OK"),"PAN wrong format; ","")&amp;IF(AND(AO410&lt;&gt;"",LEN(AN410)=15,MID(AN410,3,10)&lt;&gt;AO410),"PAN does not match GSTIN; ","")&amp;IF(AND(AL410&lt;&gt;"",AL410&lt;&gt;"OK"),"TAN wrong format; ","")&amp;IF(AG410="","PAN missing; ","")&amp;IF(AP410="","Entity type missing; ","")&amp;IF(AND(AN410&lt;&gt;"",COUNTIF($AN$6:$AN$1005,AN410)&gt;1),"GSTIN repeated in this sheet; ","")&amp;IF(AND(AG410&lt;&gt;"",COUNTIF($AG$6:$AG$1005,AG410)&gt;1),"PAN repeated in this sheet (same client? put extra GSTINs in Other GSTINs); ","")&amp;IF(AND(AR410&gt;0,V410=""),"Financial year missing; ","")&amp;IF(AND(AR410=0,V410&lt;&gt;""),"Financial year given but no service is Yes; ","")&amp;IF(AND(W410="Yes",AN410=""),"GST needs a GSTIN; ","")&amp;IF(AND(W410="Yes",X410=""),"GST return frequency missing; ","")&amp;IF(AND(Y410="Yes",TRIM(H410)=""),"TDS needs a TAN; ","")&amp;IF(AND(AA410="Yes",AQ410&lt;&gt;"",AQ410&lt;&gt;"company",AQ410&lt;&gt;"llp"),"ROC is only for a company / LLP; ","")&amp;IF(AND(AA410="Yes",OR(AQ410="company",AQ410="llp"),TRIM(I410)=""),"ROC needs the CIN / LLPIN; ","")</f>
        <v/>
      </c>
    </row>
    <row r="411">
      <c r="A411" s="30" t="n"/>
      <c r="B411" s="31" t="n"/>
      <c r="C411" s="31" t="n"/>
      <c r="D411" s="31" t="n"/>
      <c r="E411" s="30" t="n"/>
      <c r="F411" s="30" t="n"/>
      <c r="G411" s="30" t="n"/>
      <c r="H411" s="30" t="n"/>
      <c r="I411" s="30" t="n"/>
      <c r="J411" s="32" t="n"/>
      <c r="K411" s="31" t="n"/>
      <c r="L411" s="30" t="n"/>
      <c r="M411" s="31" t="n"/>
      <c r="N411" s="31" t="n"/>
      <c r="O411" s="31" t="n"/>
      <c r="P411" s="30" t="n"/>
      <c r="Q411" s="31" t="n"/>
      <c r="R411" s="31" t="n"/>
      <c r="S411" s="31" t="n"/>
      <c r="T411" s="31" t="n"/>
      <c r="U411" s="30" t="n"/>
      <c r="V411" s="31" t="n"/>
      <c r="W411" s="31" t="n"/>
      <c r="X411" s="31" t="n"/>
      <c r="Y411" s="31" t="n"/>
      <c r="Z411" s="31" t="n"/>
      <c r="AA411" s="31" t="n"/>
      <c r="AB411" s="31" t="n"/>
      <c r="AC411" s="31" t="n"/>
      <c r="AD411" s="31" t="n"/>
      <c r="AE411" s="31" t="n"/>
      <c r="AF411" s="27">
        <f>IF(NOT(COUNTA(A411:AE411)&gt;0),"",IF(A411="","New client","Update"))</f>
        <v/>
      </c>
      <c r="AG411" s="27">
        <f>IF(AO411&lt;&gt;"",AO411,IF(LEN(AN411)=15,MID(AN411,3,10),""))</f>
        <v/>
      </c>
      <c r="AH411" s="27">
        <f>IF(AP411="","",AP411&amp;IF(D411="","  (guessed from PAN)",""))</f>
        <v/>
      </c>
      <c r="AI411" s="27">
        <f>IF(AN411="","",IFERROR(INDEX(Lists!$L$2:$L$38,MATCH(LEFT(AN411,2),Lists!$K$2:$K$38,0)),"Unknown code"))</f>
        <v/>
      </c>
      <c r="AJ411" s="27">
        <f>IF(AN411="","",IFERROR(IF(NOT(AND(LEN(AN411)=15,ISNUMBER(MATCH(LEFT(AN411,2),Lists!$K$2:$K$38,0)),SUMPRODUCT(--ISERROR(FIND(MID(MID(AN411,3,10),{1,2,3,4,5,10},1),"ABCDEFGHIJKLMNOPQRSTUVWXYZ")))=0,SUMPRODUCT(--ISERROR(FIND(MID(MID(AN411,3,10),{6,7,8,9},1),"0123456789")))=0,ISNUMBER(FIND(MID(AN411,13,1),"123456789ABCDEFGHIJKLMNOPQRSTUVWXYZ")),MID(AN411,14,1)="Z")),"Wrong format",IF(MID("0123456789ABCDEFGHIJKLMNOPQRSTUVWXYZ",MOD(36-MOD(SUMPRODUCT(INT((FIND(MID(AN411,{1,2,3,4,5,6,7,8,9,10,11,12,13,14},1),"0123456789ABCDEFGHIJKLMNOPQRSTUVWXYZ")-1)*{1,2,1,2,1,2,1,2,1,2,1,2,1,2}/36)+MOD((FIND(MID(AN411,{1,2,3,4,5,6,7,8,9,10,11,12,13,14},1),"0123456789ABCDEFGHIJKLMNOPQRSTUVWXYZ")-1)*{1,2,1,2,1,2,1,2,1,2,1,2,1,2},36)),36),36)+1,1)=MID(AN411,15,1),"OK","Typo? check digit wrong")),"Wrong format"))</f>
        <v/>
      </c>
      <c r="AK411" s="27">
        <f>IF(AO411="","",IF(AND(LEN(AO411)=10,SUMPRODUCT(--ISERROR(FIND(MID(AO411,{1,2,3,4,5,10},1),"ABCDEFGHIJKLMNOPQRSTUVWXYZ")))=0,SUMPRODUCT(--ISERROR(FIND(MID(AO411,{6,7,8,9},1),"0123456789")))=0),"OK","Wrong format"))</f>
        <v/>
      </c>
      <c r="AL411" s="27">
        <f>IF(TRIM(H411)="","",IF(AND(LEN(UPPER(TRIM(H411)))=10,SUMPRODUCT(--ISERROR(FIND(MID(UPPER(TRIM(H411)),{1,2,3,4,10},1),"ABCDEFGHIJKLMNOPQRSTUVWXYZ")))=0,SUMPRODUCT(--ISERROR(FIND(MID(UPPER(TRIM(H411)),{5,6,7,8,9},1),"0123456789")))=0),"OK","Wrong format"))</f>
        <v/>
      </c>
      <c r="AM411" s="28">
        <f>IF(NOT(COUNTA(A411:AE411)&gt;0),"",IF(AS411&lt;&gt;"","✖ "&amp;LEFT(AS411,LEN(AS411)-2),IF(AR411&gt;0,"✔ Ready — client + "&amp;AR411&amp;" service(s)","✔ Ready — client only")))</f>
        <v/>
      </c>
      <c r="AN411" s="29">
        <f>UPPER(SUBSTITUTE(TRIM(F411)," ",""))</f>
        <v/>
      </c>
      <c r="AO411" s="29">
        <f>UPPER(SUBSTITUTE(TRIM(E411)," ",""))</f>
        <v/>
      </c>
      <c r="AP411" s="29">
        <f>IF(D411&lt;&gt;"",D411,IFERROR(VLOOKUP(MID(AG411,4,1),Lists!$E$2:$F$8,2,FALSE),""))</f>
        <v/>
      </c>
      <c r="AQ411" s="29">
        <f>IFERROR(VLOOKUP(AP411,Lists!$A$2:$C$12,3,FALSE),"")</f>
        <v/>
      </c>
      <c r="AR411" s="29">
        <f>COUNTIF(W411:AC411,"Yes")</f>
        <v/>
      </c>
      <c r="AS411" s="29">
        <f>IF(TRIM(B411)="","Legal name missing; ","")&amp;IF(AND(AJ411&lt;&gt;"",AJ411&lt;&gt;"OK"),"GSTIN: "&amp;AJ411&amp;"; ","")&amp;IF(AND(AK411&lt;&gt;"",AK411&lt;&gt;"OK"),"PAN wrong format; ","")&amp;IF(AND(AO411&lt;&gt;"",LEN(AN411)=15,MID(AN411,3,10)&lt;&gt;AO411),"PAN does not match GSTIN; ","")&amp;IF(AND(AL411&lt;&gt;"",AL411&lt;&gt;"OK"),"TAN wrong format; ","")&amp;IF(AG411="","PAN missing; ","")&amp;IF(AP411="","Entity type missing; ","")&amp;IF(AND(AN411&lt;&gt;"",COUNTIF($AN$6:$AN$1005,AN411)&gt;1),"GSTIN repeated in this sheet; ","")&amp;IF(AND(AG411&lt;&gt;"",COUNTIF($AG$6:$AG$1005,AG411)&gt;1),"PAN repeated in this sheet (same client? put extra GSTINs in Other GSTINs); ","")&amp;IF(AND(AR411&gt;0,V411=""),"Financial year missing; ","")&amp;IF(AND(AR411=0,V411&lt;&gt;""),"Financial year given but no service is Yes; ","")&amp;IF(AND(W411="Yes",AN411=""),"GST needs a GSTIN; ","")&amp;IF(AND(W411="Yes",X411=""),"GST return frequency missing; ","")&amp;IF(AND(Y411="Yes",TRIM(H411)=""),"TDS needs a TAN; ","")&amp;IF(AND(AA411="Yes",AQ411&lt;&gt;"",AQ411&lt;&gt;"company",AQ411&lt;&gt;"llp"),"ROC is only for a company / LLP; ","")&amp;IF(AND(AA411="Yes",OR(AQ411="company",AQ411="llp"),TRIM(I411)=""),"ROC needs the CIN / LLPIN; ","")</f>
        <v/>
      </c>
    </row>
    <row r="412">
      <c r="A412" s="30" t="n"/>
      <c r="B412" s="31" t="n"/>
      <c r="C412" s="31" t="n"/>
      <c r="D412" s="31" t="n"/>
      <c r="E412" s="30" t="n"/>
      <c r="F412" s="30" t="n"/>
      <c r="G412" s="30" t="n"/>
      <c r="H412" s="30" t="n"/>
      <c r="I412" s="30" t="n"/>
      <c r="J412" s="32" t="n"/>
      <c r="K412" s="31" t="n"/>
      <c r="L412" s="30" t="n"/>
      <c r="M412" s="31" t="n"/>
      <c r="N412" s="31" t="n"/>
      <c r="O412" s="31" t="n"/>
      <c r="P412" s="30" t="n"/>
      <c r="Q412" s="31" t="n"/>
      <c r="R412" s="31" t="n"/>
      <c r="S412" s="31" t="n"/>
      <c r="T412" s="31" t="n"/>
      <c r="U412" s="30" t="n"/>
      <c r="V412" s="31" t="n"/>
      <c r="W412" s="31" t="n"/>
      <c r="X412" s="31" t="n"/>
      <c r="Y412" s="31" t="n"/>
      <c r="Z412" s="31" t="n"/>
      <c r="AA412" s="31" t="n"/>
      <c r="AB412" s="31" t="n"/>
      <c r="AC412" s="31" t="n"/>
      <c r="AD412" s="31" t="n"/>
      <c r="AE412" s="31" t="n"/>
      <c r="AF412" s="27">
        <f>IF(NOT(COUNTA(A412:AE412)&gt;0),"",IF(A412="","New client","Update"))</f>
        <v/>
      </c>
      <c r="AG412" s="27">
        <f>IF(AO412&lt;&gt;"",AO412,IF(LEN(AN412)=15,MID(AN412,3,10),""))</f>
        <v/>
      </c>
      <c r="AH412" s="27">
        <f>IF(AP412="","",AP412&amp;IF(D412="","  (guessed from PAN)",""))</f>
        <v/>
      </c>
      <c r="AI412" s="27">
        <f>IF(AN412="","",IFERROR(INDEX(Lists!$L$2:$L$38,MATCH(LEFT(AN412,2),Lists!$K$2:$K$38,0)),"Unknown code"))</f>
        <v/>
      </c>
      <c r="AJ412" s="27">
        <f>IF(AN412="","",IFERROR(IF(NOT(AND(LEN(AN412)=15,ISNUMBER(MATCH(LEFT(AN412,2),Lists!$K$2:$K$38,0)),SUMPRODUCT(--ISERROR(FIND(MID(MID(AN412,3,10),{1,2,3,4,5,10},1),"ABCDEFGHIJKLMNOPQRSTUVWXYZ")))=0,SUMPRODUCT(--ISERROR(FIND(MID(MID(AN412,3,10),{6,7,8,9},1),"0123456789")))=0,ISNUMBER(FIND(MID(AN412,13,1),"123456789ABCDEFGHIJKLMNOPQRSTUVWXYZ")),MID(AN412,14,1)="Z")),"Wrong format",IF(MID("0123456789ABCDEFGHIJKLMNOPQRSTUVWXYZ",MOD(36-MOD(SUMPRODUCT(INT((FIND(MID(AN412,{1,2,3,4,5,6,7,8,9,10,11,12,13,14},1),"0123456789ABCDEFGHIJKLMNOPQRSTUVWXYZ")-1)*{1,2,1,2,1,2,1,2,1,2,1,2,1,2}/36)+MOD((FIND(MID(AN412,{1,2,3,4,5,6,7,8,9,10,11,12,13,14},1),"0123456789ABCDEFGHIJKLMNOPQRSTUVWXYZ")-1)*{1,2,1,2,1,2,1,2,1,2,1,2,1,2},36)),36),36)+1,1)=MID(AN412,15,1),"OK","Typo? check digit wrong")),"Wrong format"))</f>
        <v/>
      </c>
      <c r="AK412" s="27">
        <f>IF(AO412="","",IF(AND(LEN(AO412)=10,SUMPRODUCT(--ISERROR(FIND(MID(AO412,{1,2,3,4,5,10},1),"ABCDEFGHIJKLMNOPQRSTUVWXYZ")))=0,SUMPRODUCT(--ISERROR(FIND(MID(AO412,{6,7,8,9},1),"0123456789")))=0),"OK","Wrong format"))</f>
        <v/>
      </c>
      <c r="AL412" s="27">
        <f>IF(TRIM(H412)="","",IF(AND(LEN(UPPER(TRIM(H412)))=10,SUMPRODUCT(--ISERROR(FIND(MID(UPPER(TRIM(H412)),{1,2,3,4,10},1),"ABCDEFGHIJKLMNOPQRSTUVWXYZ")))=0,SUMPRODUCT(--ISERROR(FIND(MID(UPPER(TRIM(H412)),{5,6,7,8,9},1),"0123456789")))=0),"OK","Wrong format"))</f>
        <v/>
      </c>
      <c r="AM412" s="28">
        <f>IF(NOT(COUNTA(A412:AE412)&gt;0),"",IF(AS412&lt;&gt;"","✖ "&amp;LEFT(AS412,LEN(AS412)-2),IF(AR412&gt;0,"✔ Ready — client + "&amp;AR412&amp;" service(s)","✔ Ready — client only")))</f>
        <v/>
      </c>
      <c r="AN412" s="29">
        <f>UPPER(SUBSTITUTE(TRIM(F412)," ",""))</f>
        <v/>
      </c>
      <c r="AO412" s="29">
        <f>UPPER(SUBSTITUTE(TRIM(E412)," ",""))</f>
        <v/>
      </c>
      <c r="AP412" s="29">
        <f>IF(D412&lt;&gt;"",D412,IFERROR(VLOOKUP(MID(AG412,4,1),Lists!$E$2:$F$8,2,FALSE),""))</f>
        <v/>
      </c>
      <c r="AQ412" s="29">
        <f>IFERROR(VLOOKUP(AP412,Lists!$A$2:$C$12,3,FALSE),"")</f>
        <v/>
      </c>
      <c r="AR412" s="29">
        <f>COUNTIF(W412:AC412,"Yes")</f>
        <v/>
      </c>
      <c r="AS412" s="29">
        <f>IF(TRIM(B412)="","Legal name missing; ","")&amp;IF(AND(AJ412&lt;&gt;"",AJ412&lt;&gt;"OK"),"GSTIN: "&amp;AJ412&amp;"; ","")&amp;IF(AND(AK412&lt;&gt;"",AK412&lt;&gt;"OK"),"PAN wrong format; ","")&amp;IF(AND(AO412&lt;&gt;"",LEN(AN412)=15,MID(AN412,3,10)&lt;&gt;AO412),"PAN does not match GSTIN; ","")&amp;IF(AND(AL412&lt;&gt;"",AL412&lt;&gt;"OK"),"TAN wrong format; ","")&amp;IF(AG412="","PAN missing; ","")&amp;IF(AP412="","Entity type missing; ","")&amp;IF(AND(AN412&lt;&gt;"",COUNTIF($AN$6:$AN$1005,AN412)&gt;1),"GSTIN repeated in this sheet; ","")&amp;IF(AND(AG412&lt;&gt;"",COUNTIF($AG$6:$AG$1005,AG412)&gt;1),"PAN repeated in this sheet (same client? put extra GSTINs in Other GSTINs); ","")&amp;IF(AND(AR412&gt;0,V412=""),"Financial year missing; ","")&amp;IF(AND(AR412=0,V412&lt;&gt;""),"Financial year given but no service is Yes; ","")&amp;IF(AND(W412="Yes",AN412=""),"GST needs a GSTIN; ","")&amp;IF(AND(W412="Yes",X412=""),"GST return frequency missing; ","")&amp;IF(AND(Y412="Yes",TRIM(H412)=""),"TDS needs a TAN; ","")&amp;IF(AND(AA412="Yes",AQ412&lt;&gt;"",AQ412&lt;&gt;"company",AQ412&lt;&gt;"llp"),"ROC is only for a company / LLP; ","")&amp;IF(AND(AA412="Yes",OR(AQ412="company",AQ412="llp"),TRIM(I412)=""),"ROC needs the CIN / LLPIN; ","")</f>
        <v/>
      </c>
    </row>
    <row r="413">
      <c r="A413" s="30" t="n"/>
      <c r="B413" s="31" t="n"/>
      <c r="C413" s="31" t="n"/>
      <c r="D413" s="31" t="n"/>
      <c r="E413" s="30" t="n"/>
      <c r="F413" s="30" t="n"/>
      <c r="G413" s="30" t="n"/>
      <c r="H413" s="30" t="n"/>
      <c r="I413" s="30" t="n"/>
      <c r="J413" s="32" t="n"/>
      <c r="K413" s="31" t="n"/>
      <c r="L413" s="30" t="n"/>
      <c r="M413" s="31" t="n"/>
      <c r="N413" s="31" t="n"/>
      <c r="O413" s="31" t="n"/>
      <c r="P413" s="30" t="n"/>
      <c r="Q413" s="31" t="n"/>
      <c r="R413" s="31" t="n"/>
      <c r="S413" s="31" t="n"/>
      <c r="T413" s="31" t="n"/>
      <c r="U413" s="30" t="n"/>
      <c r="V413" s="31" t="n"/>
      <c r="W413" s="31" t="n"/>
      <c r="X413" s="31" t="n"/>
      <c r="Y413" s="31" t="n"/>
      <c r="Z413" s="31" t="n"/>
      <c r="AA413" s="31" t="n"/>
      <c r="AB413" s="31" t="n"/>
      <c r="AC413" s="31" t="n"/>
      <c r="AD413" s="31" t="n"/>
      <c r="AE413" s="31" t="n"/>
      <c r="AF413" s="27">
        <f>IF(NOT(COUNTA(A413:AE413)&gt;0),"",IF(A413="","New client","Update"))</f>
        <v/>
      </c>
      <c r="AG413" s="27">
        <f>IF(AO413&lt;&gt;"",AO413,IF(LEN(AN413)=15,MID(AN413,3,10),""))</f>
        <v/>
      </c>
      <c r="AH413" s="27">
        <f>IF(AP413="","",AP413&amp;IF(D413="","  (guessed from PAN)",""))</f>
        <v/>
      </c>
      <c r="AI413" s="27">
        <f>IF(AN413="","",IFERROR(INDEX(Lists!$L$2:$L$38,MATCH(LEFT(AN413,2),Lists!$K$2:$K$38,0)),"Unknown code"))</f>
        <v/>
      </c>
      <c r="AJ413" s="27">
        <f>IF(AN413="","",IFERROR(IF(NOT(AND(LEN(AN413)=15,ISNUMBER(MATCH(LEFT(AN413,2),Lists!$K$2:$K$38,0)),SUMPRODUCT(--ISERROR(FIND(MID(MID(AN413,3,10),{1,2,3,4,5,10},1),"ABCDEFGHIJKLMNOPQRSTUVWXYZ")))=0,SUMPRODUCT(--ISERROR(FIND(MID(MID(AN413,3,10),{6,7,8,9},1),"0123456789")))=0,ISNUMBER(FIND(MID(AN413,13,1),"123456789ABCDEFGHIJKLMNOPQRSTUVWXYZ")),MID(AN413,14,1)="Z")),"Wrong format",IF(MID("0123456789ABCDEFGHIJKLMNOPQRSTUVWXYZ",MOD(36-MOD(SUMPRODUCT(INT((FIND(MID(AN413,{1,2,3,4,5,6,7,8,9,10,11,12,13,14},1),"0123456789ABCDEFGHIJKLMNOPQRSTUVWXYZ")-1)*{1,2,1,2,1,2,1,2,1,2,1,2,1,2}/36)+MOD((FIND(MID(AN413,{1,2,3,4,5,6,7,8,9,10,11,12,13,14},1),"0123456789ABCDEFGHIJKLMNOPQRSTUVWXYZ")-1)*{1,2,1,2,1,2,1,2,1,2,1,2,1,2},36)),36),36)+1,1)=MID(AN413,15,1),"OK","Typo? check digit wrong")),"Wrong format"))</f>
        <v/>
      </c>
      <c r="AK413" s="27">
        <f>IF(AO413="","",IF(AND(LEN(AO413)=10,SUMPRODUCT(--ISERROR(FIND(MID(AO413,{1,2,3,4,5,10},1),"ABCDEFGHIJKLMNOPQRSTUVWXYZ")))=0,SUMPRODUCT(--ISERROR(FIND(MID(AO413,{6,7,8,9},1),"0123456789")))=0),"OK","Wrong format"))</f>
        <v/>
      </c>
      <c r="AL413" s="27">
        <f>IF(TRIM(H413)="","",IF(AND(LEN(UPPER(TRIM(H413)))=10,SUMPRODUCT(--ISERROR(FIND(MID(UPPER(TRIM(H413)),{1,2,3,4,10},1),"ABCDEFGHIJKLMNOPQRSTUVWXYZ")))=0,SUMPRODUCT(--ISERROR(FIND(MID(UPPER(TRIM(H413)),{5,6,7,8,9},1),"0123456789")))=0),"OK","Wrong format"))</f>
        <v/>
      </c>
      <c r="AM413" s="28">
        <f>IF(NOT(COUNTA(A413:AE413)&gt;0),"",IF(AS413&lt;&gt;"","✖ "&amp;LEFT(AS413,LEN(AS413)-2),IF(AR413&gt;0,"✔ Ready — client + "&amp;AR413&amp;" service(s)","✔ Ready — client only")))</f>
        <v/>
      </c>
      <c r="AN413" s="29">
        <f>UPPER(SUBSTITUTE(TRIM(F413)," ",""))</f>
        <v/>
      </c>
      <c r="AO413" s="29">
        <f>UPPER(SUBSTITUTE(TRIM(E413)," ",""))</f>
        <v/>
      </c>
      <c r="AP413" s="29">
        <f>IF(D413&lt;&gt;"",D413,IFERROR(VLOOKUP(MID(AG413,4,1),Lists!$E$2:$F$8,2,FALSE),""))</f>
        <v/>
      </c>
      <c r="AQ413" s="29">
        <f>IFERROR(VLOOKUP(AP413,Lists!$A$2:$C$12,3,FALSE),"")</f>
        <v/>
      </c>
      <c r="AR413" s="29">
        <f>COUNTIF(W413:AC413,"Yes")</f>
        <v/>
      </c>
      <c r="AS413" s="29">
        <f>IF(TRIM(B413)="","Legal name missing; ","")&amp;IF(AND(AJ413&lt;&gt;"",AJ413&lt;&gt;"OK"),"GSTIN: "&amp;AJ413&amp;"; ","")&amp;IF(AND(AK413&lt;&gt;"",AK413&lt;&gt;"OK"),"PAN wrong format; ","")&amp;IF(AND(AO413&lt;&gt;"",LEN(AN413)=15,MID(AN413,3,10)&lt;&gt;AO413),"PAN does not match GSTIN; ","")&amp;IF(AND(AL413&lt;&gt;"",AL413&lt;&gt;"OK"),"TAN wrong format; ","")&amp;IF(AG413="","PAN missing; ","")&amp;IF(AP413="","Entity type missing; ","")&amp;IF(AND(AN413&lt;&gt;"",COUNTIF($AN$6:$AN$1005,AN413)&gt;1),"GSTIN repeated in this sheet; ","")&amp;IF(AND(AG413&lt;&gt;"",COUNTIF($AG$6:$AG$1005,AG413)&gt;1),"PAN repeated in this sheet (same client? put extra GSTINs in Other GSTINs); ","")&amp;IF(AND(AR413&gt;0,V413=""),"Financial year missing; ","")&amp;IF(AND(AR413=0,V413&lt;&gt;""),"Financial year given but no service is Yes; ","")&amp;IF(AND(W413="Yes",AN413=""),"GST needs a GSTIN; ","")&amp;IF(AND(W413="Yes",X413=""),"GST return frequency missing; ","")&amp;IF(AND(Y413="Yes",TRIM(H413)=""),"TDS needs a TAN; ","")&amp;IF(AND(AA413="Yes",AQ413&lt;&gt;"",AQ413&lt;&gt;"company",AQ413&lt;&gt;"llp"),"ROC is only for a company / LLP; ","")&amp;IF(AND(AA413="Yes",OR(AQ413="company",AQ413="llp"),TRIM(I413)=""),"ROC needs the CIN / LLPIN; ","")</f>
        <v/>
      </c>
    </row>
    <row r="414">
      <c r="A414" s="30" t="n"/>
      <c r="B414" s="31" t="n"/>
      <c r="C414" s="31" t="n"/>
      <c r="D414" s="31" t="n"/>
      <c r="E414" s="30" t="n"/>
      <c r="F414" s="30" t="n"/>
      <c r="G414" s="30" t="n"/>
      <c r="H414" s="30" t="n"/>
      <c r="I414" s="30" t="n"/>
      <c r="J414" s="32" t="n"/>
      <c r="K414" s="31" t="n"/>
      <c r="L414" s="30" t="n"/>
      <c r="M414" s="31" t="n"/>
      <c r="N414" s="31" t="n"/>
      <c r="O414" s="31" t="n"/>
      <c r="P414" s="30" t="n"/>
      <c r="Q414" s="31" t="n"/>
      <c r="R414" s="31" t="n"/>
      <c r="S414" s="31" t="n"/>
      <c r="T414" s="31" t="n"/>
      <c r="U414" s="30" t="n"/>
      <c r="V414" s="31" t="n"/>
      <c r="W414" s="31" t="n"/>
      <c r="X414" s="31" t="n"/>
      <c r="Y414" s="31" t="n"/>
      <c r="Z414" s="31" t="n"/>
      <c r="AA414" s="31" t="n"/>
      <c r="AB414" s="31" t="n"/>
      <c r="AC414" s="31" t="n"/>
      <c r="AD414" s="31" t="n"/>
      <c r="AE414" s="31" t="n"/>
      <c r="AF414" s="27">
        <f>IF(NOT(COUNTA(A414:AE414)&gt;0),"",IF(A414="","New client","Update"))</f>
        <v/>
      </c>
      <c r="AG414" s="27">
        <f>IF(AO414&lt;&gt;"",AO414,IF(LEN(AN414)=15,MID(AN414,3,10),""))</f>
        <v/>
      </c>
      <c r="AH414" s="27">
        <f>IF(AP414="","",AP414&amp;IF(D414="","  (guessed from PAN)",""))</f>
        <v/>
      </c>
      <c r="AI414" s="27">
        <f>IF(AN414="","",IFERROR(INDEX(Lists!$L$2:$L$38,MATCH(LEFT(AN414,2),Lists!$K$2:$K$38,0)),"Unknown code"))</f>
        <v/>
      </c>
      <c r="AJ414" s="27">
        <f>IF(AN414="","",IFERROR(IF(NOT(AND(LEN(AN414)=15,ISNUMBER(MATCH(LEFT(AN414,2),Lists!$K$2:$K$38,0)),SUMPRODUCT(--ISERROR(FIND(MID(MID(AN414,3,10),{1,2,3,4,5,10},1),"ABCDEFGHIJKLMNOPQRSTUVWXYZ")))=0,SUMPRODUCT(--ISERROR(FIND(MID(MID(AN414,3,10),{6,7,8,9},1),"0123456789")))=0,ISNUMBER(FIND(MID(AN414,13,1),"123456789ABCDEFGHIJKLMNOPQRSTUVWXYZ")),MID(AN414,14,1)="Z")),"Wrong format",IF(MID("0123456789ABCDEFGHIJKLMNOPQRSTUVWXYZ",MOD(36-MOD(SUMPRODUCT(INT((FIND(MID(AN414,{1,2,3,4,5,6,7,8,9,10,11,12,13,14},1),"0123456789ABCDEFGHIJKLMNOPQRSTUVWXYZ")-1)*{1,2,1,2,1,2,1,2,1,2,1,2,1,2}/36)+MOD((FIND(MID(AN414,{1,2,3,4,5,6,7,8,9,10,11,12,13,14},1),"0123456789ABCDEFGHIJKLMNOPQRSTUVWXYZ")-1)*{1,2,1,2,1,2,1,2,1,2,1,2,1,2},36)),36),36)+1,1)=MID(AN414,15,1),"OK","Typo? check digit wrong")),"Wrong format"))</f>
        <v/>
      </c>
      <c r="AK414" s="27">
        <f>IF(AO414="","",IF(AND(LEN(AO414)=10,SUMPRODUCT(--ISERROR(FIND(MID(AO414,{1,2,3,4,5,10},1),"ABCDEFGHIJKLMNOPQRSTUVWXYZ")))=0,SUMPRODUCT(--ISERROR(FIND(MID(AO414,{6,7,8,9},1),"0123456789")))=0),"OK","Wrong format"))</f>
        <v/>
      </c>
      <c r="AL414" s="27">
        <f>IF(TRIM(H414)="","",IF(AND(LEN(UPPER(TRIM(H414)))=10,SUMPRODUCT(--ISERROR(FIND(MID(UPPER(TRIM(H414)),{1,2,3,4,10},1),"ABCDEFGHIJKLMNOPQRSTUVWXYZ")))=0,SUMPRODUCT(--ISERROR(FIND(MID(UPPER(TRIM(H414)),{5,6,7,8,9},1),"0123456789")))=0),"OK","Wrong format"))</f>
        <v/>
      </c>
      <c r="AM414" s="28">
        <f>IF(NOT(COUNTA(A414:AE414)&gt;0),"",IF(AS414&lt;&gt;"","✖ "&amp;LEFT(AS414,LEN(AS414)-2),IF(AR414&gt;0,"✔ Ready — client + "&amp;AR414&amp;" service(s)","✔ Ready — client only")))</f>
        <v/>
      </c>
      <c r="AN414" s="29">
        <f>UPPER(SUBSTITUTE(TRIM(F414)," ",""))</f>
        <v/>
      </c>
      <c r="AO414" s="29">
        <f>UPPER(SUBSTITUTE(TRIM(E414)," ",""))</f>
        <v/>
      </c>
      <c r="AP414" s="29">
        <f>IF(D414&lt;&gt;"",D414,IFERROR(VLOOKUP(MID(AG414,4,1),Lists!$E$2:$F$8,2,FALSE),""))</f>
        <v/>
      </c>
      <c r="AQ414" s="29">
        <f>IFERROR(VLOOKUP(AP414,Lists!$A$2:$C$12,3,FALSE),"")</f>
        <v/>
      </c>
      <c r="AR414" s="29">
        <f>COUNTIF(W414:AC414,"Yes")</f>
        <v/>
      </c>
      <c r="AS414" s="29">
        <f>IF(TRIM(B414)="","Legal name missing; ","")&amp;IF(AND(AJ414&lt;&gt;"",AJ414&lt;&gt;"OK"),"GSTIN: "&amp;AJ414&amp;"; ","")&amp;IF(AND(AK414&lt;&gt;"",AK414&lt;&gt;"OK"),"PAN wrong format; ","")&amp;IF(AND(AO414&lt;&gt;"",LEN(AN414)=15,MID(AN414,3,10)&lt;&gt;AO414),"PAN does not match GSTIN; ","")&amp;IF(AND(AL414&lt;&gt;"",AL414&lt;&gt;"OK"),"TAN wrong format; ","")&amp;IF(AG414="","PAN missing; ","")&amp;IF(AP414="","Entity type missing; ","")&amp;IF(AND(AN414&lt;&gt;"",COUNTIF($AN$6:$AN$1005,AN414)&gt;1),"GSTIN repeated in this sheet; ","")&amp;IF(AND(AG414&lt;&gt;"",COUNTIF($AG$6:$AG$1005,AG414)&gt;1),"PAN repeated in this sheet (same client? put extra GSTINs in Other GSTINs); ","")&amp;IF(AND(AR414&gt;0,V414=""),"Financial year missing; ","")&amp;IF(AND(AR414=0,V414&lt;&gt;""),"Financial year given but no service is Yes; ","")&amp;IF(AND(W414="Yes",AN414=""),"GST needs a GSTIN; ","")&amp;IF(AND(W414="Yes",X414=""),"GST return frequency missing; ","")&amp;IF(AND(Y414="Yes",TRIM(H414)=""),"TDS needs a TAN; ","")&amp;IF(AND(AA414="Yes",AQ414&lt;&gt;"",AQ414&lt;&gt;"company",AQ414&lt;&gt;"llp"),"ROC is only for a company / LLP; ","")&amp;IF(AND(AA414="Yes",OR(AQ414="company",AQ414="llp"),TRIM(I414)=""),"ROC needs the CIN / LLPIN; ","")</f>
        <v/>
      </c>
    </row>
    <row r="415">
      <c r="A415" s="30" t="n"/>
      <c r="B415" s="31" t="n"/>
      <c r="C415" s="31" t="n"/>
      <c r="D415" s="31" t="n"/>
      <c r="E415" s="30" t="n"/>
      <c r="F415" s="30" t="n"/>
      <c r="G415" s="30" t="n"/>
      <c r="H415" s="30" t="n"/>
      <c r="I415" s="30" t="n"/>
      <c r="J415" s="32" t="n"/>
      <c r="K415" s="31" t="n"/>
      <c r="L415" s="30" t="n"/>
      <c r="M415" s="31" t="n"/>
      <c r="N415" s="31" t="n"/>
      <c r="O415" s="31" t="n"/>
      <c r="P415" s="30" t="n"/>
      <c r="Q415" s="31" t="n"/>
      <c r="R415" s="31" t="n"/>
      <c r="S415" s="31" t="n"/>
      <c r="T415" s="31" t="n"/>
      <c r="U415" s="30" t="n"/>
      <c r="V415" s="31" t="n"/>
      <c r="W415" s="31" t="n"/>
      <c r="X415" s="31" t="n"/>
      <c r="Y415" s="31" t="n"/>
      <c r="Z415" s="31" t="n"/>
      <c r="AA415" s="31" t="n"/>
      <c r="AB415" s="31" t="n"/>
      <c r="AC415" s="31" t="n"/>
      <c r="AD415" s="31" t="n"/>
      <c r="AE415" s="31" t="n"/>
      <c r="AF415" s="27">
        <f>IF(NOT(COUNTA(A415:AE415)&gt;0),"",IF(A415="","New client","Update"))</f>
        <v/>
      </c>
      <c r="AG415" s="27">
        <f>IF(AO415&lt;&gt;"",AO415,IF(LEN(AN415)=15,MID(AN415,3,10),""))</f>
        <v/>
      </c>
      <c r="AH415" s="27">
        <f>IF(AP415="","",AP415&amp;IF(D415="","  (guessed from PAN)",""))</f>
        <v/>
      </c>
      <c r="AI415" s="27">
        <f>IF(AN415="","",IFERROR(INDEX(Lists!$L$2:$L$38,MATCH(LEFT(AN415,2),Lists!$K$2:$K$38,0)),"Unknown code"))</f>
        <v/>
      </c>
      <c r="AJ415" s="27">
        <f>IF(AN415="","",IFERROR(IF(NOT(AND(LEN(AN415)=15,ISNUMBER(MATCH(LEFT(AN415,2),Lists!$K$2:$K$38,0)),SUMPRODUCT(--ISERROR(FIND(MID(MID(AN415,3,10),{1,2,3,4,5,10},1),"ABCDEFGHIJKLMNOPQRSTUVWXYZ")))=0,SUMPRODUCT(--ISERROR(FIND(MID(MID(AN415,3,10),{6,7,8,9},1),"0123456789")))=0,ISNUMBER(FIND(MID(AN415,13,1),"123456789ABCDEFGHIJKLMNOPQRSTUVWXYZ")),MID(AN415,14,1)="Z")),"Wrong format",IF(MID("0123456789ABCDEFGHIJKLMNOPQRSTUVWXYZ",MOD(36-MOD(SUMPRODUCT(INT((FIND(MID(AN415,{1,2,3,4,5,6,7,8,9,10,11,12,13,14},1),"0123456789ABCDEFGHIJKLMNOPQRSTUVWXYZ")-1)*{1,2,1,2,1,2,1,2,1,2,1,2,1,2}/36)+MOD((FIND(MID(AN415,{1,2,3,4,5,6,7,8,9,10,11,12,13,14},1),"0123456789ABCDEFGHIJKLMNOPQRSTUVWXYZ")-1)*{1,2,1,2,1,2,1,2,1,2,1,2,1,2},36)),36),36)+1,1)=MID(AN415,15,1),"OK","Typo? check digit wrong")),"Wrong format"))</f>
        <v/>
      </c>
      <c r="AK415" s="27">
        <f>IF(AO415="","",IF(AND(LEN(AO415)=10,SUMPRODUCT(--ISERROR(FIND(MID(AO415,{1,2,3,4,5,10},1),"ABCDEFGHIJKLMNOPQRSTUVWXYZ")))=0,SUMPRODUCT(--ISERROR(FIND(MID(AO415,{6,7,8,9},1),"0123456789")))=0),"OK","Wrong format"))</f>
        <v/>
      </c>
      <c r="AL415" s="27">
        <f>IF(TRIM(H415)="","",IF(AND(LEN(UPPER(TRIM(H415)))=10,SUMPRODUCT(--ISERROR(FIND(MID(UPPER(TRIM(H415)),{1,2,3,4,10},1),"ABCDEFGHIJKLMNOPQRSTUVWXYZ")))=0,SUMPRODUCT(--ISERROR(FIND(MID(UPPER(TRIM(H415)),{5,6,7,8,9},1),"0123456789")))=0),"OK","Wrong format"))</f>
        <v/>
      </c>
      <c r="AM415" s="28">
        <f>IF(NOT(COUNTA(A415:AE415)&gt;0),"",IF(AS415&lt;&gt;"","✖ "&amp;LEFT(AS415,LEN(AS415)-2),IF(AR415&gt;0,"✔ Ready — client + "&amp;AR415&amp;" service(s)","✔ Ready — client only")))</f>
        <v/>
      </c>
      <c r="AN415" s="29">
        <f>UPPER(SUBSTITUTE(TRIM(F415)," ",""))</f>
        <v/>
      </c>
      <c r="AO415" s="29">
        <f>UPPER(SUBSTITUTE(TRIM(E415)," ",""))</f>
        <v/>
      </c>
      <c r="AP415" s="29">
        <f>IF(D415&lt;&gt;"",D415,IFERROR(VLOOKUP(MID(AG415,4,1),Lists!$E$2:$F$8,2,FALSE),""))</f>
        <v/>
      </c>
      <c r="AQ415" s="29">
        <f>IFERROR(VLOOKUP(AP415,Lists!$A$2:$C$12,3,FALSE),"")</f>
        <v/>
      </c>
      <c r="AR415" s="29">
        <f>COUNTIF(W415:AC415,"Yes")</f>
        <v/>
      </c>
      <c r="AS415" s="29">
        <f>IF(TRIM(B415)="","Legal name missing; ","")&amp;IF(AND(AJ415&lt;&gt;"",AJ415&lt;&gt;"OK"),"GSTIN: "&amp;AJ415&amp;"; ","")&amp;IF(AND(AK415&lt;&gt;"",AK415&lt;&gt;"OK"),"PAN wrong format; ","")&amp;IF(AND(AO415&lt;&gt;"",LEN(AN415)=15,MID(AN415,3,10)&lt;&gt;AO415),"PAN does not match GSTIN; ","")&amp;IF(AND(AL415&lt;&gt;"",AL415&lt;&gt;"OK"),"TAN wrong format; ","")&amp;IF(AG415="","PAN missing; ","")&amp;IF(AP415="","Entity type missing; ","")&amp;IF(AND(AN415&lt;&gt;"",COUNTIF($AN$6:$AN$1005,AN415)&gt;1),"GSTIN repeated in this sheet; ","")&amp;IF(AND(AG415&lt;&gt;"",COUNTIF($AG$6:$AG$1005,AG415)&gt;1),"PAN repeated in this sheet (same client? put extra GSTINs in Other GSTINs); ","")&amp;IF(AND(AR415&gt;0,V415=""),"Financial year missing; ","")&amp;IF(AND(AR415=0,V415&lt;&gt;""),"Financial year given but no service is Yes; ","")&amp;IF(AND(W415="Yes",AN415=""),"GST needs a GSTIN; ","")&amp;IF(AND(W415="Yes",X415=""),"GST return frequency missing; ","")&amp;IF(AND(Y415="Yes",TRIM(H415)=""),"TDS needs a TAN; ","")&amp;IF(AND(AA415="Yes",AQ415&lt;&gt;"",AQ415&lt;&gt;"company",AQ415&lt;&gt;"llp"),"ROC is only for a company / LLP; ","")&amp;IF(AND(AA415="Yes",OR(AQ415="company",AQ415="llp"),TRIM(I415)=""),"ROC needs the CIN / LLPIN; ","")</f>
        <v/>
      </c>
    </row>
    <row r="416">
      <c r="A416" s="30" t="n"/>
      <c r="B416" s="31" t="n"/>
      <c r="C416" s="31" t="n"/>
      <c r="D416" s="31" t="n"/>
      <c r="E416" s="30" t="n"/>
      <c r="F416" s="30" t="n"/>
      <c r="G416" s="30" t="n"/>
      <c r="H416" s="30" t="n"/>
      <c r="I416" s="30" t="n"/>
      <c r="J416" s="32" t="n"/>
      <c r="K416" s="31" t="n"/>
      <c r="L416" s="30" t="n"/>
      <c r="M416" s="31" t="n"/>
      <c r="N416" s="31" t="n"/>
      <c r="O416" s="31" t="n"/>
      <c r="P416" s="30" t="n"/>
      <c r="Q416" s="31" t="n"/>
      <c r="R416" s="31" t="n"/>
      <c r="S416" s="31" t="n"/>
      <c r="T416" s="31" t="n"/>
      <c r="U416" s="30" t="n"/>
      <c r="V416" s="31" t="n"/>
      <c r="W416" s="31" t="n"/>
      <c r="X416" s="31" t="n"/>
      <c r="Y416" s="31" t="n"/>
      <c r="Z416" s="31" t="n"/>
      <c r="AA416" s="31" t="n"/>
      <c r="AB416" s="31" t="n"/>
      <c r="AC416" s="31" t="n"/>
      <c r="AD416" s="31" t="n"/>
      <c r="AE416" s="31" t="n"/>
      <c r="AF416" s="27">
        <f>IF(NOT(COUNTA(A416:AE416)&gt;0),"",IF(A416="","New client","Update"))</f>
        <v/>
      </c>
      <c r="AG416" s="27">
        <f>IF(AO416&lt;&gt;"",AO416,IF(LEN(AN416)=15,MID(AN416,3,10),""))</f>
        <v/>
      </c>
      <c r="AH416" s="27">
        <f>IF(AP416="","",AP416&amp;IF(D416="","  (guessed from PAN)",""))</f>
        <v/>
      </c>
      <c r="AI416" s="27">
        <f>IF(AN416="","",IFERROR(INDEX(Lists!$L$2:$L$38,MATCH(LEFT(AN416,2),Lists!$K$2:$K$38,0)),"Unknown code"))</f>
        <v/>
      </c>
      <c r="AJ416" s="27">
        <f>IF(AN416="","",IFERROR(IF(NOT(AND(LEN(AN416)=15,ISNUMBER(MATCH(LEFT(AN416,2),Lists!$K$2:$K$38,0)),SUMPRODUCT(--ISERROR(FIND(MID(MID(AN416,3,10),{1,2,3,4,5,10},1),"ABCDEFGHIJKLMNOPQRSTUVWXYZ")))=0,SUMPRODUCT(--ISERROR(FIND(MID(MID(AN416,3,10),{6,7,8,9},1),"0123456789")))=0,ISNUMBER(FIND(MID(AN416,13,1),"123456789ABCDEFGHIJKLMNOPQRSTUVWXYZ")),MID(AN416,14,1)="Z")),"Wrong format",IF(MID("0123456789ABCDEFGHIJKLMNOPQRSTUVWXYZ",MOD(36-MOD(SUMPRODUCT(INT((FIND(MID(AN416,{1,2,3,4,5,6,7,8,9,10,11,12,13,14},1),"0123456789ABCDEFGHIJKLMNOPQRSTUVWXYZ")-1)*{1,2,1,2,1,2,1,2,1,2,1,2,1,2}/36)+MOD((FIND(MID(AN416,{1,2,3,4,5,6,7,8,9,10,11,12,13,14},1),"0123456789ABCDEFGHIJKLMNOPQRSTUVWXYZ")-1)*{1,2,1,2,1,2,1,2,1,2,1,2,1,2},36)),36),36)+1,1)=MID(AN416,15,1),"OK","Typo? check digit wrong")),"Wrong format"))</f>
        <v/>
      </c>
      <c r="AK416" s="27">
        <f>IF(AO416="","",IF(AND(LEN(AO416)=10,SUMPRODUCT(--ISERROR(FIND(MID(AO416,{1,2,3,4,5,10},1),"ABCDEFGHIJKLMNOPQRSTUVWXYZ")))=0,SUMPRODUCT(--ISERROR(FIND(MID(AO416,{6,7,8,9},1),"0123456789")))=0),"OK","Wrong format"))</f>
        <v/>
      </c>
      <c r="AL416" s="27">
        <f>IF(TRIM(H416)="","",IF(AND(LEN(UPPER(TRIM(H416)))=10,SUMPRODUCT(--ISERROR(FIND(MID(UPPER(TRIM(H416)),{1,2,3,4,10},1),"ABCDEFGHIJKLMNOPQRSTUVWXYZ")))=0,SUMPRODUCT(--ISERROR(FIND(MID(UPPER(TRIM(H416)),{5,6,7,8,9},1),"0123456789")))=0),"OK","Wrong format"))</f>
        <v/>
      </c>
      <c r="AM416" s="28">
        <f>IF(NOT(COUNTA(A416:AE416)&gt;0),"",IF(AS416&lt;&gt;"","✖ "&amp;LEFT(AS416,LEN(AS416)-2),IF(AR416&gt;0,"✔ Ready — client + "&amp;AR416&amp;" service(s)","✔ Ready — client only")))</f>
        <v/>
      </c>
      <c r="AN416" s="29">
        <f>UPPER(SUBSTITUTE(TRIM(F416)," ",""))</f>
        <v/>
      </c>
      <c r="AO416" s="29">
        <f>UPPER(SUBSTITUTE(TRIM(E416)," ",""))</f>
        <v/>
      </c>
      <c r="AP416" s="29">
        <f>IF(D416&lt;&gt;"",D416,IFERROR(VLOOKUP(MID(AG416,4,1),Lists!$E$2:$F$8,2,FALSE),""))</f>
        <v/>
      </c>
      <c r="AQ416" s="29">
        <f>IFERROR(VLOOKUP(AP416,Lists!$A$2:$C$12,3,FALSE),"")</f>
        <v/>
      </c>
      <c r="AR416" s="29">
        <f>COUNTIF(W416:AC416,"Yes")</f>
        <v/>
      </c>
      <c r="AS416" s="29">
        <f>IF(TRIM(B416)="","Legal name missing; ","")&amp;IF(AND(AJ416&lt;&gt;"",AJ416&lt;&gt;"OK"),"GSTIN: "&amp;AJ416&amp;"; ","")&amp;IF(AND(AK416&lt;&gt;"",AK416&lt;&gt;"OK"),"PAN wrong format; ","")&amp;IF(AND(AO416&lt;&gt;"",LEN(AN416)=15,MID(AN416,3,10)&lt;&gt;AO416),"PAN does not match GSTIN; ","")&amp;IF(AND(AL416&lt;&gt;"",AL416&lt;&gt;"OK"),"TAN wrong format; ","")&amp;IF(AG416="","PAN missing; ","")&amp;IF(AP416="","Entity type missing; ","")&amp;IF(AND(AN416&lt;&gt;"",COUNTIF($AN$6:$AN$1005,AN416)&gt;1),"GSTIN repeated in this sheet; ","")&amp;IF(AND(AG416&lt;&gt;"",COUNTIF($AG$6:$AG$1005,AG416)&gt;1),"PAN repeated in this sheet (same client? put extra GSTINs in Other GSTINs); ","")&amp;IF(AND(AR416&gt;0,V416=""),"Financial year missing; ","")&amp;IF(AND(AR416=0,V416&lt;&gt;""),"Financial year given but no service is Yes; ","")&amp;IF(AND(W416="Yes",AN416=""),"GST needs a GSTIN; ","")&amp;IF(AND(W416="Yes",X416=""),"GST return frequency missing; ","")&amp;IF(AND(Y416="Yes",TRIM(H416)=""),"TDS needs a TAN; ","")&amp;IF(AND(AA416="Yes",AQ416&lt;&gt;"",AQ416&lt;&gt;"company",AQ416&lt;&gt;"llp"),"ROC is only for a company / LLP; ","")&amp;IF(AND(AA416="Yes",OR(AQ416="company",AQ416="llp"),TRIM(I416)=""),"ROC needs the CIN / LLPIN; ","")</f>
        <v/>
      </c>
    </row>
    <row r="417">
      <c r="A417" s="30" t="n"/>
      <c r="B417" s="31" t="n"/>
      <c r="C417" s="31" t="n"/>
      <c r="D417" s="31" t="n"/>
      <c r="E417" s="30" t="n"/>
      <c r="F417" s="30" t="n"/>
      <c r="G417" s="30" t="n"/>
      <c r="H417" s="30" t="n"/>
      <c r="I417" s="30" t="n"/>
      <c r="J417" s="32" t="n"/>
      <c r="K417" s="31" t="n"/>
      <c r="L417" s="30" t="n"/>
      <c r="M417" s="31" t="n"/>
      <c r="N417" s="31" t="n"/>
      <c r="O417" s="31" t="n"/>
      <c r="P417" s="30" t="n"/>
      <c r="Q417" s="31" t="n"/>
      <c r="R417" s="31" t="n"/>
      <c r="S417" s="31" t="n"/>
      <c r="T417" s="31" t="n"/>
      <c r="U417" s="30" t="n"/>
      <c r="V417" s="31" t="n"/>
      <c r="W417" s="31" t="n"/>
      <c r="X417" s="31" t="n"/>
      <c r="Y417" s="31" t="n"/>
      <c r="Z417" s="31" t="n"/>
      <c r="AA417" s="31" t="n"/>
      <c r="AB417" s="31" t="n"/>
      <c r="AC417" s="31" t="n"/>
      <c r="AD417" s="31" t="n"/>
      <c r="AE417" s="31" t="n"/>
      <c r="AF417" s="27">
        <f>IF(NOT(COUNTA(A417:AE417)&gt;0),"",IF(A417="","New client","Update"))</f>
        <v/>
      </c>
      <c r="AG417" s="27">
        <f>IF(AO417&lt;&gt;"",AO417,IF(LEN(AN417)=15,MID(AN417,3,10),""))</f>
        <v/>
      </c>
      <c r="AH417" s="27">
        <f>IF(AP417="","",AP417&amp;IF(D417="","  (guessed from PAN)",""))</f>
        <v/>
      </c>
      <c r="AI417" s="27">
        <f>IF(AN417="","",IFERROR(INDEX(Lists!$L$2:$L$38,MATCH(LEFT(AN417,2),Lists!$K$2:$K$38,0)),"Unknown code"))</f>
        <v/>
      </c>
      <c r="AJ417" s="27">
        <f>IF(AN417="","",IFERROR(IF(NOT(AND(LEN(AN417)=15,ISNUMBER(MATCH(LEFT(AN417,2),Lists!$K$2:$K$38,0)),SUMPRODUCT(--ISERROR(FIND(MID(MID(AN417,3,10),{1,2,3,4,5,10},1),"ABCDEFGHIJKLMNOPQRSTUVWXYZ")))=0,SUMPRODUCT(--ISERROR(FIND(MID(MID(AN417,3,10),{6,7,8,9},1),"0123456789")))=0,ISNUMBER(FIND(MID(AN417,13,1),"123456789ABCDEFGHIJKLMNOPQRSTUVWXYZ")),MID(AN417,14,1)="Z")),"Wrong format",IF(MID("0123456789ABCDEFGHIJKLMNOPQRSTUVWXYZ",MOD(36-MOD(SUMPRODUCT(INT((FIND(MID(AN417,{1,2,3,4,5,6,7,8,9,10,11,12,13,14},1),"0123456789ABCDEFGHIJKLMNOPQRSTUVWXYZ")-1)*{1,2,1,2,1,2,1,2,1,2,1,2,1,2}/36)+MOD((FIND(MID(AN417,{1,2,3,4,5,6,7,8,9,10,11,12,13,14},1),"0123456789ABCDEFGHIJKLMNOPQRSTUVWXYZ")-1)*{1,2,1,2,1,2,1,2,1,2,1,2,1,2},36)),36),36)+1,1)=MID(AN417,15,1),"OK","Typo? check digit wrong")),"Wrong format"))</f>
        <v/>
      </c>
      <c r="AK417" s="27">
        <f>IF(AO417="","",IF(AND(LEN(AO417)=10,SUMPRODUCT(--ISERROR(FIND(MID(AO417,{1,2,3,4,5,10},1),"ABCDEFGHIJKLMNOPQRSTUVWXYZ")))=0,SUMPRODUCT(--ISERROR(FIND(MID(AO417,{6,7,8,9},1),"0123456789")))=0),"OK","Wrong format"))</f>
        <v/>
      </c>
      <c r="AL417" s="27">
        <f>IF(TRIM(H417)="","",IF(AND(LEN(UPPER(TRIM(H417)))=10,SUMPRODUCT(--ISERROR(FIND(MID(UPPER(TRIM(H417)),{1,2,3,4,10},1),"ABCDEFGHIJKLMNOPQRSTUVWXYZ")))=0,SUMPRODUCT(--ISERROR(FIND(MID(UPPER(TRIM(H417)),{5,6,7,8,9},1),"0123456789")))=0),"OK","Wrong format"))</f>
        <v/>
      </c>
      <c r="AM417" s="28">
        <f>IF(NOT(COUNTA(A417:AE417)&gt;0),"",IF(AS417&lt;&gt;"","✖ "&amp;LEFT(AS417,LEN(AS417)-2),IF(AR417&gt;0,"✔ Ready — client + "&amp;AR417&amp;" service(s)","✔ Ready — client only")))</f>
        <v/>
      </c>
      <c r="AN417" s="29">
        <f>UPPER(SUBSTITUTE(TRIM(F417)," ",""))</f>
        <v/>
      </c>
      <c r="AO417" s="29">
        <f>UPPER(SUBSTITUTE(TRIM(E417)," ",""))</f>
        <v/>
      </c>
      <c r="AP417" s="29">
        <f>IF(D417&lt;&gt;"",D417,IFERROR(VLOOKUP(MID(AG417,4,1),Lists!$E$2:$F$8,2,FALSE),""))</f>
        <v/>
      </c>
      <c r="AQ417" s="29">
        <f>IFERROR(VLOOKUP(AP417,Lists!$A$2:$C$12,3,FALSE),"")</f>
        <v/>
      </c>
      <c r="AR417" s="29">
        <f>COUNTIF(W417:AC417,"Yes")</f>
        <v/>
      </c>
      <c r="AS417" s="29">
        <f>IF(TRIM(B417)="","Legal name missing; ","")&amp;IF(AND(AJ417&lt;&gt;"",AJ417&lt;&gt;"OK"),"GSTIN: "&amp;AJ417&amp;"; ","")&amp;IF(AND(AK417&lt;&gt;"",AK417&lt;&gt;"OK"),"PAN wrong format; ","")&amp;IF(AND(AO417&lt;&gt;"",LEN(AN417)=15,MID(AN417,3,10)&lt;&gt;AO417),"PAN does not match GSTIN; ","")&amp;IF(AND(AL417&lt;&gt;"",AL417&lt;&gt;"OK"),"TAN wrong format; ","")&amp;IF(AG417="","PAN missing; ","")&amp;IF(AP417="","Entity type missing; ","")&amp;IF(AND(AN417&lt;&gt;"",COUNTIF($AN$6:$AN$1005,AN417)&gt;1),"GSTIN repeated in this sheet; ","")&amp;IF(AND(AG417&lt;&gt;"",COUNTIF($AG$6:$AG$1005,AG417)&gt;1),"PAN repeated in this sheet (same client? put extra GSTINs in Other GSTINs); ","")&amp;IF(AND(AR417&gt;0,V417=""),"Financial year missing; ","")&amp;IF(AND(AR417=0,V417&lt;&gt;""),"Financial year given but no service is Yes; ","")&amp;IF(AND(W417="Yes",AN417=""),"GST needs a GSTIN; ","")&amp;IF(AND(W417="Yes",X417=""),"GST return frequency missing; ","")&amp;IF(AND(Y417="Yes",TRIM(H417)=""),"TDS needs a TAN; ","")&amp;IF(AND(AA417="Yes",AQ417&lt;&gt;"",AQ417&lt;&gt;"company",AQ417&lt;&gt;"llp"),"ROC is only for a company / LLP; ","")&amp;IF(AND(AA417="Yes",OR(AQ417="company",AQ417="llp"),TRIM(I417)=""),"ROC needs the CIN / LLPIN; ","")</f>
        <v/>
      </c>
    </row>
    <row r="418">
      <c r="A418" s="30" t="n"/>
      <c r="B418" s="31" t="n"/>
      <c r="C418" s="31" t="n"/>
      <c r="D418" s="31" t="n"/>
      <c r="E418" s="30" t="n"/>
      <c r="F418" s="30" t="n"/>
      <c r="G418" s="30" t="n"/>
      <c r="H418" s="30" t="n"/>
      <c r="I418" s="30" t="n"/>
      <c r="J418" s="32" t="n"/>
      <c r="K418" s="31" t="n"/>
      <c r="L418" s="30" t="n"/>
      <c r="M418" s="31" t="n"/>
      <c r="N418" s="31" t="n"/>
      <c r="O418" s="31" t="n"/>
      <c r="P418" s="30" t="n"/>
      <c r="Q418" s="31" t="n"/>
      <c r="R418" s="31" t="n"/>
      <c r="S418" s="31" t="n"/>
      <c r="T418" s="31" t="n"/>
      <c r="U418" s="30" t="n"/>
      <c r="V418" s="31" t="n"/>
      <c r="W418" s="31" t="n"/>
      <c r="X418" s="31" t="n"/>
      <c r="Y418" s="31" t="n"/>
      <c r="Z418" s="31" t="n"/>
      <c r="AA418" s="31" t="n"/>
      <c r="AB418" s="31" t="n"/>
      <c r="AC418" s="31" t="n"/>
      <c r="AD418" s="31" t="n"/>
      <c r="AE418" s="31" t="n"/>
      <c r="AF418" s="27">
        <f>IF(NOT(COUNTA(A418:AE418)&gt;0),"",IF(A418="","New client","Update"))</f>
        <v/>
      </c>
      <c r="AG418" s="27">
        <f>IF(AO418&lt;&gt;"",AO418,IF(LEN(AN418)=15,MID(AN418,3,10),""))</f>
        <v/>
      </c>
      <c r="AH418" s="27">
        <f>IF(AP418="","",AP418&amp;IF(D418="","  (guessed from PAN)",""))</f>
        <v/>
      </c>
      <c r="AI418" s="27">
        <f>IF(AN418="","",IFERROR(INDEX(Lists!$L$2:$L$38,MATCH(LEFT(AN418,2),Lists!$K$2:$K$38,0)),"Unknown code"))</f>
        <v/>
      </c>
      <c r="AJ418" s="27">
        <f>IF(AN418="","",IFERROR(IF(NOT(AND(LEN(AN418)=15,ISNUMBER(MATCH(LEFT(AN418,2),Lists!$K$2:$K$38,0)),SUMPRODUCT(--ISERROR(FIND(MID(MID(AN418,3,10),{1,2,3,4,5,10},1),"ABCDEFGHIJKLMNOPQRSTUVWXYZ")))=0,SUMPRODUCT(--ISERROR(FIND(MID(MID(AN418,3,10),{6,7,8,9},1),"0123456789")))=0,ISNUMBER(FIND(MID(AN418,13,1),"123456789ABCDEFGHIJKLMNOPQRSTUVWXYZ")),MID(AN418,14,1)="Z")),"Wrong format",IF(MID("0123456789ABCDEFGHIJKLMNOPQRSTUVWXYZ",MOD(36-MOD(SUMPRODUCT(INT((FIND(MID(AN418,{1,2,3,4,5,6,7,8,9,10,11,12,13,14},1),"0123456789ABCDEFGHIJKLMNOPQRSTUVWXYZ")-1)*{1,2,1,2,1,2,1,2,1,2,1,2,1,2}/36)+MOD((FIND(MID(AN418,{1,2,3,4,5,6,7,8,9,10,11,12,13,14},1),"0123456789ABCDEFGHIJKLMNOPQRSTUVWXYZ")-1)*{1,2,1,2,1,2,1,2,1,2,1,2,1,2},36)),36),36)+1,1)=MID(AN418,15,1),"OK","Typo? check digit wrong")),"Wrong format"))</f>
        <v/>
      </c>
      <c r="AK418" s="27">
        <f>IF(AO418="","",IF(AND(LEN(AO418)=10,SUMPRODUCT(--ISERROR(FIND(MID(AO418,{1,2,3,4,5,10},1),"ABCDEFGHIJKLMNOPQRSTUVWXYZ")))=0,SUMPRODUCT(--ISERROR(FIND(MID(AO418,{6,7,8,9},1),"0123456789")))=0),"OK","Wrong format"))</f>
        <v/>
      </c>
      <c r="AL418" s="27">
        <f>IF(TRIM(H418)="","",IF(AND(LEN(UPPER(TRIM(H418)))=10,SUMPRODUCT(--ISERROR(FIND(MID(UPPER(TRIM(H418)),{1,2,3,4,10},1),"ABCDEFGHIJKLMNOPQRSTUVWXYZ")))=0,SUMPRODUCT(--ISERROR(FIND(MID(UPPER(TRIM(H418)),{5,6,7,8,9},1),"0123456789")))=0),"OK","Wrong format"))</f>
        <v/>
      </c>
      <c r="AM418" s="28">
        <f>IF(NOT(COUNTA(A418:AE418)&gt;0),"",IF(AS418&lt;&gt;"","✖ "&amp;LEFT(AS418,LEN(AS418)-2),IF(AR418&gt;0,"✔ Ready — client + "&amp;AR418&amp;" service(s)","✔ Ready — client only")))</f>
        <v/>
      </c>
      <c r="AN418" s="29">
        <f>UPPER(SUBSTITUTE(TRIM(F418)," ",""))</f>
        <v/>
      </c>
      <c r="AO418" s="29">
        <f>UPPER(SUBSTITUTE(TRIM(E418)," ",""))</f>
        <v/>
      </c>
      <c r="AP418" s="29">
        <f>IF(D418&lt;&gt;"",D418,IFERROR(VLOOKUP(MID(AG418,4,1),Lists!$E$2:$F$8,2,FALSE),""))</f>
        <v/>
      </c>
      <c r="AQ418" s="29">
        <f>IFERROR(VLOOKUP(AP418,Lists!$A$2:$C$12,3,FALSE),"")</f>
        <v/>
      </c>
      <c r="AR418" s="29">
        <f>COUNTIF(W418:AC418,"Yes")</f>
        <v/>
      </c>
      <c r="AS418" s="29">
        <f>IF(TRIM(B418)="","Legal name missing; ","")&amp;IF(AND(AJ418&lt;&gt;"",AJ418&lt;&gt;"OK"),"GSTIN: "&amp;AJ418&amp;"; ","")&amp;IF(AND(AK418&lt;&gt;"",AK418&lt;&gt;"OK"),"PAN wrong format; ","")&amp;IF(AND(AO418&lt;&gt;"",LEN(AN418)=15,MID(AN418,3,10)&lt;&gt;AO418),"PAN does not match GSTIN; ","")&amp;IF(AND(AL418&lt;&gt;"",AL418&lt;&gt;"OK"),"TAN wrong format; ","")&amp;IF(AG418="","PAN missing; ","")&amp;IF(AP418="","Entity type missing; ","")&amp;IF(AND(AN418&lt;&gt;"",COUNTIF($AN$6:$AN$1005,AN418)&gt;1),"GSTIN repeated in this sheet; ","")&amp;IF(AND(AG418&lt;&gt;"",COUNTIF($AG$6:$AG$1005,AG418)&gt;1),"PAN repeated in this sheet (same client? put extra GSTINs in Other GSTINs); ","")&amp;IF(AND(AR418&gt;0,V418=""),"Financial year missing; ","")&amp;IF(AND(AR418=0,V418&lt;&gt;""),"Financial year given but no service is Yes; ","")&amp;IF(AND(W418="Yes",AN418=""),"GST needs a GSTIN; ","")&amp;IF(AND(W418="Yes",X418=""),"GST return frequency missing; ","")&amp;IF(AND(Y418="Yes",TRIM(H418)=""),"TDS needs a TAN; ","")&amp;IF(AND(AA418="Yes",AQ418&lt;&gt;"",AQ418&lt;&gt;"company",AQ418&lt;&gt;"llp"),"ROC is only for a company / LLP; ","")&amp;IF(AND(AA418="Yes",OR(AQ418="company",AQ418="llp"),TRIM(I418)=""),"ROC needs the CIN / LLPIN; ","")</f>
        <v/>
      </c>
    </row>
    <row r="419">
      <c r="A419" s="30" t="n"/>
      <c r="B419" s="31" t="n"/>
      <c r="C419" s="31" t="n"/>
      <c r="D419" s="31" t="n"/>
      <c r="E419" s="30" t="n"/>
      <c r="F419" s="30" t="n"/>
      <c r="G419" s="30" t="n"/>
      <c r="H419" s="30" t="n"/>
      <c r="I419" s="30" t="n"/>
      <c r="J419" s="32" t="n"/>
      <c r="K419" s="31" t="n"/>
      <c r="L419" s="30" t="n"/>
      <c r="M419" s="31" t="n"/>
      <c r="N419" s="31" t="n"/>
      <c r="O419" s="31" t="n"/>
      <c r="P419" s="30" t="n"/>
      <c r="Q419" s="31" t="n"/>
      <c r="R419" s="31" t="n"/>
      <c r="S419" s="31" t="n"/>
      <c r="T419" s="31" t="n"/>
      <c r="U419" s="30" t="n"/>
      <c r="V419" s="31" t="n"/>
      <c r="W419" s="31" t="n"/>
      <c r="X419" s="31" t="n"/>
      <c r="Y419" s="31" t="n"/>
      <c r="Z419" s="31" t="n"/>
      <c r="AA419" s="31" t="n"/>
      <c r="AB419" s="31" t="n"/>
      <c r="AC419" s="31" t="n"/>
      <c r="AD419" s="31" t="n"/>
      <c r="AE419" s="31" t="n"/>
      <c r="AF419" s="27">
        <f>IF(NOT(COUNTA(A419:AE419)&gt;0),"",IF(A419="","New client","Update"))</f>
        <v/>
      </c>
      <c r="AG419" s="27">
        <f>IF(AO419&lt;&gt;"",AO419,IF(LEN(AN419)=15,MID(AN419,3,10),""))</f>
        <v/>
      </c>
      <c r="AH419" s="27">
        <f>IF(AP419="","",AP419&amp;IF(D419="","  (guessed from PAN)",""))</f>
        <v/>
      </c>
      <c r="AI419" s="27">
        <f>IF(AN419="","",IFERROR(INDEX(Lists!$L$2:$L$38,MATCH(LEFT(AN419,2),Lists!$K$2:$K$38,0)),"Unknown code"))</f>
        <v/>
      </c>
      <c r="AJ419" s="27">
        <f>IF(AN419="","",IFERROR(IF(NOT(AND(LEN(AN419)=15,ISNUMBER(MATCH(LEFT(AN419,2),Lists!$K$2:$K$38,0)),SUMPRODUCT(--ISERROR(FIND(MID(MID(AN419,3,10),{1,2,3,4,5,10},1),"ABCDEFGHIJKLMNOPQRSTUVWXYZ")))=0,SUMPRODUCT(--ISERROR(FIND(MID(MID(AN419,3,10),{6,7,8,9},1),"0123456789")))=0,ISNUMBER(FIND(MID(AN419,13,1),"123456789ABCDEFGHIJKLMNOPQRSTUVWXYZ")),MID(AN419,14,1)="Z")),"Wrong format",IF(MID("0123456789ABCDEFGHIJKLMNOPQRSTUVWXYZ",MOD(36-MOD(SUMPRODUCT(INT((FIND(MID(AN419,{1,2,3,4,5,6,7,8,9,10,11,12,13,14},1),"0123456789ABCDEFGHIJKLMNOPQRSTUVWXYZ")-1)*{1,2,1,2,1,2,1,2,1,2,1,2,1,2}/36)+MOD((FIND(MID(AN419,{1,2,3,4,5,6,7,8,9,10,11,12,13,14},1),"0123456789ABCDEFGHIJKLMNOPQRSTUVWXYZ")-1)*{1,2,1,2,1,2,1,2,1,2,1,2,1,2},36)),36),36)+1,1)=MID(AN419,15,1),"OK","Typo? check digit wrong")),"Wrong format"))</f>
        <v/>
      </c>
      <c r="AK419" s="27">
        <f>IF(AO419="","",IF(AND(LEN(AO419)=10,SUMPRODUCT(--ISERROR(FIND(MID(AO419,{1,2,3,4,5,10},1),"ABCDEFGHIJKLMNOPQRSTUVWXYZ")))=0,SUMPRODUCT(--ISERROR(FIND(MID(AO419,{6,7,8,9},1),"0123456789")))=0),"OK","Wrong format"))</f>
        <v/>
      </c>
      <c r="AL419" s="27">
        <f>IF(TRIM(H419)="","",IF(AND(LEN(UPPER(TRIM(H419)))=10,SUMPRODUCT(--ISERROR(FIND(MID(UPPER(TRIM(H419)),{1,2,3,4,10},1),"ABCDEFGHIJKLMNOPQRSTUVWXYZ")))=0,SUMPRODUCT(--ISERROR(FIND(MID(UPPER(TRIM(H419)),{5,6,7,8,9},1),"0123456789")))=0),"OK","Wrong format"))</f>
        <v/>
      </c>
      <c r="AM419" s="28">
        <f>IF(NOT(COUNTA(A419:AE419)&gt;0),"",IF(AS419&lt;&gt;"","✖ "&amp;LEFT(AS419,LEN(AS419)-2),IF(AR419&gt;0,"✔ Ready — client + "&amp;AR419&amp;" service(s)","✔ Ready — client only")))</f>
        <v/>
      </c>
      <c r="AN419" s="29">
        <f>UPPER(SUBSTITUTE(TRIM(F419)," ",""))</f>
        <v/>
      </c>
      <c r="AO419" s="29">
        <f>UPPER(SUBSTITUTE(TRIM(E419)," ",""))</f>
        <v/>
      </c>
      <c r="AP419" s="29">
        <f>IF(D419&lt;&gt;"",D419,IFERROR(VLOOKUP(MID(AG419,4,1),Lists!$E$2:$F$8,2,FALSE),""))</f>
        <v/>
      </c>
      <c r="AQ419" s="29">
        <f>IFERROR(VLOOKUP(AP419,Lists!$A$2:$C$12,3,FALSE),"")</f>
        <v/>
      </c>
      <c r="AR419" s="29">
        <f>COUNTIF(W419:AC419,"Yes")</f>
        <v/>
      </c>
      <c r="AS419" s="29">
        <f>IF(TRIM(B419)="","Legal name missing; ","")&amp;IF(AND(AJ419&lt;&gt;"",AJ419&lt;&gt;"OK"),"GSTIN: "&amp;AJ419&amp;"; ","")&amp;IF(AND(AK419&lt;&gt;"",AK419&lt;&gt;"OK"),"PAN wrong format; ","")&amp;IF(AND(AO419&lt;&gt;"",LEN(AN419)=15,MID(AN419,3,10)&lt;&gt;AO419),"PAN does not match GSTIN; ","")&amp;IF(AND(AL419&lt;&gt;"",AL419&lt;&gt;"OK"),"TAN wrong format; ","")&amp;IF(AG419="","PAN missing; ","")&amp;IF(AP419="","Entity type missing; ","")&amp;IF(AND(AN419&lt;&gt;"",COUNTIF($AN$6:$AN$1005,AN419)&gt;1),"GSTIN repeated in this sheet; ","")&amp;IF(AND(AG419&lt;&gt;"",COUNTIF($AG$6:$AG$1005,AG419)&gt;1),"PAN repeated in this sheet (same client? put extra GSTINs in Other GSTINs); ","")&amp;IF(AND(AR419&gt;0,V419=""),"Financial year missing; ","")&amp;IF(AND(AR419=0,V419&lt;&gt;""),"Financial year given but no service is Yes; ","")&amp;IF(AND(W419="Yes",AN419=""),"GST needs a GSTIN; ","")&amp;IF(AND(W419="Yes",X419=""),"GST return frequency missing; ","")&amp;IF(AND(Y419="Yes",TRIM(H419)=""),"TDS needs a TAN; ","")&amp;IF(AND(AA419="Yes",AQ419&lt;&gt;"",AQ419&lt;&gt;"company",AQ419&lt;&gt;"llp"),"ROC is only for a company / LLP; ","")&amp;IF(AND(AA419="Yes",OR(AQ419="company",AQ419="llp"),TRIM(I419)=""),"ROC needs the CIN / LLPIN; ","")</f>
        <v/>
      </c>
    </row>
    <row r="420">
      <c r="A420" s="30" t="n"/>
      <c r="B420" s="31" t="n"/>
      <c r="C420" s="31" t="n"/>
      <c r="D420" s="31" t="n"/>
      <c r="E420" s="30" t="n"/>
      <c r="F420" s="30" t="n"/>
      <c r="G420" s="30" t="n"/>
      <c r="H420" s="30" t="n"/>
      <c r="I420" s="30" t="n"/>
      <c r="J420" s="32" t="n"/>
      <c r="K420" s="31" t="n"/>
      <c r="L420" s="30" t="n"/>
      <c r="M420" s="31" t="n"/>
      <c r="N420" s="31" t="n"/>
      <c r="O420" s="31" t="n"/>
      <c r="P420" s="30" t="n"/>
      <c r="Q420" s="31" t="n"/>
      <c r="R420" s="31" t="n"/>
      <c r="S420" s="31" t="n"/>
      <c r="T420" s="31" t="n"/>
      <c r="U420" s="30" t="n"/>
      <c r="V420" s="31" t="n"/>
      <c r="W420" s="31" t="n"/>
      <c r="X420" s="31" t="n"/>
      <c r="Y420" s="31" t="n"/>
      <c r="Z420" s="31" t="n"/>
      <c r="AA420" s="31" t="n"/>
      <c r="AB420" s="31" t="n"/>
      <c r="AC420" s="31" t="n"/>
      <c r="AD420" s="31" t="n"/>
      <c r="AE420" s="31" t="n"/>
      <c r="AF420" s="27">
        <f>IF(NOT(COUNTA(A420:AE420)&gt;0),"",IF(A420="","New client","Update"))</f>
        <v/>
      </c>
      <c r="AG420" s="27">
        <f>IF(AO420&lt;&gt;"",AO420,IF(LEN(AN420)=15,MID(AN420,3,10),""))</f>
        <v/>
      </c>
      <c r="AH420" s="27">
        <f>IF(AP420="","",AP420&amp;IF(D420="","  (guessed from PAN)",""))</f>
        <v/>
      </c>
      <c r="AI420" s="27">
        <f>IF(AN420="","",IFERROR(INDEX(Lists!$L$2:$L$38,MATCH(LEFT(AN420,2),Lists!$K$2:$K$38,0)),"Unknown code"))</f>
        <v/>
      </c>
      <c r="AJ420" s="27">
        <f>IF(AN420="","",IFERROR(IF(NOT(AND(LEN(AN420)=15,ISNUMBER(MATCH(LEFT(AN420,2),Lists!$K$2:$K$38,0)),SUMPRODUCT(--ISERROR(FIND(MID(MID(AN420,3,10),{1,2,3,4,5,10},1),"ABCDEFGHIJKLMNOPQRSTUVWXYZ")))=0,SUMPRODUCT(--ISERROR(FIND(MID(MID(AN420,3,10),{6,7,8,9},1),"0123456789")))=0,ISNUMBER(FIND(MID(AN420,13,1),"123456789ABCDEFGHIJKLMNOPQRSTUVWXYZ")),MID(AN420,14,1)="Z")),"Wrong format",IF(MID("0123456789ABCDEFGHIJKLMNOPQRSTUVWXYZ",MOD(36-MOD(SUMPRODUCT(INT((FIND(MID(AN420,{1,2,3,4,5,6,7,8,9,10,11,12,13,14},1),"0123456789ABCDEFGHIJKLMNOPQRSTUVWXYZ")-1)*{1,2,1,2,1,2,1,2,1,2,1,2,1,2}/36)+MOD((FIND(MID(AN420,{1,2,3,4,5,6,7,8,9,10,11,12,13,14},1),"0123456789ABCDEFGHIJKLMNOPQRSTUVWXYZ")-1)*{1,2,1,2,1,2,1,2,1,2,1,2,1,2},36)),36),36)+1,1)=MID(AN420,15,1),"OK","Typo? check digit wrong")),"Wrong format"))</f>
        <v/>
      </c>
      <c r="AK420" s="27">
        <f>IF(AO420="","",IF(AND(LEN(AO420)=10,SUMPRODUCT(--ISERROR(FIND(MID(AO420,{1,2,3,4,5,10},1),"ABCDEFGHIJKLMNOPQRSTUVWXYZ")))=0,SUMPRODUCT(--ISERROR(FIND(MID(AO420,{6,7,8,9},1),"0123456789")))=0),"OK","Wrong format"))</f>
        <v/>
      </c>
      <c r="AL420" s="27">
        <f>IF(TRIM(H420)="","",IF(AND(LEN(UPPER(TRIM(H420)))=10,SUMPRODUCT(--ISERROR(FIND(MID(UPPER(TRIM(H420)),{1,2,3,4,10},1),"ABCDEFGHIJKLMNOPQRSTUVWXYZ")))=0,SUMPRODUCT(--ISERROR(FIND(MID(UPPER(TRIM(H420)),{5,6,7,8,9},1),"0123456789")))=0),"OK","Wrong format"))</f>
        <v/>
      </c>
      <c r="AM420" s="28">
        <f>IF(NOT(COUNTA(A420:AE420)&gt;0),"",IF(AS420&lt;&gt;"","✖ "&amp;LEFT(AS420,LEN(AS420)-2),IF(AR420&gt;0,"✔ Ready — client + "&amp;AR420&amp;" service(s)","✔ Ready — client only")))</f>
        <v/>
      </c>
      <c r="AN420" s="29">
        <f>UPPER(SUBSTITUTE(TRIM(F420)," ",""))</f>
        <v/>
      </c>
      <c r="AO420" s="29">
        <f>UPPER(SUBSTITUTE(TRIM(E420)," ",""))</f>
        <v/>
      </c>
      <c r="AP420" s="29">
        <f>IF(D420&lt;&gt;"",D420,IFERROR(VLOOKUP(MID(AG420,4,1),Lists!$E$2:$F$8,2,FALSE),""))</f>
        <v/>
      </c>
      <c r="AQ420" s="29">
        <f>IFERROR(VLOOKUP(AP420,Lists!$A$2:$C$12,3,FALSE),"")</f>
        <v/>
      </c>
      <c r="AR420" s="29">
        <f>COUNTIF(W420:AC420,"Yes")</f>
        <v/>
      </c>
      <c r="AS420" s="29">
        <f>IF(TRIM(B420)="","Legal name missing; ","")&amp;IF(AND(AJ420&lt;&gt;"",AJ420&lt;&gt;"OK"),"GSTIN: "&amp;AJ420&amp;"; ","")&amp;IF(AND(AK420&lt;&gt;"",AK420&lt;&gt;"OK"),"PAN wrong format; ","")&amp;IF(AND(AO420&lt;&gt;"",LEN(AN420)=15,MID(AN420,3,10)&lt;&gt;AO420),"PAN does not match GSTIN; ","")&amp;IF(AND(AL420&lt;&gt;"",AL420&lt;&gt;"OK"),"TAN wrong format; ","")&amp;IF(AG420="","PAN missing; ","")&amp;IF(AP420="","Entity type missing; ","")&amp;IF(AND(AN420&lt;&gt;"",COUNTIF($AN$6:$AN$1005,AN420)&gt;1),"GSTIN repeated in this sheet; ","")&amp;IF(AND(AG420&lt;&gt;"",COUNTIF($AG$6:$AG$1005,AG420)&gt;1),"PAN repeated in this sheet (same client? put extra GSTINs in Other GSTINs); ","")&amp;IF(AND(AR420&gt;0,V420=""),"Financial year missing; ","")&amp;IF(AND(AR420=0,V420&lt;&gt;""),"Financial year given but no service is Yes; ","")&amp;IF(AND(W420="Yes",AN420=""),"GST needs a GSTIN; ","")&amp;IF(AND(W420="Yes",X420=""),"GST return frequency missing; ","")&amp;IF(AND(Y420="Yes",TRIM(H420)=""),"TDS needs a TAN; ","")&amp;IF(AND(AA420="Yes",AQ420&lt;&gt;"",AQ420&lt;&gt;"company",AQ420&lt;&gt;"llp"),"ROC is only for a company / LLP; ","")&amp;IF(AND(AA420="Yes",OR(AQ420="company",AQ420="llp"),TRIM(I420)=""),"ROC needs the CIN / LLPIN; ","")</f>
        <v/>
      </c>
    </row>
    <row r="421">
      <c r="A421" s="30" t="n"/>
      <c r="B421" s="31" t="n"/>
      <c r="C421" s="31" t="n"/>
      <c r="D421" s="31" t="n"/>
      <c r="E421" s="30" t="n"/>
      <c r="F421" s="30" t="n"/>
      <c r="G421" s="30" t="n"/>
      <c r="H421" s="30" t="n"/>
      <c r="I421" s="30" t="n"/>
      <c r="J421" s="32" t="n"/>
      <c r="K421" s="31" t="n"/>
      <c r="L421" s="30" t="n"/>
      <c r="M421" s="31" t="n"/>
      <c r="N421" s="31" t="n"/>
      <c r="O421" s="31" t="n"/>
      <c r="P421" s="30" t="n"/>
      <c r="Q421" s="31" t="n"/>
      <c r="R421" s="31" t="n"/>
      <c r="S421" s="31" t="n"/>
      <c r="T421" s="31" t="n"/>
      <c r="U421" s="30" t="n"/>
      <c r="V421" s="31" t="n"/>
      <c r="W421" s="31" t="n"/>
      <c r="X421" s="31" t="n"/>
      <c r="Y421" s="31" t="n"/>
      <c r="Z421" s="31" t="n"/>
      <c r="AA421" s="31" t="n"/>
      <c r="AB421" s="31" t="n"/>
      <c r="AC421" s="31" t="n"/>
      <c r="AD421" s="31" t="n"/>
      <c r="AE421" s="31" t="n"/>
      <c r="AF421" s="27">
        <f>IF(NOT(COUNTA(A421:AE421)&gt;0),"",IF(A421="","New client","Update"))</f>
        <v/>
      </c>
      <c r="AG421" s="27">
        <f>IF(AO421&lt;&gt;"",AO421,IF(LEN(AN421)=15,MID(AN421,3,10),""))</f>
        <v/>
      </c>
      <c r="AH421" s="27">
        <f>IF(AP421="","",AP421&amp;IF(D421="","  (guessed from PAN)",""))</f>
        <v/>
      </c>
      <c r="AI421" s="27">
        <f>IF(AN421="","",IFERROR(INDEX(Lists!$L$2:$L$38,MATCH(LEFT(AN421,2),Lists!$K$2:$K$38,0)),"Unknown code"))</f>
        <v/>
      </c>
      <c r="AJ421" s="27">
        <f>IF(AN421="","",IFERROR(IF(NOT(AND(LEN(AN421)=15,ISNUMBER(MATCH(LEFT(AN421,2),Lists!$K$2:$K$38,0)),SUMPRODUCT(--ISERROR(FIND(MID(MID(AN421,3,10),{1,2,3,4,5,10},1),"ABCDEFGHIJKLMNOPQRSTUVWXYZ")))=0,SUMPRODUCT(--ISERROR(FIND(MID(MID(AN421,3,10),{6,7,8,9},1),"0123456789")))=0,ISNUMBER(FIND(MID(AN421,13,1),"123456789ABCDEFGHIJKLMNOPQRSTUVWXYZ")),MID(AN421,14,1)="Z")),"Wrong format",IF(MID("0123456789ABCDEFGHIJKLMNOPQRSTUVWXYZ",MOD(36-MOD(SUMPRODUCT(INT((FIND(MID(AN421,{1,2,3,4,5,6,7,8,9,10,11,12,13,14},1),"0123456789ABCDEFGHIJKLMNOPQRSTUVWXYZ")-1)*{1,2,1,2,1,2,1,2,1,2,1,2,1,2}/36)+MOD((FIND(MID(AN421,{1,2,3,4,5,6,7,8,9,10,11,12,13,14},1),"0123456789ABCDEFGHIJKLMNOPQRSTUVWXYZ")-1)*{1,2,1,2,1,2,1,2,1,2,1,2,1,2},36)),36),36)+1,1)=MID(AN421,15,1),"OK","Typo? check digit wrong")),"Wrong format"))</f>
        <v/>
      </c>
      <c r="AK421" s="27">
        <f>IF(AO421="","",IF(AND(LEN(AO421)=10,SUMPRODUCT(--ISERROR(FIND(MID(AO421,{1,2,3,4,5,10},1),"ABCDEFGHIJKLMNOPQRSTUVWXYZ")))=0,SUMPRODUCT(--ISERROR(FIND(MID(AO421,{6,7,8,9},1),"0123456789")))=0),"OK","Wrong format"))</f>
        <v/>
      </c>
      <c r="AL421" s="27">
        <f>IF(TRIM(H421)="","",IF(AND(LEN(UPPER(TRIM(H421)))=10,SUMPRODUCT(--ISERROR(FIND(MID(UPPER(TRIM(H421)),{1,2,3,4,10},1),"ABCDEFGHIJKLMNOPQRSTUVWXYZ")))=0,SUMPRODUCT(--ISERROR(FIND(MID(UPPER(TRIM(H421)),{5,6,7,8,9},1),"0123456789")))=0),"OK","Wrong format"))</f>
        <v/>
      </c>
      <c r="AM421" s="28">
        <f>IF(NOT(COUNTA(A421:AE421)&gt;0),"",IF(AS421&lt;&gt;"","✖ "&amp;LEFT(AS421,LEN(AS421)-2),IF(AR421&gt;0,"✔ Ready — client + "&amp;AR421&amp;" service(s)","✔ Ready — client only")))</f>
        <v/>
      </c>
      <c r="AN421" s="29">
        <f>UPPER(SUBSTITUTE(TRIM(F421)," ",""))</f>
        <v/>
      </c>
      <c r="AO421" s="29">
        <f>UPPER(SUBSTITUTE(TRIM(E421)," ",""))</f>
        <v/>
      </c>
      <c r="AP421" s="29">
        <f>IF(D421&lt;&gt;"",D421,IFERROR(VLOOKUP(MID(AG421,4,1),Lists!$E$2:$F$8,2,FALSE),""))</f>
        <v/>
      </c>
      <c r="AQ421" s="29">
        <f>IFERROR(VLOOKUP(AP421,Lists!$A$2:$C$12,3,FALSE),"")</f>
        <v/>
      </c>
      <c r="AR421" s="29">
        <f>COUNTIF(W421:AC421,"Yes")</f>
        <v/>
      </c>
      <c r="AS421" s="29">
        <f>IF(TRIM(B421)="","Legal name missing; ","")&amp;IF(AND(AJ421&lt;&gt;"",AJ421&lt;&gt;"OK"),"GSTIN: "&amp;AJ421&amp;"; ","")&amp;IF(AND(AK421&lt;&gt;"",AK421&lt;&gt;"OK"),"PAN wrong format; ","")&amp;IF(AND(AO421&lt;&gt;"",LEN(AN421)=15,MID(AN421,3,10)&lt;&gt;AO421),"PAN does not match GSTIN; ","")&amp;IF(AND(AL421&lt;&gt;"",AL421&lt;&gt;"OK"),"TAN wrong format; ","")&amp;IF(AG421="","PAN missing; ","")&amp;IF(AP421="","Entity type missing; ","")&amp;IF(AND(AN421&lt;&gt;"",COUNTIF($AN$6:$AN$1005,AN421)&gt;1),"GSTIN repeated in this sheet; ","")&amp;IF(AND(AG421&lt;&gt;"",COUNTIF($AG$6:$AG$1005,AG421)&gt;1),"PAN repeated in this sheet (same client? put extra GSTINs in Other GSTINs); ","")&amp;IF(AND(AR421&gt;0,V421=""),"Financial year missing; ","")&amp;IF(AND(AR421=0,V421&lt;&gt;""),"Financial year given but no service is Yes; ","")&amp;IF(AND(W421="Yes",AN421=""),"GST needs a GSTIN; ","")&amp;IF(AND(W421="Yes",X421=""),"GST return frequency missing; ","")&amp;IF(AND(Y421="Yes",TRIM(H421)=""),"TDS needs a TAN; ","")&amp;IF(AND(AA421="Yes",AQ421&lt;&gt;"",AQ421&lt;&gt;"company",AQ421&lt;&gt;"llp"),"ROC is only for a company / LLP; ","")&amp;IF(AND(AA421="Yes",OR(AQ421="company",AQ421="llp"),TRIM(I421)=""),"ROC needs the CIN / LLPIN; ","")</f>
        <v/>
      </c>
    </row>
    <row r="422">
      <c r="A422" s="30" t="n"/>
      <c r="B422" s="31" t="n"/>
      <c r="C422" s="31" t="n"/>
      <c r="D422" s="31" t="n"/>
      <c r="E422" s="30" t="n"/>
      <c r="F422" s="30" t="n"/>
      <c r="G422" s="30" t="n"/>
      <c r="H422" s="30" t="n"/>
      <c r="I422" s="30" t="n"/>
      <c r="J422" s="32" t="n"/>
      <c r="K422" s="31" t="n"/>
      <c r="L422" s="30" t="n"/>
      <c r="M422" s="31" t="n"/>
      <c r="N422" s="31" t="n"/>
      <c r="O422" s="31" t="n"/>
      <c r="P422" s="30" t="n"/>
      <c r="Q422" s="31" t="n"/>
      <c r="R422" s="31" t="n"/>
      <c r="S422" s="31" t="n"/>
      <c r="T422" s="31" t="n"/>
      <c r="U422" s="30" t="n"/>
      <c r="V422" s="31" t="n"/>
      <c r="W422" s="31" t="n"/>
      <c r="X422" s="31" t="n"/>
      <c r="Y422" s="31" t="n"/>
      <c r="Z422" s="31" t="n"/>
      <c r="AA422" s="31" t="n"/>
      <c r="AB422" s="31" t="n"/>
      <c r="AC422" s="31" t="n"/>
      <c r="AD422" s="31" t="n"/>
      <c r="AE422" s="31" t="n"/>
      <c r="AF422" s="27">
        <f>IF(NOT(COUNTA(A422:AE422)&gt;0),"",IF(A422="","New client","Update"))</f>
        <v/>
      </c>
      <c r="AG422" s="27">
        <f>IF(AO422&lt;&gt;"",AO422,IF(LEN(AN422)=15,MID(AN422,3,10),""))</f>
        <v/>
      </c>
      <c r="AH422" s="27">
        <f>IF(AP422="","",AP422&amp;IF(D422="","  (guessed from PAN)",""))</f>
        <v/>
      </c>
      <c r="AI422" s="27">
        <f>IF(AN422="","",IFERROR(INDEX(Lists!$L$2:$L$38,MATCH(LEFT(AN422,2),Lists!$K$2:$K$38,0)),"Unknown code"))</f>
        <v/>
      </c>
      <c r="AJ422" s="27">
        <f>IF(AN422="","",IFERROR(IF(NOT(AND(LEN(AN422)=15,ISNUMBER(MATCH(LEFT(AN422,2),Lists!$K$2:$K$38,0)),SUMPRODUCT(--ISERROR(FIND(MID(MID(AN422,3,10),{1,2,3,4,5,10},1),"ABCDEFGHIJKLMNOPQRSTUVWXYZ")))=0,SUMPRODUCT(--ISERROR(FIND(MID(MID(AN422,3,10),{6,7,8,9},1),"0123456789")))=0,ISNUMBER(FIND(MID(AN422,13,1),"123456789ABCDEFGHIJKLMNOPQRSTUVWXYZ")),MID(AN422,14,1)="Z")),"Wrong format",IF(MID("0123456789ABCDEFGHIJKLMNOPQRSTUVWXYZ",MOD(36-MOD(SUMPRODUCT(INT((FIND(MID(AN422,{1,2,3,4,5,6,7,8,9,10,11,12,13,14},1),"0123456789ABCDEFGHIJKLMNOPQRSTUVWXYZ")-1)*{1,2,1,2,1,2,1,2,1,2,1,2,1,2}/36)+MOD((FIND(MID(AN422,{1,2,3,4,5,6,7,8,9,10,11,12,13,14},1),"0123456789ABCDEFGHIJKLMNOPQRSTUVWXYZ")-1)*{1,2,1,2,1,2,1,2,1,2,1,2,1,2},36)),36),36)+1,1)=MID(AN422,15,1),"OK","Typo? check digit wrong")),"Wrong format"))</f>
        <v/>
      </c>
      <c r="AK422" s="27">
        <f>IF(AO422="","",IF(AND(LEN(AO422)=10,SUMPRODUCT(--ISERROR(FIND(MID(AO422,{1,2,3,4,5,10},1),"ABCDEFGHIJKLMNOPQRSTUVWXYZ")))=0,SUMPRODUCT(--ISERROR(FIND(MID(AO422,{6,7,8,9},1),"0123456789")))=0),"OK","Wrong format"))</f>
        <v/>
      </c>
      <c r="AL422" s="27">
        <f>IF(TRIM(H422)="","",IF(AND(LEN(UPPER(TRIM(H422)))=10,SUMPRODUCT(--ISERROR(FIND(MID(UPPER(TRIM(H422)),{1,2,3,4,10},1),"ABCDEFGHIJKLMNOPQRSTUVWXYZ")))=0,SUMPRODUCT(--ISERROR(FIND(MID(UPPER(TRIM(H422)),{5,6,7,8,9},1),"0123456789")))=0),"OK","Wrong format"))</f>
        <v/>
      </c>
      <c r="AM422" s="28">
        <f>IF(NOT(COUNTA(A422:AE422)&gt;0),"",IF(AS422&lt;&gt;"","✖ "&amp;LEFT(AS422,LEN(AS422)-2),IF(AR422&gt;0,"✔ Ready — client + "&amp;AR422&amp;" service(s)","✔ Ready — client only")))</f>
        <v/>
      </c>
      <c r="AN422" s="29">
        <f>UPPER(SUBSTITUTE(TRIM(F422)," ",""))</f>
        <v/>
      </c>
      <c r="AO422" s="29">
        <f>UPPER(SUBSTITUTE(TRIM(E422)," ",""))</f>
        <v/>
      </c>
      <c r="AP422" s="29">
        <f>IF(D422&lt;&gt;"",D422,IFERROR(VLOOKUP(MID(AG422,4,1),Lists!$E$2:$F$8,2,FALSE),""))</f>
        <v/>
      </c>
      <c r="AQ422" s="29">
        <f>IFERROR(VLOOKUP(AP422,Lists!$A$2:$C$12,3,FALSE),"")</f>
        <v/>
      </c>
      <c r="AR422" s="29">
        <f>COUNTIF(W422:AC422,"Yes")</f>
        <v/>
      </c>
      <c r="AS422" s="29">
        <f>IF(TRIM(B422)="","Legal name missing; ","")&amp;IF(AND(AJ422&lt;&gt;"",AJ422&lt;&gt;"OK"),"GSTIN: "&amp;AJ422&amp;"; ","")&amp;IF(AND(AK422&lt;&gt;"",AK422&lt;&gt;"OK"),"PAN wrong format; ","")&amp;IF(AND(AO422&lt;&gt;"",LEN(AN422)=15,MID(AN422,3,10)&lt;&gt;AO422),"PAN does not match GSTIN; ","")&amp;IF(AND(AL422&lt;&gt;"",AL422&lt;&gt;"OK"),"TAN wrong format; ","")&amp;IF(AG422="","PAN missing; ","")&amp;IF(AP422="","Entity type missing; ","")&amp;IF(AND(AN422&lt;&gt;"",COUNTIF($AN$6:$AN$1005,AN422)&gt;1),"GSTIN repeated in this sheet; ","")&amp;IF(AND(AG422&lt;&gt;"",COUNTIF($AG$6:$AG$1005,AG422)&gt;1),"PAN repeated in this sheet (same client? put extra GSTINs in Other GSTINs); ","")&amp;IF(AND(AR422&gt;0,V422=""),"Financial year missing; ","")&amp;IF(AND(AR422=0,V422&lt;&gt;""),"Financial year given but no service is Yes; ","")&amp;IF(AND(W422="Yes",AN422=""),"GST needs a GSTIN; ","")&amp;IF(AND(W422="Yes",X422=""),"GST return frequency missing; ","")&amp;IF(AND(Y422="Yes",TRIM(H422)=""),"TDS needs a TAN; ","")&amp;IF(AND(AA422="Yes",AQ422&lt;&gt;"",AQ422&lt;&gt;"company",AQ422&lt;&gt;"llp"),"ROC is only for a company / LLP; ","")&amp;IF(AND(AA422="Yes",OR(AQ422="company",AQ422="llp"),TRIM(I422)=""),"ROC needs the CIN / LLPIN; ","")</f>
        <v/>
      </c>
    </row>
    <row r="423">
      <c r="A423" s="30" t="n"/>
      <c r="B423" s="31" t="n"/>
      <c r="C423" s="31" t="n"/>
      <c r="D423" s="31" t="n"/>
      <c r="E423" s="30" t="n"/>
      <c r="F423" s="30" t="n"/>
      <c r="G423" s="30" t="n"/>
      <c r="H423" s="30" t="n"/>
      <c r="I423" s="30" t="n"/>
      <c r="J423" s="32" t="n"/>
      <c r="K423" s="31" t="n"/>
      <c r="L423" s="30" t="n"/>
      <c r="M423" s="31" t="n"/>
      <c r="N423" s="31" t="n"/>
      <c r="O423" s="31" t="n"/>
      <c r="P423" s="30" t="n"/>
      <c r="Q423" s="31" t="n"/>
      <c r="R423" s="31" t="n"/>
      <c r="S423" s="31" t="n"/>
      <c r="T423" s="31" t="n"/>
      <c r="U423" s="30" t="n"/>
      <c r="V423" s="31" t="n"/>
      <c r="W423" s="31" t="n"/>
      <c r="X423" s="31" t="n"/>
      <c r="Y423" s="31" t="n"/>
      <c r="Z423" s="31" t="n"/>
      <c r="AA423" s="31" t="n"/>
      <c r="AB423" s="31" t="n"/>
      <c r="AC423" s="31" t="n"/>
      <c r="AD423" s="31" t="n"/>
      <c r="AE423" s="31" t="n"/>
      <c r="AF423" s="27">
        <f>IF(NOT(COUNTA(A423:AE423)&gt;0),"",IF(A423="","New client","Update"))</f>
        <v/>
      </c>
      <c r="AG423" s="27">
        <f>IF(AO423&lt;&gt;"",AO423,IF(LEN(AN423)=15,MID(AN423,3,10),""))</f>
        <v/>
      </c>
      <c r="AH423" s="27">
        <f>IF(AP423="","",AP423&amp;IF(D423="","  (guessed from PAN)",""))</f>
        <v/>
      </c>
      <c r="AI423" s="27">
        <f>IF(AN423="","",IFERROR(INDEX(Lists!$L$2:$L$38,MATCH(LEFT(AN423,2),Lists!$K$2:$K$38,0)),"Unknown code"))</f>
        <v/>
      </c>
      <c r="AJ423" s="27">
        <f>IF(AN423="","",IFERROR(IF(NOT(AND(LEN(AN423)=15,ISNUMBER(MATCH(LEFT(AN423,2),Lists!$K$2:$K$38,0)),SUMPRODUCT(--ISERROR(FIND(MID(MID(AN423,3,10),{1,2,3,4,5,10},1),"ABCDEFGHIJKLMNOPQRSTUVWXYZ")))=0,SUMPRODUCT(--ISERROR(FIND(MID(MID(AN423,3,10),{6,7,8,9},1),"0123456789")))=0,ISNUMBER(FIND(MID(AN423,13,1),"123456789ABCDEFGHIJKLMNOPQRSTUVWXYZ")),MID(AN423,14,1)="Z")),"Wrong format",IF(MID("0123456789ABCDEFGHIJKLMNOPQRSTUVWXYZ",MOD(36-MOD(SUMPRODUCT(INT((FIND(MID(AN423,{1,2,3,4,5,6,7,8,9,10,11,12,13,14},1),"0123456789ABCDEFGHIJKLMNOPQRSTUVWXYZ")-1)*{1,2,1,2,1,2,1,2,1,2,1,2,1,2}/36)+MOD((FIND(MID(AN423,{1,2,3,4,5,6,7,8,9,10,11,12,13,14},1),"0123456789ABCDEFGHIJKLMNOPQRSTUVWXYZ")-1)*{1,2,1,2,1,2,1,2,1,2,1,2,1,2},36)),36),36)+1,1)=MID(AN423,15,1),"OK","Typo? check digit wrong")),"Wrong format"))</f>
        <v/>
      </c>
      <c r="AK423" s="27">
        <f>IF(AO423="","",IF(AND(LEN(AO423)=10,SUMPRODUCT(--ISERROR(FIND(MID(AO423,{1,2,3,4,5,10},1),"ABCDEFGHIJKLMNOPQRSTUVWXYZ")))=0,SUMPRODUCT(--ISERROR(FIND(MID(AO423,{6,7,8,9},1),"0123456789")))=0),"OK","Wrong format"))</f>
        <v/>
      </c>
      <c r="AL423" s="27">
        <f>IF(TRIM(H423)="","",IF(AND(LEN(UPPER(TRIM(H423)))=10,SUMPRODUCT(--ISERROR(FIND(MID(UPPER(TRIM(H423)),{1,2,3,4,10},1),"ABCDEFGHIJKLMNOPQRSTUVWXYZ")))=0,SUMPRODUCT(--ISERROR(FIND(MID(UPPER(TRIM(H423)),{5,6,7,8,9},1),"0123456789")))=0),"OK","Wrong format"))</f>
        <v/>
      </c>
      <c r="AM423" s="28">
        <f>IF(NOT(COUNTA(A423:AE423)&gt;0),"",IF(AS423&lt;&gt;"","✖ "&amp;LEFT(AS423,LEN(AS423)-2),IF(AR423&gt;0,"✔ Ready — client + "&amp;AR423&amp;" service(s)","✔ Ready — client only")))</f>
        <v/>
      </c>
      <c r="AN423" s="29">
        <f>UPPER(SUBSTITUTE(TRIM(F423)," ",""))</f>
        <v/>
      </c>
      <c r="AO423" s="29">
        <f>UPPER(SUBSTITUTE(TRIM(E423)," ",""))</f>
        <v/>
      </c>
      <c r="AP423" s="29">
        <f>IF(D423&lt;&gt;"",D423,IFERROR(VLOOKUP(MID(AG423,4,1),Lists!$E$2:$F$8,2,FALSE),""))</f>
        <v/>
      </c>
      <c r="AQ423" s="29">
        <f>IFERROR(VLOOKUP(AP423,Lists!$A$2:$C$12,3,FALSE),"")</f>
        <v/>
      </c>
      <c r="AR423" s="29">
        <f>COUNTIF(W423:AC423,"Yes")</f>
        <v/>
      </c>
      <c r="AS423" s="29">
        <f>IF(TRIM(B423)="","Legal name missing; ","")&amp;IF(AND(AJ423&lt;&gt;"",AJ423&lt;&gt;"OK"),"GSTIN: "&amp;AJ423&amp;"; ","")&amp;IF(AND(AK423&lt;&gt;"",AK423&lt;&gt;"OK"),"PAN wrong format; ","")&amp;IF(AND(AO423&lt;&gt;"",LEN(AN423)=15,MID(AN423,3,10)&lt;&gt;AO423),"PAN does not match GSTIN; ","")&amp;IF(AND(AL423&lt;&gt;"",AL423&lt;&gt;"OK"),"TAN wrong format; ","")&amp;IF(AG423="","PAN missing; ","")&amp;IF(AP423="","Entity type missing; ","")&amp;IF(AND(AN423&lt;&gt;"",COUNTIF($AN$6:$AN$1005,AN423)&gt;1),"GSTIN repeated in this sheet; ","")&amp;IF(AND(AG423&lt;&gt;"",COUNTIF($AG$6:$AG$1005,AG423)&gt;1),"PAN repeated in this sheet (same client? put extra GSTINs in Other GSTINs); ","")&amp;IF(AND(AR423&gt;0,V423=""),"Financial year missing; ","")&amp;IF(AND(AR423=0,V423&lt;&gt;""),"Financial year given but no service is Yes; ","")&amp;IF(AND(W423="Yes",AN423=""),"GST needs a GSTIN; ","")&amp;IF(AND(W423="Yes",X423=""),"GST return frequency missing; ","")&amp;IF(AND(Y423="Yes",TRIM(H423)=""),"TDS needs a TAN; ","")&amp;IF(AND(AA423="Yes",AQ423&lt;&gt;"",AQ423&lt;&gt;"company",AQ423&lt;&gt;"llp"),"ROC is only for a company / LLP; ","")&amp;IF(AND(AA423="Yes",OR(AQ423="company",AQ423="llp"),TRIM(I423)=""),"ROC needs the CIN / LLPIN; ","")</f>
        <v/>
      </c>
    </row>
    <row r="424">
      <c r="A424" s="30" t="n"/>
      <c r="B424" s="31" t="n"/>
      <c r="C424" s="31" t="n"/>
      <c r="D424" s="31" t="n"/>
      <c r="E424" s="30" t="n"/>
      <c r="F424" s="30" t="n"/>
      <c r="G424" s="30" t="n"/>
      <c r="H424" s="30" t="n"/>
      <c r="I424" s="30" t="n"/>
      <c r="J424" s="32" t="n"/>
      <c r="K424" s="31" t="n"/>
      <c r="L424" s="30" t="n"/>
      <c r="M424" s="31" t="n"/>
      <c r="N424" s="31" t="n"/>
      <c r="O424" s="31" t="n"/>
      <c r="P424" s="30" t="n"/>
      <c r="Q424" s="31" t="n"/>
      <c r="R424" s="31" t="n"/>
      <c r="S424" s="31" t="n"/>
      <c r="T424" s="31" t="n"/>
      <c r="U424" s="30" t="n"/>
      <c r="V424" s="31" t="n"/>
      <c r="W424" s="31" t="n"/>
      <c r="X424" s="31" t="n"/>
      <c r="Y424" s="31" t="n"/>
      <c r="Z424" s="31" t="n"/>
      <c r="AA424" s="31" t="n"/>
      <c r="AB424" s="31" t="n"/>
      <c r="AC424" s="31" t="n"/>
      <c r="AD424" s="31" t="n"/>
      <c r="AE424" s="31" t="n"/>
      <c r="AF424" s="27">
        <f>IF(NOT(COUNTA(A424:AE424)&gt;0),"",IF(A424="","New client","Update"))</f>
        <v/>
      </c>
      <c r="AG424" s="27">
        <f>IF(AO424&lt;&gt;"",AO424,IF(LEN(AN424)=15,MID(AN424,3,10),""))</f>
        <v/>
      </c>
      <c r="AH424" s="27">
        <f>IF(AP424="","",AP424&amp;IF(D424="","  (guessed from PAN)",""))</f>
        <v/>
      </c>
      <c r="AI424" s="27">
        <f>IF(AN424="","",IFERROR(INDEX(Lists!$L$2:$L$38,MATCH(LEFT(AN424,2),Lists!$K$2:$K$38,0)),"Unknown code"))</f>
        <v/>
      </c>
      <c r="AJ424" s="27">
        <f>IF(AN424="","",IFERROR(IF(NOT(AND(LEN(AN424)=15,ISNUMBER(MATCH(LEFT(AN424,2),Lists!$K$2:$K$38,0)),SUMPRODUCT(--ISERROR(FIND(MID(MID(AN424,3,10),{1,2,3,4,5,10},1),"ABCDEFGHIJKLMNOPQRSTUVWXYZ")))=0,SUMPRODUCT(--ISERROR(FIND(MID(MID(AN424,3,10),{6,7,8,9},1),"0123456789")))=0,ISNUMBER(FIND(MID(AN424,13,1),"123456789ABCDEFGHIJKLMNOPQRSTUVWXYZ")),MID(AN424,14,1)="Z")),"Wrong format",IF(MID("0123456789ABCDEFGHIJKLMNOPQRSTUVWXYZ",MOD(36-MOD(SUMPRODUCT(INT((FIND(MID(AN424,{1,2,3,4,5,6,7,8,9,10,11,12,13,14},1),"0123456789ABCDEFGHIJKLMNOPQRSTUVWXYZ")-1)*{1,2,1,2,1,2,1,2,1,2,1,2,1,2}/36)+MOD((FIND(MID(AN424,{1,2,3,4,5,6,7,8,9,10,11,12,13,14},1),"0123456789ABCDEFGHIJKLMNOPQRSTUVWXYZ")-1)*{1,2,1,2,1,2,1,2,1,2,1,2,1,2},36)),36),36)+1,1)=MID(AN424,15,1),"OK","Typo? check digit wrong")),"Wrong format"))</f>
        <v/>
      </c>
      <c r="AK424" s="27">
        <f>IF(AO424="","",IF(AND(LEN(AO424)=10,SUMPRODUCT(--ISERROR(FIND(MID(AO424,{1,2,3,4,5,10},1),"ABCDEFGHIJKLMNOPQRSTUVWXYZ")))=0,SUMPRODUCT(--ISERROR(FIND(MID(AO424,{6,7,8,9},1),"0123456789")))=0),"OK","Wrong format"))</f>
        <v/>
      </c>
      <c r="AL424" s="27">
        <f>IF(TRIM(H424)="","",IF(AND(LEN(UPPER(TRIM(H424)))=10,SUMPRODUCT(--ISERROR(FIND(MID(UPPER(TRIM(H424)),{1,2,3,4,10},1),"ABCDEFGHIJKLMNOPQRSTUVWXYZ")))=0,SUMPRODUCT(--ISERROR(FIND(MID(UPPER(TRIM(H424)),{5,6,7,8,9},1),"0123456789")))=0),"OK","Wrong format"))</f>
        <v/>
      </c>
      <c r="AM424" s="28">
        <f>IF(NOT(COUNTA(A424:AE424)&gt;0),"",IF(AS424&lt;&gt;"","✖ "&amp;LEFT(AS424,LEN(AS424)-2),IF(AR424&gt;0,"✔ Ready — client + "&amp;AR424&amp;" service(s)","✔ Ready — client only")))</f>
        <v/>
      </c>
      <c r="AN424" s="29">
        <f>UPPER(SUBSTITUTE(TRIM(F424)," ",""))</f>
        <v/>
      </c>
      <c r="AO424" s="29">
        <f>UPPER(SUBSTITUTE(TRIM(E424)," ",""))</f>
        <v/>
      </c>
      <c r="AP424" s="29">
        <f>IF(D424&lt;&gt;"",D424,IFERROR(VLOOKUP(MID(AG424,4,1),Lists!$E$2:$F$8,2,FALSE),""))</f>
        <v/>
      </c>
      <c r="AQ424" s="29">
        <f>IFERROR(VLOOKUP(AP424,Lists!$A$2:$C$12,3,FALSE),"")</f>
        <v/>
      </c>
      <c r="AR424" s="29">
        <f>COUNTIF(W424:AC424,"Yes")</f>
        <v/>
      </c>
      <c r="AS424" s="29">
        <f>IF(TRIM(B424)="","Legal name missing; ","")&amp;IF(AND(AJ424&lt;&gt;"",AJ424&lt;&gt;"OK"),"GSTIN: "&amp;AJ424&amp;"; ","")&amp;IF(AND(AK424&lt;&gt;"",AK424&lt;&gt;"OK"),"PAN wrong format; ","")&amp;IF(AND(AO424&lt;&gt;"",LEN(AN424)=15,MID(AN424,3,10)&lt;&gt;AO424),"PAN does not match GSTIN; ","")&amp;IF(AND(AL424&lt;&gt;"",AL424&lt;&gt;"OK"),"TAN wrong format; ","")&amp;IF(AG424="","PAN missing; ","")&amp;IF(AP424="","Entity type missing; ","")&amp;IF(AND(AN424&lt;&gt;"",COUNTIF($AN$6:$AN$1005,AN424)&gt;1),"GSTIN repeated in this sheet; ","")&amp;IF(AND(AG424&lt;&gt;"",COUNTIF($AG$6:$AG$1005,AG424)&gt;1),"PAN repeated in this sheet (same client? put extra GSTINs in Other GSTINs); ","")&amp;IF(AND(AR424&gt;0,V424=""),"Financial year missing; ","")&amp;IF(AND(AR424=0,V424&lt;&gt;""),"Financial year given but no service is Yes; ","")&amp;IF(AND(W424="Yes",AN424=""),"GST needs a GSTIN; ","")&amp;IF(AND(W424="Yes",X424=""),"GST return frequency missing; ","")&amp;IF(AND(Y424="Yes",TRIM(H424)=""),"TDS needs a TAN; ","")&amp;IF(AND(AA424="Yes",AQ424&lt;&gt;"",AQ424&lt;&gt;"company",AQ424&lt;&gt;"llp"),"ROC is only for a company / LLP; ","")&amp;IF(AND(AA424="Yes",OR(AQ424="company",AQ424="llp"),TRIM(I424)=""),"ROC needs the CIN / LLPIN; ","")</f>
        <v/>
      </c>
    </row>
    <row r="425">
      <c r="A425" s="30" t="n"/>
      <c r="B425" s="31" t="n"/>
      <c r="C425" s="31" t="n"/>
      <c r="D425" s="31" t="n"/>
      <c r="E425" s="30" t="n"/>
      <c r="F425" s="30" t="n"/>
      <c r="G425" s="30" t="n"/>
      <c r="H425" s="30" t="n"/>
      <c r="I425" s="30" t="n"/>
      <c r="J425" s="32" t="n"/>
      <c r="K425" s="31" t="n"/>
      <c r="L425" s="30" t="n"/>
      <c r="M425" s="31" t="n"/>
      <c r="N425" s="31" t="n"/>
      <c r="O425" s="31" t="n"/>
      <c r="P425" s="30" t="n"/>
      <c r="Q425" s="31" t="n"/>
      <c r="R425" s="31" t="n"/>
      <c r="S425" s="31" t="n"/>
      <c r="T425" s="31" t="n"/>
      <c r="U425" s="30" t="n"/>
      <c r="V425" s="31" t="n"/>
      <c r="W425" s="31" t="n"/>
      <c r="X425" s="31" t="n"/>
      <c r="Y425" s="31" t="n"/>
      <c r="Z425" s="31" t="n"/>
      <c r="AA425" s="31" t="n"/>
      <c r="AB425" s="31" t="n"/>
      <c r="AC425" s="31" t="n"/>
      <c r="AD425" s="31" t="n"/>
      <c r="AE425" s="31" t="n"/>
      <c r="AF425" s="27">
        <f>IF(NOT(COUNTA(A425:AE425)&gt;0),"",IF(A425="","New client","Update"))</f>
        <v/>
      </c>
      <c r="AG425" s="27">
        <f>IF(AO425&lt;&gt;"",AO425,IF(LEN(AN425)=15,MID(AN425,3,10),""))</f>
        <v/>
      </c>
      <c r="AH425" s="27">
        <f>IF(AP425="","",AP425&amp;IF(D425="","  (guessed from PAN)",""))</f>
        <v/>
      </c>
      <c r="AI425" s="27">
        <f>IF(AN425="","",IFERROR(INDEX(Lists!$L$2:$L$38,MATCH(LEFT(AN425,2),Lists!$K$2:$K$38,0)),"Unknown code"))</f>
        <v/>
      </c>
      <c r="AJ425" s="27">
        <f>IF(AN425="","",IFERROR(IF(NOT(AND(LEN(AN425)=15,ISNUMBER(MATCH(LEFT(AN425,2),Lists!$K$2:$K$38,0)),SUMPRODUCT(--ISERROR(FIND(MID(MID(AN425,3,10),{1,2,3,4,5,10},1),"ABCDEFGHIJKLMNOPQRSTUVWXYZ")))=0,SUMPRODUCT(--ISERROR(FIND(MID(MID(AN425,3,10),{6,7,8,9},1),"0123456789")))=0,ISNUMBER(FIND(MID(AN425,13,1),"123456789ABCDEFGHIJKLMNOPQRSTUVWXYZ")),MID(AN425,14,1)="Z")),"Wrong format",IF(MID("0123456789ABCDEFGHIJKLMNOPQRSTUVWXYZ",MOD(36-MOD(SUMPRODUCT(INT((FIND(MID(AN425,{1,2,3,4,5,6,7,8,9,10,11,12,13,14},1),"0123456789ABCDEFGHIJKLMNOPQRSTUVWXYZ")-1)*{1,2,1,2,1,2,1,2,1,2,1,2,1,2}/36)+MOD((FIND(MID(AN425,{1,2,3,4,5,6,7,8,9,10,11,12,13,14},1),"0123456789ABCDEFGHIJKLMNOPQRSTUVWXYZ")-1)*{1,2,1,2,1,2,1,2,1,2,1,2,1,2},36)),36),36)+1,1)=MID(AN425,15,1),"OK","Typo? check digit wrong")),"Wrong format"))</f>
        <v/>
      </c>
      <c r="AK425" s="27">
        <f>IF(AO425="","",IF(AND(LEN(AO425)=10,SUMPRODUCT(--ISERROR(FIND(MID(AO425,{1,2,3,4,5,10},1),"ABCDEFGHIJKLMNOPQRSTUVWXYZ")))=0,SUMPRODUCT(--ISERROR(FIND(MID(AO425,{6,7,8,9},1),"0123456789")))=0),"OK","Wrong format"))</f>
        <v/>
      </c>
      <c r="AL425" s="27">
        <f>IF(TRIM(H425)="","",IF(AND(LEN(UPPER(TRIM(H425)))=10,SUMPRODUCT(--ISERROR(FIND(MID(UPPER(TRIM(H425)),{1,2,3,4,10},1),"ABCDEFGHIJKLMNOPQRSTUVWXYZ")))=0,SUMPRODUCT(--ISERROR(FIND(MID(UPPER(TRIM(H425)),{5,6,7,8,9},1),"0123456789")))=0),"OK","Wrong format"))</f>
        <v/>
      </c>
      <c r="AM425" s="28">
        <f>IF(NOT(COUNTA(A425:AE425)&gt;0),"",IF(AS425&lt;&gt;"","✖ "&amp;LEFT(AS425,LEN(AS425)-2),IF(AR425&gt;0,"✔ Ready — client + "&amp;AR425&amp;" service(s)","✔ Ready — client only")))</f>
        <v/>
      </c>
      <c r="AN425" s="29">
        <f>UPPER(SUBSTITUTE(TRIM(F425)," ",""))</f>
        <v/>
      </c>
      <c r="AO425" s="29">
        <f>UPPER(SUBSTITUTE(TRIM(E425)," ",""))</f>
        <v/>
      </c>
      <c r="AP425" s="29">
        <f>IF(D425&lt;&gt;"",D425,IFERROR(VLOOKUP(MID(AG425,4,1),Lists!$E$2:$F$8,2,FALSE),""))</f>
        <v/>
      </c>
      <c r="AQ425" s="29">
        <f>IFERROR(VLOOKUP(AP425,Lists!$A$2:$C$12,3,FALSE),"")</f>
        <v/>
      </c>
      <c r="AR425" s="29">
        <f>COUNTIF(W425:AC425,"Yes")</f>
        <v/>
      </c>
      <c r="AS425" s="29">
        <f>IF(TRIM(B425)="","Legal name missing; ","")&amp;IF(AND(AJ425&lt;&gt;"",AJ425&lt;&gt;"OK"),"GSTIN: "&amp;AJ425&amp;"; ","")&amp;IF(AND(AK425&lt;&gt;"",AK425&lt;&gt;"OK"),"PAN wrong format; ","")&amp;IF(AND(AO425&lt;&gt;"",LEN(AN425)=15,MID(AN425,3,10)&lt;&gt;AO425),"PAN does not match GSTIN; ","")&amp;IF(AND(AL425&lt;&gt;"",AL425&lt;&gt;"OK"),"TAN wrong format; ","")&amp;IF(AG425="","PAN missing; ","")&amp;IF(AP425="","Entity type missing; ","")&amp;IF(AND(AN425&lt;&gt;"",COUNTIF($AN$6:$AN$1005,AN425)&gt;1),"GSTIN repeated in this sheet; ","")&amp;IF(AND(AG425&lt;&gt;"",COUNTIF($AG$6:$AG$1005,AG425)&gt;1),"PAN repeated in this sheet (same client? put extra GSTINs in Other GSTINs); ","")&amp;IF(AND(AR425&gt;0,V425=""),"Financial year missing; ","")&amp;IF(AND(AR425=0,V425&lt;&gt;""),"Financial year given but no service is Yes; ","")&amp;IF(AND(W425="Yes",AN425=""),"GST needs a GSTIN; ","")&amp;IF(AND(W425="Yes",X425=""),"GST return frequency missing; ","")&amp;IF(AND(Y425="Yes",TRIM(H425)=""),"TDS needs a TAN; ","")&amp;IF(AND(AA425="Yes",AQ425&lt;&gt;"",AQ425&lt;&gt;"company",AQ425&lt;&gt;"llp"),"ROC is only for a company / LLP; ","")&amp;IF(AND(AA425="Yes",OR(AQ425="company",AQ425="llp"),TRIM(I425)=""),"ROC needs the CIN / LLPIN; ","")</f>
        <v/>
      </c>
    </row>
    <row r="426">
      <c r="A426" s="30" t="n"/>
      <c r="B426" s="31" t="n"/>
      <c r="C426" s="31" t="n"/>
      <c r="D426" s="31" t="n"/>
      <c r="E426" s="30" t="n"/>
      <c r="F426" s="30" t="n"/>
      <c r="G426" s="30" t="n"/>
      <c r="H426" s="30" t="n"/>
      <c r="I426" s="30" t="n"/>
      <c r="J426" s="32" t="n"/>
      <c r="K426" s="31" t="n"/>
      <c r="L426" s="30" t="n"/>
      <c r="M426" s="31" t="n"/>
      <c r="N426" s="31" t="n"/>
      <c r="O426" s="31" t="n"/>
      <c r="P426" s="30" t="n"/>
      <c r="Q426" s="31" t="n"/>
      <c r="R426" s="31" t="n"/>
      <c r="S426" s="31" t="n"/>
      <c r="T426" s="31" t="n"/>
      <c r="U426" s="30" t="n"/>
      <c r="V426" s="31" t="n"/>
      <c r="W426" s="31" t="n"/>
      <c r="X426" s="31" t="n"/>
      <c r="Y426" s="31" t="n"/>
      <c r="Z426" s="31" t="n"/>
      <c r="AA426" s="31" t="n"/>
      <c r="AB426" s="31" t="n"/>
      <c r="AC426" s="31" t="n"/>
      <c r="AD426" s="31" t="n"/>
      <c r="AE426" s="31" t="n"/>
      <c r="AF426" s="27">
        <f>IF(NOT(COUNTA(A426:AE426)&gt;0),"",IF(A426="","New client","Update"))</f>
        <v/>
      </c>
      <c r="AG426" s="27">
        <f>IF(AO426&lt;&gt;"",AO426,IF(LEN(AN426)=15,MID(AN426,3,10),""))</f>
        <v/>
      </c>
      <c r="AH426" s="27">
        <f>IF(AP426="","",AP426&amp;IF(D426="","  (guessed from PAN)",""))</f>
        <v/>
      </c>
      <c r="AI426" s="27">
        <f>IF(AN426="","",IFERROR(INDEX(Lists!$L$2:$L$38,MATCH(LEFT(AN426,2),Lists!$K$2:$K$38,0)),"Unknown code"))</f>
        <v/>
      </c>
      <c r="AJ426" s="27">
        <f>IF(AN426="","",IFERROR(IF(NOT(AND(LEN(AN426)=15,ISNUMBER(MATCH(LEFT(AN426,2),Lists!$K$2:$K$38,0)),SUMPRODUCT(--ISERROR(FIND(MID(MID(AN426,3,10),{1,2,3,4,5,10},1),"ABCDEFGHIJKLMNOPQRSTUVWXYZ")))=0,SUMPRODUCT(--ISERROR(FIND(MID(MID(AN426,3,10),{6,7,8,9},1),"0123456789")))=0,ISNUMBER(FIND(MID(AN426,13,1),"123456789ABCDEFGHIJKLMNOPQRSTUVWXYZ")),MID(AN426,14,1)="Z")),"Wrong format",IF(MID("0123456789ABCDEFGHIJKLMNOPQRSTUVWXYZ",MOD(36-MOD(SUMPRODUCT(INT((FIND(MID(AN426,{1,2,3,4,5,6,7,8,9,10,11,12,13,14},1),"0123456789ABCDEFGHIJKLMNOPQRSTUVWXYZ")-1)*{1,2,1,2,1,2,1,2,1,2,1,2,1,2}/36)+MOD((FIND(MID(AN426,{1,2,3,4,5,6,7,8,9,10,11,12,13,14},1),"0123456789ABCDEFGHIJKLMNOPQRSTUVWXYZ")-1)*{1,2,1,2,1,2,1,2,1,2,1,2,1,2},36)),36),36)+1,1)=MID(AN426,15,1),"OK","Typo? check digit wrong")),"Wrong format"))</f>
        <v/>
      </c>
      <c r="AK426" s="27">
        <f>IF(AO426="","",IF(AND(LEN(AO426)=10,SUMPRODUCT(--ISERROR(FIND(MID(AO426,{1,2,3,4,5,10},1),"ABCDEFGHIJKLMNOPQRSTUVWXYZ")))=0,SUMPRODUCT(--ISERROR(FIND(MID(AO426,{6,7,8,9},1),"0123456789")))=0),"OK","Wrong format"))</f>
        <v/>
      </c>
      <c r="AL426" s="27">
        <f>IF(TRIM(H426)="","",IF(AND(LEN(UPPER(TRIM(H426)))=10,SUMPRODUCT(--ISERROR(FIND(MID(UPPER(TRIM(H426)),{1,2,3,4,10},1),"ABCDEFGHIJKLMNOPQRSTUVWXYZ")))=0,SUMPRODUCT(--ISERROR(FIND(MID(UPPER(TRIM(H426)),{5,6,7,8,9},1),"0123456789")))=0),"OK","Wrong format"))</f>
        <v/>
      </c>
      <c r="AM426" s="28">
        <f>IF(NOT(COUNTA(A426:AE426)&gt;0),"",IF(AS426&lt;&gt;"","✖ "&amp;LEFT(AS426,LEN(AS426)-2),IF(AR426&gt;0,"✔ Ready — client + "&amp;AR426&amp;" service(s)","✔ Ready — client only")))</f>
        <v/>
      </c>
      <c r="AN426" s="29">
        <f>UPPER(SUBSTITUTE(TRIM(F426)," ",""))</f>
        <v/>
      </c>
      <c r="AO426" s="29">
        <f>UPPER(SUBSTITUTE(TRIM(E426)," ",""))</f>
        <v/>
      </c>
      <c r="AP426" s="29">
        <f>IF(D426&lt;&gt;"",D426,IFERROR(VLOOKUP(MID(AG426,4,1),Lists!$E$2:$F$8,2,FALSE),""))</f>
        <v/>
      </c>
      <c r="AQ426" s="29">
        <f>IFERROR(VLOOKUP(AP426,Lists!$A$2:$C$12,3,FALSE),"")</f>
        <v/>
      </c>
      <c r="AR426" s="29">
        <f>COUNTIF(W426:AC426,"Yes")</f>
        <v/>
      </c>
      <c r="AS426" s="29">
        <f>IF(TRIM(B426)="","Legal name missing; ","")&amp;IF(AND(AJ426&lt;&gt;"",AJ426&lt;&gt;"OK"),"GSTIN: "&amp;AJ426&amp;"; ","")&amp;IF(AND(AK426&lt;&gt;"",AK426&lt;&gt;"OK"),"PAN wrong format; ","")&amp;IF(AND(AO426&lt;&gt;"",LEN(AN426)=15,MID(AN426,3,10)&lt;&gt;AO426),"PAN does not match GSTIN; ","")&amp;IF(AND(AL426&lt;&gt;"",AL426&lt;&gt;"OK"),"TAN wrong format; ","")&amp;IF(AG426="","PAN missing; ","")&amp;IF(AP426="","Entity type missing; ","")&amp;IF(AND(AN426&lt;&gt;"",COUNTIF($AN$6:$AN$1005,AN426)&gt;1),"GSTIN repeated in this sheet; ","")&amp;IF(AND(AG426&lt;&gt;"",COUNTIF($AG$6:$AG$1005,AG426)&gt;1),"PAN repeated in this sheet (same client? put extra GSTINs in Other GSTINs); ","")&amp;IF(AND(AR426&gt;0,V426=""),"Financial year missing; ","")&amp;IF(AND(AR426=0,V426&lt;&gt;""),"Financial year given but no service is Yes; ","")&amp;IF(AND(W426="Yes",AN426=""),"GST needs a GSTIN; ","")&amp;IF(AND(W426="Yes",X426=""),"GST return frequency missing; ","")&amp;IF(AND(Y426="Yes",TRIM(H426)=""),"TDS needs a TAN; ","")&amp;IF(AND(AA426="Yes",AQ426&lt;&gt;"",AQ426&lt;&gt;"company",AQ426&lt;&gt;"llp"),"ROC is only for a company / LLP; ","")&amp;IF(AND(AA426="Yes",OR(AQ426="company",AQ426="llp"),TRIM(I426)=""),"ROC needs the CIN / LLPIN; ","")</f>
        <v/>
      </c>
    </row>
    <row r="427">
      <c r="A427" s="30" t="n"/>
      <c r="B427" s="31" t="n"/>
      <c r="C427" s="31" t="n"/>
      <c r="D427" s="31" t="n"/>
      <c r="E427" s="30" t="n"/>
      <c r="F427" s="30" t="n"/>
      <c r="G427" s="30" t="n"/>
      <c r="H427" s="30" t="n"/>
      <c r="I427" s="30" t="n"/>
      <c r="J427" s="32" t="n"/>
      <c r="K427" s="31" t="n"/>
      <c r="L427" s="30" t="n"/>
      <c r="M427" s="31" t="n"/>
      <c r="N427" s="31" t="n"/>
      <c r="O427" s="31" t="n"/>
      <c r="P427" s="30" t="n"/>
      <c r="Q427" s="31" t="n"/>
      <c r="R427" s="31" t="n"/>
      <c r="S427" s="31" t="n"/>
      <c r="T427" s="31" t="n"/>
      <c r="U427" s="30" t="n"/>
      <c r="V427" s="31" t="n"/>
      <c r="W427" s="31" t="n"/>
      <c r="X427" s="31" t="n"/>
      <c r="Y427" s="31" t="n"/>
      <c r="Z427" s="31" t="n"/>
      <c r="AA427" s="31" t="n"/>
      <c r="AB427" s="31" t="n"/>
      <c r="AC427" s="31" t="n"/>
      <c r="AD427" s="31" t="n"/>
      <c r="AE427" s="31" t="n"/>
      <c r="AF427" s="27">
        <f>IF(NOT(COUNTA(A427:AE427)&gt;0),"",IF(A427="","New client","Update"))</f>
        <v/>
      </c>
      <c r="AG427" s="27">
        <f>IF(AO427&lt;&gt;"",AO427,IF(LEN(AN427)=15,MID(AN427,3,10),""))</f>
        <v/>
      </c>
      <c r="AH427" s="27">
        <f>IF(AP427="","",AP427&amp;IF(D427="","  (guessed from PAN)",""))</f>
        <v/>
      </c>
      <c r="AI427" s="27">
        <f>IF(AN427="","",IFERROR(INDEX(Lists!$L$2:$L$38,MATCH(LEFT(AN427,2),Lists!$K$2:$K$38,0)),"Unknown code"))</f>
        <v/>
      </c>
      <c r="AJ427" s="27">
        <f>IF(AN427="","",IFERROR(IF(NOT(AND(LEN(AN427)=15,ISNUMBER(MATCH(LEFT(AN427,2),Lists!$K$2:$K$38,0)),SUMPRODUCT(--ISERROR(FIND(MID(MID(AN427,3,10),{1,2,3,4,5,10},1),"ABCDEFGHIJKLMNOPQRSTUVWXYZ")))=0,SUMPRODUCT(--ISERROR(FIND(MID(MID(AN427,3,10),{6,7,8,9},1),"0123456789")))=0,ISNUMBER(FIND(MID(AN427,13,1),"123456789ABCDEFGHIJKLMNOPQRSTUVWXYZ")),MID(AN427,14,1)="Z")),"Wrong format",IF(MID("0123456789ABCDEFGHIJKLMNOPQRSTUVWXYZ",MOD(36-MOD(SUMPRODUCT(INT((FIND(MID(AN427,{1,2,3,4,5,6,7,8,9,10,11,12,13,14},1),"0123456789ABCDEFGHIJKLMNOPQRSTUVWXYZ")-1)*{1,2,1,2,1,2,1,2,1,2,1,2,1,2}/36)+MOD((FIND(MID(AN427,{1,2,3,4,5,6,7,8,9,10,11,12,13,14},1),"0123456789ABCDEFGHIJKLMNOPQRSTUVWXYZ")-1)*{1,2,1,2,1,2,1,2,1,2,1,2,1,2},36)),36),36)+1,1)=MID(AN427,15,1),"OK","Typo? check digit wrong")),"Wrong format"))</f>
        <v/>
      </c>
      <c r="AK427" s="27">
        <f>IF(AO427="","",IF(AND(LEN(AO427)=10,SUMPRODUCT(--ISERROR(FIND(MID(AO427,{1,2,3,4,5,10},1),"ABCDEFGHIJKLMNOPQRSTUVWXYZ")))=0,SUMPRODUCT(--ISERROR(FIND(MID(AO427,{6,7,8,9},1),"0123456789")))=0),"OK","Wrong format"))</f>
        <v/>
      </c>
      <c r="AL427" s="27">
        <f>IF(TRIM(H427)="","",IF(AND(LEN(UPPER(TRIM(H427)))=10,SUMPRODUCT(--ISERROR(FIND(MID(UPPER(TRIM(H427)),{1,2,3,4,10},1),"ABCDEFGHIJKLMNOPQRSTUVWXYZ")))=0,SUMPRODUCT(--ISERROR(FIND(MID(UPPER(TRIM(H427)),{5,6,7,8,9},1),"0123456789")))=0),"OK","Wrong format"))</f>
        <v/>
      </c>
      <c r="AM427" s="28">
        <f>IF(NOT(COUNTA(A427:AE427)&gt;0),"",IF(AS427&lt;&gt;"","✖ "&amp;LEFT(AS427,LEN(AS427)-2),IF(AR427&gt;0,"✔ Ready — client + "&amp;AR427&amp;" service(s)","✔ Ready — client only")))</f>
        <v/>
      </c>
      <c r="AN427" s="29">
        <f>UPPER(SUBSTITUTE(TRIM(F427)," ",""))</f>
        <v/>
      </c>
      <c r="AO427" s="29">
        <f>UPPER(SUBSTITUTE(TRIM(E427)," ",""))</f>
        <v/>
      </c>
      <c r="AP427" s="29">
        <f>IF(D427&lt;&gt;"",D427,IFERROR(VLOOKUP(MID(AG427,4,1),Lists!$E$2:$F$8,2,FALSE),""))</f>
        <v/>
      </c>
      <c r="AQ427" s="29">
        <f>IFERROR(VLOOKUP(AP427,Lists!$A$2:$C$12,3,FALSE),"")</f>
        <v/>
      </c>
      <c r="AR427" s="29">
        <f>COUNTIF(W427:AC427,"Yes")</f>
        <v/>
      </c>
      <c r="AS427" s="29">
        <f>IF(TRIM(B427)="","Legal name missing; ","")&amp;IF(AND(AJ427&lt;&gt;"",AJ427&lt;&gt;"OK"),"GSTIN: "&amp;AJ427&amp;"; ","")&amp;IF(AND(AK427&lt;&gt;"",AK427&lt;&gt;"OK"),"PAN wrong format; ","")&amp;IF(AND(AO427&lt;&gt;"",LEN(AN427)=15,MID(AN427,3,10)&lt;&gt;AO427),"PAN does not match GSTIN; ","")&amp;IF(AND(AL427&lt;&gt;"",AL427&lt;&gt;"OK"),"TAN wrong format; ","")&amp;IF(AG427="","PAN missing; ","")&amp;IF(AP427="","Entity type missing; ","")&amp;IF(AND(AN427&lt;&gt;"",COUNTIF($AN$6:$AN$1005,AN427)&gt;1),"GSTIN repeated in this sheet; ","")&amp;IF(AND(AG427&lt;&gt;"",COUNTIF($AG$6:$AG$1005,AG427)&gt;1),"PAN repeated in this sheet (same client? put extra GSTINs in Other GSTINs); ","")&amp;IF(AND(AR427&gt;0,V427=""),"Financial year missing; ","")&amp;IF(AND(AR427=0,V427&lt;&gt;""),"Financial year given but no service is Yes; ","")&amp;IF(AND(W427="Yes",AN427=""),"GST needs a GSTIN; ","")&amp;IF(AND(W427="Yes",X427=""),"GST return frequency missing; ","")&amp;IF(AND(Y427="Yes",TRIM(H427)=""),"TDS needs a TAN; ","")&amp;IF(AND(AA427="Yes",AQ427&lt;&gt;"",AQ427&lt;&gt;"company",AQ427&lt;&gt;"llp"),"ROC is only for a company / LLP; ","")&amp;IF(AND(AA427="Yes",OR(AQ427="company",AQ427="llp"),TRIM(I427)=""),"ROC needs the CIN / LLPIN; ","")</f>
        <v/>
      </c>
    </row>
    <row r="428">
      <c r="A428" s="30" t="n"/>
      <c r="B428" s="31" t="n"/>
      <c r="C428" s="31" t="n"/>
      <c r="D428" s="31" t="n"/>
      <c r="E428" s="30" t="n"/>
      <c r="F428" s="30" t="n"/>
      <c r="G428" s="30" t="n"/>
      <c r="H428" s="30" t="n"/>
      <c r="I428" s="30" t="n"/>
      <c r="J428" s="32" t="n"/>
      <c r="K428" s="31" t="n"/>
      <c r="L428" s="30" t="n"/>
      <c r="M428" s="31" t="n"/>
      <c r="N428" s="31" t="n"/>
      <c r="O428" s="31" t="n"/>
      <c r="P428" s="30" t="n"/>
      <c r="Q428" s="31" t="n"/>
      <c r="R428" s="31" t="n"/>
      <c r="S428" s="31" t="n"/>
      <c r="T428" s="31" t="n"/>
      <c r="U428" s="30" t="n"/>
      <c r="V428" s="31" t="n"/>
      <c r="W428" s="31" t="n"/>
      <c r="X428" s="31" t="n"/>
      <c r="Y428" s="31" t="n"/>
      <c r="Z428" s="31" t="n"/>
      <c r="AA428" s="31" t="n"/>
      <c r="AB428" s="31" t="n"/>
      <c r="AC428" s="31" t="n"/>
      <c r="AD428" s="31" t="n"/>
      <c r="AE428" s="31" t="n"/>
      <c r="AF428" s="27">
        <f>IF(NOT(COUNTA(A428:AE428)&gt;0),"",IF(A428="","New client","Update"))</f>
        <v/>
      </c>
      <c r="AG428" s="27">
        <f>IF(AO428&lt;&gt;"",AO428,IF(LEN(AN428)=15,MID(AN428,3,10),""))</f>
        <v/>
      </c>
      <c r="AH428" s="27">
        <f>IF(AP428="","",AP428&amp;IF(D428="","  (guessed from PAN)",""))</f>
        <v/>
      </c>
      <c r="AI428" s="27">
        <f>IF(AN428="","",IFERROR(INDEX(Lists!$L$2:$L$38,MATCH(LEFT(AN428,2),Lists!$K$2:$K$38,0)),"Unknown code"))</f>
        <v/>
      </c>
      <c r="AJ428" s="27">
        <f>IF(AN428="","",IFERROR(IF(NOT(AND(LEN(AN428)=15,ISNUMBER(MATCH(LEFT(AN428,2),Lists!$K$2:$K$38,0)),SUMPRODUCT(--ISERROR(FIND(MID(MID(AN428,3,10),{1,2,3,4,5,10},1),"ABCDEFGHIJKLMNOPQRSTUVWXYZ")))=0,SUMPRODUCT(--ISERROR(FIND(MID(MID(AN428,3,10),{6,7,8,9},1),"0123456789")))=0,ISNUMBER(FIND(MID(AN428,13,1),"123456789ABCDEFGHIJKLMNOPQRSTUVWXYZ")),MID(AN428,14,1)="Z")),"Wrong format",IF(MID("0123456789ABCDEFGHIJKLMNOPQRSTUVWXYZ",MOD(36-MOD(SUMPRODUCT(INT((FIND(MID(AN428,{1,2,3,4,5,6,7,8,9,10,11,12,13,14},1),"0123456789ABCDEFGHIJKLMNOPQRSTUVWXYZ")-1)*{1,2,1,2,1,2,1,2,1,2,1,2,1,2}/36)+MOD((FIND(MID(AN428,{1,2,3,4,5,6,7,8,9,10,11,12,13,14},1),"0123456789ABCDEFGHIJKLMNOPQRSTUVWXYZ")-1)*{1,2,1,2,1,2,1,2,1,2,1,2,1,2},36)),36),36)+1,1)=MID(AN428,15,1),"OK","Typo? check digit wrong")),"Wrong format"))</f>
        <v/>
      </c>
      <c r="AK428" s="27">
        <f>IF(AO428="","",IF(AND(LEN(AO428)=10,SUMPRODUCT(--ISERROR(FIND(MID(AO428,{1,2,3,4,5,10},1),"ABCDEFGHIJKLMNOPQRSTUVWXYZ")))=0,SUMPRODUCT(--ISERROR(FIND(MID(AO428,{6,7,8,9},1),"0123456789")))=0),"OK","Wrong format"))</f>
        <v/>
      </c>
      <c r="AL428" s="27">
        <f>IF(TRIM(H428)="","",IF(AND(LEN(UPPER(TRIM(H428)))=10,SUMPRODUCT(--ISERROR(FIND(MID(UPPER(TRIM(H428)),{1,2,3,4,10},1),"ABCDEFGHIJKLMNOPQRSTUVWXYZ")))=0,SUMPRODUCT(--ISERROR(FIND(MID(UPPER(TRIM(H428)),{5,6,7,8,9},1),"0123456789")))=0),"OK","Wrong format"))</f>
        <v/>
      </c>
      <c r="AM428" s="28">
        <f>IF(NOT(COUNTA(A428:AE428)&gt;0),"",IF(AS428&lt;&gt;"","✖ "&amp;LEFT(AS428,LEN(AS428)-2),IF(AR428&gt;0,"✔ Ready — client + "&amp;AR428&amp;" service(s)","✔ Ready — client only")))</f>
        <v/>
      </c>
      <c r="AN428" s="29">
        <f>UPPER(SUBSTITUTE(TRIM(F428)," ",""))</f>
        <v/>
      </c>
      <c r="AO428" s="29">
        <f>UPPER(SUBSTITUTE(TRIM(E428)," ",""))</f>
        <v/>
      </c>
      <c r="AP428" s="29">
        <f>IF(D428&lt;&gt;"",D428,IFERROR(VLOOKUP(MID(AG428,4,1),Lists!$E$2:$F$8,2,FALSE),""))</f>
        <v/>
      </c>
      <c r="AQ428" s="29">
        <f>IFERROR(VLOOKUP(AP428,Lists!$A$2:$C$12,3,FALSE),"")</f>
        <v/>
      </c>
      <c r="AR428" s="29">
        <f>COUNTIF(W428:AC428,"Yes")</f>
        <v/>
      </c>
      <c r="AS428" s="29">
        <f>IF(TRIM(B428)="","Legal name missing; ","")&amp;IF(AND(AJ428&lt;&gt;"",AJ428&lt;&gt;"OK"),"GSTIN: "&amp;AJ428&amp;"; ","")&amp;IF(AND(AK428&lt;&gt;"",AK428&lt;&gt;"OK"),"PAN wrong format; ","")&amp;IF(AND(AO428&lt;&gt;"",LEN(AN428)=15,MID(AN428,3,10)&lt;&gt;AO428),"PAN does not match GSTIN; ","")&amp;IF(AND(AL428&lt;&gt;"",AL428&lt;&gt;"OK"),"TAN wrong format; ","")&amp;IF(AG428="","PAN missing; ","")&amp;IF(AP428="","Entity type missing; ","")&amp;IF(AND(AN428&lt;&gt;"",COUNTIF($AN$6:$AN$1005,AN428)&gt;1),"GSTIN repeated in this sheet; ","")&amp;IF(AND(AG428&lt;&gt;"",COUNTIF($AG$6:$AG$1005,AG428)&gt;1),"PAN repeated in this sheet (same client? put extra GSTINs in Other GSTINs); ","")&amp;IF(AND(AR428&gt;0,V428=""),"Financial year missing; ","")&amp;IF(AND(AR428=0,V428&lt;&gt;""),"Financial year given but no service is Yes; ","")&amp;IF(AND(W428="Yes",AN428=""),"GST needs a GSTIN; ","")&amp;IF(AND(W428="Yes",X428=""),"GST return frequency missing; ","")&amp;IF(AND(Y428="Yes",TRIM(H428)=""),"TDS needs a TAN; ","")&amp;IF(AND(AA428="Yes",AQ428&lt;&gt;"",AQ428&lt;&gt;"company",AQ428&lt;&gt;"llp"),"ROC is only for a company / LLP; ","")&amp;IF(AND(AA428="Yes",OR(AQ428="company",AQ428="llp"),TRIM(I428)=""),"ROC needs the CIN / LLPIN; ","")</f>
        <v/>
      </c>
    </row>
    <row r="429">
      <c r="A429" s="30" t="n"/>
      <c r="B429" s="31" t="n"/>
      <c r="C429" s="31" t="n"/>
      <c r="D429" s="31" t="n"/>
      <c r="E429" s="30" t="n"/>
      <c r="F429" s="30" t="n"/>
      <c r="G429" s="30" t="n"/>
      <c r="H429" s="30" t="n"/>
      <c r="I429" s="30" t="n"/>
      <c r="J429" s="32" t="n"/>
      <c r="K429" s="31" t="n"/>
      <c r="L429" s="30" t="n"/>
      <c r="M429" s="31" t="n"/>
      <c r="N429" s="31" t="n"/>
      <c r="O429" s="31" t="n"/>
      <c r="P429" s="30" t="n"/>
      <c r="Q429" s="31" t="n"/>
      <c r="R429" s="31" t="n"/>
      <c r="S429" s="31" t="n"/>
      <c r="T429" s="31" t="n"/>
      <c r="U429" s="30" t="n"/>
      <c r="V429" s="31" t="n"/>
      <c r="W429" s="31" t="n"/>
      <c r="X429" s="31" t="n"/>
      <c r="Y429" s="31" t="n"/>
      <c r="Z429" s="31" t="n"/>
      <c r="AA429" s="31" t="n"/>
      <c r="AB429" s="31" t="n"/>
      <c r="AC429" s="31" t="n"/>
      <c r="AD429" s="31" t="n"/>
      <c r="AE429" s="31" t="n"/>
      <c r="AF429" s="27">
        <f>IF(NOT(COUNTA(A429:AE429)&gt;0),"",IF(A429="","New client","Update"))</f>
        <v/>
      </c>
      <c r="AG429" s="27">
        <f>IF(AO429&lt;&gt;"",AO429,IF(LEN(AN429)=15,MID(AN429,3,10),""))</f>
        <v/>
      </c>
      <c r="AH429" s="27">
        <f>IF(AP429="","",AP429&amp;IF(D429="","  (guessed from PAN)",""))</f>
        <v/>
      </c>
      <c r="AI429" s="27">
        <f>IF(AN429="","",IFERROR(INDEX(Lists!$L$2:$L$38,MATCH(LEFT(AN429,2),Lists!$K$2:$K$38,0)),"Unknown code"))</f>
        <v/>
      </c>
      <c r="AJ429" s="27">
        <f>IF(AN429="","",IFERROR(IF(NOT(AND(LEN(AN429)=15,ISNUMBER(MATCH(LEFT(AN429,2),Lists!$K$2:$K$38,0)),SUMPRODUCT(--ISERROR(FIND(MID(MID(AN429,3,10),{1,2,3,4,5,10},1),"ABCDEFGHIJKLMNOPQRSTUVWXYZ")))=0,SUMPRODUCT(--ISERROR(FIND(MID(MID(AN429,3,10),{6,7,8,9},1),"0123456789")))=0,ISNUMBER(FIND(MID(AN429,13,1),"123456789ABCDEFGHIJKLMNOPQRSTUVWXYZ")),MID(AN429,14,1)="Z")),"Wrong format",IF(MID("0123456789ABCDEFGHIJKLMNOPQRSTUVWXYZ",MOD(36-MOD(SUMPRODUCT(INT((FIND(MID(AN429,{1,2,3,4,5,6,7,8,9,10,11,12,13,14},1),"0123456789ABCDEFGHIJKLMNOPQRSTUVWXYZ")-1)*{1,2,1,2,1,2,1,2,1,2,1,2,1,2}/36)+MOD((FIND(MID(AN429,{1,2,3,4,5,6,7,8,9,10,11,12,13,14},1),"0123456789ABCDEFGHIJKLMNOPQRSTUVWXYZ")-1)*{1,2,1,2,1,2,1,2,1,2,1,2,1,2},36)),36),36)+1,1)=MID(AN429,15,1),"OK","Typo? check digit wrong")),"Wrong format"))</f>
        <v/>
      </c>
      <c r="AK429" s="27">
        <f>IF(AO429="","",IF(AND(LEN(AO429)=10,SUMPRODUCT(--ISERROR(FIND(MID(AO429,{1,2,3,4,5,10},1),"ABCDEFGHIJKLMNOPQRSTUVWXYZ")))=0,SUMPRODUCT(--ISERROR(FIND(MID(AO429,{6,7,8,9},1),"0123456789")))=0),"OK","Wrong format"))</f>
        <v/>
      </c>
      <c r="AL429" s="27">
        <f>IF(TRIM(H429)="","",IF(AND(LEN(UPPER(TRIM(H429)))=10,SUMPRODUCT(--ISERROR(FIND(MID(UPPER(TRIM(H429)),{1,2,3,4,10},1),"ABCDEFGHIJKLMNOPQRSTUVWXYZ")))=0,SUMPRODUCT(--ISERROR(FIND(MID(UPPER(TRIM(H429)),{5,6,7,8,9},1),"0123456789")))=0),"OK","Wrong format"))</f>
        <v/>
      </c>
      <c r="AM429" s="28">
        <f>IF(NOT(COUNTA(A429:AE429)&gt;0),"",IF(AS429&lt;&gt;"","✖ "&amp;LEFT(AS429,LEN(AS429)-2),IF(AR429&gt;0,"✔ Ready — client + "&amp;AR429&amp;" service(s)","✔ Ready — client only")))</f>
        <v/>
      </c>
      <c r="AN429" s="29">
        <f>UPPER(SUBSTITUTE(TRIM(F429)," ",""))</f>
        <v/>
      </c>
      <c r="AO429" s="29">
        <f>UPPER(SUBSTITUTE(TRIM(E429)," ",""))</f>
        <v/>
      </c>
      <c r="AP429" s="29">
        <f>IF(D429&lt;&gt;"",D429,IFERROR(VLOOKUP(MID(AG429,4,1),Lists!$E$2:$F$8,2,FALSE),""))</f>
        <v/>
      </c>
      <c r="AQ429" s="29">
        <f>IFERROR(VLOOKUP(AP429,Lists!$A$2:$C$12,3,FALSE),"")</f>
        <v/>
      </c>
      <c r="AR429" s="29">
        <f>COUNTIF(W429:AC429,"Yes")</f>
        <v/>
      </c>
      <c r="AS429" s="29">
        <f>IF(TRIM(B429)="","Legal name missing; ","")&amp;IF(AND(AJ429&lt;&gt;"",AJ429&lt;&gt;"OK"),"GSTIN: "&amp;AJ429&amp;"; ","")&amp;IF(AND(AK429&lt;&gt;"",AK429&lt;&gt;"OK"),"PAN wrong format; ","")&amp;IF(AND(AO429&lt;&gt;"",LEN(AN429)=15,MID(AN429,3,10)&lt;&gt;AO429),"PAN does not match GSTIN; ","")&amp;IF(AND(AL429&lt;&gt;"",AL429&lt;&gt;"OK"),"TAN wrong format; ","")&amp;IF(AG429="","PAN missing; ","")&amp;IF(AP429="","Entity type missing; ","")&amp;IF(AND(AN429&lt;&gt;"",COUNTIF($AN$6:$AN$1005,AN429)&gt;1),"GSTIN repeated in this sheet; ","")&amp;IF(AND(AG429&lt;&gt;"",COUNTIF($AG$6:$AG$1005,AG429)&gt;1),"PAN repeated in this sheet (same client? put extra GSTINs in Other GSTINs); ","")&amp;IF(AND(AR429&gt;0,V429=""),"Financial year missing; ","")&amp;IF(AND(AR429=0,V429&lt;&gt;""),"Financial year given but no service is Yes; ","")&amp;IF(AND(W429="Yes",AN429=""),"GST needs a GSTIN; ","")&amp;IF(AND(W429="Yes",X429=""),"GST return frequency missing; ","")&amp;IF(AND(Y429="Yes",TRIM(H429)=""),"TDS needs a TAN; ","")&amp;IF(AND(AA429="Yes",AQ429&lt;&gt;"",AQ429&lt;&gt;"company",AQ429&lt;&gt;"llp"),"ROC is only for a company / LLP; ","")&amp;IF(AND(AA429="Yes",OR(AQ429="company",AQ429="llp"),TRIM(I429)=""),"ROC needs the CIN / LLPIN; ","")</f>
        <v/>
      </c>
    </row>
    <row r="430">
      <c r="A430" s="30" t="n"/>
      <c r="B430" s="31" t="n"/>
      <c r="C430" s="31" t="n"/>
      <c r="D430" s="31" t="n"/>
      <c r="E430" s="30" t="n"/>
      <c r="F430" s="30" t="n"/>
      <c r="G430" s="30" t="n"/>
      <c r="H430" s="30" t="n"/>
      <c r="I430" s="30" t="n"/>
      <c r="J430" s="32" t="n"/>
      <c r="K430" s="31" t="n"/>
      <c r="L430" s="30" t="n"/>
      <c r="M430" s="31" t="n"/>
      <c r="N430" s="31" t="n"/>
      <c r="O430" s="31" t="n"/>
      <c r="P430" s="30" t="n"/>
      <c r="Q430" s="31" t="n"/>
      <c r="R430" s="31" t="n"/>
      <c r="S430" s="31" t="n"/>
      <c r="T430" s="31" t="n"/>
      <c r="U430" s="30" t="n"/>
      <c r="V430" s="31" t="n"/>
      <c r="W430" s="31" t="n"/>
      <c r="X430" s="31" t="n"/>
      <c r="Y430" s="31" t="n"/>
      <c r="Z430" s="31" t="n"/>
      <c r="AA430" s="31" t="n"/>
      <c r="AB430" s="31" t="n"/>
      <c r="AC430" s="31" t="n"/>
      <c r="AD430" s="31" t="n"/>
      <c r="AE430" s="31" t="n"/>
      <c r="AF430" s="27">
        <f>IF(NOT(COUNTA(A430:AE430)&gt;0),"",IF(A430="","New client","Update"))</f>
        <v/>
      </c>
      <c r="AG430" s="27">
        <f>IF(AO430&lt;&gt;"",AO430,IF(LEN(AN430)=15,MID(AN430,3,10),""))</f>
        <v/>
      </c>
      <c r="AH430" s="27">
        <f>IF(AP430="","",AP430&amp;IF(D430="","  (guessed from PAN)",""))</f>
        <v/>
      </c>
      <c r="AI430" s="27">
        <f>IF(AN430="","",IFERROR(INDEX(Lists!$L$2:$L$38,MATCH(LEFT(AN430,2),Lists!$K$2:$K$38,0)),"Unknown code"))</f>
        <v/>
      </c>
      <c r="AJ430" s="27">
        <f>IF(AN430="","",IFERROR(IF(NOT(AND(LEN(AN430)=15,ISNUMBER(MATCH(LEFT(AN430,2),Lists!$K$2:$K$38,0)),SUMPRODUCT(--ISERROR(FIND(MID(MID(AN430,3,10),{1,2,3,4,5,10},1),"ABCDEFGHIJKLMNOPQRSTUVWXYZ")))=0,SUMPRODUCT(--ISERROR(FIND(MID(MID(AN430,3,10),{6,7,8,9},1),"0123456789")))=0,ISNUMBER(FIND(MID(AN430,13,1),"123456789ABCDEFGHIJKLMNOPQRSTUVWXYZ")),MID(AN430,14,1)="Z")),"Wrong format",IF(MID("0123456789ABCDEFGHIJKLMNOPQRSTUVWXYZ",MOD(36-MOD(SUMPRODUCT(INT((FIND(MID(AN430,{1,2,3,4,5,6,7,8,9,10,11,12,13,14},1),"0123456789ABCDEFGHIJKLMNOPQRSTUVWXYZ")-1)*{1,2,1,2,1,2,1,2,1,2,1,2,1,2}/36)+MOD((FIND(MID(AN430,{1,2,3,4,5,6,7,8,9,10,11,12,13,14},1),"0123456789ABCDEFGHIJKLMNOPQRSTUVWXYZ")-1)*{1,2,1,2,1,2,1,2,1,2,1,2,1,2},36)),36),36)+1,1)=MID(AN430,15,1),"OK","Typo? check digit wrong")),"Wrong format"))</f>
        <v/>
      </c>
      <c r="AK430" s="27">
        <f>IF(AO430="","",IF(AND(LEN(AO430)=10,SUMPRODUCT(--ISERROR(FIND(MID(AO430,{1,2,3,4,5,10},1),"ABCDEFGHIJKLMNOPQRSTUVWXYZ")))=0,SUMPRODUCT(--ISERROR(FIND(MID(AO430,{6,7,8,9},1),"0123456789")))=0),"OK","Wrong format"))</f>
        <v/>
      </c>
      <c r="AL430" s="27">
        <f>IF(TRIM(H430)="","",IF(AND(LEN(UPPER(TRIM(H430)))=10,SUMPRODUCT(--ISERROR(FIND(MID(UPPER(TRIM(H430)),{1,2,3,4,10},1),"ABCDEFGHIJKLMNOPQRSTUVWXYZ")))=0,SUMPRODUCT(--ISERROR(FIND(MID(UPPER(TRIM(H430)),{5,6,7,8,9},1),"0123456789")))=0),"OK","Wrong format"))</f>
        <v/>
      </c>
      <c r="AM430" s="28">
        <f>IF(NOT(COUNTA(A430:AE430)&gt;0),"",IF(AS430&lt;&gt;"","✖ "&amp;LEFT(AS430,LEN(AS430)-2),IF(AR430&gt;0,"✔ Ready — client + "&amp;AR430&amp;" service(s)","✔ Ready — client only")))</f>
        <v/>
      </c>
      <c r="AN430" s="29">
        <f>UPPER(SUBSTITUTE(TRIM(F430)," ",""))</f>
        <v/>
      </c>
      <c r="AO430" s="29">
        <f>UPPER(SUBSTITUTE(TRIM(E430)," ",""))</f>
        <v/>
      </c>
      <c r="AP430" s="29">
        <f>IF(D430&lt;&gt;"",D430,IFERROR(VLOOKUP(MID(AG430,4,1),Lists!$E$2:$F$8,2,FALSE),""))</f>
        <v/>
      </c>
      <c r="AQ430" s="29">
        <f>IFERROR(VLOOKUP(AP430,Lists!$A$2:$C$12,3,FALSE),"")</f>
        <v/>
      </c>
      <c r="AR430" s="29">
        <f>COUNTIF(W430:AC430,"Yes")</f>
        <v/>
      </c>
      <c r="AS430" s="29">
        <f>IF(TRIM(B430)="","Legal name missing; ","")&amp;IF(AND(AJ430&lt;&gt;"",AJ430&lt;&gt;"OK"),"GSTIN: "&amp;AJ430&amp;"; ","")&amp;IF(AND(AK430&lt;&gt;"",AK430&lt;&gt;"OK"),"PAN wrong format; ","")&amp;IF(AND(AO430&lt;&gt;"",LEN(AN430)=15,MID(AN430,3,10)&lt;&gt;AO430),"PAN does not match GSTIN; ","")&amp;IF(AND(AL430&lt;&gt;"",AL430&lt;&gt;"OK"),"TAN wrong format; ","")&amp;IF(AG430="","PAN missing; ","")&amp;IF(AP430="","Entity type missing; ","")&amp;IF(AND(AN430&lt;&gt;"",COUNTIF($AN$6:$AN$1005,AN430)&gt;1),"GSTIN repeated in this sheet; ","")&amp;IF(AND(AG430&lt;&gt;"",COUNTIF($AG$6:$AG$1005,AG430)&gt;1),"PAN repeated in this sheet (same client? put extra GSTINs in Other GSTINs); ","")&amp;IF(AND(AR430&gt;0,V430=""),"Financial year missing; ","")&amp;IF(AND(AR430=0,V430&lt;&gt;""),"Financial year given but no service is Yes; ","")&amp;IF(AND(W430="Yes",AN430=""),"GST needs a GSTIN; ","")&amp;IF(AND(W430="Yes",X430=""),"GST return frequency missing; ","")&amp;IF(AND(Y430="Yes",TRIM(H430)=""),"TDS needs a TAN; ","")&amp;IF(AND(AA430="Yes",AQ430&lt;&gt;"",AQ430&lt;&gt;"company",AQ430&lt;&gt;"llp"),"ROC is only for a company / LLP; ","")&amp;IF(AND(AA430="Yes",OR(AQ430="company",AQ430="llp"),TRIM(I430)=""),"ROC needs the CIN / LLPIN; ","")</f>
        <v/>
      </c>
    </row>
    <row r="431">
      <c r="A431" s="30" t="n"/>
      <c r="B431" s="31" t="n"/>
      <c r="C431" s="31" t="n"/>
      <c r="D431" s="31" t="n"/>
      <c r="E431" s="30" t="n"/>
      <c r="F431" s="30" t="n"/>
      <c r="G431" s="30" t="n"/>
      <c r="H431" s="30" t="n"/>
      <c r="I431" s="30" t="n"/>
      <c r="J431" s="32" t="n"/>
      <c r="K431" s="31" t="n"/>
      <c r="L431" s="30" t="n"/>
      <c r="M431" s="31" t="n"/>
      <c r="N431" s="31" t="n"/>
      <c r="O431" s="31" t="n"/>
      <c r="P431" s="30" t="n"/>
      <c r="Q431" s="31" t="n"/>
      <c r="R431" s="31" t="n"/>
      <c r="S431" s="31" t="n"/>
      <c r="T431" s="31" t="n"/>
      <c r="U431" s="30" t="n"/>
      <c r="V431" s="31" t="n"/>
      <c r="W431" s="31" t="n"/>
      <c r="X431" s="31" t="n"/>
      <c r="Y431" s="31" t="n"/>
      <c r="Z431" s="31" t="n"/>
      <c r="AA431" s="31" t="n"/>
      <c r="AB431" s="31" t="n"/>
      <c r="AC431" s="31" t="n"/>
      <c r="AD431" s="31" t="n"/>
      <c r="AE431" s="31" t="n"/>
      <c r="AF431" s="27">
        <f>IF(NOT(COUNTA(A431:AE431)&gt;0),"",IF(A431="","New client","Update"))</f>
        <v/>
      </c>
      <c r="AG431" s="27">
        <f>IF(AO431&lt;&gt;"",AO431,IF(LEN(AN431)=15,MID(AN431,3,10),""))</f>
        <v/>
      </c>
      <c r="AH431" s="27">
        <f>IF(AP431="","",AP431&amp;IF(D431="","  (guessed from PAN)",""))</f>
        <v/>
      </c>
      <c r="AI431" s="27">
        <f>IF(AN431="","",IFERROR(INDEX(Lists!$L$2:$L$38,MATCH(LEFT(AN431,2),Lists!$K$2:$K$38,0)),"Unknown code"))</f>
        <v/>
      </c>
      <c r="AJ431" s="27">
        <f>IF(AN431="","",IFERROR(IF(NOT(AND(LEN(AN431)=15,ISNUMBER(MATCH(LEFT(AN431,2),Lists!$K$2:$K$38,0)),SUMPRODUCT(--ISERROR(FIND(MID(MID(AN431,3,10),{1,2,3,4,5,10},1),"ABCDEFGHIJKLMNOPQRSTUVWXYZ")))=0,SUMPRODUCT(--ISERROR(FIND(MID(MID(AN431,3,10),{6,7,8,9},1),"0123456789")))=0,ISNUMBER(FIND(MID(AN431,13,1),"123456789ABCDEFGHIJKLMNOPQRSTUVWXYZ")),MID(AN431,14,1)="Z")),"Wrong format",IF(MID("0123456789ABCDEFGHIJKLMNOPQRSTUVWXYZ",MOD(36-MOD(SUMPRODUCT(INT((FIND(MID(AN431,{1,2,3,4,5,6,7,8,9,10,11,12,13,14},1),"0123456789ABCDEFGHIJKLMNOPQRSTUVWXYZ")-1)*{1,2,1,2,1,2,1,2,1,2,1,2,1,2}/36)+MOD((FIND(MID(AN431,{1,2,3,4,5,6,7,8,9,10,11,12,13,14},1),"0123456789ABCDEFGHIJKLMNOPQRSTUVWXYZ")-1)*{1,2,1,2,1,2,1,2,1,2,1,2,1,2},36)),36),36)+1,1)=MID(AN431,15,1),"OK","Typo? check digit wrong")),"Wrong format"))</f>
        <v/>
      </c>
      <c r="AK431" s="27">
        <f>IF(AO431="","",IF(AND(LEN(AO431)=10,SUMPRODUCT(--ISERROR(FIND(MID(AO431,{1,2,3,4,5,10},1),"ABCDEFGHIJKLMNOPQRSTUVWXYZ")))=0,SUMPRODUCT(--ISERROR(FIND(MID(AO431,{6,7,8,9},1),"0123456789")))=0),"OK","Wrong format"))</f>
        <v/>
      </c>
      <c r="AL431" s="27">
        <f>IF(TRIM(H431)="","",IF(AND(LEN(UPPER(TRIM(H431)))=10,SUMPRODUCT(--ISERROR(FIND(MID(UPPER(TRIM(H431)),{1,2,3,4,10},1),"ABCDEFGHIJKLMNOPQRSTUVWXYZ")))=0,SUMPRODUCT(--ISERROR(FIND(MID(UPPER(TRIM(H431)),{5,6,7,8,9},1),"0123456789")))=0),"OK","Wrong format"))</f>
        <v/>
      </c>
      <c r="AM431" s="28">
        <f>IF(NOT(COUNTA(A431:AE431)&gt;0),"",IF(AS431&lt;&gt;"","✖ "&amp;LEFT(AS431,LEN(AS431)-2),IF(AR431&gt;0,"✔ Ready — client + "&amp;AR431&amp;" service(s)","✔ Ready — client only")))</f>
        <v/>
      </c>
      <c r="AN431" s="29">
        <f>UPPER(SUBSTITUTE(TRIM(F431)," ",""))</f>
        <v/>
      </c>
      <c r="AO431" s="29">
        <f>UPPER(SUBSTITUTE(TRIM(E431)," ",""))</f>
        <v/>
      </c>
      <c r="AP431" s="29">
        <f>IF(D431&lt;&gt;"",D431,IFERROR(VLOOKUP(MID(AG431,4,1),Lists!$E$2:$F$8,2,FALSE),""))</f>
        <v/>
      </c>
      <c r="AQ431" s="29">
        <f>IFERROR(VLOOKUP(AP431,Lists!$A$2:$C$12,3,FALSE),"")</f>
        <v/>
      </c>
      <c r="AR431" s="29">
        <f>COUNTIF(W431:AC431,"Yes")</f>
        <v/>
      </c>
      <c r="AS431" s="29">
        <f>IF(TRIM(B431)="","Legal name missing; ","")&amp;IF(AND(AJ431&lt;&gt;"",AJ431&lt;&gt;"OK"),"GSTIN: "&amp;AJ431&amp;"; ","")&amp;IF(AND(AK431&lt;&gt;"",AK431&lt;&gt;"OK"),"PAN wrong format; ","")&amp;IF(AND(AO431&lt;&gt;"",LEN(AN431)=15,MID(AN431,3,10)&lt;&gt;AO431),"PAN does not match GSTIN; ","")&amp;IF(AND(AL431&lt;&gt;"",AL431&lt;&gt;"OK"),"TAN wrong format; ","")&amp;IF(AG431="","PAN missing; ","")&amp;IF(AP431="","Entity type missing; ","")&amp;IF(AND(AN431&lt;&gt;"",COUNTIF($AN$6:$AN$1005,AN431)&gt;1),"GSTIN repeated in this sheet; ","")&amp;IF(AND(AG431&lt;&gt;"",COUNTIF($AG$6:$AG$1005,AG431)&gt;1),"PAN repeated in this sheet (same client? put extra GSTINs in Other GSTINs); ","")&amp;IF(AND(AR431&gt;0,V431=""),"Financial year missing; ","")&amp;IF(AND(AR431=0,V431&lt;&gt;""),"Financial year given but no service is Yes; ","")&amp;IF(AND(W431="Yes",AN431=""),"GST needs a GSTIN; ","")&amp;IF(AND(W431="Yes",X431=""),"GST return frequency missing; ","")&amp;IF(AND(Y431="Yes",TRIM(H431)=""),"TDS needs a TAN; ","")&amp;IF(AND(AA431="Yes",AQ431&lt;&gt;"",AQ431&lt;&gt;"company",AQ431&lt;&gt;"llp"),"ROC is only for a company / LLP; ","")&amp;IF(AND(AA431="Yes",OR(AQ431="company",AQ431="llp"),TRIM(I431)=""),"ROC needs the CIN / LLPIN; ","")</f>
        <v/>
      </c>
    </row>
    <row r="432">
      <c r="A432" s="30" t="n"/>
      <c r="B432" s="31" t="n"/>
      <c r="C432" s="31" t="n"/>
      <c r="D432" s="31" t="n"/>
      <c r="E432" s="30" t="n"/>
      <c r="F432" s="30" t="n"/>
      <c r="G432" s="30" t="n"/>
      <c r="H432" s="30" t="n"/>
      <c r="I432" s="30" t="n"/>
      <c r="J432" s="32" t="n"/>
      <c r="K432" s="31" t="n"/>
      <c r="L432" s="30" t="n"/>
      <c r="M432" s="31" t="n"/>
      <c r="N432" s="31" t="n"/>
      <c r="O432" s="31" t="n"/>
      <c r="P432" s="30" t="n"/>
      <c r="Q432" s="31" t="n"/>
      <c r="R432" s="31" t="n"/>
      <c r="S432" s="31" t="n"/>
      <c r="T432" s="31" t="n"/>
      <c r="U432" s="30" t="n"/>
      <c r="V432" s="31" t="n"/>
      <c r="W432" s="31" t="n"/>
      <c r="X432" s="31" t="n"/>
      <c r="Y432" s="31" t="n"/>
      <c r="Z432" s="31" t="n"/>
      <c r="AA432" s="31" t="n"/>
      <c r="AB432" s="31" t="n"/>
      <c r="AC432" s="31" t="n"/>
      <c r="AD432" s="31" t="n"/>
      <c r="AE432" s="31" t="n"/>
      <c r="AF432" s="27">
        <f>IF(NOT(COUNTA(A432:AE432)&gt;0),"",IF(A432="","New client","Update"))</f>
        <v/>
      </c>
      <c r="AG432" s="27">
        <f>IF(AO432&lt;&gt;"",AO432,IF(LEN(AN432)=15,MID(AN432,3,10),""))</f>
        <v/>
      </c>
      <c r="AH432" s="27">
        <f>IF(AP432="","",AP432&amp;IF(D432="","  (guessed from PAN)",""))</f>
        <v/>
      </c>
      <c r="AI432" s="27">
        <f>IF(AN432="","",IFERROR(INDEX(Lists!$L$2:$L$38,MATCH(LEFT(AN432,2),Lists!$K$2:$K$38,0)),"Unknown code"))</f>
        <v/>
      </c>
      <c r="AJ432" s="27">
        <f>IF(AN432="","",IFERROR(IF(NOT(AND(LEN(AN432)=15,ISNUMBER(MATCH(LEFT(AN432,2),Lists!$K$2:$K$38,0)),SUMPRODUCT(--ISERROR(FIND(MID(MID(AN432,3,10),{1,2,3,4,5,10},1),"ABCDEFGHIJKLMNOPQRSTUVWXYZ")))=0,SUMPRODUCT(--ISERROR(FIND(MID(MID(AN432,3,10),{6,7,8,9},1),"0123456789")))=0,ISNUMBER(FIND(MID(AN432,13,1),"123456789ABCDEFGHIJKLMNOPQRSTUVWXYZ")),MID(AN432,14,1)="Z")),"Wrong format",IF(MID("0123456789ABCDEFGHIJKLMNOPQRSTUVWXYZ",MOD(36-MOD(SUMPRODUCT(INT((FIND(MID(AN432,{1,2,3,4,5,6,7,8,9,10,11,12,13,14},1),"0123456789ABCDEFGHIJKLMNOPQRSTUVWXYZ")-1)*{1,2,1,2,1,2,1,2,1,2,1,2,1,2}/36)+MOD((FIND(MID(AN432,{1,2,3,4,5,6,7,8,9,10,11,12,13,14},1),"0123456789ABCDEFGHIJKLMNOPQRSTUVWXYZ")-1)*{1,2,1,2,1,2,1,2,1,2,1,2,1,2},36)),36),36)+1,1)=MID(AN432,15,1),"OK","Typo? check digit wrong")),"Wrong format"))</f>
        <v/>
      </c>
      <c r="AK432" s="27">
        <f>IF(AO432="","",IF(AND(LEN(AO432)=10,SUMPRODUCT(--ISERROR(FIND(MID(AO432,{1,2,3,4,5,10},1),"ABCDEFGHIJKLMNOPQRSTUVWXYZ")))=0,SUMPRODUCT(--ISERROR(FIND(MID(AO432,{6,7,8,9},1),"0123456789")))=0),"OK","Wrong format"))</f>
        <v/>
      </c>
      <c r="AL432" s="27">
        <f>IF(TRIM(H432)="","",IF(AND(LEN(UPPER(TRIM(H432)))=10,SUMPRODUCT(--ISERROR(FIND(MID(UPPER(TRIM(H432)),{1,2,3,4,10},1),"ABCDEFGHIJKLMNOPQRSTUVWXYZ")))=0,SUMPRODUCT(--ISERROR(FIND(MID(UPPER(TRIM(H432)),{5,6,7,8,9},1),"0123456789")))=0),"OK","Wrong format"))</f>
        <v/>
      </c>
      <c r="AM432" s="28">
        <f>IF(NOT(COUNTA(A432:AE432)&gt;0),"",IF(AS432&lt;&gt;"","✖ "&amp;LEFT(AS432,LEN(AS432)-2),IF(AR432&gt;0,"✔ Ready — client + "&amp;AR432&amp;" service(s)","✔ Ready — client only")))</f>
        <v/>
      </c>
      <c r="AN432" s="29">
        <f>UPPER(SUBSTITUTE(TRIM(F432)," ",""))</f>
        <v/>
      </c>
      <c r="AO432" s="29">
        <f>UPPER(SUBSTITUTE(TRIM(E432)," ",""))</f>
        <v/>
      </c>
      <c r="AP432" s="29">
        <f>IF(D432&lt;&gt;"",D432,IFERROR(VLOOKUP(MID(AG432,4,1),Lists!$E$2:$F$8,2,FALSE),""))</f>
        <v/>
      </c>
      <c r="AQ432" s="29">
        <f>IFERROR(VLOOKUP(AP432,Lists!$A$2:$C$12,3,FALSE),"")</f>
        <v/>
      </c>
      <c r="AR432" s="29">
        <f>COUNTIF(W432:AC432,"Yes")</f>
        <v/>
      </c>
      <c r="AS432" s="29">
        <f>IF(TRIM(B432)="","Legal name missing; ","")&amp;IF(AND(AJ432&lt;&gt;"",AJ432&lt;&gt;"OK"),"GSTIN: "&amp;AJ432&amp;"; ","")&amp;IF(AND(AK432&lt;&gt;"",AK432&lt;&gt;"OK"),"PAN wrong format; ","")&amp;IF(AND(AO432&lt;&gt;"",LEN(AN432)=15,MID(AN432,3,10)&lt;&gt;AO432),"PAN does not match GSTIN; ","")&amp;IF(AND(AL432&lt;&gt;"",AL432&lt;&gt;"OK"),"TAN wrong format; ","")&amp;IF(AG432="","PAN missing; ","")&amp;IF(AP432="","Entity type missing; ","")&amp;IF(AND(AN432&lt;&gt;"",COUNTIF($AN$6:$AN$1005,AN432)&gt;1),"GSTIN repeated in this sheet; ","")&amp;IF(AND(AG432&lt;&gt;"",COUNTIF($AG$6:$AG$1005,AG432)&gt;1),"PAN repeated in this sheet (same client? put extra GSTINs in Other GSTINs); ","")&amp;IF(AND(AR432&gt;0,V432=""),"Financial year missing; ","")&amp;IF(AND(AR432=0,V432&lt;&gt;""),"Financial year given but no service is Yes; ","")&amp;IF(AND(W432="Yes",AN432=""),"GST needs a GSTIN; ","")&amp;IF(AND(W432="Yes",X432=""),"GST return frequency missing; ","")&amp;IF(AND(Y432="Yes",TRIM(H432)=""),"TDS needs a TAN; ","")&amp;IF(AND(AA432="Yes",AQ432&lt;&gt;"",AQ432&lt;&gt;"company",AQ432&lt;&gt;"llp"),"ROC is only for a company / LLP; ","")&amp;IF(AND(AA432="Yes",OR(AQ432="company",AQ432="llp"),TRIM(I432)=""),"ROC needs the CIN / LLPIN; ","")</f>
        <v/>
      </c>
    </row>
    <row r="433">
      <c r="A433" s="30" t="n"/>
      <c r="B433" s="31" t="n"/>
      <c r="C433" s="31" t="n"/>
      <c r="D433" s="31" t="n"/>
      <c r="E433" s="30" t="n"/>
      <c r="F433" s="30" t="n"/>
      <c r="G433" s="30" t="n"/>
      <c r="H433" s="30" t="n"/>
      <c r="I433" s="30" t="n"/>
      <c r="J433" s="32" t="n"/>
      <c r="K433" s="31" t="n"/>
      <c r="L433" s="30" t="n"/>
      <c r="M433" s="31" t="n"/>
      <c r="N433" s="31" t="n"/>
      <c r="O433" s="31" t="n"/>
      <c r="P433" s="30" t="n"/>
      <c r="Q433" s="31" t="n"/>
      <c r="R433" s="31" t="n"/>
      <c r="S433" s="31" t="n"/>
      <c r="T433" s="31" t="n"/>
      <c r="U433" s="30" t="n"/>
      <c r="V433" s="31" t="n"/>
      <c r="W433" s="31" t="n"/>
      <c r="X433" s="31" t="n"/>
      <c r="Y433" s="31" t="n"/>
      <c r="Z433" s="31" t="n"/>
      <c r="AA433" s="31" t="n"/>
      <c r="AB433" s="31" t="n"/>
      <c r="AC433" s="31" t="n"/>
      <c r="AD433" s="31" t="n"/>
      <c r="AE433" s="31" t="n"/>
      <c r="AF433" s="27">
        <f>IF(NOT(COUNTA(A433:AE433)&gt;0),"",IF(A433="","New client","Update"))</f>
        <v/>
      </c>
      <c r="AG433" s="27">
        <f>IF(AO433&lt;&gt;"",AO433,IF(LEN(AN433)=15,MID(AN433,3,10),""))</f>
        <v/>
      </c>
      <c r="AH433" s="27">
        <f>IF(AP433="","",AP433&amp;IF(D433="","  (guessed from PAN)",""))</f>
        <v/>
      </c>
      <c r="AI433" s="27">
        <f>IF(AN433="","",IFERROR(INDEX(Lists!$L$2:$L$38,MATCH(LEFT(AN433,2),Lists!$K$2:$K$38,0)),"Unknown code"))</f>
        <v/>
      </c>
      <c r="AJ433" s="27">
        <f>IF(AN433="","",IFERROR(IF(NOT(AND(LEN(AN433)=15,ISNUMBER(MATCH(LEFT(AN433,2),Lists!$K$2:$K$38,0)),SUMPRODUCT(--ISERROR(FIND(MID(MID(AN433,3,10),{1,2,3,4,5,10},1),"ABCDEFGHIJKLMNOPQRSTUVWXYZ")))=0,SUMPRODUCT(--ISERROR(FIND(MID(MID(AN433,3,10),{6,7,8,9},1),"0123456789")))=0,ISNUMBER(FIND(MID(AN433,13,1),"123456789ABCDEFGHIJKLMNOPQRSTUVWXYZ")),MID(AN433,14,1)="Z")),"Wrong format",IF(MID("0123456789ABCDEFGHIJKLMNOPQRSTUVWXYZ",MOD(36-MOD(SUMPRODUCT(INT((FIND(MID(AN433,{1,2,3,4,5,6,7,8,9,10,11,12,13,14},1),"0123456789ABCDEFGHIJKLMNOPQRSTUVWXYZ")-1)*{1,2,1,2,1,2,1,2,1,2,1,2,1,2}/36)+MOD((FIND(MID(AN433,{1,2,3,4,5,6,7,8,9,10,11,12,13,14},1),"0123456789ABCDEFGHIJKLMNOPQRSTUVWXYZ")-1)*{1,2,1,2,1,2,1,2,1,2,1,2,1,2},36)),36),36)+1,1)=MID(AN433,15,1),"OK","Typo? check digit wrong")),"Wrong format"))</f>
        <v/>
      </c>
      <c r="AK433" s="27">
        <f>IF(AO433="","",IF(AND(LEN(AO433)=10,SUMPRODUCT(--ISERROR(FIND(MID(AO433,{1,2,3,4,5,10},1),"ABCDEFGHIJKLMNOPQRSTUVWXYZ")))=0,SUMPRODUCT(--ISERROR(FIND(MID(AO433,{6,7,8,9},1),"0123456789")))=0),"OK","Wrong format"))</f>
        <v/>
      </c>
      <c r="AL433" s="27">
        <f>IF(TRIM(H433)="","",IF(AND(LEN(UPPER(TRIM(H433)))=10,SUMPRODUCT(--ISERROR(FIND(MID(UPPER(TRIM(H433)),{1,2,3,4,10},1),"ABCDEFGHIJKLMNOPQRSTUVWXYZ")))=0,SUMPRODUCT(--ISERROR(FIND(MID(UPPER(TRIM(H433)),{5,6,7,8,9},1),"0123456789")))=0),"OK","Wrong format"))</f>
        <v/>
      </c>
      <c r="AM433" s="28">
        <f>IF(NOT(COUNTA(A433:AE433)&gt;0),"",IF(AS433&lt;&gt;"","✖ "&amp;LEFT(AS433,LEN(AS433)-2),IF(AR433&gt;0,"✔ Ready — client + "&amp;AR433&amp;" service(s)","✔ Ready — client only")))</f>
        <v/>
      </c>
      <c r="AN433" s="29">
        <f>UPPER(SUBSTITUTE(TRIM(F433)," ",""))</f>
        <v/>
      </c>
      <c r="AO433" s="29">
        <f>UPPER(SUBSTITUTE(TRIM(E433)," ",""))</f>
        <v/>
      </c>
      <c r="AP433" s="29">
        <f>IF(D433&lt;&gt;"",D433,IFERROR(VLOOKUP(MID(AG433,4,1),Lists!$E$2:$F$8,2,FALSE),""))</f>
        <v/>
      </c>
      <c r="AQ433" s="29">
        <f>IFERROR(VLOOKUP(AP433,Lists!$A$2:$C$12,3,FALSE),"")</f>
        <v/>
      </c>
      <c r="AR433" s="29">
        <f>COUNTIF(W433:AC433,"Yes")</f>
        <v/>
      </c>
      <c r="AS433" s="29">
        <f>IF(TRIM(B433)="","Legal name missing; ","")&amp;IF(AND(AJ433&lt;&gt;"",AJ433&lt;&gt;"OK"),"GSTIN: "&amp;AJ433&amp;"; ","")&amp;IF(AND(AK433&lt;&gt;"",AK433&lt;&gt;"OK"),"PAN wrong format; ","")&amp;IF(AND(AO433&lt;&gt;"",LEN(AN433)=15,MID(AN433,3,10)&lt;&gt;AO433),"PAN does not match GSTIN; ","")&amp;IF(AND(AL433&lt;&gt;"",AL433&lt;&gt;"OK"),"TAN wrong format; ","")&amp;IF(AG433="","PAN missing; ","")&amp;IF(AP433="","Entity type missing; ","")&amp;IF(AND(AN433&lt;&gt;"",COUNTIF($AN$6:$AN$1005,AN433)&gt;1),"GSTIN repeated in this sheet; ","")&amp;IF(AND(AG433&lt;&gt;"",COUNTIF($AG$6:$AG$1005,AG433)&gt;1),"PAN repeated in this sheet (same client? put extra GSTINs in Other GSTINs); ","")&amp;IF(AND(AR433&gt;0,V433=""),"Financial year missing; ","")&amp;IF(AND(AR433=0,V433&lt;&gt;""),"Financial year given but no service is Yes; ","")&amp;IF(AND(W433="Yes",AN433=""),"GST needs a GSTIN; ","")&amp;IF(AND(W433="Yes",X433=""),"GST return frequency missing; ","")&amp;IF(AND(Y433="Yes",TRIM(H433)=""),"TDS needs a TAN; ","")&amp;IF(AND(AA433="Yes",AQ433&lt;&gt;"",AQ433&lt;&gt;"company",AQ433&lt;&gt;"llp"),"ROC is only for a company / LLP; ","")&amp;IF(AND(AA433="Yes",OR(AQ433="company",AQ433="llp"),TRIM(I433)=""),"ROC needs the CIN / LLPIN; ","")</f>
        <v/>
      </c>
    </row>
    <row r="434">
      <c r="A434" s="30" t="n"/>
      <c r="B434" s="31" t="n"/>
      <c r="C434" s="31" t="n"/>
      <c r="D434" s="31" t="n"/>
      <c r="E434" s="30" t="n"/>
      <c r="F434" s="30" t="n"/>
      <c r="G434" s="30" t="n"/>
      <c r="H434" s="30" t="n"/>
      <c r="I434" s="30" t="n"/>
      <c r="J434" s="32" t="n"/>
      <c r="K434" s="31" t="n"/>
      <c r="L434" s="30" t="n"/>
      <c r="M434" s="31" t="n"/>
      <c r="N434" s="31" t="n"/>
      <c r="O434" s="31" t="n"/>
      <c r="P434" s="30" t="n"/>
      <c r="Q434" s="31" t="n"/>
      <c r="R434" s="31" t="n"/>
      <c r="S434" s="31" t="n"/>
      <c r="T434" s="31" t="n"/>
      <c r="U434" s="30" t="n"/>
      <c r="V434" s="31" t="n"/>
      <c r="W434" s="31" t="n"/>
      <c r="X434" s="31" t="n"/>
      <c r="Y434" s="31" t="n"/>
      <c r="Z434" s="31" t="n"/>
      <c r="AA434" s="31" t="n"/>
      <c r="AB434" s="31" t="n"/>
      <c r="AC434" s="31" t="n"/>
      <c r="AD434" s="31" t="n"/>
      <c r="AE434" s="31" t="n"/>
      <c r="AF434" s="27">
        <f>IF(NOT(COUNTA(A434:AE434)&gt;0),"",IF(A434="","New client","Update"))</f>
        <v/>
      </c>
      <c r="AG434" s="27">
        <f>IF(AO434&lt;&gt;"",AO434,IF(LEN(AN434)=15,MID(AN434,3,10),""))</f>
        <v/>
      </c>
      <c r="AH434" s="27">
        <f>IF(AP434="","",AP434&amp;IF(D434="","  (guessed from PAN)",""))</f>
        <v/>
      </c>
      <c r="AI434" s="27">
        <f>IF(AN434="","",IFERROR(INDEX(Lists!$L$2:$L$38,MATCH(LEFT(AN434,2),Lists!$K$2:$K$38,0)),"Unknown code"))</f>
        <v/>
      </c>
      <c r="AJ434" s="27">
        <f>IF(AN434="","",IFERROR(IF(NOT(AND(LEN(AN434)=15,ISNUMBER(MATCH(LEFT(AN434,2),Lists!$K$2:$K$38,0)),SUMPRODUCT(--ISERROR(FIND(MID(MID(AN434,3,10),{1,2,3,4,5,10},1),"ABCDEFGHIJKLMNOPQRSTUVWXYZ")))=0,SUMPRODUCT(--ISERROR(FIND(MID(MID(AN434,3,10),{6,7,8,9},1),"0123456789")))=0,ISNUMBER(FIND(MID(AN434,13,1),"123456789ABCDEFGHIJKLMNOPQRSTUVWXYZ")),MID(AN434,14,1)="Z")),"Wrong format",IF(MID("0123456789ABCDEFGHIJKLMNOPQRSTUVWXYZ",MOD(36-MOD(SUMPRODUCT(INT((FIND(MID(AN434,{1,2,3,4,5,6,7,8,9,10,11,12,13,14},1),"0123456789ABCDEFGHIJKLMNOPQRSTUVWXYZ")-1)*{1,2,1,2,1,2,1,2,1,2,1,2,1,2}/36)+MOD((FIND(MID(AN434,{1,2,3,4,5,6,7,8,9,10,11,12,13,14},1),"0123456789ABCDEFGHIJKLMNOPQRSTUVWXYZ")-1)*{1,2,1,2,1,2,1,2,1,2,1,2,1,2},36)),36),36)+1,1)=MID(AN434,15,1),"OK","Typo? check digit wrong")),"Wrong format"))</f>
        <v/>
      </c>
      <c r="AK434" s="27">
        <f>IF(AO434="","",IF(AND(LEN(AO434)=10,SUMPRODUCT(--ISERROR(FIND(MID(AO434,{1,2,3,4,5,10},1),"ABCDEFGHIJKLMNOPQRSTUVWXYZ")))=0,SUMPRODUCT(--ISERROR(FIND(MID(AO434,{6,7,8,9},1),"0123456789")))=0),"OK","Wrong format"))</f>
        <v/>
      </c>
      <c r="AL434" s="27">
        <f>IF(TRIM(H434)="","",IF(AND(LEN(UPPER(TRIM(H434)))=10,SUMPRODUCT(--ISERROR(FIND(MID(UPPER(TRIM(H434)),{1,2,3,4,10},1),"ABCDEFGHIJKLMNOPQRSTUVWXYZ")))=0,SUMPRODUCT(--ISERROR(FIND(MID(UPPER(TRIM(H434)),{5,6,7,8,9},1),"0123456789")))=0),"OK","Wrong format"))</f>
        <v/>
      </c>
      <c r="AM434" s="28">
        <f>IF(NOT(COUNTA(A434:AE434)&gt;0),"",IF(AS434&lt;&gt;"","✖ "&amp;LEFT(AS434,LEN(AS434)-2),IF(AR434&gt;0,"✔ Ready — client + "&amp;AR434&amp;" service(s)","✔ Ready — client only")))</f>
        <v/>
      </c>
      <c r="AN434" s="29">
        <f>UPPER(SUBSTITUTE(TRIM(F434)," ",""))</f>
        <v/>
      </c>
      <c r="AO434" s="29">
        <f>UPPER(SUBSTITUTE(TRIM(E434)," ",""))</f>
        <v/>
      </c>
      <c r="AP434" s="29">
        <f>IF(D434&lt;&gt;"",D434,IFERROR(VLOOKUP(MID(AG434,4,1),Lists!$E$2:$F$8,2,FALSE),""))</f>
        <v/>
      </c>
      <c r="AQ434" s="29">
        <f>IFERROR(VLOOKUP(AP434,Lists!$A$2:$C$12,3,FALSE),"")</f>
        <v/>
      </c>
      <c r="AR434" s="29">
        <f>COUNTIF(W434:AC434,"Yes")</f>
        <v/>
      </c>
      <c r="AS434" s="29">
        <f>IF(TRIM(B434)="","Legal name missing; ","")&amp;IF(AND(AJ434&lt;&gt;"",AJ434&lt;&gt;"OK"),"GSTIN: "&amp;AJ434&amp;"; ","")&amp;IF(AND(AK434&lt;&gt;"",AK434&lt;&gt;"OK"),"PAN wrong format; ","")&amp;IF(AND(AO434&lt;&gt;"",LEN(AN434)=15,MID(AN434,3,10)&lt;&gt;AO434),"PAN does not match GSTIN; ","")&amp;IF(AND(AL434&lt;&gt;"",AL434&lt;&gt;"OK"),"TAN wrong format; ","")&amp;IF(AG434="","PAN missing; ","")&amp;IF(AP434="","Entity type missing; ","")&amp;IF(AND(AN434&lt;&gt;"",COUNTIF($AN$6:$AN$1005,AN434)&gt;1),"GSTIN repeated in this sheet; ","")&amp;IF(AND(AG434&lt;&gt;"",COUNTIF($AG$6:$AG$1005,AG434)&gt;1),"PAN repeated in this sheet (same client? put extra GSTINs in Other GSTINs); ","")&amp;IF(AND(AR434&gt;0,V434=""),"Financial year missing; ","")&amp;IF(AND(AR434=0,V434&lt;&gt;""),"Financial year given but no service is Yes; ","")&amp;IF(AND(W434="Yes",AN434=""),"GST needs a GSTIN; ","")&amp;IF(AND(W434="Yes",X434=""),"GST return frequency missing; ","")&amp;IF(AND(Y434="Yes",TRIM(H434)=""),"TDS needs a TAN; ","")&amp;IF(AND(AA434="Yes",AQ434&lt;&gt;"",AQ434&lt;&gt;"company",AQ434&lt;&gt;"llp"),"ROC is only for a company / LLP; ","")&amp;IF(AND(AA434="Yes",OR(AQ434="company",AQ434="llp"),TRIM(I434)=""),"ROC needs the CIN / LLPIN; ","")</f>
        <v/>
      </c>
    </row>
    <row r="435">
      <c r="A435" s="30" t="n"/>
      <c r="B435" s="31" t="n"/>
      <c r="C435" s="31" t="n"/>
      <c r="D435" s="31" t="n"/>
      <c r="E435" s="30" t="n"/>
      <c r="F435" s="30" t="n"/>
      <c r="G435" s="30" t="n"/>
      <c r="H435" s="30" t="n"/>
      <c r="I435" s="30" t="n"/>
      <c r="J435" s="32" t="n"/>
      <c r="K435" s="31" t="n"/>
      <c r="L435" s="30" t="n"/>
      <c r="M435" s="31" t="n"/>
      <c r="N435" s="31" t="n"/>
      <c r="O435" s="31" t="n"/>
      <c r="P435" s="30" t="n"/>
      <c r="Q435" s="31" t="n"/>
      <c r="R435" s="31" t="n"/>
      <c r="S435" s="31" t="n"/>
      <c r="T435" s="31" t="n"/>
      <c r="U435" s="30" t="n"/>
      <c r="V435" s="31" t="n"/>
      <c r="W435" s="31" t="n"/>
      <c r="X435" s="31" t="n"/>
      <c r="Y435" s="31" t="n"/>
      <c r="Z435" s="31" t="n"/>
      <c r="AA435" s="31" t="n"/>
      <c r="AB435" s="31" t="n"/>
      <c r="AC435" s="31" t="n"/>
      <c r="AD435" s="31" t="n"/>
      <c r="AE435" s="31" t="n"/>
      <c r="AF435" s="27">
        <f>IF(NOT(COUNTA(A435:AE435)&gt;0),"",IF(A435="","New client","Update"))</f>
        <v/>
      </c>
      <c r="AG435" s="27">
        <f>IF(AO435&lt;&gt;"",AO435,IF(LEN(AN435)=15,MID(AN435,3,10),""))</f>
        <v/>
      </c>
      <c r="AH435" s="27">
        <f>IF(AP435="","",AP435&amp;IF(D435="","  (guessed from PAN)",""))</f>
        <v/>
      </c>
      <c r="AI435" s="27">
        <f>IF(AN435="","",IFERROR(INDEX(Lists!$L$2:$L$38,MATCH(LEFT(AN435,2),Lists!$K$2:$K$38,0)),"Unknown code"))</f>
        <v/>
      </c>
      <c r="AJ435" s="27">
        <f>IF(AN435="","",IFERROR(IF(NOT(AND(LEN(AN435)=15,ISNUMBER(MATCH(LEFT(AN435,2),Lists!$K$2:$K$38,0)),SUMPRODUCT(--ISERROR(FIND(MID(MID(AN435,3,10),{1,2,3,4,5,10},1),"ABCDEFGHIJKLMNOPQRSTUVWXYZ")))=0,SUMPRODUCT(--ISERROR(FIND(MID(MID(AN435,3,10),{6,7,8,9},1),"0123456789")))=0,ISNUMBER(FIND(MID(AN435,13,1),"123456789ABCDEFGHIJKLMNOPQRSTUVWXYZ")),MID(AN435,14,1)="Z")),"Wrong format",IF(MID("0123456789ABCDEFGHIJKLMNOPQRSTUVWXYZ",MOD(36-MOD(SUMPRODUCT(INT((FIND(MID(AN435,{1,2,3,4,5,6,7,8,9,10,11,12,13,14},1),"0123456789ABCDEFGHIJKLMNOPQRSTUVWXYZ")-1)*{1,2,1,2,1,2,1,2,1,2,1,2,1,2}/36)+MOD((FIND(MID(AN435,{1,2,3,4,5,6,7,8,9,10,11,12,13,14},1),"0123456789ABCDEFGHIJKLMNOPQRSTUVWXYZ")-1)*{1,2,1,2,1,2,1,2,1,2,1,2,1,2},36)),36),36)+1,1)=MID(AN435,15,1),"OK","Typo? check digit wrong")),"Wrong format"))</f>
        <v/>
      </c>
      <c r="AK435" s="27">
        <f>IF(AO435="","",IF(AND(LEN(AO435)=10,SUMPRODUCT(--ISERROR(FIND(MID(AO435,{1,2,3,4,5,10},1),"ABCDEFGHIJKLMNOPQRSTUVWXYZ")))=0,SUMPRODUCT(--ISERROR(FIND(MID(AO435,{6,7,8,9},1),"0123456789")))=0),"OK","Wrong format"))</f>
        <v/>
      </c>
      <c r="AL435" s="27">
        <f>IF(TRIM(H435)="","",IF(AND(LEN(UPPER(TRIM(H435)))=10,SUMPRODUCT(--ISERROR(FIND(MID(UPPER(TRIM(H435)),{1,2,3,4,10},1),"ABCDEFGHIJKLMNOPQRSTUVWXYZ")))=0,SUMPRODUCT(--ISERROR(FIND(MID(UPPER(TRIM(H435)),{5,6,7,8,9},1),"0123456789")))=0),"OK","Wrong format"))</f>
        <v/>
      </c>
      <c r="AM435" s="28">
        <f>IF(NOT(COUNTA(A435:AE435)&gt;0),"",IF(AS435&lt;&gt;"","✖ "&amp;LEFT(AS435,LEN(AS435)-2),IF(AR435&gt;0,"✔ Ready — client + "&amp;AR435&amp;" service(s)","✔ Ready — client only")))</f>
        <v/>
      </c>
      <c r="AN435" s="29">
        <f>UPPER(SUBSTITUTE(TRIM(F435)," ",""))</f>
        <v/>
      </c>
      <c r="AO435" s="29">
        <f>UPPER(SUBSTITUTE(TRIM(E435)," ",""))</f>
        <v/>
      </c>
      <c r="AP435" s="29">
        <f>IF(D435&lt;&gt;"",D435,IFERROR(VLOOKUP(MID(AG435,4,1),Lists!$E$2:$F$8,2,FALSE),""))</f>
        <v/>
      </c>
      <c r="AQ435" s="29">
        <f>IFERROR(VLOOKUP(AP435,Lists!$A$2:$C$12,3,FALSE),"")</f>
        <v/>
      </c>
      <c r="AR435" s="29">
        <f>COUNTIF(W435:AC435,"Yes")</f>
        <v/>
      </c>
      <c r="AS435" s="29">
        <f>IF(TRIM(B435)="","Legal name missing; ","")&amp;IF(AND(AJ435&lt;&gt;"",AJ435&lt;&gt;"OK"),"GSTIN: "&amp;AJ435&amp;"; ","")&amp;IF(AND(AK435&lt;&gt;"",AK435&lt;&gt;"OK"),"PAN wrong format; ","")&amp;IF(AND(AO435&lt;&gt;"",LEN(AN435)=15,MID(AN435,3,10)&lt;&gt;AO435),"PAN does not match GSTIN; ","")&amp;IF(AND(AL435&lt;&gt;"",AL435&lt;&gt;"OK"),"TAN wrong format; ","")&amp;IF(AG435="","PAN missing; ","")&amp;IF(AP435="","Entity type missing; ","")&amp;IF(AND(AN435&lt;&gt;"",COUNTIF($AN$6:$AN$1005,AN435)&gt;1),"GSTIN repeated in this sheet; ","")&amp;IF(AND(AG435&lt;&gt;"",COUNTIF($AG$6:$AG$1005,AG435)&gt;1),"PAN repeated in this sheet (same client? put extra GSTINs in Other GSTINs); ","")&amp;IF(AND(AR435&gt;0,V435=""),"Financial year missing; ","")&amp;IF(AND(AR435=0,V435&lt;&gt;""),"Financial year given but no service is Yes; ","")&amp;IF(AND(W435="Yes",AN435=""),"GST needs a GSTIN; ","")&amp;IF(AND(W435="Yes",X435=""),"GST return frequency missing; ","")&amp;IF(AND(Y435="Yes",TRIM(H435)=""),"TDS needs a TAN; ","")&amp;IF(AND(AA435="Yes",AQ435&lt;&gt;"",AQ435&lt;&gt;"company",AQ435&lt;&gt;"llp"),"ROC is only for a company / LLP; ","")&amp;IF(AND(AA435="Yes",OR(AQ435="company",AQ435="llp"),TRIM(I435)=""),"ROC needs the CIN / LLPIN; ","")</f>
        <v/>
      </c>
    </row>
    <row r="436">
      <c r="A436" s="30" t="n"/>
      <c r="B436" s="31" t="n"/>
      <c r="C436" s="31" t="n"/>
      <c r="D436" s="31" t="n"/>
      <c r="E436" s="30" t="n"/>
      <c r="F436" s="30" t="n"/>
      <c r="G436" s="30" t="n"/>
      <c r="H436" s="30" t="n"/>
      <c r="I436" s="30" t="n"/>
      <c r="J436" s="32" t="n"/>
      <c r="K436" s="31" t="n"/>
      <c r="L436" s="30" t="n"/>
      <c r="M436" s="31" t="n"/>
      <c r="N436" s="31" t="n"/>
      <c r="O436" s="31" t="n"/>
      <c r="P436" s="30" t="n"/>
      <c r="Q436" s="31" t="n"/>
      <c r="R436" s="31" t="n"/>
      <c r="S436" s="31" t="n"/>
      <c r="T436" s="31" t="n"/>
      <c r="U436" s="30" t="n"/>
      <c r="V436" s="31" t="n"/>
      <c r="W436" s="31" t="n"/>
      <c r="X436" s="31" t="n"/>
      <c r="Y436" s="31" t="n"/>
      <c r="Z436" s="31" t="n"/>
      <c r="AA436" s="31" t="n"/>
      <c r="AB436" s="31" t="n"/>
      <c r="AC436" s="31" t="n"/>
      <c r="AD436" s="31" t="n"/>
      <c r="AE436" s="31" t="n"/>
      <c r="AF436" s="27">
        <f>IF(NOT(COUNTA(A436:AE436)&gt;0),"",IF(A436="","New client","Update"))</f>
        <v/>
      </c>
      <c r="AG436" s="27">
        <f>IF(AO436&lt;&gt;"",AO436,IF(LEN(AN436)=15,MID(AN436,3,10),""))</f>
        <v/>
      </c>
      <c r="AH436" s="27">
        <f>IF(AP436="","",AP436&amp;IF(D436="","  (guessed from PAN)",""))</f>
        <v/>
      </c>
      <c r="AI436" s="27">
        <f>IF(AN436="","",IFERROR(INDEX(Lists!$L$2:$L$38,MATCH(LEFT(AN436,2),Lists!$K$2:$K$38,0)),"Unknown code"))</f>
        <v/>
      </c>
      <c r="AJ436" s="27">
        <f>IF(AN436="","",IFERROR(IF(NOT(AND(LEN(AN436)=15,ISNUMBER(MATCH(LEFT(AN436,2),Lists!$K$2:$K$38,0)),SUMPRODUCT(--ISERROR(FIND(MID(MID(AN436,3,10),{1,2,3,4,5,10},1),"ABCDEFGHIJKLMNOPQRSTUVWXYZ")))=0,SUMPRODUCT(--ISERROR(FIND(MID(MID(AN436,3,10),{6,7,8,9},1),"0123456789")))=0,ISNUMBER(FIND(MID(AN436,13,1),"123456789ABCDEFGHIJKLMNOPQRSTUVWXYZ")),MID(AN436,14,1)="Z")),"Wrong format",IF(MID("0123456789ABCDEFGHIJKLMNOPQRSTUVWXYZ",MOD(36-MOD(SUMPRODUCT(INT((FIND(MID(AN436,{1,2,3,4,5,6,7,8,9,10,11,12,13,14},1),"0123456789ABCDEFGHIJKLMNOPQRSTUVWXYZ")-1)*{1,2,1,2,1,2,1,2,1,2,1,2,1,2}/36)+MOD((FIND(MID(AN436,{1,2,3,4,5,6,7,8,9,10,11,12,13,14},1),"0123456789ABCDEFGHIJKLMNOPQRSTUVWXYZ")-1)*{1,2,1,2,1,2,1,2,1,2,1,2,1,2},36)),36),36)+1,1)=MID(AN436,15,1),"OK","Typo? check digit wrong")),"Wrong format"))</f>
        <v/>
      </c>
      <c r="AK436" s="27">
        <f>IF(AO436="","",IF(AND(LEN(AO436)=10,SUMPRODUCT(--ISERROR(FIND(MID(AO436,{1,2,3,4,5,10},1),"ABCDEFGHIJKLMNOPQRSTUVWXYZ")))=0,SUMPRODUCT(--ISERROR(FIND(MID(AO436,{6,7,8,9},1),"0123456789")))=0),"OK","Wrong format"))</f>
        <v/>
      </c>
      <c r="AL436" s="27">
        <f>IF(TRIM(H436)="","",IF(AND(LEN(UPPER(TRIM(H436)))=10,SUMPRODUCT(--ISERROR(FIND(MID(UPPER(TRIM(H436)),{1,2,3,4,10},1),"ABCDEFGHIJKLMNOPQRSTUVWXYZ")))=0,SUMPRODUCT(--ISERROR(FIND(MID(UPPER(TRIM(H436)),{5,6,7,8,9},1),"0123456789")))=0),"OK","Wrong format"))</f>
        <v/>
      </c>
      <c r="AM436" s="28">
        <f>IF(NOT(COUNTA(A436:AE436)&gt;0),"",IF(AS436&lt;&gt;"","✖ "&amp;LEFT(AS436,LEN(AS436)-2),IF(AR436&gt;0,"✔ Ready — client + "&amp;AR436&amp;" service(s)","✔ Ready — client only")))</f>
        <v/>
      </c>
      <c r="AN436" s="29">
        <f>UPPER(SUBSTITUTE(TRIM(F436)," ",""))</f>
        <v/>
      </c>
      <c r="AO436" s="29">
        <f>UPPER(SUBSTITUTE(TRIM(E436)," ",""))</f>
        <v/>
      </c>
      <c r="AP436" s="29">
        <f>IF(D436&lt;&gt;"",D436,IFERROR(VLOOKUP(MID(AG436,4,1),Lists!$E$2:$F$8,2,FALSE),""))</f>
        <v/>
      </c>
      <c r="AQ436" s="29">
        <f>IFERROR(VLOOKUP(AP436,Lists!$A$2:$C$12,3,FALSE),"")</f>
        <v/>
      </c>
      <c r="AR436" s="29">
        <f>COUNTIF(W436:AC436,"Yes")</f>
        <v/>
      </c>
      <c r="AS436" s="29">
        <f>IF(TRIM(B436)="","Legal name missing; ","")&amp;IF(AND(AJ436&lt;&gt;"",AJ436&lt;&gt;"OK"),"GSTIN: "&amp;AJ436&amp;"; ","")&amp;IF(AND(AK436&lt;&gt;"",AK436&lt;&gt;"OK"),"PAN wrong format; ","")&amp;IF(AND(AO436&lt;&gt;"",LEN(AN436)=15,MID(AN436,3,10)&lt;&gt;AO436),"PAN does not match GSTIN; ","")&amp;IF(AND(AL436&lt;&gt;"",AL436&lt;&gt;"OK"),"TAN wrong format; ","")&amp;IF(AG436="","PAN missing; ","")&amp;IF(AP436="","Entity type missing; ","")&amp;IF(AND(AN436&lt;&gt;"",COUNTIF($AN$6:$AN$1005,AN436)&gt;1),"GSTIN repeated in this sheet; ","")&amp;IF(AND(AG436&lt;&gt;"",COUNTIF($AG$6:$AG$1005,AG436)&gt;1),"PAN repeated in this sheet (same client? put extra GSTINs in Other GSTINs); ","")&amp;IF(AND(AR436&gt;0,V436=""),"Financial year missing; ","")&amp;IF(AND(AR436=0,V436&lt;&gt;""),"Financial year given but no service is Yes; ","")&amp;IF(AND(W436="Yes",AN436=""),"GST needs a GSTIN; ","")&amp;IF(AND(W436="Yes",X436=""),"GST return frequency missing; ","")&amp;IF(AND(Y436="Yes",TRIM(H436)=""),"TDS needs a TAN; ","")&amp;IF(AND(AA436="Yes",AQ436&lt;&gt;"",AQ436&lt;&gt;"company",AQ436&lt;&gt;"llp"),"ROC is only for a company / LLP; ","")&amp;IF(AND(AA436="Yes",OR(AQ436="company",AQ436="llp"),TRIM(I436)=""),"ROC needs the CIN / LLPIN; ","")</f>
        <v/>
      </c>
    </row>
    <row r="437">
      <c r="A437" s="30" t="n"/>
      <c r="B437" s="31" t="n"/>
      <c r="C437" s="31" t="n"/>
      <c r="D437" s="31" t="n"/>
      <c r="E437" s="30" t="n"/>
      <c r="F437" s="30" t="n"/>
      <c r="G437" s="30" t="n"/>
      <c r="H437" s="30" t="n"/>
      <c r="I437" s="30" t="n"/>
      <c r="J437" s="32" t="n"/>
      <c r="K437" s="31" t="n"/>
      <c r="L437" s="30" t="n"/>
      <c r="M437" s="31" t="n"/>
      <c r="N437" s="31" t="n"/>
      <c r="O437" s="31" t="n"/>
      <c r="P437" s="30" t="n"/>
      <c r="Q437" s="31" t="n"/>
      <c r="R437" s="31" t="n"/>
      <c r="S437" s="31" t="n"/>
      <c r="T437" s="31" t="n"/>
      <c r="U437" s="30" t="n"/>
      <c r="V437" s="31" t="n"/>
      <c r="W437" s="31" t="n"/>
      <c r="X437" s="31" t="n"/>
      <c r="Y437" s="31" t="n"/>
      <c r="Z437" s="31" t="n"/>
      <c r="AA437" s="31" t="n"/>
      <c r="AB437" s="31" t="n"/>
      <c r="AC437" s="31" t="n"/>
      <c r="AD437" s="31" t="n"/>
      <c r="AE437" s="31" t="n"/>
      <c r="AF437" s="27">
        <f>IF(NOT(COUNTA(A437:AE437)&gt;0),"",IF(A437="","New client","Update"))</f>
        <v/>
      </c>
      <c r="AG437" s="27">
        <f>IF(AO437&lt;&gt;"",AO437,IF(LEN(AN437)=15,MID(AN437,3,10),""))</f>
        <v/>
      </c>
      <c r="AH437" s="27">
        <f>IF(AP437="","",AP437&amp;IF(D437="","  (guessed from PAN)",""))</f>
        <v/>
      </c>
      <c r="AI437" s="27">
        <f>IF(AN437="","",IFERROR(INDEX(Lists!$L$2:$L$38,MATCH(LEFT(AN437,2),Lists!$K$2:$K$38,0)),"Unknown code"))</f>
        <v/>
      </c>
      <c r="AJ437" s="27">
        <f>IF(AN437="","",IFERROR(IF(NOT(AND(LEN(AN437)=15,ISNUMBER(MATCH(LEFT(AN437,2),Lists!$K$2:$K$38,0)),SUMPRODUCT(--ISERROR(FIND(MID(MID(AN437,3,10),{1,2,3,4,5,10},1),"ABCDEFGHIJKLMNOPQRSTUVWXYZ")))=0,SUMPRODUCT(--ISERROR(FIND(MID(MID(AN437,3,10),{6,7,8,9},1),"0123456789")))=0,ISNUMBER(FIND(MID(AN437,13,1),"123456789ABCDEFGHIJKLMNOPQRSTUVWXYZ")),MID(AN437,14,1)="Z")),"Wrong format",IF(MID("0123456789ABCDEFGHIJKLMNOPQRSTUVWXYZ",MOD(36-MOD(SUMPRODUCT(INT((FIND(MID(AN437,{1,2,3,4,5,6,7,8,9,10,11,12,13,14},1),"0123456789ABCDEFGHIJKLMNOPQRSTUVWXYZ")-1)*{1,2,1,2,1,2,1,2,1,2,1,2,1,2}/36)+MOD((FIND(MID(AN437,{1,2,3,4,5,6,7,8,9,10,11,12,13,14},1),"0123456789ABCDEFGHIJKLMNOPQRSTUVWXYZ")-1)*{1,2,1,2,1,2,1,2,1,2,1,2,1,2},36)),36),36)+1,1)=MID(AN437,15,1),"OK","Typo? check digit wrong")),"Wrong format"))</f>
        <v/>
      </c>
      <c r="AK437" s="27">
        <f>IF(AO437="","",IF(AND(LEN(AO437)=10,SUMPRODUCT(--ISERROR(FIND(MID(AO437,{1,2,3,4,5,10},1),"ABCDEFGHIJKLMNOPQRSTUVWXYZ")))=0,SUMPRODUCT(--ISERROR(FIND(MID(AO437,{6,7,8,9},1),"0123456789")))=0),"OK","Wrong format"))</f>
        <v/>
      </c>
      <c r="AL437" s="27">
        <f>IF(TRIM(H437)="","",IF(AND(LEN(UPPER(TRIM(H437)))=10,SUMPRODUCT(--ISERROR(FIND(MID(UPPER(TRIM(H437)),{1,2,3,4,10},1),"ABCDEFGHIJKLMNOPQRSTUVWXYZ")))=0,SUMPRODUCT(--ISERROR(FIND(MID(UPPER(TRIM(H437)),{5,6,7,8,9},1),"0123456789")))=0),"OK","Wrong format"))</f>
        <v/>
      </c>
      <c r="AM437" s="28">
        <f>IF(NOT(COUNTA(A437:AE437)&gt;0),"",IF(AS437&lt;&gt;"","✖ "&amp;LEFT(AS437,LEN(AS437)-2),IF(AR437&gt;0,"✔ Ready — client + "&amp;AR437&amp;" service(s)","✔ Ready — client only")))</f>
        <v/>
      </c>
      <c r="AN437" s="29">
        <f>UPPER(SUBSTITUTE(TRIM(F437)," ",""))</f>
        <v/>
      </c>
      <c r="AO437" s="29">
        <f>UPPER(SUBSTITUTE(TRIM(E437)," ",""))</f>
        <v/>
      </c>
      <c r="AP437" s="29">
        <f>IF(D437&lt;&gt;"",D437,IFERROR(VLOOKUP(MID(AG437,4,1),Lists!$E$2:$F$8,2,FALSE),""))</f>
        <v/>
      </c>
      <c r="AQ437" s="29">
        <f>IFERROR(VLOOKUP(AP437,Lists!$A$2:$C$12,3,FALSE),"")</f>
        <v/>
      </c>
      <c r="AR437" s="29">
        <f>COUNTIF(W437:AC437,"Yes")</f>
        <v/>
      </c>
      <c r="AS437" s="29">
        <f>IF(TRIM(B437)="","Legal name missing; ","")&amp;IF(AND(AJ437&lt;&gt;"",AJ437&lt;&gt;"OK"),"GSTIN: "&amp;AJ437&amp;"; ","")&amp;IF(AND(AK437&lt;&gt;"",AK437&lt;&gt;"OK"),"PAN wrong format; ","")&amp;IF(AND(AO437&lt;&gt;"",LEN(AN437)=15,MID(AN437,3,10)&lt;&gt;AO437),"PAN does not match GSTIN; ","")&amp;IF(AND(AL437&lt;&gt;"",AL437&lt;&gt;"OK"),"TAN wrong format; ","")&amp;IF(AG437="","PAN missing; ","")&amp;IF(AP437="","Entity type missing; ","")&amp;IF(AND(AN437&lt;&gt;"",COUNTIF($AN$6:$AN$1005,AN437)&gt;1),"GSTIN repeated in this sheet; ","")&amp;IF(AND(AG437&lt;&gt;"",COUNTIF($AG$6:$AG$1005,AG437)&gt;1),"PAN repeated in this sheet (same client? put extra GSTINs in Other GSTINs); ","")&amp;IF(AND(AR437&gt;0,V437=""),"Financial year missing; ","")&amp;IF(AND(AR437=0,V437&lt;&gt;""),"Financial year given but no service is Yes; ","")&amp;IF(AND(W437="Yes",AN437=""),"GST needs a GSTIN; ","")&amp;IF(AND(W437="Yes",X437=""),"GST return frequency missing; ","")&amp;IF(AND(Y437="Yes",TRIM(H437)=""),"TDS needs a TAN; ","")&amp;IF(AND(AA437="Yes",AQ437&lt;&gt;"",AQ437&lt;&gt;"company",AQ437&lt;&gt;"llp"),"ROC is only for a company / LLP; ","")&amp;IF(AND(AA437="Yes",OR(AQ437="company",AQ437="llp"),TRIM(I437)=""),"ROC needs the CIN / LLPIN; ","")</f>
        <v/>
      </c>
    </row>
    <row r="438">
      <c r="A438" s="30" t="n"/>
      <c r="B438" s="31" t="n"/>
      <c r="C438" s="31" t="n"/>
      <c r="D438" s="31" t="n"/>
      <c r="E438" s="30" t="n"/>
      <c r="F438" s="30" t="n"/>
      <c r="G438" s="30" t="n"/>
      <c r="H438" s="30" t="n"/>
      <c r="I438" s="30" t="n"/>
      <c r="J438" s="32" t="n"/>
      <c r="K438" s="31" t="n"/>
      <c r="L438" s="30" t="n"/>
      <c r="M438" s="31" t="n"/>
      <c r="N438" s="31" t="n"/>
      <c r="O438" s="31" t="n"/>
      <c r="P438" s="30" t="n"/>
      <c r="Q438" s="31" t="n"/>
      <c r="R438" s="31" t="n"/>
      <c r="S438" s="31" t="n"/>
      <c r="T438" s="31" t="n"/>
      <c r="U438" s="30" t="n"/>
      <c r="V438" s="31" t="n"/>
      <c r="W438" s="31" t="n"/>
      <c r="X438" s="31" t="n"/>
      <c r="Y438" s="31" t="n"/>
      <c r="Z438" s="31" t="n"/>
      <c r="AA438" s="31" t="n"/>
      <c r="AB438" s="31" t="n"/>
      <c r="AC438" s="31" t="n"/>
      <c r="AD438" s="31" t="n"/>
      <c r="AE438" s="31" t="n"/>
      <c r="AF438" s="27">
        <f>IF(NOT(COUNTA(A438:AE438)&gt;0),"",IF(A438="","New client","Update"))</f>
        <v/>
      </c>
      <c r="AG438" s="27">
        <f>IF(AO438&lt;&gt;"",AO438,IF(LEN(AN438)=15,MID(AN438,3,10),""))</f>
        <v/>
      </c>
      <c r="AH438" s="27">
        <f>IF(AP438="","",AP438&amp;IF(D438="","  (guessed from PAN)",""))</f>
        <v/>
      </c>
      <c r="AI438" s="27">
        <f>IF(AN438="","",IFERROR(INDEX(Lists!$L$2:$L$38,MATCH(LEFT(AN438,2),Lists!$K$2:$K$38,0)),"Unknown code"))</f>
        <v/>
      </c>
      <c r="AJ438" s="27">
        <f>IF(AN438="","",IFERROR(IF(NOT(AND(LEN(AN438)=15,ISNUMBER(MATCH(LEFT(AN438,2),Lists!$K$2:$K$38,0)),SUMPRODUCT(--ISERROR(FIND(MID(MID(AN438,3,10),{1,2,3,4,5,10},1),"ABCDEFGHIJKLMNOPQRSTUVWXYZ")))=0,SUMPRODUCT(--ISERROR(FIND(MID(MID(AN438,3,10),{6,7,8,9},1),"0123456789")))=0,ISNUMBER(FIND(MID(AN438,13,1),"123456789ABCDEFGHIJKLMNOPQRSTUVWXYZ")),MID(AN438,14,1)="Z")),"Wrong format",IF(MID("0123456789ABCDEFGHIJKLMNOPQRSTUVWXYZ",MOD(36-MOD(SUMPRODUCT(INT((FIND(MID(AN438,{1,2,3,4,5,6,7,8,9,10,11,12,13,14},1),"0123456789ABCDEFGHIJKLMNOPQRSTUVWXYZ")-1)*{1,2,1,2,1,2,1,2,1,2,1,2,1,2}/36)+MOD((FIND(MID(AN438,{1,2,3,4,5,6,7,8,9,10,11,12,13,14},1),"0123456789ABCDEFGHIJKLMNOPQRSTUVWXYZ")-1)*{1,2,1,2,1,2,1,2,1,2,1,2,1,2},36)),36),36)+1,1)=MID(AN438,15,1),"OK","Typo? check digit wrong")),"Wrong format"))</f>
        <v/>
      </c>
      <c r="AK438" s="27">
        <f>IF(AO438="","",IF(AND(LEN(AO438)=10,SUMPRODUCT(--ISERROR(FIND(MID(AO438,{1,2,3,4,5,10},1),"ABCDEFGHIJKLMNOPQRSTUVWXYZ")))=0,SUMPRODUCT(--ISERROR(FIND(MID(AO438,{6,7,8,9},1),"0123456789")))=0),"OK","Wrong format"))</f>
        <v/>
      </c>
      <c r="AL438" s="27">
        <f>IF(TRIM(H438)="","",IF(AND(LEN(UPPER(TRIM(H438)))=10,SUMPRODUCT(--ISERROR(FIND(MID(UPPER(TRIM(H438)),{1,2,3,4,10},1),"ABCDEFGHIJKLMNOPQRSTUVWXYZ")))=0,SUMPRODUCT(--ISERROR(FIND(MID(UPPER(TRIM(H438)),{5,6,7,8,9},1),"0123456789")))=0),"OK","Wrong format"))</f>
        <v/>
      </c>
      <c r="AM438" s="28">
        <f>IF(NOT(COUNTA(A438:AE438)&gt;0),"",IF(AS438&lt;&gt;"","✖ "&amp;LEFT(AS438,LEN(AS438)-2),IF(AR438&gt;0,"✔ Ready — client + "&amp;AR438&amp;" service(s)","✔ Ready — client only")))</f>
        <v/>
      </c>
      <c r="AN438" s="29">
        <f>UPPER(SUBSTITUTE(TRIM(F438)," ",""))</f>
        <v/>
      </c>
      <c r="AO438" s="29">
        <f>UPPER(SUBSTITUTE(TRIM(E438)," ",""))</f>
        <v/>
      </c>
      <c r="AP438" s="29">
        <f>IF(D438&lt;&gt;"",D438,IFERROR(VLOOKUP(MID(AG438,4,1),Lists!$E$2:$F$8,2,FALSE),""))</f>
        <v/>
      </c>
      <c r="AQ438" s="29">
        <f>IFERROR(VLOOKUP(AP438,Lists!$A$2:$C$12,3,FALSE),"")</f>
        <v/>
      </c>
      <c r="AR438" s="29">
        <f>COUNTIF(W438:AC438,"Yes")</f>
        <v/>
      </c>
      <c r="AS438" s="29">
        <f>IF(TRIM(B438)="","Legal name missing; ","")&amp;IF(AND(AJ438&lt;&gt;"",AJ438&lt;&gt;"OK"),"GSTIN: "&amp;AJ438&amp;"; ","")&amp;IF(AND(AK438&lt;&gt;"",AK438&lt;&gt;"OK"),"PAN wrong format; ","")&amp;IF(AND(AO438&lt;&gt;"",LEN(AN438)=15,MID(AN438,3,10)&lt;&gt;AO438),"PAN does not match GSTIN; ","")&amp;IF(AND(AL438&lt;&gt;"",AL438&lt;&gt;"OK"),"TAN wrong format; ","")&amp;IF(AG438="","PAN missing; ","")&amp;IF(AP438="","Entity type missing; ","")&amp;IF(AND(AN438&lt;&gt;"",COUNTIF($AN$6:$AN$1005,AN438)&gt;1),"GSTIN repeated in this sheet; ","")&amp;IF(AND(AG438&lt;&gt;"",COUNTIF($AG$6:$AG$1005,AG438)&gt;1),"PAN repeated in this sheet (same client? put extra GSTINs in Other GSTINs); ","")&amp;IF(AND(AR438&gt;0,V438=""),"Financial year missing; ","")&amp;IF(AND(AR438=0,V438&lt;&gt;""),"Financial year given but no service is Yes; ","")&amp;IF(AND(W438="Yes",AN438=""),"GST needs a GSTIN; ","")&amp;IF(AND(W438="Yes",X438=""),"GST return frequency missing; ","")&amp;IF(AND(Y438="Yes",TRIM(H438)=""),"TDS needs a TAN; ","")&amp;IF(AND(AA438="Yes",AQ438&lt;&gt;"",AQ438&lt;&gt;"company",AQ438&lt;&gt;"llp"),"ROC is only for a company / LLP; ","")&amp;IF(AND(AA438="Yes",OR(AQ438="company",AQ438="llp"),TRIM(I438)=""),"ROC needs the CIN / LLPIN; ","")</f>
        <v/>
      </c>
    </row>
    <row r="439">
      <c r="A439" s="30" t="n"/>
      <c r="B439" s="31" t="n"/>
      <c r="C439" s="31" t="n"/>
      <c r="D439" s="31" t="n"/>
      <c r="E439" s="30" t="n"/>
      <c r="F439" s="30" t="n"/>
      <c r="G439" s="30" t="n"/>
      <c r="H439" s="30" t="n"/>
      <c r="I439" s="30" t="n"/>
      <c r="J439" s="32" t="n"/>
      <c r="K439" s="31" t="n"/>
      <c r="L439" s="30" t="n"/>
      <c r="M439" s="31" t="n"/>
      <c r="N439" s="31" t="n"/>
      <c r="O439" s="31" t="n"/>
      <c r="P439" s="30" t="n"/>
      <c r="Q439" s="31" t="n"/>
      <c r="R439" s="31" t="n"/>
      <c r="S439" s="31" t="n"/>
      <c r="T439" s="31" t="n"/>
      <c r="U439" s="30" t="n"/>
      <c r="V439" s="31" t="n"/>
      <c r="W439" s="31" t="n"/>
      <c r="X439" s="31" t="n"/>
      <c r="Y439" s="31" t="n"/>
      <c r="Z439" s="31" t="n"/>
      <c r="AA439" s="31" t="n"/>
      <c r="AB439" s="31" t="n"/>
      <c r="AC439" s="31" t="n"/>
      <c r="AD439" s="31" t="n"/>
      <c r="AE439" s="31" t="n"/>
      <c r="AF439" s="27">
        <f>IF(NOT(COUNTA(A439:AE439)&gt;0),"",IF(A439="","New client","Update"))</f>
        <v/>
      </c>
      <c r="AG439" s="27">
        <f>IF(AO439&lt;&gt;"",AO439,IF(LEN(AN439)=15,MID(AN439,3,10),""))</f>
        <v/>
      </c>
      <c r="AH439" s="27">
        <f>IF(AP439="","",AP439&amp;IF(D439="","  (guessed from PAN)",""))</f>
        <v/>
      </c>
      <c r="AI439" s="27">
        <f>IF(AN439="","",IFERROR(INDEX(Lists!$L$2:$L$38,MATCH(LEFT(AN439,2),Lists!$K$2:$K$38,0)),"Unknown code"))</f>
        <v/>
      </c>
      <c r="AJ439" s="27">
        <f>IF(AN439="","",IFERROR(IF(NOT(AND(LEN(AN439)=15,ISNUMBER(MATCH(LEFT(AN439,2),Lists!$K$2:$K$38,0)),SUMPRODUCT(--ISERROR(FIND(MID(MID(AN439,3,10),{1,2,3,4,5,10},1),"ABCDEFGHIJKLMNOPQRSTUVWXYZ")))=0,SUMPRODUCT(--ISERROR(FIND(MID(MID(AN439,3,10),{6,7,8,9},1),"0123456789")))=0,ISNUMBER(FIND(MID(AN439,13,1),"123456789ABCDEFGHIJKLMNOPQRSTUVWXYZ")),MID(AN439,14,1)="Z")),"Wrong format",IF(MID("0123456789ABCDEFGHIJKLMNOPQRSTUVWXYZ",MOD(36-MOD(SUMPRODUCT(INT((FIND(MID(AN439,{1,2,3,4,5,6,7,8,9,10,11,12,13,14},1),"0123456789ABCDEFGHIJKLMNOPQRSTUVWXYZ")-1)*{1,2,1,2,1,2,1,2,1,2,1,2,1,2}/36)+MOD((FIND(MID(AN439,{1,2,3,4,5,6,7,8,9,10,11,12,13,14},1),"0123456789ABCDEFGHIJKLMNOPQRSTUVWXYZ")-1)*{1,2,1,2,1,2,1,2,1,2,1,2,1,2},36)),36),36)+1,1)=MID(AN439,15,1),"OK","Typo? check digit wrong")),"Wrong format"))</f>
        <v/>
      </c>
      <c r="AK439" s="27">
        <f>IF(AO439="","",IF(AND(LEN(AO439)=10,SUMPRODUCT(--ISERROR(FIND(MID(AO439,{1,2,3,4,5,10},1),"ABCDEFGHIJKLMNOPQRSTUVWXYZ")))=0,SUMPRODUCT(--ISERROR(FIND(MID(AO439,{6,7,8,9},1),"0123456789")))=0),"OK","Wrong format"))</f>
        <v/>
      </c>
      <c r="AL439" s="27">
        <f>IF(TRIM(H439)="","",IF(AND(LEN(UPPER(TRIM(H439)))=10,SUMPRODUCT(--ISERROR(FIND(MID(UPPER(TRIM(H439)),{1,2,3,4,10},1),"ABCDEFGHIJKLMNOPQRSTUVWXYZ")))=0,SUMPRODUCT(--ISERROR(FIND(MID(UPPER(TRIM(H439)),{5,6,7,8,9},1),"0123456789")))=0),"OK","Wrong format"))</f>
        <v/>
      </c>
      <c r="AM439" s="28">
        <f>IF(NOT(COUNTA(A439:AE439)&gt;0),"",IF(AS439&lt;&gt;"","✖ "&amp;LEFT(AS439,LEN(AS439)-2),IF(AR439&gt;0,"✔ Ready — client + "&amp;AR439&amp;" service(s)","✔ Ready — client only")))</f>
        <v/>
      </c>
      <c r="AN439" s="29">
        <f>UPPER(SUBSTITUTE(TRIM(F439)," ",""))</f>
        <v/>
      </c>
      <c r="AO439" s="29">
        <f>UPPER(SUBSTITUTE(TRIM(E439)," ",""))</f>
        <v/>
      </c>
      <c r="AP439" s="29">
        <f>IF(D439&lt;&gt;"",D439,IFERROR(VLOOKUP(MID(AG439,4,1),Lists!$E$2:$F$8,2,FALSE),""))</f>
        <v/>
      </c>
      <c r="AQ439" s="29">
        <f>IFERROR(VLOOKUP(AP439,Lists!$A$2:$C$12,3,FALSE),"")</f>
        <v/>
      </c>
      <c r="AR439" s="29">
        <f>COUNTIF(W439:AC439,"Yes")</f>
        <v/>
      </c>
      <c r="AS439" s="29">
        <f>IF(TRIM(B439)="","Legal name missing; ","")&amp;IF(AND(AJ439&lt;&gt;"",AJ439&lt;&gt;"OK"),"GSTIN: "&amp;AJ439&amp;"; ","")&amp;IF(AND(AK439&lt;&gt;"",AK439&lt;&gt;"OK"),"PAN wrong format; ","")&amp;IF(AND(AO439&lt;&gt;"",LEN(AN439)=15,MID(AN439,3,10)&lt;&gt;AO439),"PAN does not match GSTIN; ","")&amp;IF(AND(AL439&lt;&gt;"",AL439&lt;&gt;"OK"),"TAN wrong format; ","")&amp;IF(AG439="","PAN missing; ","")&amp;IF(AP439="","Entity type missing; ","")&amp;IF(AND(AN439&lt;&gt;"",COUNTIF($AN$6:$AN$1005,AN439)&gt;1),"GSTIN repeated in this sheet; ","")&amp;IF(AND(AG439&lt;&gt;"",COUNTIF($AG$6:$AG$1005,AG439)&gt;1),"PAN repeated in this sheet (same client? put extra GSTINs in Other GSTINs); ","")&amp;IF(AND(AR439&gt;0,V439=""),"Financial year missing; ","")&amp;IF(AND(AR439=0,V439&lt;&gt;""),"Financial year given but no service is Yes; ","")&amp;IF(AND(W439="Yes",AN439=""),"GST needs a GSTIN; ","")&amp;IF(AND(W439="Yes",X439=""),"GST return frequency missing; ","")&amp;IF(AND(Y439="Yes",TRIM(H439)=""),"TDS needs a TAN; ","")&amp;IF(AND(AA439="Yes",AQ439&lt;&gt;"",AQ439&lt;&gt;"company",AQ439&lt;&gt;"llp"),"ROC is only for a company / LLP; ","")&amp;IF(AND(AA439="Yes",OR(AQ439="company",AQ439="llp"),TRIM(I439)=""),"ROC needs the CIN / LLPIN; ","")</f>
        <v/>
      </c>
    </row>
    <row r="440">
      <c r="A440" s="30" t="n"/>
      <c r="B440" s="31" t="n"/>
      <c r="C440" s="31" t="n"/>
      <c r="D440" s="31" t="n"/>
      <c r="E440" s="30" t="n"/>
      <c r="F440" s="30" t="n"/>
      <c r="G440" s="30" t="n"/>
      <c r="H440" s="30" t="n"/>
      <c r="I440" s="30" t="n"/>
      <c r="J440" s="32" t="n"/>
      <c r="K440" s="31" t="n"/>
      <c r="L440" s="30" t="n"/>
      <c r="M440" s="31" t="n"/>
      <c r="N440" s="31" t="n"/>
      <c r="O440" s="31" t="n"/>
      <c r="P440" s="30" t="n"/>
      <c r="Q440" s="31" t="n"/>
      <c r="R440" s="31" t="n"/>
      <c r="S440" s="31" t="n"/>
      <c r="T440" s="31" t="n"/>
      <c r="U440" s="30" t="n"/>
      <c r="V440" s="31" t="n"/>
      <c r="W440" s="31" t="n"/>
      <c r="X440" s="31" t="n"/>
      <c r="Y440" s="31" t="n"/>
      <c r="Z440" s="31" t="n"/>
      <c r="AA440" s="31" t="n"/>
      <c r="AB440" s="31" t="n"/>
      <c r="AC440" s="31" t="n"/>
      <c r="AD440" s="31" t="n"/>
      <c r="AE440" s="31" t="n"/>
      <c r="AF440" s="27">
        <f>IF(NOT(COUNTA(A440:AE440)&gt;0),"",IF(A440="","New client","Update"))</f>
        <v/>
      </c>
      <c r="AG440" s="27">
        <f>IF(AO440&lt;&gt;"",AO440,IF(LEN(AN440)=15,MID(AN440,3,10),""))</f>
        <v/>
      </c>
      <c r="AH440" s="27">
        <f>IF(AP440="","",AP440&amp;IF(D440="","  (guessed from PAN)",""))</f>
        <v/>
      </c>
      <c r="AI440" s="27">
        <f>IF(AN440="","",IFERROR(INDEX(Lists!$L$2:$L$38,MATCH(LEFT(AN440,2),Lists!$K$2:$K$38,0)),"Unknown code"))</f>
        <v/>
      </c>
      <c r="AJ440" s="27">
        <f>IF(AN440="","",IFERROR(IF(NOT(AND(LEN(AN440)=15,ISNUMBER(MATCH(LEFT(AN440,2),Lists!$K$2:$K$38,0)),SUMPRODUCT(--ISERROR(FIND(MID(MID(AN440,3,10),{1,2,3,4,5,10},1),"ABCDEFGHIJKLMNOPQRSTUVWXYZ")))=0,SUMPRODUCT(--ISERROR(FIND(MID(MID(AN440,3,10),{6,7,8,9},1),"0123456789")))=0,ISNUMBER(FIND(MID(AN440,13,1),"123456789ABCDEFGHIJKLMNOPQRSTUVWXYZ")),MID(AN440,14,1)="Z")),"Wrong format",IF(MID("0123456789ABCDEFGHIJKLMNOPQRSTUVWXYZ",MOD(36-MOD(SUMPRODUCT(INT((FIND(MID(AN440,{1,2,3,4,5,6,7,8,9,10,11,12,13,14},1),"0123456789ABCDEFGHIJKLMNOPQRSTUVWXYZ")-1)*{1,2,1,2,1,2,1,2,1,2,1,2,1,2}/36)+MOD((FIND(MID(AN440,{1,2,3,4,5,6,7,8,9,10,11,12,13,14},1),"0123456789ABCDEFGHIJKLMNOPQRSTUVWXYZ")-1)*{1,2,1,2,1,2,1,2,1,2,1,2,1,2},36)),36),36)+1,1)=MID(AN440,15,1),"OK","Typo? check digit wrong")),"Wrong format"))</f>
        <v/>
      </c>
      <c r="AK440" s="27">
        <f>IF(AO440="","",IF(AND(LEN(AO440)=10,SUMPRODUCT(--ISERROR(FIND(MID(AO440,{1,2,3,4,5,10},1),"ABCDEFGHIJKLMNOPQRSTUVWXYZ")))=0,SUMPRODUCT(--ISERROR(FIND(MID(AO440,{6,7,8,9},1),"0123456789")))=0),"OK","Wrong format"))</f>
        <v/>
      </c>
      <c r="AL440" s="27">
        <f>IF(TRIM(H440)="","",IF(AND(LEN(UPPER(TRIM(H440)))=10,SUMPRODUCT(--ISERROR(FIND(MID(UPPER(TRIM(H440)),{1,2,3,4,10},1),"ABCDEFGHIJKLMNOPQRSTUVWXYZ")))=0,SUMPRODUCT(--ISERROR(FIND(MID(UPPER(TRIM(H440)),{5,6,7,8,9},1),"0123456789")))=0),"OK","Wrong format"))</f>
        <v/>
      </c>
      <c r="AM440" s="28">
        <f>IF(NOT(COUNTA(A440:AE440)&gt;0),"",IF(AS440&lt;&gt;"","✖ "&amp;LEFT(AS440,LEN(AS440)-2),IF(AR440&gt;0,"✔ Ready — client + "&amp;AR440&amp;" service(s)","✔ Ready — client only")))</f>
        <v/>
      </c>
      <c r="AN440" s="29">
        <f>UPPER(SUBSTITUTE(TRIM(F440)," ",""))</f>
        <v/>
      </c>
      <c r="AO440" s="29">
        <f>UPPER(SUBSTITUTE(TRIM(E440)," ",""))</f>
        <v/>
      </c>
      <c r="AP440" s="29">
        <f>IF(D440&lt;&gt;"",D440,IFERROR(VLOOKUP(MID(AG440,4,1),Lists!$E$2:$F$8,2,FALSE),""))</f>
        <v/>
      </c>
      <c r="AQ440" s="29">
        <f>IFERROR(VLOOKUP(AP440,Lists!$A$2:$C$12,3,FALSE),"")</f>
        <v/>
      </c>
      <c r="AR440" s="29">
        <f>COUNTIF(W440:AC440,"Yes")</f>
        <v/>
      </c>
      <c r="AS440" s="29">
        <f>IF(TRIM(B440)="","Legal name missing; ","")&amp;IF(AND(AJ440&lt;&gt;"",AJ440&lt;&gt;"OK"),"GSTIN: "&amp;AJ440&amp;"; ","")&amp;IF(AND(AK440&lt;&gt;"",AK440&lt;&gt;"OK"),"PAN wrong format; ","")&amp;IF(AND(AO440&lt;&gt;"",LEN(AN440)=15,MID(AN440,3,10)&lt;&gt;AO440),"PAN does not match GSTIN; ","")&amp;IF(AND(AL440&lt;&gt;"",AL440&lt;&gt;"OK"),"TAN wrong format; ","")&amp;IF(AG440="","PAN missing; ","")&amp;IF(AP440="","Entity type missing; ","")&amp;IF(AND(AN440&lt;&gt;"",COUNTIF($AN$6:$AN$1005,AN440)&gt;1),"GSTIN repeated in this sheet; ","")&amp;IF(AND(AG440&lt;&gt;"",COUNTIF($AG$6:$AG$1005,AG440)&gt;1),"PAN repeated in this sheet (same client? put extra GSTINs in Other GSTINs); ","")&amp;IF(AND(AR440&gt;0,V440=""),"Financial year missing; ","")&amp;IF(AND(AR440=0,V440&lt;&gt;""),"Financial year given but no service is Yes; ","")&amp;IF(AND(W440="Yes",AN440=""),"GST needs a GSTIN; ","")&amp;IF(AND(W440="Yes",X440=""),"GST return frequency missing; ","")&amp;IF(AND(Y440="Yes",TRIM(H440)=""),"TDS needs a TAN; ","")&amp;IF(AND(AA440="Yes",AQ440&lt;&gt;"",AQ440&lt;&gt;"company",AQ440&lt;&gt;"llp"),"ROC is only for a company / LLP; ","")&amp;IF(AND(AA440="Yes",OR(AQ440="company",AQ440="llp"),TRIM(I440)=""),"ROC needs the CIN / LLPIN; ","")</f>
        <v/>
      </c>
    </row>
    <row r="441">
      <c r="A441" s="30" t="n"/>
      <c r="B441" s="31" t="n"/>
      <c r="C441" s="31" t="n"/>
      <c r="D441" s="31" t="n"/>
      <c r="E441" s="30" t="n"/>
      <c r="F441" s="30" t="n"/>
      <c r="G441" s="30" t="n"/>
      <c r="H441" s="30" t="n"/>
      <c r="I441" s="30" t="n"/>
      <c r="J441" s="32" t="n"/>
      <c r="K441" s="31" t="n"/>
      <c r="L441" s="30" t="n"/>
      <c r="M441" s="31" t="n"/>
      <c r="N441" s="31" t="n"/>
      <c r="O441" s="31" t="n"/>
      <c r="P441" s="30" t="n"/>
      <c r="Q441" s="31" t="n"/>
      <c r="R441" s="31" t="n"/>
      <c r="S441" s="31" t="n"/>
      <c r="T441" s="31" t="n"/>
      <c r="U441" s="30" t="n"/>
      <c r="V441" s="31" t="n"/>
      <c r="W441" s="31" t="n"/>
      <c r="X441" s="31" t="n"/>
      <c r="Y441" s="31" t="n"/>
      <c r="Z441" s="31" t="n"/>
      <c r="AA441" s="31" t="n"/>
      <c r="AB441" s="31" t="n"/>
      <c r="AC441" s="31" t="n"/>
      <c r="AD441" s="31" t="n"/>
      <c r="AE441" s="31" t="n"/>
      <c r="AF441" s="27">
        <f>IF(NOT(COUNTA(A441:AE441)&gt;0),"",IF(A441="","New client","Update"))</f>
        <v/>
      </c>
      <c r="AG441" s="27">
        <f>IF(AO441&lt;&gt;"",AO441,IF(LEN(AN441)=15,MID(AN441,3,10),""))</f>
        <v/>
      </c>
      <c r="AH441" s="27">
        <f>IF(AP441="","",AP441&amp;IF(D441="","  (guessed from PAN)",""))</f>
        <v/>
      </c>
      <c r="AI441" s="27">
        <f>IF(AN441="","",IFERROR(INDEX(Lists!$L$2:$L$38,MATCH(LEFT(AN441,2),Lists!$K$2:$K$38,0)),"Unknown code"))</f>
        <v/>
      </c>
      <c r="AJ441" s="27">
        <f>IF(AN441="","",IFERROR(IF(NOT(AND(LEN(AN441)=15,ISNUMBER(MATCH(LEFT(AN441,2),Lists!$K$2:$K$38,0)),SUMPRODUCT(--ISERROR(FIND(MID(MID(AN441,3,10),{1,2,3,4,5,10},1),"ABCDEFGHIJKLMNOPQRSTUVWXYZ")))=0,SUMPRODUCT(--ISERROR(FIND(MID(MID(AN441,3,10),{6,7,8,9},1),"0123456789")))=0,ISNUMBER(FIND(MID(AN441,13,1),"123456789ABCDEFGHIJKLMNOPQRSTUVWXYZ")),MID(AN441,14,1)="Z")),"Wrong format",IF(MID("0123456789ABCDEFGHIJKLMNOPQRSTUVWXYZ",MOD(36-MOD(SUMPRODUCT(INT((FIND(MID(AN441,{1,2,3,4,5,6,7,8,9,10,11,12,13,14},1),"0123456789ABCDEFGHIJKLMNOPQRSTUVWXYZ")-1)*{1,2,1,2,1,2,1,2,1,2,1,2,1,2}/36)+MOD((FIND(MID(AN441,{1,2,3,4,5,6,7,8,9,10,11,12,13,14},1),"0123456789ABCDEFGHIJKLMNOPQRSTUVWXYZ")-1)*{1,2,1,2,1,2,1,2,1,2,1,2,1,2},36)),36),36)+1,1)=MID(AN441,15,1),"OK","Typo? check digit wrong")),"Wrong format"))</f>
        <v/>
      </c>
      <c r="AK441" s="27">
        <f>IF(AO441="","",IF(AND(LEN(AO441)=10,SUMPRODUCT(--ISERROR(FIND(MID(AO441,{1,2,3,4,5,10},1),"ABCDEFGHIJKLMNOPQRSTUVWXYZ")))=0,SUMPRODUCT(--ISERROR(FIND(MID(AO441,{6,7,8,9},1),"0123456789")))=0),"OK","Wrong format"))</f>
        <v/>
      </c>
      <c r="AL441" s="27">
        <f>IF(TRIM(H441)="","",IF(AND(LEN(UPPER(TRIM(H441)))=10,SUMPRODUCT(--ISERROR(FIND(MID(UPPER(TRIM(H441)),{1,2,3,4,10},1),"ABCDEFGHIJKLMNOPQRSTUVWXYZ")))=0,SUMPRODUCT(--ISERROR(FIND(MID(UPPER(TRIM(H441)),{5,6,7,8,9},1),"0123456789")))=0),"OK","Wrong format"))</f>
        <v/>
      </c>
      <c r="AM441" s="28">
        <f>IF(NOT(COUNTA(A441:AE441)&gt;0),"",IF(AS441&lt;&gt;"","✖ "&amp;LEFT(AS441,LEN(AS441)-2),IF(AR441&gt;0,"✔ Ready — client + "&amp;AR441&amp;" service(s)","✔ Ready — client only")))</f>
        <v/>
      </c>
      <c r="AN441" s="29">
        <f>UPPER(SUBSTITUTE(TRIM(F441)," ",""))</f>
        <v/>
      </c>
      <c r="AO441" s="29">
        <f>UPPER(SUBSTITUTE(TRIM(E441)," ",""))</f>
        <v/>
      </c>
      <c r="AP441" s="29">
        <f>IF(D441&lt;&gt;"",D441,IFERROR(VLOOKUP(MID(AG441,4,1),Lists!$E$2:$F$8,2,FALSE),""))</f>
        <v/>
      </c>
      <c r="AQ441" s="29">
        <f>IFERROR(VLOOKUP(AP441,Lists!$A$2:$C$12,3,FALSE),"")</f>
        <v/>
      </c>
      <c r="AR441" s="29">
        <f>COUNTIF(W441:AC441,"Yes")</f>
        <v/>
      </c>
      <c r="AS441" s="29">
        <f>IF(TRIM(B441)="","Legal name missing; ","")&amp;IF(AND(AJ441&lt;&gt;"",AJ441&lt;&gt;"OK"),"GSTIN: "&amp;AJ441&amp;"; ","")&amp;IF(AND(AK441&lt;&gt;"",AK441&lt;&gt;"OK"),"PAN wrong format; ","")&amp;IF(AND(AO441&lt;&gt;"",LEN(AN441)=15,MID(AN441,3,10)&lt;&gt;AO441),"PAN does not match GSTIN; ","")&amp;IF(AND(AL441&lt;&gt;"",AL441&lt;&gt;"OK"),"TAN wrong format; ","")&amp;IF(AG441="","PAN missing; ","")&amp;IF(AP441="","Entity type missing; ","")&amp;IF(AND(AN441&lt;&gt;"",COUNTIF($AN$6:$AN$1005,AN441)&gt;1),"GSTIN repeated in this sheet; ","")&amp;IF(AND(AG441&lt;&gt;"",COUNTIF($AG$6:$AG$1005,AG441)&gt;1),"PAN repeated in this sheet (same client? put extra GSTINs in Other GSTINs); ","")&amp;IF(AND(AR441&gt;0,V441=""),"Financial year missing; ","")&amp;IF(AND(AR441=0,V441&lt;&gt;""),"Financial year given but no service is Yes; ","")&amp;IF(AND(W441="Yes",AN441=""),"GST needs a GSTIN; ","")&amp;IF(AND(W441="Yes",X441=""),"GST return frequency missing; ","")&amp;IF(AND(Y441="Yes",TRIM(H441)=""),"TDS needs a TAN; ","")&amp;IF(AND(AA441="Yes",AQ441&lt;&gt;"",AQ441&lt;&gt;"company",AQ441&lt;&gt;"llp"),"ROC is only for a company / LLP; ","")&amp;IF(AND(AA441="Yes",OR(AQ441="company",AQ441="llp"),TRIM(I441)=""),"ROC needs the CIN / LLPIN; ","")</f>
        <v/>
      </c>
    </row>
    <row r="442">
      <c r="A442" s="30" t="n"/>
      <c r="B442" s="31" t="n"/>
      <c r="C442" s="31" t="n"/>
      <c r="D442" s="31" t="n"/>
      <c r="E442" s="30" t="n"/>
      <c r="F442" s="30" t="n"/>
      <c r="G442" s="30" t="n"/>
      <c r="H442" s="30" t="n"/>
      <c r="I442" s="30" t="n"/>
      <c r="J442" s="32" t="n"/>
      <c r="K442" s="31" t="n"/>
      <c r="L442" s="30" t="n"/>
      <c r="M442" s="31" t="n"/>
      <c r="N442" s="31" t="n"/>
      <c r="O442" s="31" t="n"/>
      <c r="P442" s="30" t="n"/>
      <c r="Q442" s="31" t="n"/>
      <c r="R442" s="31" t="n"/>
      <c r="S442" s="31" t="n"/>
      <c r="T442" s="31" t="n"/>
      <c r="U442" s="30" t="n"/>
      <c r="V442" s="31" t="n"/>
      <c r="W442" s="31" t="n"/>
      <c r="X442" s="31" t="n"/>
      <c r="Y442" s="31" t="n"/>
      <c r="Z442" s="31" t="n"/>
      <c r="AA442" s="31" t="n"/>
      <c r="AB442" s="31" t="n"/>
      <c r="AC442" s="31" t="n"/>
      <c r="AD442" s="31" t="n"/>
      <c r="AE442" s="31" t="n"/>
      <c r="AF442" s="27">
        <f>IF(NOT(COUNTA(A442:AE442)&gt;0),"",IF(A442="","New client","Update"))</f>
        <v/>
      </c>
      <c r="AG442" s="27">
        <f>IF(AO442&lt;&gt;"",AO442,IF(LEN(AN442)=15,MID(AN442,3,10),""))</f>
        <v/>
      </c>
      <c r="AH442" s="27">
        <f>IF(AP442="","",AP442&amp;IF(D442="","  (guessed from PAN)",""))</f>
        <v/>
      </c>
      <c r="AI442" s="27">
        <f>IF(AN442="","",IFERROR(INDEX(Lists!$L$2:$L$38,MATCH(LEFT(AN442,2),Lists!$K$2:$K$38,0)),"Unknown code"))</f>
        <v/>
      </c>
      <c r="AJ442" s="27">
        <f>IF(AN442="","",IFERROR(IF(NOT(AND(LEN(AN442)=15,ISNUMBER(MATCH(LEFT(AN442,2),Lists!$K$2:$K$38,0)),SUMPRODUCT(--ISERROR(FIND(MID(MID(AN442,3,10),{1,2,3,4,5,10},1),"ABCDEFGHIJKLMNOPQRSTUVWXYZ")))=0,SUMPRODUCT(--ISERROR(FIND(MID(MID(AN442,3,10),{6,7,8,9},1),"0123456789")))=0,ISNUMBER(FIND(MID(AN442,13,1),"123456789ABCDEFGHIJKLMNOPQRSTUVWXYZ")),MID(AN442,14,1)="Z")),"Wrong format",IF(MID("0123456789ABCDEFGHIJKLMNOPQRSTUVWXYZ",MOD(36-MOD(SUMPRODUCT(INT((FIND(MID(AN442,{1,2,3,4,5,6,7,8,9,10,11,12,13,14},1),"0123456789ABCDEFGHIJKLMNOPQRSTUVWXYZ")-1)*{1,2,1,2,1,2,1,2,1,2,1,2,1,2}/36)+MOD((FIND(MID(AN442,{1,2,3,4,5,6,7,8,9,10,11,12,13,14},1),"0123456789ABCDEFGHIJKLMNOPQRSTUVWXYZ")-1)*{1,2,1,2,1,2,1,2,1,2,1,2,1,2},36)),36),36)+1,1)=MID(AN442,15,1),"OK","Typo? check digit wrong")),"Wrong format"))</f>
        <v/>
      </c>
      <c r="AK442" s="27">
        <f>IF(AO442="","",IF(AND(LEN(AO442)=10,SUMPRODUCT(--ISERROR(FIND(MID(AO442,{1,2,3,4,5,10},1),"ABCDEFGHIJKLMNOPQRSTUVWXYZ")))=0,SUMPRODUCT(--ISERROR(FIND(MID(AO442,{6,7,8,9},1),"0123456789")))=0),"OK","Wrong format"))</f>
        <v/>
      </c>
      <c r="AL442" s="27">
        <f>IF(TRIM(H442)="","",IF(AND(LEN(UPPER(TRIM(H442)))=10,SUMPRODUCT(--ISERROR(FIND(MID(UPPER(TRIM(H442)),{1,2,3,4,10},1),"ABCDEFGHIJKLMNOPQRSTUVWXYZ")))=0,SUMPRODUCT(--ISERROR(FIND(MID(UPPER(TRIM(H442)),{5,6,7,8,9},1),"0123456789")))=0),"OK","Wrong format"))</f>
        <v/>
      </c>
      <c r="AM442" s="28">
        <f>IF(NOT(COUNTA(A442:AE442)&gt;0),"",IF(AS442&lt;&gt;"","✖ "&amp;LEFT(AS442,LEN(AS442)-2),IF(AR442&gt;0,"✔ Ready — client + "&amp;AR442&amp;" service(s)","✔ Ready — client only")))</f>
        <v/>
      </c>
      <c r="AN442" s="29">
        <f>UPPER(SUBSTITUTE(TRIM(F442)," ",""))</f>
        <v/>
      </c>
      <c r="AO442" s="29">
        <f>UPPER(SUBSTITUTE(TRIM(E442)," ",""))</f>
        <v/>
      </c>
      <c r="AP442" s="29">
        <f>IF(D442&lt;&gt;"",D442,IFERROR(VLOOKUP(MID(AG442,4,1),Lists!$E$2:$F$8,2,FALSE),""))</f>
        <v/>
      </c>
      <c r="AQ442" s="29">
        <f>IFERROR(VLOOKUP(AP442,Lists!$A$2:$C$12,3,FALSE),"")</f>
        <v/>
      </c>
      <c r="AR442" s="29">
        <f>COUNTIF(W442:AC442,"Yes")</f>
        <v/>
      </c>
      <c r="AS442" s="29">
        <f>IF(TRIM(B442)="","Legal name missing; ","")&amp;IF(AND(AJ442&lt;&gt;"",AJ442&lt;&gt;"OK"),"GSTIN: "&amp;AJ442&amp;"; ","")&amp;IF(AND(AK442&lt;&gt;"",AK442&lt;&gt;"OK"),"PAN wrong format; ","")&amp;IF(AND(AO442&lt;&gt;"",LEN(AN442)=15,MID(AN442,3,10)&lt;&gt;AO442),"PAN does not match GSTIN; ","")&amp;IF(AND(AL442&lt;&gt;"",AL442&lt;&gt;"OK"),"TAN wrong format; ","")&amp;IF(AG442="","PAN missing; ","")&amp;IF(AP442="","Entity type missing; ","")&amp;IF(AND(AN442&lt;&gt;"",COUNTIF($AN$6:$AN$1005,AN442)&gt;1),"GSTIN repeated in this sheet; ","")&amp;IF(AND(AG442&lt;&gt;"",COUNTIF($AG$6:$AG$1005,AG442)&gt;1),"PAN repeated in this sheet (same client? put extra GSTINs in Other GSTINs); ","")&amp;IF(AND(AR442&gt;0,V442=""),"Financial year missing; ","")&amp;IF(AND(AR442=0,V442&lt;&gt;""),"Financial year given but no service is Yes; ","")&amp;IF(AND(W442="Yes",AN442=""),"GST needs a GSTIN; ","")&amp;IF(AND(W442="Yes",X442=""),"GST return frequency missing; ","")&amp;IF(AND(Y442="Yes",TRIM(H442)=""),"TDS needs a TAN; ","")&amp;IF(AND(AA442="Yes",AQ442&lt;&gt;"",AQ442&lt;&gt;"company",AQ442&lt;&gt;"llp"),"ROC is only for a company / LLP; ","")&amp;IF(AND(AA442="Yes",OR(AQ442="company",AQ442="llp"),TRIM(I442)=""),"ROC needs the CIN / LLPIN; ","")</f>
        <v/>
      </c>
    </row>
    <row r="443">
      <c r="A443" s="30" t="n"/>
      <c r="B443" s="31" t="n"/>
      <c r="C443" s="31" t="n"/>
      <c r="D443" s="31" t="n"/>
      <c r="E443" s="30" t="n"/>
      <c r="F443" s="30" t="n"/>
      <c r="G443" s="30" t="n"/>
      <c r="H443" s="30" t="n"/>
      <c r="I443" s="30" t="n"/>
      <c r="J443" s="32" t="n"/>
      <c r="K443" s="31" t="n"/>
      <c r="L443" s="30" t="n"/>
      <c r="M443" s="31" t="n"/>
      <c r="N443" s="31" t="n"/>
      <c r="O443" s="31" t="n"/>
      <c r="P443" s="30" t="n"/>
      <c r="Q443" s="31" t="n"/>
      <c r="R443" s="31" t="n"/>
      <c r="S443" s="31" t="n"/>
      <c r="T443" s="31" t="n"/>
      <c r="U443" s="30" t="n"/>
      <c r="V443" s="31" t="n"/>
      <c r="W443" s="31" t="n"/>
      <c r="X443" s="31" t="n"/>
      <c r="Y443" s="31" t="n"/>
      <c r="Z443" s="31" t="n"/>
      <c r="AA443" s="31" t="n"/>
      <c r="AB443" s="31" t="n"/>
      <c r="AC443" s="31" t="n"/>
      <c r="AD443" s="31" t="n"/>
      <c r="AE443" s="31" t="n"/>
      <c r="AF443" s="27">
        <f>IF(NOT(COUNTA(A443:AE443)&gt;0),"",IF(A443="","New client","Update"))</f>
        <v/>
      </c>
      <c r="AG443" s="27">
        <f>IF(AO443&lt;&gt;"",AO443,IF(LEN(AN443)=15,MID(AN443,3,10),""))</f>
        <v/>
      </c>
      <c r="AH443" s="27">
        <f>IF(AP443="","",AP443&amp;IF(D443="","  (guessed from PAN)",""))</f>
        <v/>
      </c>
      <c r="AI443" s="27">
        <f>IF(AN443="","",IFERROR(INDEX(Lists!$L$2:$L$38,MATCH(LEFT(AN443,2),Lists!$K$2:$K$38,0)),"Unknown code"))</f>
        <v/>
      </c>
      <c r="AJ443" s="27">
        <f>IF(AN443="","",IFERROR(IF(NOT(AND(LEN(AN443)=15,ISNUMBER(MATCH(LEFT(AN443,2),Lists!$K$2:$K$38,0)),SUMPRODUCT(--ISERROR(FIND(MID(MID(AN443,3,10),{1,2,3,4,5,10},1),"ABCDEFGHIJKLMNOPQRSTUVWXYZ")))=0,SUMPRODUCT(--ISERROR(FIND(MID(MID(AN443,3,10),{6,7,8,9},1),"0123456789")))=0,ISNUMBER(FIND(MID(AN443,13,1),"123456789ABCDEFGHIJKLMNOPQRSTUVWXYZ")),MID(AN443,14,1)="Z")),"Wrong format",IF(MID("0123456789ABCDEFGHIJKLMNOPQRSTUVWXYZ",MOD(36-MOD(SUMPRODUCT(INT((FIND(MID(AN443,{1,2,3,4,5,6,7,8,9,10,11,12,13,14},1),"0123456789ABCDEFGHIJKLMNOPQRSTUVWXYZ")-1)*{1,2,1,2,1,2,1,2,1,2,1,2,1,2}/36)+MOD((FIND(MID(AN443,{1,2,3,4,5,6,7,8,9,10,11,12,13,14},1),"0123456789ABCDEFGHIJKLMNOPQRSTUVWXYZ")-1)*{1,2,1,2,1,2,1,2,1,2,1,2,1,2},36)),36),36)+1,1)=MID(AN443,15,1),"OK","Typo? check digit wrong")),"Wrong format"))</f>
        <v/>
      </c>
      <c r="AK443" s="27">
        <f>IF(AO443="","",IF(AND(LEN(AO443)=10,SUMPRODUCT(--ISERROR(FIND(MID(AO443,{1,2,3,4,5,10},1),"ABCDEFGHIJKLMNOPQRSTUVWXYZ")))=0,SUMPRODUCT(--ISERROR(FIND(MID(AO443,{6,7,8,9},1),"0123456789")))=0),"OK","Wrong format"))</f>
        <v/>
      </c>
      <c r="AL443" s="27">
        <f>IF(TRIM(H443)="","",IF(AND(LEN(UPPER(TRIM(H443)))=10,SUMPRODUCT(--ISERROR(FIND(MID(UPPER(TRIM(H443)),{1,2,3,4,10},1),"ABCDEFGHIJKLMNOPQRSTUVWXYZ")))=0,SUMPRODUCT(--ISERROR(FIND(MID(UPPER(TRIM(H443)),{5,6,7,8,9},1),"0123456789")))=0),"OK","Wrong format"))</f>
        <v/>
      </c>
      <c r="AM443" s="28">
        <f>IF(NOT(COUNTA(A443:AE443)&gt;0),"",IF(AS443&lt;&gt;"","✖ "&amp;LEFT(AS443,LEN(AS443)-2),IF(AR443&gt;0,"✔ Ready — client + "&amp;AR443&amp;" service(s)","✔ Ready — client only")))</f>
        <v/>
      </c>
      <c r="AN443" s="29">
        <f>UPPER(SUBSTITUTE(TRIM(F443)," ",""))</f>
        <v/>
      </c>
      <c r="AO443" s="29">
        <f>UPPER(SUBSTITUTE(TRIM(E443)," ",""))</f>
        <v/>
      </c>
      <c r="AP443" s="29">
        <f>IF(D443&lt;&gt;"",D443,IFERROR(VLOOKUP(MID(AG443,4,1),Lists!$E$2:$F$8,2,FALSE),""))</f>
        <v/>
      </c>
      <c r="AQ443" s="29">
        <f>IFERROR(VLOOKUP(AP443,Lists!$A$2:$C$12,3,FALSE),"")</f>
        <v/>
      </c>
      <c r="AR443" s="29">
        <f>COUNTIF(W443:AC443,"Yes")</f>
        <v/>
      </c>
      <c r="AS443" s="29">
        <f>IF(TRIM(B443)="","Legal name missing; ","")&amp;IF(AND(AJ443&lt;&gt;"",AJ443&lt;&gt;"OK"),"GSTIN: "&amp;AJ443&amp;"; ","")&amp;IF(AND(AK443&lt;&gt;"",AK443&lt;&gt;"OK"),"PAN wrong format; ","")&amp;IF(AND(AO443&lt;&gt;"",LEN(AN443)=15,MID(AN443,3,10)&lt;&gt;AO443),"PAN does not match GSTIN; ","")&amp;IF(AND(AL443&lt;&gt;"",AL443&lt;&gt;"OK"),"TAN wrong format; ","")&amp;IF(AG443="","PAN missing; ","")&amp;IF(AP443="","Entity type missing; ","")&amp;IF(AND(AN443&lt;&gt;"",COUNTIF($AN$6:$AN$1005,AN443)&gt;1),"GSTIN repeated in this sheet; ","")&amp;IF(AND(AG443&lt;&gt;"",COUNTIF($AG$6:$AG$1005,AG443)&gt;1),"PAN repeated in this sheet (same client? put extra GSTINs in Other GSTINs); ","")&amp;IF(AND(AR443&gt;0,V443=""),"Financial year missing; ","")&amp;IF(AND(AR443=0,V443&lt;&gt;""),"Financial year given but no service is Yes; ","")&amp;IF(AND(W443="Yes",AN443=""),"GST needs a GSTIN; ","")&amp;IF(AND(W443="Yes",X443=""),"GST return frequency missing; ","")&amp;IF(AND(Y443="Yes",TRIM(H443)=""),"TDS needs a TAN; ","")&amp;IF(AND(AA443="Yes",AQ443&lt;&gt;"",AQ443&lt;&gt;"company",AQ443&lt;&gt;"llp"),"ROC is only for a company / LLP; ","")&amp;IF(AND(AA443="Yes",OR(AQ443="company",AQ443="llp"),TRIM(I443)=""),"ROC needs the CIN / LLPIN; ","")</f>
        <v/>
      </c>
    </row>
    <row r="444">
      <c r="A444" s="30" t="n"/>
      <c r="B444" s="31" t="n"/>
      <c r="C444" s="31" t="n"/>
      <c r="D444" s="31" t="n"/>
      <c r="E444" s="30" t="n"/>
      <c r="F444" s="30" t="n"/>
      <c r="G444" s="30" t="n"/>
      <c r="H444" s="30" t="n"/>
      <c r="I444" s="30" t="n"/>
      <c r="J444" s="32" t="n"/>
      <c r="K444" s="31" t="n"/>
      <c r="L444" s="30" t="n"/>
      <c r="M444" s="31" t="n"/>
      <c r="N444" s="31" t="n"/>
      <c r="O444" s="31" t="n"/>
      <c r="P444" s="30" t="n"/>
      <c r="Q444" s="31" t="n"/>
      <c r="R444" s="31" t="n"/>
      <c r="S444" s="31" t="n"/>
      <c r="T444" s="31" t="n"/>
      <c r="U444" s="30" t="n"/>
      <c r="V444" s="31" t="n"/>
      <c r="W444" s="31" t="n"/>
      <c r="X444" s="31" t="n"/>
      <c r="Y444" s="31" t="n"/>
      <c r="Z444" s="31" t="n"/>
      <c r="AA444" s="31" t="n"/>
      <c r="AB444" s="31" t="n"/>
      <c r="AC444" s="31" t="n"/>
      <c r="AD444" s="31" t="n"/>
      <c r="AE444" s="31" t="n"/>
      <c r="AF444" s="27">
        <f>IF(NOT(COUNTA(A444:AE444)&gt;0),"",IF(A444="","New client","Update"))</f>
        <v/>
      </c>
      <c r="AG444" s="27">
        <f>IF(AO444&lt;&gt;"",AO444,IF(LEN(AN444)=15,MID(AN444,3,10),""))</f>
        <v/>
      </c>
      <c r="AH444" s="27">
        <f>IF(AP444="","",AP444&amp;IF(D444="","  (guessed from PAN)",""))</f>
        <v/>
      </c>
      <c r="AI444" s="27">
        <f>IF(AN444="","",IFERROR(INDEX(Lists!$L$2:$L$38,MATCH(LEFT(AN444,2),Lists!$K$2:$K$38,0)),"Unknown code"))</f>
        <v/>
      </c>
      <c r="AJ444" s="27">
        <f>IF(AN444="","",IFERROR(IF(NOT(AND(LEN(AN444)=15,ISNUMBER(MATCH(LEFT(AN444,2),Lists!$K$2:$K$38,0)),SUMPRODUCT(--ISERROR(FIND(MID(MID(AN444,3,10),{1,2,3,4,5,10},1),"ABCDEFGHIJKLMNOPQRSTUVWXYZ")))=0,SUMPRODUCT(--ISERROR(FIND(MID(MID(AN444,3,10),{6,7,8,9},1),"0123456789")))=0,ISNUMBER(FIND(MID(AN444,13,1),"123456789ABCDEFGHIJKLMNOPQRSTUVWXYZ")),MID(AN444,14,1)="Z")),"Wrong format",IF(MID("0123456789ABCDEFGHIJKLMNOPQRSTUVWXYZ",MOD(36-MOD(SUMPRODUCT(INT((FIND(MID(AN444,{1,2,3,4,5,6,7,8,9,10,11,12,13,14},1),"0123456789ABCDEFGHIJKLMNOPQRSTUVWXYZ")-1)*{1,2,1,2,1,2,1,2,1,2,1,2,1,2}/36)+MOD((FIND(MID(AN444,{1,2,3,4,5,6,7,8,9,10,11,12,13,14},1),"0123456789ABCDEFGHIJKLMNOPQRSTUVWXYZ")-1)*{1,2,1,2,1,2,1,2,1,2,1,2,1,2},36)),36),36)+1,1)=MID(AN444,15,1),"OK","Typo? check digit wrong")),"Wrong format"))</f>
        <v/>
      </c>
      <c r="AK444" s="27">
        <f>IF(AO444="","",IF(AND(LEN(AO444)=10,SUMPRODUCT(--ISERROR(FIND(MID(AO444,{1,2,3,4,5,10},1),"ABCDEFGHIJKLMNOPQRSTUVWXYZ")))=0,SUMPRODUCT(--ISERROR(FIND(MID(AO444,{6,7,8,9},1),"0123456789")))=0),"OK","Wrong format"))</f>
        <v/>
      </c>
      <c r="AL444" s="27">
        <f>IF(TRIM(H444)="","",IF(AND(LEN(UPPER(TRIM(H444)))=10,SUMPRODUCT(--ISERROR(FIND(MID(UPPER(TRIM(H444)),{1,2,3,4,10},1),"ABCDEFGHIJKLMNOPQRSTUVWXYZ")))=0,SUMPRODUCT(--ISERROR(FIND(MID(UPPER(TRIM(H444)),{5,6,7,8,9},1),"0123456789")))=0),"OK","Wrong format"))</f>
        <v/>
      </c>
      <c r="AM444" s="28">
        <f>IF(NOT(COUNTA(A444:AE444)&gt;0),"",IF(AS444&lt;&gt;"","✖ "&amp;LEFT(AS444,LEN(AS444)-2),IF(AR444&gt;0,"✔ Ready — client + "&amp;AR444&amp;" service(s)","✔ Ready — client only")))</f>
        <v/>
      </c>
      <c r="AN444" s="29">
        <f>UPPER(SUBSTITUTE(TRIM(F444)," ",""))</f>
        <v/>
      </c>
      <c r="AO444" s="29">
        <f>UPPER(SUBSTITUTE(TRIM(E444)," ",""))</f>
        <v/>
      </c>
      <c r="AP444" s="29">
        <f>IF(D444&lt;&gt;"",D444,IFERROR(VLOOKUP(MID(AG444,4,1),Lists!$E$2:$F$8,2,FALSE),""))</f>
        <v/>
      </c>
      <c r="AQ444" s="29">
        <f>IFERROR(VLOOKUP(AP444,Lists!$A$2:$C$12,3,FALSE),"")</f>
        <v/>
      </c>
      <c r="AR444" s="29">
        <f>COUNTIF(W444:AC444,"Yes")</f>
        <v/>
      </c>
      <c r="AS444" s="29">
        <f>IF(TRIM(B444)="","Legal name missing; ","")&amp;IF(AND(AJ444&lt;&gt;"",AJ444&lt;&gt;"OK"),"GSTIN: "&amp;AJ444&amp;"; ","")&amp;IF(AND(AK444&lt;&gt;"",AK444&lt;&gt;"OK"),"PAN wrong format; ","")&amp;IF(AND(AO444&lt;&gt;"",LEN(AN444)=15,MID(AN444,3,10)&lt;&gt;AO444),"PAN does not match GSTIN; ","")&amp;IF(AND(AL444&lt;&gt;"",AL444&lt;&gt;"OK"),"TAN wrong format; ","")&amp;IF(AG444="","PAN missing; ","")&amp;IF(AP444="","Entity type missing; ","")&amp;IF(AND(AN444&lt;&gt;"",COUNTIF($AN$6:$AN$1005,AN444)&gt;1),"GSTIN repeated in this sheet; ","")&amp;IF(AND(AG444&lt;&gt;"",COUNTIF($AG$6:$AG$1005,AG444)&gt;1),"PAN repeated in this sheet (same client? put extra GSTINs in Other GSTINs); ","")&amp;IF(AND(AR444&gt;0,V444=""),"Financial year missing; ","")&amp;IF(AND(AR444=0,V444&lt;&gt;""),"Financial year given but no service is Yes; ","")&amp;IF(AND(W444="Yes",AN444=""),"GST needs a GSTIN; ","")&amp;IF(AND(W444="Yes",X444=""),"GST return frequency missing; ","")&amp;IF(AND(Y444="Yes",TRIM(H444)=""),"TDS needs a TAN; ","")&amp;IF(AND(AA444="Yes",AQ444&lt;&gt;"",AQ444&lt;&gt;"company",AQ444&lt;&gt;"llp"),"ROC is only for a company / LLP; ","")&amp;IF(AND(AA444="Yes",OR(AQ444="company",AQ444="llp"),TRIM(I444)=""),"ROC needs the CIN / LLPIN; ","")</f>
        <v/>
      </c>
    </row>
    <row r="445">
      <c r="A445" s="30" t="n"/>
      <c r="B445" s="31" t="n"/>
      <c r="C445" s="31" t="n"/>
      <c r="D445" s="31" t="n"/>
      <c r="E445" s="30" t="n"/>
      <c r="F445" s="30" t="n"/>
      <c r="G445" s="30" t="n"/>
      <c r="H445" s="30" t="n"/>
      <c r="I445" s="30" t="n"/>
      <c r="J445" s="32" t="n"/>
      <c r="K445" s="31" t="n"/>
      <c r="L445" s="30" t="n"/>
      <c r="M445" s="31" t="n"/>
      <c r="N445" s="31" t="n"/>
      <c r="O445" s="31" t="n"/>
      <c r="P445" s="30" t="n"/>
      <c r="Q445" s="31" t="n"/>
      <c r="R445" s="31" t="n"/>
      <c r="S445" s="31" t="n"/>
      <c r="T445" s="31" t="n"/>
      <c r="U445" s="30" t="n"/>
      <c r="V445" s="31" t="n"/>
      <c r="W445" s="31" t="n"/>
      <c r="X445" s="31" t="n"/>
      <c r="Y445" s="31" t="n"/>
      <c r="Z445" s="31" t="n"/>
      <c r="AA445" s="31" t="n"/>
      <c r="AB445" s="31" t="n"/>
      <c r="AC445" s="31" t="n"/>
      <c r="AD445" s="31" t="n"/>
      <c r="AE445" s="31" t="n"/>
      <c r="AF445" s="27">
        <f>IF(NOT(COUNTA(A445:AE445)&gt;0),"",IF(A445="","New client","Update"))</f>
        <v/>
      </c>
      <c r="AG445" s="27">
        <f>IF(AO445&lt;&gt;"",AO445,IF(LEN(AN445)=15,MID(AN445,3,10),""))</f>
        <v/>
      </c>
      <c r="AH445" s="27">
        <f>IF(AP445="","",AP445&amp;IF(D445="","  (guessed from PAN)",""))</f>
        <v/>
      </c>
      <c r="AI445" s="27">
        <f>IF(AN445="","",IFERROR(INDEX(Lists!$L$2:$L$38,MATCH(LEFT(AN445,2),Lists!$K$2:$K$38,0)),"Unknown code"))</f>
        <v/>
      </c>
      <c r="AJ445" s="27">
        <f>IF(AN445="","",IFERROR(IF(NOT(AND(LEN(AN445)=15,ISNUMBER(MATCH(LEFT(AN445,2),Lists!$K$2:$K$38,0)),SUMPRODUCT(--ISERROR(FIND(MID(MID(AN445,3,10),{1,2,3,4,5,10},1),"ABCDEFGHIJKLMNOPQRSTUVWXYZ")))=0,SUMPRODUCT(--ISERROR(FIND(MID(MID(AN445,3,10),{6,7,8,9},1),"0123456789")))=0,ISNUMBER(FIND(MID(AN445,13,1),"123456789ABCDEFGHIJKLMNOPQRSTUVWXYZ")),MID(AN445,14,1)="Z")),"Wrong format",IF(MID("0123456789ABCDEFGHIJKLMNOPQRSTUVWXYZ",MOD(36-MOD(SUMPRODUCT(INT((FIND(MID(AN445,{1,2,3,4,5,6,7,8,9,10,11,12,13,14},1),"0123456789ABCDEFGHIJKLMNOPQRSTUVWXYZ")-1)*{1,2,1,2,1,2,1,2,1,2,1,2,1,2}/36)+MOD((FIND(MID(AN445,{1,2,3,4,5,6,7,8,9,10,11,12,13,14},1),"0123456789ABCDEFGHIJKLMNOPQRSTUVWXYZ")-1)*{1,2,1,2,1,2,1,2,1,2,1,2,1,2},36)),36),36)+1,1)=MID(AN445,15,1),"OK","Typo? check digit wrong")),"Wrong format"))</f>
        <v/>
      </c>
      <c r="AK445" s="27">
        <f>IF(AO445="","",IF(AND(LEN(AO445)=10,SUMPRODUCT(--ISERROR(FIND(MID(AO445,{1,2,3,4,5,10},1),"ABCDEFGHIJKLMNOPQRSTUVWXYZ")))=0,SUMPRODUCT(--ISERROR(FIND(MID(AO445,{6,7,8,9},1),"0123456789")))=0),"OK","Wrong format"))</f>
        <v/>
      </c>
      <c r="AL445" s="27">
        <f>IF(TRIM(H445)="","",IF(AND(LEN(UPPER(TRIM(H445)))=10,SUMPRODUCT(--ISERROR(FIND(MID(UPPER(TRIM(H445)),{1,2,3,4,10},1),"ABCDEFGHIJKLMNOPQRSTUVWXYZ")))=0,SUMPRODUCT(--ISERROR(FIND(MID(UPPER(TRIM(H445)),{5,6,7,8,9},1),"0123456789")))=0),"OK","Wrong format"))</f>
        <v/>
      </c>
      <c r="AM445" s="28">
        <f>IF(NOT(COUNTA(A445:AE445)&gt;0),"",IF(AS445&lt;&gt;"","✖ "&amp;LEFT(AS445,LEN(AS445)-2),IF(AR445&gt;0,"✔ Ready — client + "&amp;AR445&amp;" service(s)","✔ Ready — client only")))</f>
        <v/>
      </c>
      <c r="AN445" s="29">
        <f>UPPER(SUBSTITUTE(TRIM(F445)," ",""))</f>
        <v/>
      </c>
      <c r="AO445" s="29">
        <f>UPPER(SUBSTITUTE(TRIM(E445)," ",""))</f>
        <v/>
      </c>
      <c r="AP445" s="29">
        <f>IF(D445&lt;&gt;"",D445,IFERROR(VLOOKUP(MID(AG445,4,1),Lists!$E$2:$F$8,2,FALSE),""))</f>
        <v/>
      </c>
      <c r="AQ445" s="29">
        <f>IFERROR(VLOOKUP(AP445,Lists!$A$2:$C$12,3,FALSE),"")</f>
        <v/>
      </c>
      <c r="AR445" s="29">
        <f>COUNTIF(W445:AC445,"Yes")</f>
        <v/>
      </c>
      <c r="AS445" s="29">
        <f>IF(TRIM(B445)="","Legal name missing; ","")&amp;IF(AND(AJ445&lt;&gt;"",AJ445&lt;&gt;"OK"),"GSTIN: "&amp;AJ445&amp;"; ","")&amp;IF(AND(AK445&lt;&gt;"",AK445&lt;&gt;"OK"),"PAN wrong format; ","")&amp;IF(AND(AO445&lt;&gt;"",LEN(AN445)=15,MID(AN445,3,10)&lt;&gt;AO445),"PAN does not match GSTIN; ","")&amp;IF(AND(AL445&lt;&gt;"",AL445&lt;&gt;"OK"),"TAN wrong format; ","")&amp;IF(AG445="","PAN missing; ","")&amp;IF(AP445="","Entity type missing; ","")&amp;IF(AND(AN445&lt;&gt;"",COUNTIF($AN$6:$AN$1005,AN445)&gt;1),"GSTIN repeated in this sheet; ","")&amp;IF(AND(AG445&lt;&gt;"",COUNTIF($AG$6:$AG$1005,AG445)&gt;1),"PAN repeated in this sheet (same client? put extra GSTINs in Other GSTINs); ","")&amp;IF(AND(AR445&gt;0,V445=""),"Financial year missing; ","")&amp;IF(AND(AR445=0,V445&lt;&gt;""),"Financial year given but no service is Yes; ","")&amp;IF(AND(W445="Yes",AN445=""),"GST needs a GSTIN; ","")&amp;IF(AND(W445="Yes",X445=""),"GST return frequency missing; ","")&amp;IF(AND(Y445="Yes",TRIM(H445)=""),"TDS needs a TAN; ","")&amp;IF(AND(AA445="Yes",AQ445&lt;&gt;"",AQ445&lt;&gt;"company",AQ445&lt;&gt;"llp"),"ROC is only for a company / LLP; ","")&amp;IF(AND(AA445="Yes",OR(AQ445="company",AQ445="llp"),TRIM(I445)=""),"ROC needs the CIN / LLPIN; ","")</f>
        <v/>
      </c>
    </row>
    <row r="446">
      <c r="A446" s="30" t="n"/>
      <c r="B446" s="31" t="n"/>
      <c r="C446" s="31" t="n"/>
      <c r="D446" s="31" t="n"/>
      <c r="E446" s="30" t="n"/>
      <c r="F446" s="30" t="n"/>
      <c r="G446" s="30" t="n"/>
      <c r="H446" s="30" t="n"/>
      <c r="I446" s="30" t="n"/>
      <c r="J446" s="32" t="n"/>
      <c r="K446" s="31" t="n"/>
      <c r="L446" s="30" t="n"/>
      <c r="M446" s="31" t="n"/>
      <c r="N446" s="31" t="n"/>
      <c r="O446" s="31" t="n"/>
      <c r="P446" s="30" t="n"/>
      <c r="Q446" s="31" t="n"/>
      <c r="R446" s="31" t="n"/>
      <c r="S446" s="31" t="n"/>
      <c r="T446" s="31" t="n"/>
      <c r="U446" s="30" t="n"/>
      <c r="V446" s="31" t="n"/>
      <c r="W446" s="31" t="n"/>
      <c r="X446" s="31" t="n"/>
      <c r="Y446" s="31" t="n"/>
      <c r="Z446" s="31" t="n"/>
      <c r="AA446" s="31" t="n"/>
      <c r="AB446" s="31" t="n"/>
      <c r="AC446" s="31" t="n"/>
      <c r="AD446" s="31" t="n"/>
      <c r="AE446" s="31" t="n"/>
      <c r="AF446" s="27">
        <f>IF(NOT(COUNTA(A446:AE446)&gt;0),"",IF(A446="","New client","Update"))</f>
        <v/>
      </c>
      <c r="AG446" s="27">
        <f>IF(AO446&lt;&gt;"",AO446,IF(LEN(AN446)=15,MID(AN446,3,10),""))</f>
        <v/>
      </c>
      <c r="AH446" s="27">
        <f>IF(AP446="","",AP446&amp;IF(D446="","  (guessed from PAN)",""))</f>
        <v/>
      </c>
      <c r="AI446" s="27">
        <f>IF(AN446="","",IFERROR(INDEX(Lists!$L$2:$L$38,MATCH(LEFT(AN446,2),Lists!$K$2:$K$38,0)),"Unknown code"))</f>
        <v/>
      </c>
      <c r="AJ446" s="27">
        <f>IF(AN446="","",IFERROR(IF(NOT(AND(LEN(AN446)=15,ISNUMBER(MATCH(LEFT(AN446,2),Lists!$K$2:$K$38,0)),SUMPRODUCT(--ISERROR(FIND(MID(MID(AN446,3,10),{1,2,3,4,5,10},1),"ABCDEFGHIJKLMNOPQRSTUVWXYZ")))=0,SUMPRODUCT(--ISERROR(FIND(MID(MID(AN446,3,10),{6,7,8,9},1),"0123456789")))=0,ISNUMBER(FIND(MID(AN446,13,1),"123456789ABCDEFGHIJKLMNOPQRSTUVWXYZ")),MID(AN446,14,1)="Z")),"Wrong format",IF(MID("0123456789ABCDEFGHIJKLMNOPQRSTUVWXYZ",MOD(36-MOD(SUMPRODUCT(INT((FIND(MID(AN446,{1,2,3,4,5,6,7,8,9,10,11,12,13,14},1),"0123456789ABCDEFGHIJKLMNOPQRSTUVWXYZ")-1)*{1,2,1,2,1,2,1,2,1,2,1,2,1,2}/36)+MOD((FIND(MID(AN446,{1,2,3,4,5,6,7,8,9,10,11,12,13,14},1),"0123456789ABCDEFGHIJKLMNOPQRSTUVWXYZ")-1)*{1,2,1,2,1,2,1,2,1,2,1,2,1,2},36)),36),36)+1,1)=MID(AN446,15,1),"OK","Typo? check digit wrong")),"Wrong format"))</f>
        <v/>
      </c>
      <c r="AK446" s="27">
        <f>IF(AO446="","",IF(AND(LEN(AO446)=10,SUMPRODUCT(--ISERROR(FIND(MID(AO446,{1,2,3,4,5,10},1),"ABCDEFGHIJKLMNOPQRSTUVWXYZ")))=0,SUMPRODUCT(--ISERROR(FIND(MID(AO446,{6,7,8,9},1),"0123456789")))=0),"OK","Wrong format"))</f>
        <v/>
      </c>
      <c r="AL446" s="27">
        <f>IF(TRIM(H446)="","",IF(AND(LEN(UPPER(TRIM(H446)))=10,SUMPRODUCT(--ISERROR(FIND(MID(UPPER(TRIM(H446)),{1,2,3,4,10},1),"ABCDEFGHIJKLMNOPQRSTUVWXYZ")))=0,SUMPRODUCT(--ISERROR(FIND(MID(UPPER(TRIM(H446)),{5,6,7,8,9},1),"0123456789")))=0),"OK","Wrong format"))</f>
        <v/>
      </c>
      <c r="AM446" s="28">
        <f>IF(NOT(COUNTA(A446:AE446)&gt;0),"",IF(AS446&lt;&gt;"","✖ "&amp;LEFT(AS446,LEN(AS446)-2),IF(AR446&gt;0,"✔ Ready — client + "&amp;AR446&amp;" service(s)","✔ Ready — client only")))</f>
        <v/>
      </c>
      <c r="AN446" s="29">
        <f>UPPER(SUBSTITUTE(TRIM(F446)," ",""))</f>
        <v/>
      </c>
      <c r="AO446" s="29">
        <f>UPPER(SUBSTITUTE(TRIM(E446)," ",""))</f>
        <v/>
      </c>
      <c r="AP446" s="29">
        <f>IF(D446&lt;&gt;"",D446,IFERROR(VLOOKUP(MID(AG446,4,1),Lists!$E$2:$F$8,2,FALSE),""))</f>
        <v/>
      </c>
      <c r="AQ446" s="29">
        <f>IFERROR(VLOOKUP(AP446,Lists!$A$2:$C$12,3,FALSE),"")</f>
        <v/>
      </c>
      <c r="AR446" s="29">
        <f>COUNTIF(W446:AC446,"Yes")</f>
        <v/>
      </c>
      <c r="AS446" s="29">
        <f>IF(TRIM(B446)="","Legal name missing; ","")&amp;IF(AND(AJ446&lt;&gt;"",AJ446&lt;&gt;"OK"),"GSTIN: "&amp;AJ446&amp;"; ","")&amp;IF(AND(AK446&lt;&gt;"",AK446&lt;&gt;"OK"),"PAN wrong format; ","")&amp;IF(AND(AO446&lt;&gt;"",LEN(AN446)=15,MID(AN446,3,10)&lt;&gt;AO446),"PAN does not match GSTIN; ","")&amp;IF(AND(AL446&lt;&gt;"",AL446&lt;&gt;"OK"),"TAN wrong format; ","")&amp;IF(AG446="","PAN missing; ","")&amp;IF(AP446="","Entity type missing; ","")&amp;IF(AND(AN446&lt;&gt;"",COUNTIF($AN$6:$AN$1005,AN446)&gt;1),"GSTIN repeated in this sheet; ","")&amp;IF(AND(AG446&lt;&gt;"",COUNTIF($AG$6:$AG$1005,AG446)&gt;1),"PAN repeated in this sheet (same client? put extra GSTINs in Other GSTINs); ","")&amp;IF(AND(AR446&gt;0,V446=""),"Financial year missing; ","")&amp;IF(AND(AR446=0,V446&lt;&gt;""),"Financial year given but no service is Yes; ","")&amp;IF(AND(W446="Yes",AN446=""),"GST needs a GSTIN; ","")&amp;IF(AND(W446="Yes",X446=""),"GST return frequency missing; ","")&amp;IF(AND(Y446="Yes",TRIM(H446)=""),"TDS needs a TAN; ","")&amp;IF(AND(AA446="Yes",AQ446&lt;&gt;"",AQ446&lt;&gt;"company",AQ446&lt;&gt;"llp"),"ROC is only for a company / LLP; ","")&amp;IF(AND(AA446="Yes",OR(AQ446="company",AQ446="llp"),TRIM(I446)=""),"ROC needs the CIN / LLPIN; ","")</f>
        <v/>
      </c>
    </row>
    <row r="447">
      <c r="A447" s="30" t="n"/>
      <c r="B447" s="31" t="n"/>
      <c r="C447" s="31" t="n"/>
      <c r="D447" s="31" t="n"/>
      <c r="E447" s="30" t="n"/>
      <c r="F447" s="30" t="n"/>
      <c r="G447" s="30" t="n"/>
      <c r="H447" s="30" t="n"/>
      <c r="I447" s="30" t="n"/>
      <c r="J447" s="32" t="n"/>
      <c r="K447" s="31" t="n"/>
      <c r="L447" s="30" t="n"/>
      <c r="M447" s="31" t="n"/>
      <c r="N447" s="31" t="n"/>
      <c r="O447" s="31" t="n"/>
      <c r="P447" s="30" t="n"/>
      <c r="Q447" s="31" t="n"/>
      <c r="R447" s="31" t="n"/>
      <c r="S447" s="31" t="n"/>
      <c r="T447" s="31" t="n"/>
      <c r="U447" s="30" t="n"/>
      <c r="V447" s="31" t="n"/>
      <c r="W447" s="31" t="n"/>
      <c r="X447" s="31" t="n"/>
      <c r="Y447" s="31" t="n"/>
      <c r="Z447" s="31" t="n"/>
      <c r="AA447" s="31" t="n"/>
      <c r="AB447" s="31" t="n"/>
      <c r="AC447" s="31" t="n"/>
      <c r="AD447" s="31" t="n"/>
      <c r="AE447" s="31" t="n"/>
      <c r="AF447" s="27">
        <f>IF(NOT(COUNTA(A447:AE447)&gt;0),"",IF(A447="","New client","Update"))</f>
        <v/>
      </c>
      <c r="AG447" s="27">
        <f>IF(AO447&lt;&gt;"",AO447,IF(LEN(AN447)=15,MID(AN447,3,10),""))</f>
        <v/>
      </c>
      <c r="AH447" s="27">
        <f>IF(AP447="","",AP447&amp;IF(D447="","  (guessed from PAN)",""))</f>
        <v/>
      </c>
      <c r="AI447" s="27">
        <f>IF(AN447="","",IFERROR(INDEX(Lists!$L$2:$L$38,MATCH(LEFT(AN447,2),Lists!$K$2:$K$38,0)),"Unknown code"))</f>
        <v/>
      </c>
      <c r="AJ447" s="27">
        <f>IF(AN447="","",IFERROR(IF(NOT(AND(LEN(AN447)=15,ISNUMBER(MATCH(LEFT(AN447,2),Lists!$K$2:$K$38,0)),SUMPRODUCT(--ISERROR(FIND(MID(MID(AN447,3,10),{1,2,3,4,5,10},1),"ABCDEFGHIJKLMNOPQRSTUVWXYZ")))=0,SUMPRODUCT(--ISERROR(FIND(MID(MID(AN447,3,10),{6,7,8,9},1),"0123456789")))=0,ISNUMBER(FIND(MID(AN447,13,1),"123456789ABCDEFGHIJKLMNOPQRSTUVWXYZ")),MID(AN447,14,1)="Z")),"Wrong format",IF(MID("0123456789ABCDEFGHIJKLMNOPQRSTUVWXYZ",MOD(36-MOD(SUMPRODUCT(INT((FIND(MID(AN447,{1,2,3,4,5,6,7,8,9,10,11,12,13,14},1),"0123456789ABCDEFGHIJKLMNOPQRSTUVWXYZ")-1)*{1,2,1,2,1,2,1,2,1,2,1,2,1,2}/36)+MOD((FIND(MID(AN447,{1,2,3,4,5,6,7,8,9,10,11,12,13,14},1),"0123456789ABCDEFGHIJKLMNOPQRSTUVWXYZ")-1)*{1,2,1,2,1,2,1,2,1,2,1,2,1,2},36)),36),36)+1,1)=MID(AN447,15,1),"OK","Typo? check digit wrong")),"Wrong format"))</f>
        <v/>
      </c>
      <c r="AK447" s="27">
        <f>IF(AO447="","",IF(AND(LEN(AO447)=10,SUMPRODUCT(--ISERROR(FIND(MID(AO447,{1,2,3,4,5,10},1),"ABCDEFGHIJKLMNOPQRSTUVWXYZ")))=0,SUMPRODUCT(--ISERROR(FIND(MID(AO447,{6,7,8,9},1),"0123456789")))=0),"OK","Wrong format"))</f>
        <v/>
      </c>
      <c r="AL447" s="27">
        <f>IF(TRIM(H447)="","",IF(AND(LEN(UPPER(TRIM(H447)))=10,SUMPRODUCT(--ISERROR(FIND(MID(UPPER(TRIM(H447)),{1,2,3,4,10},1),"ABCDEFGHIJKLMNOPQRSTUVWXYZ")))=0,SUMPRODUCT(--ISERROR(FIND(MID(UPPER(TRIM(H447)),{5,6,7,8,9},1),"0123456789")))=0),"OK","Wrong format"))</f>
        <v/>
      </c>
      <c r="AM447" s="28">
        <f>IF(NOT(COUNTA(A447:AE447)&gt;0),"",IF(AS447&lt;&gt;"","✖ "&amp;LEFT(AS447,LEN(AS447)-2),IF(AR447&gt;0,"✔ Ready — client + "&amp;AR447&amp;" service(s)","✔ Ready — client only")))</f>
        <v/>
      </c>
      <c r="AN447" s="29">
        <f>UPPER(SUBSTITUTE(TRIM(F447)," ",""))</f>
        <v/>
      </c>
      <c r="AO447" s="29">
        <f>UPPER(SUBSTITUTE(TRIM(E447)," ",""))</f>
        <v/>
      </c>
      <c r="AP447" s="29">
        <f>IF(D447&lt;&gt;"",D447,IFERROR(VLOOKUP(MID(AG447,4,1),Lists!$E$2:$F$8,2,FALSE),""))</f>
        <v/>
      </c>
      <c r="AQ447" s="29">
        <f>IFERROR(VLOOKUP(AP447,Lists!$A$2:$C$12,3,FALSE),"")</f>
        <v/>
      </c>
      <c r="AR447" s="29">
        <f>COUNTIF(W447:AC447,"Yes")</f>
        <v/>
      </c>
      <c r="AS447" s="29">
        <f>IF(TRIM(B447)="","Legal name missing; ","")&amp;IF(AND(AJ447&lt;&gt;"",AJ447&lt;&gt;"OK"),"GSTIN: "&amp;AJ447&amp;"; ","")&amp;IF(AND(AK447&lt;&gt;"",AK447&lt;&gt;"OK"),"PAN wrong format; ","")&amp;IF(AND(AO447&lt;&gt;"",LEN(AN447)=15,MID(AN447,3,10)&lt;&gt;AO447),"PAN does not match GSTIN; ","")&amp;IF(AND(AL447&lt;&gt;"",AL447&lt;&gt;"OK"),"TAN wrong format; ","")&amp;IF(AG447="","PAN missing; ","")&amp;IF(AP447="","Entity type missing; ","")&amp;IF(AND(AN447&lt;&gt;"",COUNTIF($AN$6:$AN$1005,AN447)&gt;1),"GSTIN repeated in this sheet; ","")&amp;IF(AND(AG447&lt;&gt;"",COUNTIF($AG$6:$AG$1005,AG447)&gt;1),"PAN repeated in this sheet (same client? put extra GSTINs in Other GSTINs); ","")&amp;IF(AND(AR447&gt;0,V447=""),"Financial year missing; ","")&amp;IF(AND(AR447=0,V447&lt;&gt;""),"Financial year given but no service is Yes; ","")&amp;IF(AND(W447="Yes",AN447=""),"GST needs a GSTIN; ","")&amp;IF(AND(W447="Yes",X447=""),"GST return frequency missing; ","")&amp;IF(AND(Y447="Yes",TRIM(H447)=""),"TDS needs a TAN; ","")&amp;IF(AND(AA447="Yes",AQ447&lt;&gt;"",AQ447&lt;&gt;"company",AQ447&lt;&gt;"llp"),"ROC is only for a company / LLP; ","")&amp;IF(AND(AA447="Yes",OR(AQ447="company",AQ447="llp"),TRIM(I447)=""),"ROC needs the CIN / LLPIN; ","")</f>
        <v/>
      </c>
    </row>
    <row r="448">
      <c r="A448" s="30" t="n"/>
      <c r="B448" s="31" t="n"/>
      <c r="C448" s="31" t="n"/>
      <c r="D448" s="31" t="n"/>
      <c r="E448" s="30" t="n"/>
      <c r="F448" s="30" t="n"/>
      <c r="G448" s="30" t="n"/>
      <c r="H448" s="30" t="n"/>
      <c r="I448" s="30" t="n"/>
      <c r="J448" s="32" t="n"/>
      <c r="K448" s="31" t="n"/>
      <c r="L448" s="30" t="n"/>
      <c r="M448" s="31" t="n"/>
      <c r="N448" s="31" t="n"/>
      <c r="O448" s="31" t="n"/>
      <c r="P448" s="30" t="n"/>
      <c r="Q448" s="31" t="n"/>
      <c r="R448" s="31" t="n"/>
      <c r="S448" s="31" t="n"/>
      <c r="T448" s="31" t="n"/>
      <c r="U448" s="30" t="n"/>
      <c r="V448" s="31" t="n"/>
      <c r="W448" s="31" t="n"/>
      <c r="X448" s="31" t="n"/>
      <c r="Y448" s="31" t="n"/>
      <c r="Z448" s="31" t="n"/>
      <c r="AA448" s="31" t="n"/>
      <c r="AB448" s="31" t="n"/>
      <c r="AC448" s="31" t="n"/>
      <c r="AD448" s="31" t="n"/>
      <c r="AE448" s="31" t="n"/>
      <c r="AF448" s="27">
        <f>IF(NOT(COUNTA(A448:AE448)&gt;0),"",IF(A448="","New client","Update"))</f>
        <v/>
      </c>
      <c r="AG448" s="27">
        <f>IF(AO448&lt;&gt;"",AO448,IF(LEN(AN448)=15,MID(AN448,3,10),""))</f>
        <v/>
      </c>
      <c r="AH448" s="27">
        <f>IF(AP448="","",AP448&amp;IF(D448="","  (guessed from PAN)",""))</f>
        <v/>
      </c>
      <c r="AI448" s="27">
        <f>IF(AN448="","",IFERROR(INDEX(Lists!$L$2:$L$38,MATCH(LEFT(AN448,2),Lists!$K$2:$K$38,0)),"Unknown code"))</f>
        <v/>
      </c>
      <c r="AJ448" s="27">
        <f>IF(AN448="","",IFERROR(IF(NOT(AND(LEN(AN448)=15,ISNUMBER(MATCH(LEFT(AN448,2),Lists!$K$2:$K$38,0)),SUMPRODUCT(--ISERROR(FIND(MID(MID(AN448,3,10),{1,2,3,4,5,10},1),"ABCDEFGHIJKLMNOPQRSTUVWXYZ")))=0,SUMPRODUCT(--ISERROR(FIND(MID(MID(AN448,3,10),{6,7,8,9},1),"0123456789")))=0,ISNUMBER(FIND(MID(AN448,13,1),"123456789ABCDEFGHIJKLMNOPQRSTUVWXYZ")),MID(AN448,14,1)="Z")),"Wrong format",IF(MID("0123456789ABCDEFGHIJKLMNOPQRSTUVWXYZ",MOD(36-MOD(SUMPRODUCT(INT((FIND(MID(AN448,{1,2,3,4,5,6,7,8,9,10,11,12,13,14},1),"0123456789ABCDEFGHIJKLMNOPQRSTUVWXYZ")-1)*{1,2,1,2,1,2,1,2,1,2,1,2,1,2}/36)+MOD((FIND(MID(AN448,{1,2,3,4,5,6,7,8,9,10,11,12,13,14},1),"0123456789ABCDEFGHIJKLMNOPQRSTUVWXYZ")-1)*{1,2,1,2,1,2,1,2,1,2,1,2,1,2},36)),36),36)+1,1)=MID(AN448,15,1),"OK","Typo? check digit wrong")),"Wrong format"))</f>
        <v/>
      </c>
      <c r="AK448" s="27">
        <f>IF(AO448="","",IF(AND(LEN(AO448)=10,SUMPRODUCT(--ISERROR(FIND(MID(AO448,{1,2,3,4,5,10},1),"ABCDEFGHIJKLMNOPQRSTUVWXYZ")))=0,SUMPRODUCT(--ISERROR(FIND(MID(AO448,{6,7,8,9},1),"0123456789")))=0),"OK","Wrong format"))</f>
        <v/>
      </c>
      <c r="AL448" s="27">
        <f>IF(TRIM(H448)="","",IF(AND(LEN(UPPER(TRIM(H448)))=10,SUMPRODUCT(--ISERROR(FIND(MID(UPPER(TRIM(H448)),{1,2,3,4,10},1),"ABCDEFGHIJKLMNOPQRSTUVWXYZ")))=0,SUMPRODUCT(--ISERROR(FIND(MID(UPPER(TRIM(H448)),{5,6,7,8,9},1),"0123456789")))=0),"OK","Wrong format"))</f>
        <v/>
      </c>
      <c r="AM448" s="28">
        <f>IF(NOT(COUNTA(A448:AE448)&gt;0),"",IF(AS448&lt;&gt;"","✖ "&amp;LEFT(AS448,LEN(AS448)-2),IF(AR448&gt;0,"✔ Ready — client + "&amp;AR448&amp;" service(s)","✔ Ready — client only")))</f>
        <v/>
      </c>
      <c r="AN448" s="29">
        <f>UPPER(SUBSTITUTE(TRIM(F448)," ",""))</f>
        <v/>
      </c>
      <c r="AO448" s="29">
        <f>UPPER(SUBSTITUTE(TRIM(E448)," ",""))</f>
        <v/>
      </c>
      <c r="AP448" s="29">
        <f>IF(D448&lt;&gt;"",D448,IFERROR(VLOOKUP(MID(AG448,4,1),Lists!$E$2:$F$8,2,FALSE),""))</f>
        <v/>
      </c>
      <c r="AQ448" s="29">
        <f>IFERROR(VLOOKUP(AP448,Lists!$A$2:$C$12,3,FALSE),"")</f>
        <v/>
      </c>
      <c r="AR448" s="29">
        <f>COUNTIF(W448:AC448,"Yes")</f>
        <v/>
      </c>
      <c r="AS448" s="29">
        <f>IF(TRIM(B448)="","Legal name missing; ","")&amp;IF(AND(AJ448&lt;&gt;"",AJ448&lt;&gt;"OK"),"GSTIN: "&amp;AJ448&amp;"; ","")&amp;IF(AND(AK448&lt;&gt;"",AK448&lt;&gt;"OK"),"PAN wrong format; ","")&amp;IF(AND(AO448&lt;&gt;"",LEN(AN448)=15,MID(AN448,3,10)&lt;&gt;AO448),"PAN does not match GSTIN; ","")&amp;IF(AND(AL448&lt;&gt;"",AL448&lt;&gt;"OK"),"TAN wrong format; ","")&amp;IF(AG448="","PAN missing; ","")&amp;IF(AP448="","Entity type missing; ","")&amp;IF(AND(AN448&lt;&gt;"",COUNTIF($AN$6:$AN$1005,AN448)&gt;1),"GSTIN repeated in this sheet; ","")&amp;IF(AND(AG448&lt;&gt;"",COUNTIF($AG$6:$AG$1005,AG448)&gt;1),"PAN repeated in this sheet (same client? put extra GSTINs in Other GSTINs); ","")&amp;IF(AND(AR448&gt;0,V448=""),"Financial year missing; ","")&amp;IF(AND(AR448=0,V448&lt;&gt;""),"Financial year given but no service is Yes; ","")&amp;IF(AND(W448="Yes",AN448=""),"GST needs a GSTIN; ","")&amp;IF(AND(W448="Yes",X448=""),"GST return frequency missing; ","")&amp;IF(AND(Y448="Yes",TRIM(H448)=""),"TDS needs a TAN; ","")&amp;IF(AND(AA448="Yes",AQ448&lt;&gt;"",AQ448&lt;&gt;"company",AQ448&lt;&gt;"llp"),"ROC is only for a company / LLP; ","")&amp;IF(AND(AA448="Yes",OR(AQ448="company",AQ448="llp"),TRIM(I448)=""),"ROC needs the CIN / LLPIN; ","")</f>
        <v/>
      </c>
    </row>
    <row r="449">
      <c r="A449" s="30" t="n"/>
      <c r="B449" s="31" t="n"/>
      <c r="C449" s="31" t="n"/>
      <c r="D449" s="31" t="n"/>
      <c r="E449" s="30" t="n"/>
      <c r="F449" s="30" t="n"/>
      <c r="G449" s="30" t="n"/>
      <c r="H449" s="30" t="n"/>
      <c r="I449" s="30" t="n"/>
      <c r="J449" s="32" t="n"/>
      <c r="K449" s="31" t="n"/>
      <c r="L449" s="30" t="n"/>
      <c r="M449" s="31" t="n"/>
      <c r="N449" s="31" t="n"/>
      <c r="O449" s="31" t="n"/>
      <c r="P449" s="30" t="n"/>
      <c r="Q449" s="31" t="n"/>
      <c r="R449" s="31" t="n"/>
      <c r="S449" s="31" t="n"/>
      <c r="T449" s="31" t="n"/>
      <c r="U449" s="30" t="n"/>
      <c r="V449" s="31" t="n"/>
      <c r="W449" s="31" t="n"/>
      <c r="X449" s="31" t="n"/>
      <c r="Y449" s="31" t="n"/>
      <c r="Z449" s="31" t="n"/>
      <c r="AA449" s="31" t="n"/>
      <c r="AB449" s="31" t="n"/>
      <c r="AC449" s="31" t="n"/>
      <c r="AD449" s="31" t="n"/>
      <c r="AE449" s="31" t="n"/>
      <c r="AF449" s="27">
        <f>IF(NOT(COUNTA(A449:AE449)&gt;0),"",IF(A449="","New client","Update"))</f>
        <v/>
      </c>
      <c r="AG449" s="27">
        <f>IF(AO449&lt;&gt;"",AO449,IF(LEN(AN449)=15,MID(AN449,3,10),""))</f>
        <v/>
      </c>
      <c r="AH449" s="27">
        <f>IF(AP449="","",AP449&amp;IF(D449="","  (guessed from PAN)",""))</f>
        <v/>
      </c>
      <c r="AI449" s="27">
        <f>IF(AN449="","",IFERROR(INDEX(Lists!$L$2:$L$38,MATCH(LEFT(AN449,2),Lists!$K$2:$K$38,0)),"Unknown code"))</f>
        <v/>
      </c>
      <c r="AJ449" s="27">
        <f>IF(AN449="","",IFERROR(IF(NOT(AND(LEN(AN449)=15,ISNUMBER(MATCH(LEFT(AN449,2),Lists!$K$2:$K$38,0)),SUMPRODUCT(--ISERROR(FIND(MID(MID(AN449,3,10),{1,2,3,4,5,10},1),"ABCDEFGHIJKLMNOPQRSTUVWXYZ")))=0,SUMPRODUCT(--ISERROR(FIND(MID(MID(AN449,3,10),{6,7,8,9},1),"0123456789")))=0,ISNUMBER(FIND(MID(AN449,13,1),"123456789ABCDEFGHIJKLMNOPQRSTUVWXYZ")),MID(AN449,14,1)="Z")),"Wrong format",IF(MID("0123456789ABCDEFGHIJKLMNOPQRSTUVWXYZ",MOD(36-MOD(SUMPRODUCT(INT((FIND(MID(AN449,{1,2,3,4,5,6,7,8,9,10,11,12,13,14},1),"0123456789ABCDEFGHIJKLMNOPQRSTUVWXYZ")-1)*{1,2,1,2,1,2,1,2,1,2,1,2,1,2}/36)+MOD((FIND(MID(AN449,{1,2,3,4,5,6,7,8,9,10,11,12,13,14},1),"0123456789ABCDEFGHIJKLMNOPQRSTUVWXYZ")-1)*{1,2,1,2,1,2,1,2,1,2,1,2,1,2},36)),36),36)+1,1)=MID(AN449,15,1),"OK","Typo? check digit wrong")),"Wrong format"))</f>
        <v/>
      </c>
      <c r="AK449" s="27">
        <f>IF(AO449="","",IF(AND(LEN(AO449)=10,SUMPRODUCT(--ISERROR(FIND(MID(AO449,{1,2,3,4,5,10},1),"ABCDEFGHIJKLMNOPQRSTUVWXYZ")))=0,SUMPRODUCT(--ISERROR(FIND(MID(AO449,{6,7,8,9},1),"0123456789")))=0),"OK","Wrong format"))</f>
        <v/>
      </c>
      <c r="AL449" s="27">
        <f>IF(TRIM(H449)="","",IF(AND(LEN(UPPER(TRIM(H449)))=10,SUMPRODUCT(--ISERROR(FIND(MID(UPPER(TRIM(H449)),{1,2,3,4,10},1),"ABCDEFGHIJKLMNOPQRSTUVWXYZ")))=0,SUMPRODUCT(--ISERROR(FIND(MID(UPPER(TRIM(H449)),{5,6,7,8,9},1),"0123456789")))=0),"OK","Wrong format"))</f>
        <v/>
      </c>
      <c r="AM449" s="28">
        <f>IF(NOT(COUNTA(A449:AE449)&gt;0),"",IF(AS449&lt;&gt;"","✖ "&amp;LEFT(AS449,LEN(AS449)-2),IF(AR449&gt;0,"✔ Ready — client + "&amp;AR449&amp;" service(s)","✔ Ready — client only")))</f>
        <v/>
      </c>
      <c r="AN449" s="29">
        <f>UPPER(SUBSTITUTE(TRIM(F449)," ",""))</f>
        <v/>
      </c>
      <c r="AO449" s="29">
        <f>UPPER(SUBSTITUTE(TRIM(E449)," ",""))</f>
        <v/>
      </c>
      <c r="AP449" s="29">
        <f>IF(D449&lt;&gt;"",D449,IFERROR(VLOOKUP(MID(AG449,4,1),Lists!$E$2:$F$8,2,FALSE),""))</f>
        <v/>
      </c>
      <c r="AQ449" s="29">
        <f>IFERROR(VLOOKUP(AP449,Lists!$A$2:$C$12,3,FALSE),"")</f>
        <v/>
      </c>
      <c r="AR449" s="29">
        <f>COUNTIF(W449:AC449,"Yes")</f>
        <v/>
      </c>
      <c r="AS449" s="29">
        <f>IF(TRIM(B449)="","Legal name missing; ","")&amp;IF(AND(AJ449&lt;&gt;"",AJ449&lt;&gt;"OK"),"GSTIN: "&amp;AJ449&amp;"; ","")&amp;IF(AND(AK449&lt;&gt;"",AK449&lt;&gt;"OK"),"PAN wrong format; ","")&amp;IF(AND(AO449&lt;&gt;"",LEN(AN449)=15,MID(AN449,3,10)&lt;&gt;AO449),"PAN does not match GSTIN; ","")&amp;IF(AND(AL449&lt;&gt;"",AL449&lt;&gt;"OK"),"TAN wrong format; ","")&amp;IF(AG449="","PAN missing; ","")&amp;IF(AP449="","Entity type missing; ","")&amp;IF(AND(AN449&lt;&gt;"",COUNTIF($AN$6:$AN$1005,AN449)&gt;1),"GSTIN repeated in this sheet; ","")&amp;IF(AND(AG449&lt;&gt;"",COUNTIF($AG$6:$AG$1005,AG449)&gt;1),"PAN repeated in this sheet (same client? put extra GSTINs in Other GSTINs); ","")&amp;IF(AND(AR449&gt;0,V449=""),"Financial year missing; ","")&amp;IF(AND(AR449=0,V449&lt;&gt;""),"Financial year given but no service is Yes; ","")&amp;IF(AND(W449="Yes",AN449=""),"GST needs a GSTIN; ","")&amp;IF(AND(W449="Yes",X449=""),"GST return frequency missing; ","")&amp;IF(AND(Y449="Yes",TRIM(H449)=""),"TDS needs a TAN; ","")&amp;IF(AND(AA449="Yes",AQ449&lt;&gt;"",AQ449&lt;&gt;"company",AQ449&lt;&gt;"llp"),"ROC is only for a company / LLP; ","")&amp;IF(AND(AA449="Yes",OR(AQ449="company",AQ449="llp"),TRIM(I449)=""),"ROC needs the CIN / LLPIN; ","")</f>
        <v/>
      </c>
    </row>
    <row r="450">
      <c r="A450" s="30" t="n"/>
      <c r="B450" s="31" t="n"/>
      <c r="C450" s="31" t="n"/>
      <c r="D450" s="31" t="n"/>
      <c r="E450" s="30" t="n"/>
      <c r="F450" s="30" t="n"/>
      <c r="G450" s="30" t="n"/>
      <c r="H450" s="30" t="n"/>
      <c r="I450" s="30" t="n"/>
      <c r="J450" s="32" t="n"/>
      <c r="K450" s="31" t="n"/>
      <c r="L450" s="30" t="n"/>
      <c r="M450" s="31" t="n"/>
      <c r="N450" s="31" t="n"/>
      <c r="O450" s="31" t="n"/>
      <c r="P450" s="30" t="n"/>
      <c r="Q450" s="31" t="n"/>
      <c r="R450" s="31" t="n"/>
      <c r="S450" s="31" t="n"/>
      <c r="T450" s="31" t="n"/>
      <c r="U450" s="30" t="n"/>
      <c r="V450" s="31" t="n"/>
      <c r="W450" s="31" t="n"/>
      <c r="X450" s="31" t="n"/>
      <c r="Y450" s="31" t="n"/>
      <c r="Z450" s="31" t="n"/>
      <c r="AA450" s="31" t="n"/>
      <c r="AB450" s="31" t="n"/>
      <c r="AC450" s="31" t="n"/>
      <c r="AD450" s="31" t="n"/>
      <c r="AE450" s="31" t="n"/>
      <c r="AF450" s="27">
        <f>IF(NOT(COUNTA(A450:AE450)&gt;0),"",IF(A450="","New client","Update"))</f>
        <v/>
      </c>
      <c r="AG450" s="27">
        <f>IF(AO450&lt;&gt;"",AO450,IF(LEN(AN450)=15,MID(AN450,3,10),""))</f>
        <v/>
      </c>
      <c r="AH450" s="27">
        <f>IF(AP450="","",AP450&amp;IF(D450="","  (guessed from PAN)",""))</f>
        <v/>
      </c>
      <c r="AI450" s="27">
        <f>IF(AN450="","",IFERROR(INDEX(Lists!$L$2:$L$38,MATCH(LEFT(AN450,2),Lists!$K$2:$K$38,0)),"Unknown code"))</f>
        <v/>
      </c>
      <c r="AJ450" s="27">
        <f>IF(AN450="","",IFERROR(IF(NOT(AND(LEN(AN450)=15,ISNUMBER(MATCH(LEFT(AN450,2),Lists!$K$2:$K$38,0)),SUMPRODUCT(--ISERROR(FIND(MID(MID(AN450,3,10),{1,2,3,4,5,10},1),"ABCDEFGHIJKLMNOPQRSTUVWXYZ")))=0,SUMPRODUCT(--ISERROR(FIND(MID(MID(AN450,3,10),{6,7,8,9},1),"0123456789")))=0,ISNUMBER(FIND(MID(AN450,13,1),"123456789ABCDEFGHIJKLMNOPQRSTUVWXYZ")),MID(AN450,14,1)="Z")),"Wrong format",IF(MID("0123456789ABCDEFGHIJKLMNOPQRSTUVWXYZ",MOD(36-MOD(SUMPRODUCT(INT((FIND(MID(AN450,{1,2,3,4,5,6,7,8,9,10,11,12,13,14},1),"0123456789ABCDEFGHIJKLMNOPQRSTUVWXYZ")-1)*{1,2,1,2,1,2,1,2,1,2,1,2,1,2}/36)+MOD((FIND(MID(AN450,{1,2,3,4,5,6,7,8,9,10,11,12,13,14},1),"0123456789ABCDEFGHIJKLMNOPQRSTUVWXYZ")-1)*{1,2,1,2,1,2,1,2,1,2,1,2,1,2},36)),36),36)+1,1)=MID(AN450,15,1),"OK","Typo? check digit wrong")),"Wrong format"))</f>
        <v/>
      </c>
      <c r="AK450" s="27">
        <f>IF(AO450="","",IF(AND(LEN(AO450)=10,SUMPRODUCT(--ISERROR(FIND(MID(AO450,{1,2,3,4,5,10},1),"ABCDEFGHIJKLMNOPQRSTUVWXYZ")))=0,SUMPRODUCT(--ISERROR(FIND(MID(AO450,{6,7,8,9},1),"0123456789")))=0),"OK","Wrong format"))</f>
        <v/>
      </c>
      <c r="AL450" s="27">
        <f>IF(TRIM(H450)="","",IF(AND(LEN(UPPER(TRIM(H450)))=10,SUMPRODUCT(--ISERROR(FIND(MID(UPPER(TRIM(H450)),{1,2,3,4,10},1),"ABCDEFGHIJKLMNOPQRSTUVWXYZ")))=0,SUMPRODUCT(--ISERROR(FIND(MID(UPPER(TRIM(H450)),{5,6,7,8,9},1),"0123456789")))=0),"OK","Wrong format"))</f>
        <v/>
      </c>
      <c r="AM450" s="28">
        <f>IF(NOT(COUNTA(A450:AE450)&gt;0),"",IF(AS450&lt;&gt;"","✖ "&amp;LEFT(AS450,LEN(AS450)-2),IF(AR450&gt;0,"✔ Ready — client + "&amp;AR450&amp;" service(s)","✔ Ready — client only")))</f>
        <v/>
      </c>
      <c r="AN450" s="29">
        <f>UPPER(SUBSTITUTE(TRIM(F450)," ",""))</f>
        <v/>
      </c>
      <c r="AO450" s="29">
        <f>UPPER(SUBSTITUTE(TRIM(E450)," ",""))</f>
        <v/>
      </c>
      <c r="AP450" s="29">
        <f>IF(D450&lt;&gt;"",D450,IFERROR(VLOOKUP(MID(AG450,4,1),Lists!$E$2:$F$8,2,FALSE),""))</f>
        <v/>
      </c>
      <c r="AQ450" s="29">
        <f>IFERROR(VLOOKUP(AP450,Lists!$A$2:$C$12,3,FALSE),"")</f>
        <v/>
      </c>
      <c r="AR450" s="29">
        <f>COUNTIF(W450:AC450,"Yes")</f>
        <v/>
      </c>
      <c r="AS450" s="29">
        <f>IF(TRIM(B450)="","Legal name missing; ","")&amp;IF(AND(AJ450&lt;&gt;"",AJ450&lt;&gt;"OK"),"GSTIN: "&amp;AJ450&amp;"; ","")&amp;IF(AND(AK450&lt;&gt;"",AK450&lt;&gt;"OK"),"PAN wrong format; ","")&amp;IF(AND(AO450&lt;&gt;"",LEN(AN450)=15,MID(AN450,3,10)&lt;&gt;AO450),"PAN does not match GSTIN; ","")&amp;IF(AND(AL450&lt;&gt;"",AL450&lt;&gt;"OK"),"TAN wrong format; ","")&amp;IF(AG450="","PAN missing; ","")&amp;IF(AP450="","Entity type missing; ","")&amp;IF(AND(AN450&lt;&gt;"",COUNTIF($AN$6:$AN$1005,AN450)&gt;1),"GSTIN repeated in this sheet; ","")&amp;IF(AND(AG450&lt;&gt;"",COUNTIF($AG$6:$AG$1005,AG450)&gt;1),"PAN repeated in this sheet (same client? put extra GSTINs in Other GSTINs); ","")&amp;IF(AND(AR450&gt;0,V450=""),"Financial year missing; ","")&amp;IF(AND(AR450=0,V450&lt;&gt;""),"Financial year given but no service is Yes; ","")&amp;IF(AND(W450="Yes",AN450=""),"GST needs a GSTIN; ","")&amp;IF(AND(W450="Yes",X450=""),"GST return frequency missing; ","")&amp;IF(AND(Y450="Yes",TRIM(H450)=""),"TDS needs a TAN; ","")&amp;IF(AND(AA450="Yes",AQ450&lt;&gt;"",AQ450&lt;&gt;"company",AQ450&lt;&gt;"llp"),"ROC is only for a company / LLP; ","")&amp;IF(AND(AA450="Yes",OR(AQ450="company",AQ450="llp"),TRIM(I450)=""),"ROC needs the CIN / LLPIN; ","")</f>
        <v/>
      </c>
    </row>
    <row r="451">
      <c r="A451" s="30" t="n"/>
      <c r="B451" s="31" t="n"/>
      <c r="C451" s="31" t="n"/>
      <c r="D451" s="31" t="n"/>
      <c r="E451" s="30" t="n"/>
      <c r="F451" s="30" t="n"/>
      <c r="G451" s="30" t="n"/>
      <c r="H451" s="30" t="n"/>
      <c r="I451" s="30" t="n"/>
      <c r="J451" s="32" t="n"/>
      <c r="K451" s="31" t="n"/>
      <c r="L451" s="30" t="n"/>
      <c r="M451" s="31" t="n"/>
      <c r="N451" s="31" t="n"/>
      <c r="O451" s="31" t="n"/>
      <c r="P451" s="30" t="n"/>
      <c r="Q451" s="31" t="n"/>
      <c r="R451" s="31" t="n"/>
      <c r="S451" s="31" t="n"/>
      <c r="T451" s="31" t="n"/>
      <c r="U451" s="30" t="n"/>
      <c r="V451" s="31" t="n"/>
      <c r="W451" s="31" t="n"/>
      <c r="X451" s="31" t="n"/>
      <c r="Y451" s="31" t="n"/>
      <c r="Z451" s="31" t="n"/>
      <c r="AA451" s="31" t="n"/>
      <c r="AB451" s="31" t="n"/>
      <c r="AC451" s="31" t="n"/>
      <c r="AD451" s="31" t="n"/>
      <c r="AE451" s="31" t="n"/>
      <c r="AF451" s="27">
        <f>IF(NOT(COUNTA(A451:AE451)&gt;0),"",IF(A451="","New client","Update"))</f>
        <v/>
      </c>
      <c r="AG451" s="27">
        <f>IF(AO451&lt;&gt;"",AO451,IF(LEN(AN451)=15,MID(AN451,3,10),""))</f>
        <v/>
      </c>
      <c r="AH451" s="27">
        <f>IF(AP451="","",AP451&amp;IF(D451="","  (guessed from PAN)",""))</f>
        <v/>
      </c>
      <c r="AI451" s="27">
        <f>IF(AN451="","",IFERROR(INDEX(Lists!$L$2:$L$38,MATCH(LEFT(AN451,2),Lists!$K$2:$K$38,0)),"Unknown code"))</f>
        <v/>
      </c>
      <c r="AJ451" s="27">
        <f>IF(AN451="","",IFERROR(IF(NOT(AND(LEN(AN451)=15,ISNUMBER(MATCH(LEFT(AN451,2),Lists!$K$2:$K$38,0)),SUMPRODUCT(--ISERROR(FIND(MID(MID(AN451,3,10),{1,2,3,4,5,10},1),"ABCDEFGHIJKLMNOPQRSTUVWXYZ")))=0,SUMPRODUCT(--ISERROR(FIND(MID(MID(AN451,3,10),{6,7,8,9},1),"0123456789")))=0,ISNUMBER(FIND(MID(AN451,13,1),"123456789ABCDEFGHIJKLMNOPQRSTUVWXYZ")),MID(AN451,14,1)="Z")),"Wrong format",IF(MID("0123456789ABCDEFGHIJKLMNOPQRSTUVWXYZ",MOD(36-MOD(SUMPRODUCT(INT((FIND(MID(AN451,{1,2,3,4,5,6,7,8,9,10,11,12,13,14},1),"0123456789ABCDEFGHIJKLMNOPQRSTUVWXYZ")-1)*{1,2,1,2,1,2,1,2,1,2,1,2,1,2}/36)+MOD((FIND(MID(AN451,{1,2,3,4,5,6,7,8,9,10,11,12,13,14},1),"0123456789ABCDEFGHIJKLMNOPQRSTUVWXYZ")-1)*{1,2,1,2,1,2,1,2,1,2,1,2,1,2},36)),36),36)+1,1)=MID(AN451,15,1),"OK","Typo? check digit wrong")),"Wrong format"))</f>
        <v/>
      </c>
      <c r="AK451" s="27">
        <f>IF(AO451="","",IF(AND(LEN(AO451)=10,SUMPRODUCT(--ISERROR(FIND(MID(AO451,{1,2,3,4,5,10},1),"ABCDEFGHIJKLMNOPQRSTUVWXYZ")))=0,SUMPRODUCT(--ISERROR(FIND(MID(AO451,{6,7,8,9},1),"0123456789")))=0),"OK","Wrong format"))</f>
        <v/>
      </c>
      <c r="AL451" s="27">
        <f>IF(TRIM(H451)="","",IF(AND(LEN(UPPER(TRIM(H451)))=10,SUMPRODUCT(--ISERROR(FIND(MID(UPPER(TRIM(H451)),{1,2,3,4,10},1),"ABCDEFGHIJKLMNOPQRSTUVWXYZ")))=0,SUMPRODUCT(--ISERROR(FIND(MID(UPPER(TRIM(H451)),{5,6,7,8,9},1),"0123456789")))=0),"OK","Wrong format"))</f>
        <v/>
      </c>
      <c r="AM451" s="28">
        <f>IF(NOT(COUNTA(A451:AE451)&gt;0),"",IF(AS451&lt;&gt;"","✖ "&amp;LEFT(AS451,LEN(AS451)-2),IF(AR451&gt;0,"✔ Ready — client + "&amp;AR451&amp;" service(s)","✔ Ready — client only")))</f>
        <v/>
      </c>
      <c r="AN451" s="29">
        <f>UPPER(SUBSTITUTE(TRIM(F451)," ",""))</f>
        <v/>
      </c>
      <c r="AO451" s="29">
        <f>UPPER(SUBSTITUTE(TRIM(E451)," ",""))</f>
        <v/>
      </c>
      <c r="AP451" s="29">
        <f>IF(D451&lt;&gt;"",D451,IFERROR(VLOOKUP(MID(AG451,4,1),Lists!$E$2:$F$8,2,FALSE),""))</f>
        <v/>
      </c>
      <c r="AQ451" s="29">
        <f>IFERROR(VLOOKUP(AP451,Lists!$A$2:$C$12,3,FALSE),"")</f>
        <v/>
      </c>
      <c r="AR451" s="29">
        <f>COUNTIF(W451:AC451,"Yes")</f>
        <v/>
      </c>
      <c r="AS451" s="29">
        <f>IF(TRIM(B451)="","Legal name missing; ","")&amp;IF(AND(AJ451&lt;&gt;"",AJ451&lt;&gt;"OK"),"GSTIN: "&amp;AJ451&amp;"; ","")&amp;IF(AND(AK451&lt;&gt;"",AK451&lt;&gt;"OK"),"PAN wrong format; ","")&amp;IF(AND(AO451&lt;&gt;"",LEN(AN451)=15,MID(AN451,3,10)&lt;&gt;AO451),"PAN does not match GSTIN; ","")&amp;IF(AND(AL451&lt;&gt;"",AL451&lt;&gt;"OK"),"TAN wrong format; ","")&amp;IF(AG451="","PAN missing; ","")&amp;IF(AP451="","Entity type missing; ","")&amp;IF(AND(AN451&lt;&gt;"",COUNTIF($AN$6:$AN$1005,AN451)&gt;1),"GSTIN repeated in this sheet; ","")&amp;IF(AND(AG451&lt;&gt;"",COUNTIF($AG$6:$AG$1005,AG451)&gt;1),"PAN repeated in this sheet (same client? put extra GSTINs in Other GSTINs); ","")&amp;IF(AND(AR451&gt;0,V451=""),"Financial year missing; ","")&amp;IF(AND(AR451=0,V451&lt;&gt;""),"Financial year given but no service is Yes; ","")&amp;IF(AND(W451="Yes",AN451=""),"GST needs a GSTIN; ","")&amp;IF(AND(W451="Yes",X451=""),"GST return frequency missing; ","")&amp;IF(AND(Y451="Yes",TRIM(H451)=""),"TDS needs a TAN; ","")&amp;IF(AND(AA451="Yes",AQ451&lt;&gt;"",AQ451&lt;&gt;"company",AQ451&lt;&gt;"llp"),"ROC is only for a company / LLP; ","")&amp;IF(AND(AA451="Yes",OR(AQ451="company",AQ451="llp"),TRIM(I451)=""),"ROC needs the CIN / LLPIN; ","")</f>
        <v/>
      </c>
    </row>
    <row r="452">
      <c r="A452" s="30" t="n"/>
      <c r="B452" s="31" t="n"/>
      <c r="C452" s="31" t="n"/>
      <c r="D452" s="31" t="n"/>
      <c r="E452" s="30" t="n"/>
      <c r="F452" s="30" t="n"/>
      <c r="G452" s="30" t="n"/>
      <c r="H452" s="30" t="n"/>
      <c r="I452" s="30" t="n"/>
      <c r="J452" s="32" t="n"/>
      <c r="K452" s="31" t="n"/>
      <c r="L452" s="30" t="n"/>
      <c r="M452" s="31" t="n"/>
      <c r="N452" s="31" t="n"/>
      <c r="O452" s="31" t="n"/>
      <c r="P452" s="30" t="n"/>
      <c r="Q452" s="31" t="n"/>
      <c r="R452" s="31" t="n"/>
      <c r="S452" s="31" t="n"/>
      <c r="T452" s="31" t="n"/>
      <c r="U452" s="30" t="n"/>
      <c r="V452" s="31" t="n"/>
      <c r="W452" s="31" t="n"/>
      <c r="X452" s="31" t="n"/>
      <c r="Y452" s="31" t="n"/>
      <c r="Z452" s="31" t="n"/>
      <c r="AA452" s="31" t="n"/>
      <c r="AB452" s="31" t="n"/>
      <c r="AC452" s="31" t="n"/>
      <c r="AD452" s="31" t="n"/>
      <c r="AE452" s="31" t="n"/>
      <c r="AF452" s="27">
        <f>IF(NOT(COUNTA(A452:AE452)&gt;0),"",IF(A452="","New client","Update"))</f>
        <v/>
      </c>
      <c r="AG452" s="27">
        <f>IF(AO452&lt;&gt;"",AO452,IF(LEN(AN452)=15,MID(AN452,3,10),""))</f>
        <v/>
      </c>
      <c r="AH452" s="27">
        <f>IF(AP452="","",AP452&amp;IF(D452="","  (guessed from PAN)",""))</f>
        <v/>
      </c>
      <c r="AI452" s="27">
        <f>IF(AN452="","",IFERROR(INDEX(Lists!$L$2:$L$38,MATCH(LEFT(AN452,2),Lists!$K$2:$K$38,0)),"Unknown code"))</f>
        <v/>
      </c>
      <c r="AJ452" s="27">
        <f>IF(AN452="","",IFERROR(IF(NOT(AND(LEN(AN452)=15,ISNUMBER(MATCH(LEFT(AN452,2),Lists!$K$2:$K$38,0)),SUMPRODUCT(--ISERROR(FIND(MID(MID(AN452,3,10),{1,2,3,4,5,10},1),"ABCDEFGHIJKLMNOPQRSTUVWXYZ")))=0,SUMPRODUCT(--ISERROR(FIND(MID(MID(AN452,3,10),{6,7,8,9},1),"0123456789")))=0,ISNUMBER(FIND(MID(AN452,13,1),"123456789ABCDEFGHIJKLMNOPQRSTUVWXYZ")),MID(AN452,14,1)="Z")),"Wrong format",IF(MID("0123456789ABCDEFGHIJKLMNOPQRSTUVWXYZ",MOD(36-MOD(SUMPRODUCT(INT((FIND(MID(AN452,{1,2,3,4,5,6,7,8,9,10,11,12,13,14},1),"0123456789ABCDEFGHIJKLMNOPQRSTUVWXYZ")-1)*{1,2,1,2,1,2,1,2,1,2,1,2,1,2}/36)+MOD((FIND(MID(AN452,{1,2,3,4,5,6,7,8,9,10,11,12,13,14},1),"0123456789ABCDEFGHIJKLMNOPQRSTUVWXYZ")-1)*{1,2,1,2,1,2,1,2,1,2,1,2,1,2},36)),36),36)+1,1)=MID(AN452,15,1),"OK","Typo? check digit wrong")),"Wrong format"))</f>
        <v/>
      </c>
      <c r="AK452" s="27">
        <f>IF(AO452="","",IF(AND(LEN(AO452)=10,SUMPRODUCT(--ISERROR(FIND(MID(AO452,{1,2,3,4,5,10},1),"ABCDEFGHIJKLMNOPQRSTUVWXYZ")))=0,SUMPRODUCT(--ISERROR(FIND(MID(AO452,{6,7,8,9},1),"0123456789")))=0),"OK","Wrong format"))</f>
        <v/>
      </c>
      <c r="AL452" s="27">
        <f>IF(TRIM(H452)="","",IF(AND(LEN(UPPER(TRIM(H452)))=10,SUMPRODUCT(--ISERROR(FIND(MID(UPPER(TRIM(H452)),{1,2,3,4,10},1),"ABCDEFGHIJKLMNOPQRSTUVWXYZ")))=0,SUMPRODUCT(--ISERROR(FIND(MID(UPPER(TRIM(H452)),{5,6,7,8,9},1),"0123456789")))=0),"OK","Wrong format"))</f>
        <v/>
      </c>
      <c r="AM452" s="28">
        <f>IF(NOT(COUNTA(A452:AE452)&gt;0),"",IF(AS452&lt;&gt;"","✖ "&amp;LEFT(AS452,LEN(AS452)-2),IF(AR452&gt;0,"✔ Ready — client + "&amp;AR452&amp;" service(s)","✔ Ready — client only")))</f>
        <v/>
      </c>
      <c r="AN452" s="29">
        <f>UPPER(SUBSTITUTE(TRIM(F452)," ",""))</f>
        <v/>
      </c>
      <c r="AO452" s="29">
        <f>UPPER(SUBSTITUTE(TRIM(E452)," ",""))</f>
        <v/>
      </c>
      <c r="AP452" s="29">
        <f>IF(D452&lt;&gt;"",D452,IFERROR(VLOOKUP(MID(AG452,4,1),Lists!$E$2:$F$8,2,FALSE),""))</f>
        <v/>
      </c>
      <c r="AQ452" s="29">
        <f>IFERROR(VLOOKUP(AP452,Lists!$A$2:$C$12,3,FALSE),"")</f>
        <v/>
      </c>
      <c r="AR452" s="29">
        <f>COUNTIF(W452:AC452,"Yes")</f>
        <v/>
      </c>
      <c r="AS452" s="29">
        <f>IF(TRIM(B452)="","Legal name missing; ","")&amp;IF(AND(AJ452&lt;&gt;"",AJ452&lt;&gt;"OK"),"GSTIN: "&amp;AJ452&amp;"; ","")&amp;IF(AND(AK452&lt;&gt;"",AK452&lt;&gt;"OK"),"PAN wrong format; ","")&amp;IF(AND(AO452&lt;&gt;"",LEN(AN452)=15,MID(AN452,3,10)&lt;&gt;AO452),"PAN does not match GSTIN; ","")&amp;IF(AND(AL452&lt;&gt;"",AL452&lt;&gt;"OK"),"TAN wrong format; ","")&amp;IF(AG452="","PAN missing; ","")&amp;IF(AP452="","Entity type missing; ","")&amp;IF(AND(AN452&lt;&gt;"",COUNTIF($AN$6:$AN$1005,AN452)&gt;1),"GSTIN repeated in this sheet; ","")&amp;IF(AND(AG452&lt;&gt;"",COUNTIF($AG$6:$AG$1005,AG452)&gt;1),"PAN repeated in this sheet (same client? put extra GSTINs in Other GSTINs); ","")&amp;IF(AND(AR452&gt;0,V452=""),"Financial year missing; ","")&amp;IF(AND(AR452=0,V452&lt;&gt;""),"Financial year given but no service is Yes; ","")&amp;IF(AND(W452="Yes",AN452=""),"GST needs a GSTIN; ","")&amp;IF(AND(W452="Yes",X452=""),"GST return frequency missing; ","")&amp;IF(AND(Y452="Yes",TRIM(H452)=""),"TDS needs a TAN; ","")&amp;IF(AND(AA452="Yes",AQ452&lt;&gt;"",AQ452&lt;&gt;"company",AQ452&lt;&gt;"llp"),"ROC is only for a company / LLP; ","")&amp;IF(AND(AA452="Yes",OR(AQ452="company",AQ452="llp"),TRIM(I452)=""),"ROC needs the CIN / LLPIN; ","")</f>
        <v/>
      </c>
    </row>
    <row r="453">
      <c r="A453" s="30" t="n"/>
      <c r="B453" s="31" t="n"/>
      <c r="C453" s="31" t="n"/>
      <c r="D453" s="31" t="n"/>
      <c r="E453" s="30" t="n"/>
      <c r="F453" s="30" t="n"/>
      <c r="G453" s="30" t="n"/>
      <c r="H453" s="30" t="n"/>
      <c r="I453" s="30" t="n"/>
      <c r="J453" s="32" t="n"/>
      <c r="K453" s="31" t="n"/>
      <c r="L453" s="30" t="n"/>
      <c r="M453" s="31" t="n"/>
      <c r="N453" s="31" t="n"/>
      <c r="O453" s="31" t="n"/>
      <c r="P453" s="30" t="n"/>
      <c r="Q453" s="31" t="n"/>
      <c r="R453" s="31" t="n"/>
      <c r="S453" s="31" t="n"/>
      <c r="T453" s="31" t="n"/>
      <c r="U453" s="30" t="n"/>
      <c r="V453" s="31" t="n"/>
      <c r="W453" s="31" t="n"/>
      <c r="X453" s="31" t="n"/>
      <c r="Y453" s="31" t="n"/>
      <c r="Z453" s="31" t="n"/>
      <c r="AA453" s="31" t="n"/>
      <c r="AB453" s="31" t="n"/>
      <c r="AC453" s="31" t="n"/>
      <c r="AD453" s="31" t="n"/>
      <c r="AE453" s="31" t="n"/>
      <c r="AF453" s="27">
        <f>IF(NOT(COUNTA(A453:AE453)&gt;0),"",IF(A453="","New client","Update"))</f>
        <v/>
      </c>
      <c r="AG453" s="27">
        <f>IF(AO453&lt;&gt;"",AO453,IF(LEN(AN453)=15,MID(AN453,3,10),""))</f>
        <v/>
      </c>
      <c r="AH453" s="27">
        <f>IF(AP453="","",AP453&amp;IF(D453="","  (guessed from PAN)",""))</f>
        <v/>
      </c>
      <c r="AI453" s="27">
        <f>IF(AN453="","",IFERROR(INDEX(Lists!$L$2:$L$38,MATCH(LEFT(AN453,2),Lists!$K$2:$K$38,0)),"Unknown code"))</f>
        <v/>
      </c>
      <c r="AJ453" s="27">
        <f>IF(AN453="","",IFERROR(IF(NOT(AND(LEN(AN453)=15,ISNUMBER(MATCH(LEFT(AN453,2),Lists!$K$2:$K$38,0)),SUMPRODUCT(--ISERROR(FIND(MID(MID(AN453,3,10),{1,2,3,4,5,10},1),"ABCDEFGHIJKLMNOPQRSTUVWXYZ")))=0,SUMPRODUCT(--ISERROR(FIND(MID(MID(AN453,3,10),{6,7,8,9},1),"0123456789")))=0,ISNUMBER(FIND(MID(AN453,13,1),"123456789ABCDEFGHIJKLMNOPQRSTUVWXYZ")),MID(AN453,14,1)="Z")),"Wrong format",IF(MID("0123456789ABCDEFGHIJKLMNOPQRSTUVWXYZ",MOD(36-MOD(SUMPRODUCT(INT((FIND(MID(AN453,{1,2,3,4,5,6,7,8,9,10,11,12,13,14},1),"0123456789ABCDEFGHIJKLMNOPQRSTUVWXYZ")-1)*{1,2,1,2,1,2,1,2,1,2,1,2,1,2}/36)+MOD((FIND(MID(AN453,{1,2,3,4,5,6,7,8,9,10,11,12,13,14},1),"0123456789ABCDEFGHIJKLMNOPQRSTUVWXYZ")-1)*{1,2,1,2,1,2,1,2,1,2,1,2,1,2},36)),36),36)+1,1)=MID(AN453,15,1),"OK","Typo? check digit wrong")),"Wrong format"))</f>
        <v/>
      </c>
      <c r="AK453" s="27">
        <f>IF(AO453="","",IF(AND(LEN(AO453)=10,SUMPRODUCT(--ISERROR(FIND(MID(AO453,{1,2,3,4,5,10},1),"ABCDEFGHIJKLMNOPQRSTUVWXYZ")))=0,SUMPRODUCT(--ISERROR(FIND(MID(AO453,{6,7,8,9},1),"0123456789")))=0),"OK","Wrong format"))</f>
        <v/>
      </c>
      <c r="AL453" s="27">
        <f>IF(TRIM(H453)="","",IF(AND(LEN(UPPER(TRIM(H453)))=10,SUMPRODUCT(--ISERROR(FIND(MID(UPPER(TRIM(H453)),{1,2,3,4,10},1),"ABCDEFGHIJKLMNOPQRSTUVWXYZ")))=0,SUMPRODUCT(--ISERROR(FIND(MID(UPPER(TRIM(H453)),{5,6,7,8,9},1),"0123456789")))=0),"OK","Wrong format"))</f>
        <v/>
      </c>
      <c r="AM453" s="28">
        <f>IF(NOT(COUNTA(A453:AE453)&gt;0),"",IF(AS453&lt;&gt;"","✖ "&amp;LEFT(AS453,LEN(AS453)-2),IF(AR453&gt;0,"✔ Ready — client + "&amp;AR453&amp;" service(s)","✔ Ready — client only")))</f>
        <v/>
      </c>
      <c r="AN453" s="29">
        <f>UPPER(SUBSTITUTE(TRIM(F453)," ",""))</f>
        <v/>
      </c>
      <c r="AO453" s="29">
        <f>UPPER(SUBSTITUTE(TRIM(E453)," ",""))</f>
        <v/>
      </c>
      <c r="AP453" s="29">
        <f>IF(D453&lt;&gt;"",D453,IFERROR(VLOOKUP(MID(AG453,4,1),Lists!$E$2:$F$8,2,FALSE),""))</f>
        <v/>
      </c>
      <c r="AQ453" s="29">
        <f>IFERROR(VLOOKUP(AP453,Lists!$A$2:$C$12,3,FALSE),"")</f>
        <v/>
      </c>
      <c r="AR453" s="29">
        <f>COUNTIF(W453:AC453,"Yes")</f>
        <v/>
      </c>
      <c r="AS453" s="29">
        <f>IF(TRIM(B453)="","Legal name missing; ","")&amp;IF(AND(AJ453&lt;&gt;"",AJ453&lt;&gt;"OK"),"GSTIN: "&amp;AJ453&amp;"; ","")&amp;IF(AND(AK453&lt;&gt;"",AK453&lt;&gt;"OK"),"PAN wrong format; ","")&amp;IF(AND(AO453&lt;&gt;"",LEN(AN453)=15,MID(AN453,3,10)&lt;&gt;AO453),"PAN does not match GSTIN; ","")&amp;IF(AND(AL453&lt;&gt;"",AL453&lt;&gt;"OK"),"TAN wrong format; ","")&amp;IF(AG453="","PAN missing; ","")&amp;IF(AP453="","Entity type missing; ","")&amp;IF(AND(AN453&lt;&gt;"",COUNTIF($AN$6:$AN$1005,AN453)&gt;1),"GSTIN repeated in this sheet; ","")&amp;IF(AND(AG453&lt;&gt;"",COUNTIF($AG$6:$AG$1005,AG453)&gt;1),"PAN repeated in this sheet (same client? put extra GSTINs in Other GSTINs); ","")&amp;IF(AND(AR453&gt;0,V453=""),"Financial year missing; ","")&amp;IF(AND(AR453=0,V453&lt;&gt;""),"Financial year given but no service is Yes; ","")&amp;IF(AND(W453="Yes",AN453=""),"GST needs a GSTIN; ","")&amp;IF(AND(W453="Yes",X453=""),"GST return frequency missing; ","")&amp;IF(AND(Y453="Yes",TRIM(H453)=""),"TDS needs a TAN; ","")&amp;IF(AND(AA453="Yes",AQ453&lt;&gt;"",AQ453&lt;&gt;"company",AQ453&lt;&gt;"llp"),"ROC is only for a company / LLP; ","")&amp;IF(AND(AA453="Yes",OR(AQ453="company",AQ453="llp"),TRIM(I453)=""),"ROC needs the CIN / LLPIN; ","")</f>
        <v/>
      </c>
    </row>
    <row r="454">
      <c r="A454" s="30" t="n"/>
      <c r="B454" s="31" t="n"/>
      <c r="C454" s="31" t="n"/>
      <c r="D454" s="31" t="n"/>
      <c r="E454" s="30" t="n"/>
      <c r="F454" s="30" t="n"/>
      <c r="G454" s="30" t="n"/>
      <c r="H454" s="30" t="n"/>
      <c r="I454" s="30" t="n"/>
      <c r="J454" s="32" t="n"/>
      <c r="K454" s="31" t="n"/>
      <c r="L454" s="30" t="n"/>
      <c r="M454" s="31" t="n"/>
      <c r="N454" s="31" t="n"/>
      <c r="O454" s="31" t="n"/>
      <c r="P454" s="30" t="n"/>
      <c r="Q454" s="31" t="n"/>
      <c r="R454" s="31" t="n"/>
      <c r="S454" s="31" t="n"/>
      <c r="T454" s="31" t="n"/>
      <c r="U454" s="30" t="n"/>
      <c r="V454" s="31" t="n"/>
      <c r="W454" s="31" t="n"/>
      <c r="X454" s="31" t="n"/>
      <c r="Y454" s="31" t="n"/>
      <c r="Z454" s="31" t="n"/>
      <c r="AA454" s="31" t="n"/>
      <c r="AB454" s="31" t="n"/>
      <c r="AC454" s="31" t="n"/>
      <c r="AD454" s="31" t="n"/>
      <c r="AE454" s="31" t="n"/>
      <c r="AF454" s="27">
        <f>IF(NOT(COUNTA(A454:AE454)&gt;0),"",IF(A454="","New client","Update"))</f>
        <v/>
      </c>
      <c r="AG454" s="27">
        <f>IF(AO454&lt;&gt;"",AO454,IF(LEN(AN454)=15,MID(AN454,3,10),""))</f>
        <v/>
      </c>
      <c r="AH454" s="27">
        <f>IF(AP454="","",AP454&amp;IF(D454="","  (guessed from PAN)",""))</f>
        <v/>
      </c>
      <c r="AI454" s="27">
        <f>IF(AN454="","",IFERROR(INDEX(Lists!$L$2:$L$38,MATCH(LEFT(AN454,2),Lists!$K$2:$K$38,0)),"Unknown code"))</f>
        <v/>
      </c>
      <c r="AJ454" s="27">
        <f>IF(AN454="","",IFERROR(IF(NOT(AND(LEN(AN454)=15,ISNUMBER(MATCH(LEFT(AN454,2),Lists!$K$2:$K$38,0)),SUMPRODUCT(--ISERROR(FIND(MID(MID(AN454,3,10),{1,2,3,4,5,10},1),"ABCDEFGHIJKLMNOPQRSTUVWXYZ")))=0,SUMPRODUCT(--ISERROR(FIND(MID(MID(AN454,3,10),{6,7,8,9},1),"0123456789")))=0,ISNUMBER(FIND(MID(AN454,13,1),"123456789ABCDEFGHIJKLMNOPQRSTUVWXYZ")),MID(AN454,14,1)="Z")),"Wrong format",IF(MID("0123456789ABCDEFGHIJKLMNOPQRSTUVWXYZ",MOD(36-MOD(SUMPRODUCT(INT((FIND(MID(AN454,{1,2,3,4,5,6,7,8,9,10,11,12,13,14},1),"0123456789ABCDEFGHIJKLMNOPQRSTUVWXYZ")-1)*{1,2,1,2,1,2,1,2,1,2,1,2,1,2}/36)+MOD((FIND(MID(AN454,{1,2,3,4,5,6,7,8,9,10,11,12,13,14},1),"0123456789ABCDEFGHIJKLMNOPQRSTUVWXYZ")-1)*{1,2,1,2,1,2,1,2,1,2,1,2,1,2},36)),36),36)+1,1)=MID(AN454,15,1),"OK","Typo? check digit wrong")),"Wrong format"))</f>
        <v/>
      </c>
      <c r="AK454" s="27">
        <f>IF(AO454="","",IF(AND(LEN(AO454)=10,SUMPRODUCT(--ISERROR(FIND(MID(AO454,{1,2,3,4,5,10},1),"ABCDEFGHIJKLMNOPQRSTUVWXYZ")))=0,SUMPRODUCT(--ISERROR(FIND(MID(AO454,{6,7,8,9},1),"0123456789")))=0),"OK","Wrong format"))</f>
        <v/>
      </c>
      <c r="AL454" s="27">
        <f>IF(TRIM(H454)="","",IF(AND(LEN(UPPER(TRIM(H454)))=10,SUMPRODUCT(--ISERROR(FIND(MID(UPPER(TRIM(H454)),{1,2,3,4,10},1),"ABCDEFGHIJKLMNOPQRSTUVWXYZ")))=0,SUMPRODUCT(--ISERROR(FIND(MID(UPPER(TRIM(H454)),{5,6,7,8,9},1),"0123456789")))=0),"OK","Wrong format"))</f>
        <v/>
      </c>
      <c r="AM454" s="28">
        <f>IF(NOT(COUNTA(A454:AE454)&gt;0),"",IF(AS454&lt;&gt;"","✖ "&amp;LEFT(AS454,LEN(AS454)-2),IF(AR454&gt;0,"✔ Ready — client + "&amp;AR454&amp;" service(s)","✔ Ready — client only")))</f>
        <v/>
      </c>
      <c r="AN454" s="29">
        <f>UPPER(SUBSTITUTE(TRIM(F454)," ",""))</f>
        <v/>
      </c>
      <c r="AO454" s="29">
        <f>UPPER(SUBSTITUTE(TRIM(E454)," ",""))</f>
        <v/>
      </c>
      <c r="AP454" s="29">
        <f>IF(D454&lt;&gt;"",D454,IFERROR(VLOOKUP(MID(AG454,4,1),Lists!$E$2:$F$8,2,FALSE),""))</f>
        <v/>
      </c>
      <c r="AQ454" s="29">
        <f>IFERROR(VLOOKUP(AP454,Lists!$A$2:$C$12,3,FALSE),"")</f>
        <v/>
      </c>
      <c r="AR454" s="29">
        <f>COUNTIF(W454:AC454,"Yes")</f>
        <v/>
      </c>
      <c r="AS454" s="29">
        <f>IF(TRIM(B454)="","Legal name missing; ","")&amp;IF(AND(AJ454&lt;&gt;"",AJ454&lt;&gt;"OK"),"GSTIN: "&amp;AJ454&amp;"; ","")&amp;IF(AND(AK454&lt;&gt;"",AK454&lt;&gt;"OK"),"PAN wrong format; ","")&amp;IF(AND(AO454&lt;&gt;"",LEN(AN454)=15,MID(AN454,3,10)&lt;&gt;AO454),"PAN does not match GSTIN; ","")&amp;IF(AND(AL454&lt;&gt;"",AL454&lt;&gt;"OK"),"TAN wrong format; ","")&amp;IF(AG454="","PAN missing; ","")&amp;IF(AP454="","Entity type missing; ","")&amp;IF(AND(AN454&lt;&gt;"",COUNTIF($AN$6:$AN$1005,AN454)&gt;1),"GSTIN repeated in this sheet; ","")&amp;IF(AND(AG454&lt;&gt;"",COUNTIF($AG$6:$AG$1005,AG454)&gt;1),"PAN repeated in this sheet (same client? put extra GSTINs in Other GSTINs); ","")&amp;IF(AND(AR454&gt;0,V454=""),"Financial year missing; ","")&amp;IF(AND(AR454=0,V454&lt;&gt;""),"Financial year given but no service is Yes; ","")&amp;IF(AND(W454="Yes",AN454=""),"GST needs a GSTIN; ","")&amp;IF(AND(W454="Yes",X454=""),"GST return frequency missing; ","")&amp;IF(AND(Y454="Yes",TRIM(H454)=""),"TDS needs a TAN; ","")&amp;IF(AND(AA454="Yes",AQ454&lt;&gt;"",AQ454&lt;&gt;"company",AQ454&lt;&gt;"llp"),"ROC is only for a company / LLP; ","")&amp;IF(AND(AA454="Yes",OR(AQ454="company",AQ454="llp"),TRIM(I454)=""),"ROC needs the CIN / LLPIN; ","")</f>
        <v/>
      </c>
    </row>
    <row r="455">
      <c r="A455" s="30" t="n"/>
      <c r="B455" s="31" t="n"/>
      <c r="C455" s="31" t="n"/>
      <c r="D455" s="31" t="n"/>
      <c r="E455" s="30" t="n"/>
      <c r="F455" s="30" t="n"/>
      <c r="G455" s="30" t="n"/>
      <c r="H455" s="30" t="n"/>
      <c r="I455" s="30" t="n"/>
      <c r="J455" s="32" t="n"/>
      <c r="K455" s="31" t="n"/>
      <c r="L455" s="30" t="n"/>
      <c r="M455" s="31" t="n"/>
      <c r="N455" s="31" t="n"/>
      <c r="O455" s="31" t="n"/>
      <c r="P455" s="30" t="n"/>
      <c r="Q455" s="31" t="n"/>
      <c r="R455" s="31" t="n"/>
      <c r="S455" s="31" t="n"/>
      <c r="T455" s="31" t="n"/>
      <c r="U455" s="30" t="n"/>
      <c r="V455" s="31" t="n"/>
      <c r="W455" s="31" t="n"/>
      <c r="X455" s="31" t="n"/>
      <c r="Y455" s="31" t="n"/>
      <c r="Z455" s="31" t="n"/>
      <c r="AA455" s="31" t="n"/>
      <c r="AB455" s="31" t="n"/>
      <c r="AC455" s="31" t="n"/>
      <c r="AD455" s="31" t="n"/>
      <c r="AE455" s="31" t="n"/>
      <c r="AF455" s="27">
        <f>IF(NOT(COUNTA(A455:AE455)&gt;0),"",IF(A455="","New client","Update"))</f>
        <v/>
      </c>
      <c r="AG455" s="27">
        <f>IF(AO455&lt;&gt;"",AO455,IF(LEN(AN455)=15,MID(AN455,3,10),""))</f>
        <v/>
      </c>
      <c r="AH455" s="27">
        <f>IF(AP455="","",AP455&amp;IF(D455="","  (guessed from PAN)",""))</f>
        <v/>
      </c>
      <c r="AI455" s="27">
        <f>IF(AN455="","",IFERROR(INDEX(Lists!$L$2:$L$38,MATCH(LEFT(AN455,2),Lists!$K$2:$K$38,0)),"Unknown code"))</f>
        <v/>
      </c>
      <c r="AJ455" s="27">
        <f>IF(AN455="","",IFERROR(IF(NOT(AND(LEN(AN455)=15,ISNUMBER(MATCH(LEFT(AN455,2),Lists!$K$2:$K$38,0)),SUMPRODUCT(--ISERROR(FIND(MID(MID(AN455,3,10),{1,2,3,4,5,10},1),"ABCDEFGHIJKLMNOPQRSTUVWXYZ")))=0,SUMPRODUCT(--ISERROR(FIND(MID(MID(AN455,3,10),{6,7,8,9},1),"0123456789")))=0,ISNUMBER(FIND(MID(AN455,13,1),"123456789ABCDEFGHIJKLMNOPQRSTUVWXYZ")),MID(AN455,14,1)="Z")),"Wrong format",IF(MID("0123456789ABCDEFGHIJKLMNOPQRSTUVWXYZ",MOD(36-MOD(SUMPRODUCT(INT((FIND(MID(AN455,{1,2,3,4,5,6,7,8,9,10,11,12,13,14},1),"0123456789ABCDEFGHIJKLMNOPQRSTUVWXYZ")-1)*{1,2,1,2,1,2,1,2,1,2,1,2,1,2}/36)+MOD((FIND(MID(AN455,{1,2,3,4,5,6,7,8,9,10,11,12,13,14},1),"0123456789ABCDEFGHIJKLMNOPQRSTUVWXYZ")-1)*{1,2,1,2,1,2,1,2,1,2,1,2,1,2},36)),36),36)+1,1)=MID(AN455,15,1),"OK","Typo? check digit wrong")),"Wrong format"))</f>
        <v/>
      </c>
      <c r="AK455" s="27">
        <f>IF(AO455="","",IF(AND(LEN(AO455)=10,SUMPRODUCT(--ISERROR(FIND(MID(AO455,{1,2,3,4,5,10},1),"ABCDEFGHIJKLMNOPQRSTUVWXYZ")))=0,SUMPRODUCT(--ISERROR(FIND(MID(AO455,{6,7,8,9},1),"0123456789")))=0),"OK","Wrong format"))</f>
        <v/>
      </c>
      <c r="AL455" s="27">
        <f>IF(TRIM(H455)="","",IF(AND(LEN(UPPER(TRIM(H455)))=10,SUMPRODUCT(--ISERROR(FIND(MID(UPPER(TRIM(H455)),{1,2,3,4,10},1),"ABCDEFGHIJKLMNOPQRSTUVWXYZ")))=0,SUMPRODUCT(--ISERROR(FIND(MID(UPPER(TRIM(H455)),{5,6,7,8,9},1),"0123456789")))=0),"OK","Wrong format"))</f>
        <v/>
      </c>
      <c r="AM455" s="28">
        <f>IF(NOT(COUNTA(A455:AE455)&gt;0),"",IF(AS455&lt;&gt;"","✖ "&amp;LEFT(AS455,LEN(AS455)-2),IF(AR455&gt;0,"✔ Ready — client + "&amp;AR455&amp;" service(s)","✔ Ready — client only")))</f>
        <v/>
      </c>
      <c r="AN455" s="29">
        <f>UPPER(SUBSTITUTE(TRIM(F455)," ",""))</f>
        <v/>
      </c>
      <c r="AO455" s="29">
        <f>UPPER(SUBSTITUTE(TRIM(E455)," ",""))</f>
        <v/>
      </c>
      <c r="AP455" s="29">
        <f>IF(D455&lt;&gt;"",D455,IFERROR(VLOOKUP(MID(AG455,4,1),Lists!$E$2:$F$8,2,FALSE),""))</f>
        <v/>
      </c>
      <c r="AQ455" s="29">
        <f>IFERROR(VLOOKUP(AP455,Lists!$A$2:$C$12,3,FALSE),"")</f>
        <v/>
      </c>
      <c r="AR455" s="29">
        <f>COUNTIF(W455:AC455,"Yes")</f>
        <v/>
      </c>
      <c r="AS455" s="29">
        <f>IF(TRIM(B455)="","Legal name missing; ","")&amp;IF(AND(AJ455&lt;&gt;"",AJ455&lt;&gt;"OK"),"GSTIN: "&amp;AJ455&amp;"; ","")&amp;IF(AND(AK455&lt;&gt;"",AK455&lt;&gt;"OK"),"PAN wrong format; ","")&amp;IF(AND(AO455&lt;&gt;"",LEN(AN455)=15,MID(AN455,3,10)&lt;&gt;AO455),"PAN does not match GSTIN; ","")&amp;IF(AND(AL455&lt;&gt;"",AL455&lt;&gt;"OK"),"TAN wrong format; ","")&amp;IF(AG455="","PAN missing; ","")&amp;IF(AP455="","Entity type missing; ","")&amp;IF(AND(AN455&lt;&gt;"",COUNTIF($AN$6:$AN$1005,AN455)&gt;1),"GSTIN repeated in this sheet; ","")&amp;IF(AND(AG455&lt;&gt;"",COUNTIF($AG$6:$AG$1005,AG455)&gt;1),"PAN repeated in this sheet (same client? put extra GSTINs in Other GSTINs); ","")&amp;IF(AND(AR455&gt;0,V455=""),"Financial year missing; ","")&amp;IF(AND(AR455=0,V455&lt;&gt;""),"Financial year given but no service is Yes; ","")&amp;IF(AND(W455="Yes",AN455=""),"GST needs a GSTIN; ","")&amp;IF(AND(W455="Yes",X455=""),"GST return frequency missing; ","")&amp;IF(AND(Y455="Yes",TRIM(H455)=""),"TDS needs a TAN; ","")&amp;IF(AND(AA455="Yes",AQ455&lt;&gt;"",AQ455&lt;&gt;"company",AQ455&lt;&gt;"llp"),"ROC is only for a company / LLP; ","")&amp;IF(AND(AA455="Yes",OR(AQ455="company",AQ455="llp"),TRIM(I455)=""),"ROC needs the CIN / LLPIN; ","")</f>
        <v/>
      </c>
    </row>
    <row r="456">
      <c r="A456" s="30" t="n"/>
      <c r="B456" s="31" t="n"/>
      <c r="C456" s="31" t="n"/>
      <c r="D456" s="31" t="n"/>
      <c r="E456" s="30" t="n"/>
      <c r="F456" s="30" t="n"/>
      <c r="G456" s="30" t="n"/>
      <c r="H456" s="30" t="n"/>
      <c r="I456" s="30" t="n"/>
      <c r="J456" s="32" t="n"/>
      <c r="K456" s="31" t="n"/>
      <c r="L456" s="30" t="n"/>
      <c r="M456" s="31" t="n"/>
      <c r="N456" s="31" t="n"/>
      <c r="O456" s="31" t="n"/>
      <c r="P456" s="30" t="n"/>
      <c r="Q456" s="31" t="n"/>
      <c r="R456" s="31" t="n"/>
      <c r="S456" s="31" t="n"/>
      <c r="T456" s="31" t="n"/>
      <c r="U456" s="30" t="n"/>
      <c r="V456" s="31" t="n"/>
      <c r="W456" s="31" t="n"/>
      <c r="X456" s="31" t="n"/>
      <c r="Y456" s="31" t="n"/>
      <c r="Z456" s="31" t="n"/>
      <c r="AA456" s="31" t="n"/>
      <c r="AB456" s="31" t="n"/>
      <c r="AC456" s="31" t="n"/>
      <c r="AD456" s="31" t="n"/>
      <c r="AE456" s="31" t="n"/>
      <c r="AF456" s="27">
        <f>IF(NOT(COUNTA(A456:AE456)&gt;0),"",IF(A456="","New client","Update"))</f>
        <v/>
      </c>
      <c r="AG456" s="27">
        <f>IF(AO456&lt;&gt;"",AO456,IF(LEN(AN456)=15,MID(AN456,3,10),""))</f>
        <v/>
      </c>
      <c r="AH456" s="27">
        <f>IF(AP456="","",AP456&amp;IF(D456="","  (guessed from PAN)",""))</f>
        <v/>
      </c>
      <c r="AI456" s="27">
        <f>IF(AN456="","",IFERROR(INDEX(Lists!$L$2:$L$38,MATCH(LEFT(AN456,2),Lists!$K$2:$K$38,0)),"Unknown code"))</f>
        <v/>
      </c>
      <c r="AJ456" s="27">
        <f>IF(AN456="","",IFERROR(IF(NOT(AND(LEN(AN456)=15,ISNUMBER(MATCH(LEFT(AN456,2),Lists!$K$2:$K$38,0)),SUMPRODUCT(--ISERROR(FIND(MID(MID(AN456,3,10),{1,2,3,4,5,10},1),"ABCDEFGHIJKLMNOPQRSTUVWXYZ")))=0,SUMPRODUCT(--ISERROR(FIND(MID(MID(AN456,3,10),{6,7,8,9},1),"0123456789")))=0,ISNUMBER(FIND(MID(AN456,13,1),"123456789ABCDEFGHIJKLMNOPQRSTUVWXYZ")),MID(AN456,14,1)="Z")),"Wrong format",IF(MID("0123456789ABCDEFGHIJKLMNOPQRSTUVWXYZ",MOD(36-MOD(SUMPRODUCT(INT((FIND(MID(AN456,{1,2,3,4,5,6,7,8,9,10,11,12,13,14},1),"0123456789ABCDEFGHIJKLMNOPQRSTUVWXYZ")-1)*{1,2,1,2,1,2,1,2,1,2,1,2,1,2}/36)+MOD((FIND(MID(AN456,{1,2,3,4,5,6,7,8,9,10,11,12,13,14},1),"0123456789ABCDEFGHIJKLMNOPQRSTUVWXYZ")-1)*{1,2,1,2,1,2,1,2,1,2,1,2,1,2},36)),36),36)+1,1)=MID(AN456,15,1),"OK","Typo? check digit wrong")),"Wrong format"))</f>
        <v/>
      </c>
      <c r="AK456" s="27">
        <f>IF(AO456="","",IF(AND(LEN(AO456)=10,SUMPRODUCT(--ISERROR(FIND(MID(AO456,{1,2,3,4,5,10},1),"ABCDEFGHIJKLMNOPQRSTUVWXYZ")))=0,SUMPRODUCT(--ISERROR(FIND(MID(AO456,{6,7,8,9},1),"0123456789")))=0),"OK","Wrong format"))</f>
        <v/>
      </c>
      <c r="AL456" s="27">
        <f>IF(TRIM(H456)="","",IF(AND(LEN(UPPER(TRIM(H456)))=10,SUMPRODUCT(--ISERROR(FIND(MID(UPPER(TRIM(H456)),{1,2,3,4,10},1),"ABCDEFGHIJKLMNOPQRSTUVWXYZ")))=0,SUMPRODUCT(--ISERROR(FIND(MID(UPPER(TRIM(H456)),{5,6,7,8,9},1),"0123456789")))=0),"OK","Wrong format"))</f>
        <v/>
      </c>
      <c r="AM456" s="28">
        <f>IF(NOT(COUNTA(A456:AE456)&gt;0),"",IF(AS456&lt;&gt;"","✖ "&amp;LEFT(AS456,LEN(AS456)-2),IF(AR456&gt;0,"✔ Ready — client + "&amp;AR456&amp;" service(s)","✔ Ready — client only")))</f>
        <v/>
      </c>
      <c r="AN456" s="29">
        <f>UPPER(SUBSTITUTE(TRIM(F456)," ",""))</f>
        <v/>
      </c>
      <c r="AO456" s="29">
        <f>UPPER(SUBSTITUTE(TRIM(E456)," ",""))</f>
        <v/>
      </c>
      <c r="AP456" s="29">
        <f>IF(D456&lt;&gt;"",D456,IFERROR(VLOOKUP(MID(AG456,4,1),Lists!$E$2:$F$8,2,FALSE),""))</f>
        <v/>
      </c>
      <c r="AQ456" s="29">
        <f>IFERROR(VLOOKUP(AP456,Lists!$A$2:$C$12,3,FALSE),"")</f>
        <v/>
      </c>
      <c r="AR456" s="29">
        <f>COUNTIF(W456:AC456,"Yes")</f>
        <v/>
      </c>
      <c r="AS456" s="29">
        <f>IF(TRIM(B456)="","Legal name missing; ","")&amp;IF(AND(AJ456&lt;&gt;"",AJ456&lt;&gt;"OK"),"GSTIN: "&amp;AJ456&amp;"; ","")&amp;IF(AND(AK456&lt;&gt;"",AK456&lt;&gt;"OK"),"PAN wrong format; ","")&amp;IF(AND(AO456&lt;&gt;"",LEN(AN456)=15,MID(AN456,3,10)&lt;&gt;AO456),"PAN does not match GSTIN; ","")&amp;IF(AND(AL456&lt;&gt;"",AL456&lt;&gt;"OK"),"TAN wrong format; ","")&amp;IF(AG456="","PAN missing; ","")&amp;IF(AP456="","Entity type missing; ","")&amp;IF(AND(AN456&lt;&gt;"",COUNTIF($AN$6:$AN$1005,AN456)&gt;1),"GSTIN repeated in this sheet; ","")&amp;IF(AND(AG456&lt;&gt;"",COUNTIF($AG$6:$AG$1005,AG456)&gt;1),"PAN repeated in this sheet (same client? put extra GSTINs in Other GSTINs); ","")&amp;IF(AND(AR456&gt;0,V456=""),"Financial year missing; ","")&amp;IF(AND(AR456=0,V456&lt;&gt;""),"Financial year given but no service is Yes; ","")&amp;IF(AND(W456="Yes",AN456=""),"GST needs a GSTIN; ","")&amp;IF(AND(W456="Yes",X456=""),"GST return frequency missing; ","")&amp;IF(AND(Y456="Yes",TRIM(H456)=""),"TDS needs a TAN; ","")&amp;IF(AND(AA456="Yes",AQ456&lt;&gt;"",AQ456&lt;&gt;"company",AQ456&lt;&gt;"llp"),"ROC is only for a company / LLP; ","")&amp;IF(AND(AA456="Yes",OR(AQ456="company",AQ456="llp"),TRIM(I456)=""),"ROC needs the CIN / LLPIN; ","")</f>
        <v/>
      </c>
    </row>
    <row r="457">
      <c r="A457" s="30" t="n"/>
      <c r="B457" s="31" t="n"/>
      <c r="C457" s="31" t="n"/>
      <c r="D457" s="31" t="n"/>
      <c r="E457" s="30" t="n"/>
      <c r="F457" s="30" t="n"/>
      <c r="G457" s="30" t="n"/>
      <c r="H457" s="30" t="n"/>
      <c r="I457" s="30" t="n"/>
      <c r="J457" s="32" t="n"/>
      <c r="K457" s="31" t="n"/>
      <c r="L457" s="30" t="n"/>
      <c r="M457" s="31" t="n"/>
      <c r="N457" s="31" t="n"/>
      <c r="O457" s="31" t="n"/>
      <c r="P457" s="30" t="n"/>
      <c r="Q457" s="31" t="n"/>
      <c r="R457" s="31" t="n"/>
      <c r="S457" s="31" t="n"/>
      <c r="T457" s="31" t="n"/>
      <c r="U457" s="30" t="n"/>
      <c r="V457" s="31" t="n"/>
      <c r="W457" s="31" t="n"/>
      <c r="X457" s="31" t="n"/>
      <c r="Y457" s="31" t="n"/>
      <c r="Z457" s="31" t="n"/>
      <c r="AA457" s="31" t="n"/>
      <c r="AB457" s="31" t="n"/>
      <c r="AC457" s="31" t="n"/>
      <c r="AD457" s="31" t="n"/>
      <c r="AE457" s="31" t="n"/>
      <c r="AF457" s="27">
        <f>IF(NOT(COUNTA(A457:AE457)&gt;0),"",IF(A457="","New client","Update"))</f>
        <v/>
      </c>
      <c r="AG457" s="27">
        <f>IF(AO457&lt;&gt;"",AO457,IF(LEN(AN457)=15,MID(AN457,3,10),""))</f>
        <v/>
      </c>
      <c r="AH457" s="27">
        <f>IF(AP457="","",AP457&amp;IF(D457="","  (guessed from PAN)",""))</f>
        <v/>
      </c>
      <c r="AI457" s="27">
        <f>IF(AN457="","",IFERROR(INDEX(Lists!$L$2:$L$38,MATCH(LEFT(AN457,2),Lists!$K$2:$K$38,0)),"Unknown code"))</f>
        <v/>
      </c>
      <c r="AJ457" s="27">
        <f>IF(AN457="","",IFERROR(IF(NOT(AND(LEN(AN457)=15,ISNUMBER(MATCH(LEFT(AN457,2),Lists!$K$2:$K$38,0)),SUMPRODUCT(--ISERROR(FIND(MID(MID(AN457,3,10),{1,2,3,4,5,10},1),"ABCDEFGHIJKLMNOPQRSTUVWXYZ")))=0,SUMPRODUCT(--ISERROR(FIND(MID(MID(AN457,3,10),{6,7,8,9},1),"0123456789")))=0,ISNUMBER(FIND(MID(AN457,13,1),"123456789ABCDEFGHIJKLMNOPQRSTUVWXYZ")),MID(AN457,14,1)="Z")),"Wrong format",IF(MID("0123456789ABCDEFGHIJKLMNOPQRSTUVWXYZ",MOD(36-MOD(SUMPRODUCT(INT((FIND(MID(AN457,{1,2,3,4,5,6,7,8,9,10,11,12,13,14},1),"0123456789ABCDEFGHIJKLMNOPQRSTUVWXYZ")-1)*{1,2,1,2,1,2,1,2,1,2,1,2,1,2}/36)+MOD((FIND(MID(AN457,{1,2,3,4,5,6,7,8,9,10,11,12,13,14},1),"0123456789ABCDEFGHIJKLMNOPQRSTUVWXYZ")-1)*{1,2,1,2,1,2,1,2,1,2,1,2,1,2},36)),36),36)+1,1)=MID(AN457,15,1),"OK","Typo? check digit wrong")),"Wrong format"))</f>
        <v/>
      </c>
      <c r="AK457" s="27">
        <f>IF(AO457="","",IF(AND(LEN(AO457)=10,SUMPRODUCT(--ISERROR(FIND(MID(AO457,{1,2,3,4,5,10},1),"ABCDEFGHIJKLMNOPQRSTUVWXYZ")))=0,SUMPRODUCT(--ISERROR(FIND(MID(AO457,{6,7,8,9},1),"0123456789")))=0),"OK","Wrong format"))</f>
        <v/>
      </c>
      <c r="AL457" s="27">
        <f>IF(TRIM(H457)="","",IF(AND(LEN(UPPER(TRIM(H457)))=10,SUMPRODUCT(--ISERROR(FIND(MID(UPPER(TRIM(H457)),{1,2,3,4,10},1),"ABCDEFGHIJKLMNOPQRSTUVWXYZ")))=0,SUMPRODUCT(--ISERROR(FIND(MID(UPPER(TRIM(H457)),{5,6,7,8,9},1),"0123456789")))=0),"OK","Wrong format"))</f>
        <v/>
      </c>
      <c r="AM457" s="28">
        <f>IF(NOT(COUNTA(A457:AE457)&gt;0),"",IF(AS457&lt;&gt;"","✖ "&amp;LEFT(AS457,LEN(AS457)-2),IF(AR457&gt;0,"✔ Ready — client + "&amp;AR457&amp;" service(s)","✔ Ready — client only")))</f>
        <v/>
      </c>
      <c r="AN457" s="29">
        <f>UPPER(SUBSTITUTE(TRIM(F457)," ",""))</f>
        <v/>
      </c>
      <c r="AO457" s="29">
        <f>UPPER(SUBSTITUTE(TRIM(E457)," ",""))</f>
        <v/>
      </c>
      <c r="AP457" s="29">
        <f>IF(D457&lt;&gt;"",D457,IFERROR(VLOOKUP(MID(AG457,4,1),Lists!$E$2:$F$8,2,FALSE),""))</f>
        <v/>
      </c>
      <c r="AQ457" s="29">
        <f>IFERROR(VLOOKUP(AP457,Lists!$A$2:$C$12,3,FALSE),"")</f>
        <v/>
      </c>
      <c r="AR457" s="29">
        <f>COUNTIF(W457:AC457,"Yes")</f>
        <v/>
      </c>
      <c r="AS457" s="29">
        <f>IF(TRIM(B457)="","Legal name missing; ","")&amp;IF(AND(AJ457&lt;&gt;"",AJ457&lt;&gt;"OK"),"GSTIN: "&amp;AJ457&amp;"; ","")&amp;IF(AND(AK457&lt;&gt;"",AK457&lt;&gt;"OK"),"PAN wrong format; ","")&amp;IF(AND(AO457&lt;&gt;"",LEN(AN457)=15,MID(AN457,3,10)&lt;&gt;AO457),"PAN does not match GSTIN; ","")&amp;IF(AND(AL457&lt;&gt;"",AL457&lt;&gt;"OK"),"TAN wrong format; ","")&amp;IF(AG457="","PAN missing; ","")&amp;IF(AP457="","Entity type missing; ","")&amp;IF(AND(AN457&lt;&gt;"",COUNTIF($AN$6:$AN$1005,AN457)&gt;1),"GSTIN repeated in this sheet; ","")&amp;IF(AND(AG457&lt;&gt;"",COUNTIF($AG$6:$AG$1005,AG457)&gt;1),"PAN repeated in this sheet (same client? put extra GSTINs in Other GSTINs); ","")&amp;IF(AND(AR457&gt;0,V457=""),"Financial year missing; ","")&amp;IF(AND(AR457=0,V457&lt;&gt;""),"Financial year given but no service is Yes; ","")&amp;IF(AND(W457="Yes",AN457=""),"GST needs a GSTIN; ","")&amp;IF(AND(W457="Yes",X457=""),"GST return frequency missing; ","")&amp;IF(AND(Y457="Yes",TRIM(H457)=""),"TDS needs a TAN; ","")&amp;IF(AND(AA457="Yes",AQ457&lt;&gt;"",AQ457&lt;&gt;"company",AQ457&lt;&gt;"llp"),"ROC is only for a company / LLP; ","")&amp;IF(AND(AA457="Yes",OR(AQ457="company",AQ457="llp"),TRIM(I457)=""),"ROC needs the CIN / LLPIN; ","")</f>
        <v/>
      </c>
    </row>
    <row r="458">
      <c r="A458" s="30" t="n"/>
      <c r="B458" s="31" t="n"/>
      <c r="C458" s="31" t="n"/>
      <c r="D458" s="31" t="n"/>
      <c r="E458" s="30" t="n"/>
      <c r="F458" s="30" t="n"/>
      <c r="G458" s="30" t="n"/>
      <c r="H458" s="30" t="n"/>
      <c r="I458" s="30" t="n"/>
      <c r="J458" s="32" t="n"/>
      <c r="K458" s="31" t="n"/>
      <c r="L458" s="30" t="n"/>
      <c r="M458" s="31" t="n"/>
      <c r="N458" s="31" t="n"/>
      <c r="O458" s="31" t="n"/>
      <c r="P458" s="30" t="n"/>
      <c r="Q458" s="31" t="n"/>
      <c r="R458" s="31" t="n"/>
      <c r="S458" s="31" t="n"/>
      <c r="T458" s="31" t="n"/>
      <c r="U458" s="30" t="n"/>
      <c r="V458" s="31" t="n"/>
      <c r="W458" s="31" t="n"/>
      <c r="X458" s="31" t="n"/>
      <c r="Y458" s="31" t="n"/>
      <c r="Z458" s="31" t="n"/>
      <c r="AA458" s="31" t="n"/>
      <c r="AB458" s="31" t="n"/>
      <c r="AC458" s="31" t="n"/>
      <c r="AD458" s="31" t="n"/>
      <c r="AE458" s="31" t="n"/>
      <c r="AF458" s="27">
        <f>IF(NOT(COUNTA(A458:AE458)&gt;0),"",IF(A458="","New client","Update"))</f>
        <v/>
      </c>
      <c r="AG458" s="27">
        <f>IF(AO458&lt;&gt;"",AO458,IF(LEN(AN458)=15,MID(AN458,3,10),""))</f>
        <v/>
      </c>
      <c r="AH458" s="27">
        <f>IF(AP458="","",AP458&amp;IF(D458="","  (guessed from PAN)",""))</f>
        <v/>
      </c>
      <c r="AI458" s="27">
        <f>IF(AN458="","",IFERROR(INDEX(Lists!$L$2:$L$38,MATCH(LEFT(AN458,2),Lists!$K$2:$K$38,0)),"Unknown code"))</f>
        <v/>
      </c>
      <c r="AJ458" s="27">
        <f>IF(AN458="","",IFERROR(IF(NOT(AND(LEN(AN458)=15,ISNUMBER(MATCH(LEFT(AN458,2),Lists!$K$2:$K$38,0)),SUMPRODUCT(--ISERROR(FIND(MID(MID(AN458,3,10),{1,2,3,4,5,10},1),"ABCDEFGHIJKLMNOPQRSTUVWXYZ")))=0,SUMPRODUCT(--ISERROR(FIND(MID(MID(AN458,3,10),{6,7,8,9},1),"0123456789")))=0,ISNUMBER(FIND(MID(AN458,13,1),"123456789ABCDEFGHIJKLMNOPQRSTUVWXYZ")),MID(AN458,14,1)="Z")),"Wrong format",IF(MID("0123456789ABCDEFGHIJKLMNOPQRSTUVWXYZ",MOD(36-MOD(SUMPRODUCT(INT((FIND(MID(AN458,{1,2,3,4,5,6,7,8,9,10,11,12,13,14},1),"0123456789ABCDEFGHIJKLMNOPQRSTUVWXYZ")-1)*{1,2,1,2,1,2,1,2,1,2,1,2,1,2}/36)+MOD((FIND(MID(AN458,{1,2,3,4,5,6,7,8,9,10,11,12,13,14},1),"0123456789ABCDEFGHIJKLMNOPQRSTUVWXYZ")-1)*{1,2,1,2,1,2,1,2,1,2,1,2,1,2},36)),36),36)+1,1)=MID(AN458,15,1),"OK","Typo? check digit wrong")),"Wrong format"))</f>
        <v/>
      </c>
      <c r="AK458" s="27">
        <f>IF(AO458="","",IF(AND(LEN(AO458)=10,SUMPRODUCT(--ISERROR(FIND(MID(AO458,{1,2,3,4,5,10},1),"ABCDEFGHIJKLMNOPQRSTUVWXYZ")))=0,SUMPRODUCT(--ISERROR(FIND(MID(AO458,{6,7,8,9},1),"0123456789")))=0),"OK","Wrong format"))</f>
        <v/>
      </c>
      <c r="AL458" s="27">
        <f>IF(TRIM(H458)="","",IF(AND(LEN(UPPER(TRIM(H458)))=10,SUMPRODUCT(--ISERROR(FIND(MID(UPPER(TRIM(H458)),{1,2,3,4,10},1),"ABCDEFGHIJKLMNOPQRSTUVWXYZ")))=0,SUMPRODUCT(--ISERROR(FIND(MID(UPPER(TRIM(H458)),{5,6,7,8,9},1),"0123456789")))=0),"OK","Wrong format"))</f>
        <v/>
      </c>
      <c r="AM458" s="28">
        <f>IF(NOT(COUNTA(A458:AE458)&gt;0),"",IF(AS458&lt;&gt;"","✖ "&amp;LEFT(AS458,LEN(AS458)-2),IF(AR458&gt;0,"✔ Ready — client + "&amp;AR458&amp;" service(s)","✔ Ready — client only")))</f>
        <v/>
      </c>
      <c r="AN458" s="29">
        <f>UPPER(SUBSTITUTE(TRIM(F458)," ",""))</f>
        <v/>
      </c>
      <c r="AO458" s="29">
        <f>UPPER(SUBSTITUTE(TRIM(E458)," ",""))</f>
        <v/>
      </c>
      <c r="AP458" s="29">
        <f>IF(D458&lt;&gt;"",D458,IFERROR(VLOOKUP(MID(AG458,4,1),Lists!$E$2:$F$8,2,FALSE),""))</f>
        <v/>
      </c>
      <c r="AQ458" s="29">
        <f>IFERROR(VLOOKUP(AP458,Lists!$A$2:$C$12,3,FALSE),"")</f>
        <v/>
      </c>
      <c r="AR458" s="29">
        <f>COUNTIF(W458:AC458,"Yes")</f>
        <v/>
      </c>
      <c r="AS458" s="29">
        <f>IF(TRIM(B458)="","Legal name missing; ","")&amp;IF(AND(AJ458&lt;&gt;"",AJ458&lt;&gt;"OK"),"GSTIN: "&amp;AJ458&amp;"; ","")&amp;IF(AND(AK458&lt;&gt;"",AK458&lt;&gt;"OK"),"PAN wrong format; ","")&amp;IF(AND(AO458&lt;&gt;"",LEN(AN458)=15,MID(AN458,3,10)&lt;&gt;AO458),"PAN does not match GSTIN; ","")&amp;IF(AND(AL458&lt;&gt;"",AL458&lt;&gt;"OK"),"TAN wrong format; ","")&amp;IF(AG458="","PAN missing; ","")&amp;IF(AP458="","Entity type missing; ","")&amp;IF(AND(AN458&lt;&gt;"",COUNTIF($AN$6:$AN$1005,AN458)&gt;1),"GSTIN repeated in this sheet; ","")&amp;IF(AND(AG458&lt;&gt;"",COUNTIF($AG$6:$AG$1005,AG458)&gt;1),"PAN repeated in this sheet (same client? put extra GSTINs in Other GSTINs); ","")&amp;IF(AND(AR458&gt;0,V458=""),"Financial year missing; ","")&amp;IF(AND(AR458=0,V458&lt;&gt;""),"Financial year given but no service is Yes; ","")&amp;IF(AND(W458="Yes",AN458=""),"GST needs a GSTIN; ","")&amp;IF(AND(W458="Yes",X458=""),"GST return frequency missing; ","")&amp;IF(AND(Y458="Yes",TRIM(H458)=""),"TDS needs a TAN; ","")&amp;IF(AND(AA458="Yes",AQ458&lt;&gt;"",AQ458&lt;&gt;"company",AQ458&lt;&gt;"llp"),"ROC is only for a company / LLP; ","")&amp;IF(AND(AA458="Yes",OR(AQ458="company",AQ458="llp"),TRIM(I458)=""),"ROC needs the CIN / LLPIN; ","")</f>
        <v/>
      </c>
    </row>
    <row r="459">
      <c r="A459" s="30" t="n"/>
      <c r="B459" s="31" t="n"/>
      <c r="C459" s="31" t="n"/>
      <c r="D459" s="31" t="n"/>
      <c r="E459" s="30" t="n"/>
      <c r="F459" s="30" t="n"/>
      <c r="G459" s="30" t="n"/>
      <c r="H459" s="30" t="n"/>
      <c r="I459" s="30" t="n"/>
      <c r="J459" s="32" t="n"/>
      <c r="K459" s="31" t="n"/>
      <c r="L459" s="30" t="n"/>
      <c r="M459" s="31" t="n"/>
      <c r="N459" s="31" t="n"/>
      <c r="O459" s="31" t="n"/>
      <c r="P459" s="30" t="n"/>
      <c r="Q459" s="31" t="n"/>
      <c r="R459" s="31" t="n"/>
      <c r="S459" s="31" t="n"/>
      <c r="T459" s="31" t="n"/>
      <c r="U459" s="30" t="n"/>
      <c r="V459" s="31" t="n"/>
      <c r="W459" s="31" t="n"/>
      <c r="X459" s="31" t="n"/>
      <c r="Y459" s="31" t="n"/>
      <c r="Z459" s="31" t="n"/>
      <c r="AA459" s="31" t="n"/>
      <c r="AB459" s="31" t="n"/>
      <c r="AC459" s="31" t="n"/>
      <c r="AD459" s="31" t="n"/>
      <c r="AE459" s="31" t="n"/>
      <c r="AF459" s="27">
        <f>IF(NOT(COUNTA(A459:AE459)&gt;0),"",IF(A459="","New client","Update"))</f>
        <v/>
      </c>
      <c r="AG459" s="27">
        <f>IF(AO459&lt;&gt;"",AO459,IF(LEN(AN459)=15,MID(AN459,3,10),""))</f>
        <v/>
      </c>
      <c r="AH459" s="27">
        <f>IF(AP459="","",AP459&amp;IF(D459="","  (guessed from PAN)",""))</f>
        <v/>
      </c>
      <c r="AI459" s="27">
        <f>IF(AN459="","",IFERROR(INDEX(Lists!$L$2:$L$38,MATCH(LEFT(AN459,2),Lists!$K$2:$K$38,0)),"Unknown code"))</f>
        <v/>
      </c>
      <c r="AJ459" s="27">
        <f>IF(AN459="","",IFERROR(IF(NOT(AND(LEN(AN459)=15,ISNUMBER(MATCH(LEFT(AN459,2),Lists!$K$2:$K$38,0)),SUMPRODUCT(--ISERROR(FIND(MID(MID(AN459,3,10),{1,2,3,4,5,10},1),"ABCDEFGHIJKLMNOPQRSTUVWXYZ")))=0,SUMPRODUCT(--ISERROR(FIND(MID(MID(AN459,3,10),{6,7,8,9},1),"0123456789")))=0,ISNUMBER(FIND(MID(AN459,13,1),"123456789ABCDEFGHIJKLMNOPQRSTUVWXYZ")),MID(AN459,14,1)="Z")),"Wrong format",IF(MID("0123456789ABCDEFGHIJKLMNOPQRSTUVWXYZ",MOD(36-MOD(SUMPRODUCT(INT((FIND(MID(AN459,{1,2,3,4,5,6,7,8,9,10,11,12,13,14},1),"0123456789ABCDEFGHIJKLMNOPQRSTUVWXYZ")-1)*{1,2,1,2,1,2,1,2,1,2,1,2,1,2}/36)+MOD((FIND(MID(AN459,{1,2,3,4,5,6,7,8,9,10,11,12,13,14},1),"0123456789ABCDEFGHIJKLMNOPQRSTUVWXYZ")-1)*{1,2,1,2,1,2,1,2,1,2,1,2,1,2},36)),36),36)+1,1)=MID(AN459,15,1),"OK","Typo? check digit wrong")),"Wrong format"))</f>
        <v/>
      </c>
      <c r="AK459" s="27">
        <f>IF(AO459="","",IF(AND(LEN(AO459)=10,SUMPRODUCT(--ISERROR(FIND(MID(AO459,{1,2,3,4,5,10},1),"ABCDEFGHIJKLMNOPQRSTUVWXYZ")))=0,SUMPRODUCT(--ISERROR(FIND(MID(AO459,{6,7,8,9},1),"0123456789")))=0),"OK","Wrong format"))</f>
        <v/>
      </c>
      <c r="AL459" s="27">
        <f>IF(TRIM(H459)="","",IF(AND(LEN(UPPER(TRIM(H459)))=10,SUMPRODUCT(--ISERROR(FIND(MID(UPPER(TRIM(H459)),{1,2,3,4,10},1),"ABCDEFGHIJKLMNOPQRSTUVWXYZ")))=0,SUMPRODUCT(--ISERROR(FIND(MID(UPPER(TRIM(H459)),{5,6,7,8,9},1),"0123456789")))=0),"OK","Wrong format"))</f>
        <v/>
      </c>
      <c r="AM459" s="28">
        <f>IF(NOT(COUNTA(A459:AE459)&gt;0),"",IF(AS459&lt;&gt;"","✖ "&amp;LEFT(AS459,LEN(AS459)-2),IF(AR459&gt;0,"✔ Ready — client + "&amp;AR459&amp;" service(s)","✔ Ready — client only")))</f>
        <v/>
      </c>
      <c r="AN459" s="29">
        <f>UPPER(SUBSTITUTE(TRIM(F459)," ",""))</f>
        <v/>
      </c>
      <c r="AO459" s="29">
        <f>UPPER(SUBSTITUTE(TRIM(E459)," ",""))</f>
        <v/>
      </c>
      <c r="AP459" s="29">
        <f>IF(D459&lt;&gt;"",D459,IFERROR(VLOOKUP(MID(AG459,4,1),Lists!$E$2:$F$8,2,FALSE),""))</f>
        <v/>
      </c>
      <c r="AQ459" s="29">
        <f>IFERROR(VLOOKUP(AP459,Lists!$A$2:$C$12,3,FALSE),"")</f>
        <v/>
      </c>
      <c r="AR459" s="29">
        <f>COUNTIF(W459:AC459,"Yes")</f>
        <v/>
      </c>
      <c r="AS459" s="29">
        <f>IF(TRIM(B459)="","Legal name missing; ","")&amp;IF(AND(AJ459&lt;&gt;"",AJ459&lt;&gt;"OK"),"GSTIN: "&amp;AJ459&amp;"; ","")&amp;IF(AND(AK459&lt;&gt;"",AK459&lt;&gt;"OK"),"PAN wrong format; ","")&amp;IF(AND(AO459&lt;&gt;"",LEN(AN459)=15,MID(AN459,3,10)&lt;&gt;AO459),"PAN does not match GSTIN; ","")&amp;IF(AND(AL459&lt;&gt;"",AL459&lt;&gt;"OK"),"TAN wrong format; ","")&amp;IF(AG459="","PAN missing; ","")&amp;IF(AP459="","Entity type missing; ","")&amp;IF(AND(AN459&lt;&gt;"",COUNTIF($AN$6:$AN$1005,AN459)&gt;1),"GSTIN repeated in this sheet; ","")&amp;IF(AND(AG459&lt;&gt;"",COUNTIF($AG$6:$AG$1005,AG459)&gt;1),"PAN repeated in this sheet (same client? put extra GSTINs in Other GSTINs); ","")&amp;IF(AND(AR459&gt;0,V459=""),"Financial year missing; ","")&amp;IF(AND(AR459=0,V459&lt;&gt;""),"Financial year given but no service is Yes; ","")&amp;IF(AND(W459="Yes",AN459=""),"GST needs a GSTIN; ","")&amp;IF(AND(W459="Yes",X459=""),"GST return frequency missing; ","")&amp;IF(AND(Y459="Yes",TRIM(H459)=""),"TDS needs a TAN; ","")&amp;IF(AND(AA459="Yes",AQ459&lt;&gt;"",AQ459&lt;&gt;"company",AQ459&lt;&gt;"llp"),"ROC is only for a company / LLP; ","")&amp;IF(AND(AA459="Yes",OR(AQ459="company",AQ459="llp"),TRIM(I459)=""),"ROC needs the CIN / LLPIN; ","")</f>
        <v/>
      </c>
    </row>
    <row r="460">
      <c r="A460" s="30" t="n"/>
      <c r="B460" s="31" t="n"/>
      <c r="C460" s="31" t="n"/>
      <c r="D460" s="31" t="n"/>
      <c r="E460" s="30" t="n"/>
      <c r="F460" s="30" t="n"/>
      <c r="G460" s="30" t="n"/>
      <c r="H460" s="30" t="n"/>
      <c r="I460" s="30" t="n"/>
      <c r="J460" s="32" t="n"/>
      <c r="K460" s="31" t="n"/>
      <c r="L460" s="30" t="n"/>
      <c r="M460" s="31" t="n"/>
      <c r="N460" s="31" t="n"/>
      <c r="O460" s="31" t="n"/>
      <c r="P460" s="30" t="n"/>
      <c r="Q460" s="31" t="n"/>
      <c r="R460" s="31" t="n"/>
      <c r="S460" s="31" t="n"/>
      <c r="T460" s="31" t="n"/>
      <c r="U460" s="30" t="n"/>
      <c r="V460" s="31" t="n"/>
      <c r="W460" s="31" t="n"/>
      <c r="X460" s="31" t="n"/>
      <c r="Y460" s="31" t="n"/>
      <c r="Z460" s="31" t="n"/>
      <c r="AA460" s="31" t="n"/>
      <c r="AB460" s="31" t="n"/>
      <c r="AC460" s="31" t="n"/>
      <c r="AD460" s="31" t="n"/>
      <c r="AE460" s="31" t="n"/>
      <c r="AF460" s="27">
        <f>IF(NOT(COUNTA(A460:AE460)&gt;0),"",IF(A460="","New client","Update"))</f>
        <v/>
      </c>
      <c r="AG460" s="27">
        <f>IF(AO460&lt;&gt;"",AO460,IF(LEN(AN460)=15,MID(AN460,3,10),""))</f>
        <v/>
      </c>
      <c r="AH460" s="27">
        <f>IF(AP460="","",AP460&amp;IF(D460="","  (guessed from PAN)",""))</f>
        <v/>
      </c>
      <c r="AI460" s="27">
        <f>IF(AN460="","",IFERROR(INDEX(Lists!$L$2:$L$38,MATCH(LEFT(AN460,2),Lists!$K$2:$K$38,0)),"Unknown code"))</f>
        <v/>
      </c>
      <c r="AJ460" s="27">
        <f>IF(AN460="","",IFERROR(IF(NOT(AND(LEN(AN460)=15,ISNUMBER(MATCH(LEFT(AN460,2),Lists!$K$2:$K$38,0)),SUMPRODUCT(--ISERROR(FIND(MID(MID(AN460,3,10),{1,2,3,4,5,10},1),"ABCDEFGHIJKLMNOPQRSTUVWXYZ")))=0,SUMPRODUCT(--ISERROR(FIND(MID(MID(AN460,3,10),{6,7,8,9},1),"0123456789")))=0,ISNUMBER(FIND(MID(AN460,13,1),"123456789ABCDEFGHIJKLMNOPQRSTUVWXYZ")),MID(AN460,14,1)="Z")),"Wrong format",IF(MID("0123456789ABCDEFGHIJKLMNOPQRSTUVWXYZ",MOD(36-MOD(SUMPRODUCT(INT((FIND(MID(AN460,{1,2,3,4,5,6,7,8,9,10,11,12,13,14},1),"0123456789ABCDEFGHIJKLMNOPQRSTUVWXYZ")-1)*{1,2,1,2,1,2,1,2,1,2,1,2,1,2}/36)+MOD((FIND(MID(AN460,{1,2,3,4,5,6,7,8,9,10,11,12,13,14},1),"0123456789ABCDEFGHIJKLMNOPQRSTUVWXYZ")-1)*{1,2,1,2,1,2,1,2,1,2,1,2,1,2},36)),36),36)+1,1)=MID(AN460,15,1),"OK","Typo? check digit wrong")),"Wrong format"))</f>
        <v/>
      </c>
      <c r="AK460" s="27">
        <f>IF(AO460="","",IF(AND(LEN(AO460)=10,SUMPRODUCT(--ISERROR(FIND(MID(AO460,{1,2,3,4,5,10},1),"ABCDEFGHIJKLMNOPQRSTUVWXYZ")))=0,SUMPRODUCT(--ISERROR(FIND(MID(AO460,{6,7,8,9},1),"0123456789")))=0),"OK","Wrong format"))</f>
        <v/>
      </c>
      <c r="AL460" s="27">
        <f>IF(TRIM(H460)="","",IF(AND(LEN(UPPER(TRIM(H460)))=10,SUMPRODUCT(--ISERROR(FIND(MID(UPPER(TRIM(H460)),{1,2,3,4,10},1),"ABCDEFGHIJKLMNOPQRSTUVWXYZ")))=0,SUMPRODUCT(--ISERROR(FIND(MID(UPPER(TRIM(H460)),{5,6,7,8,9},1),"0123456789")))=0),"OK","Wrong format"))</f>
        <v/>
      </c>
      <c r="AM460" s="28">
        <f>IF(NOT(COUNTA(A460:AE460)&gt;0),"",IF(AS460&lt;&gt;"","✖ "&amp;LEFT(AS460,LEN(AS460)-2),IF(AR460&gt;0,"✔ Ready — client + "&amp;AR460&amp;" service(s)","✔ Ready — client only")))</f>
        <v/>
      </c>
      <c r="AN460" s="29">
        <f>UPPER(SUBSTITUTE(TRIM(F460)," ",""))</f>
        <v/>
      </c>
      <c r="AO460" s="29">
        <f>UPPER(SUBSTITUTE(TRIM(E460)," ",""))</f>
        <v/>
      </c>
      <c r="AP460" s="29">
        <f>IF(D460&lt;&gt;"",D460,IFERROR(VLOOKUP(MID(AG460,4,1),Lists!$E$2:$F$8,2,FALSE),""))</f>
        <v/>
      </c>
      <c r="AQ460" s="29">
        <f>IFERROR(VLOOKUP(AP460,Lists!$A$2:$C$12,3,FALSE),"")</f>
        <v/>
      </c>
      <c r="AR460" s="29">
        <f>COUNTIF(W460:AC460,"Yes")</f>
        <v/>
      </c>
      <c r="AS460" s="29">
        <f>IF(TRIM(B460)="","Legal name missing; ","")&amp;IF(AND(AJ460&lt;&gt;"",AJ460&lt;&gt;"OK"),"GSTIN: "&amp;AJ460&amp;"; ","")&amp;IF(AND(AK460&lt;&gt;"",AK460&lt;&gt;"OK"),"PAN wrong format; ","")&amp;IF(AND(AO460&lt;&gt;"",LEN(AN460)=15,MID(AN460,3,10)&lt;&gt;AO460),"PAN does not match GSTIN; ","")&amp;IF(AND(AL460&lt;&gt;"",AL460&lt;&gt;"OK"),"TAN wrong format; ","")&amp;IF(AG460="","PAN missing; ","")&amp;IF(AP460="","Entity type missing; ","")&amp;IF(AND(AN460&lt;&gt;"",COUNTIF($AN$6:$AN$1005,AN460)&gt;1),"GSTIN repeated in this sheet; ","")&amp;IF(AND(AG460&lt;&gt;"",COUNTIF($AG$6:$AG$1005,AG460)&gt;1),"PAN repeated in this sheet (same client? put extra GSTINs in Other GSTINs); ","")&amp;IF(AND(AR460&gt;0,V460=""),"Financial year missing; ","")&amp;IF(AND(AR460=0,V460&lt;&gt;""),"Financial year given but no service is Yes; ","")&amp;IF(AND(W460="Yes",AN460=""),"GST needs a GSTIN; ","")&amp;IF(AND(W460="Yes",X460=""),"GST return frequency missing; ","")&amp;IF(AND(Y460="Yes",TRIM(H460)=""),"TDS needs a TAN; ","")&amp;IF(AND(AA460="Yes",AQ460&lt;&gt;"",AQ460&lt;&gt;"company",AQ460&lt;&gt;"llp"),"ROC is only for a company / LLP; ","")&amp;IF(AND(AA460="Yes",OR(AQ460="company",AQ460="llp"),TRIM(I460)=""),"ROC needs the CIN / LLPIN; ","")</f>
        <v/>
      </c>
    </row>
    <row r="461">
      <c r="A461" s="30" t="n"/>
      <c r="B461" s="31" t="n"/>
      <c r="C461" s="31" t="n"/>
      <c r="D461" s="31" t="n"/>
      <c r="E461" s="30" t="n"/>
      <c r="F461" s="30" t="n"/>
      <c r="G461" s="30" t="n"/>
      <c r="H461" s="30" t="n"/>
      <c r="I461" s="30" t="n"/>
      <c r="J461" s="32" t="n"/>
      <c r="K461" s="31" t="n"/>
      <c r="L461" s="30" t="n"/>
      <c r="M461" s="31" t="n"/>
      <c r="N461" s="31" t="n"/>
      <c r="O461" s="31" t="n"/>
      <c r="P461" s="30" t="n"/>
      <c r="Q461" s="31" t="n"/>
      <c r="R461" s="31" t="n"/>
      <c r="S461" s="31" t="n"/>
      <c r="T461" s="31" t="n"/>
      <c r="U461" s="30" t="n"/>
      <c r="V461" s="31" t="n"/>
      <c r="W461" s="31" t="n"/>
      <c r="X461" s="31" t="n"/>
      <c r="Y461" s="31" t="n"/>
      <c r="Z461" s="31" t="n"/>
      <c r="AA461" s="31" t="n"/>
      <c r="AB461" s="31" t="n"/>
      <c r="AC461" s="31" t="n"/>
      <c r="AD461" s="31" t="n"/>
      <c r="AE461" s="31" t="n"/>
      <c r="AF461" s="27">
        <f>IF(NOT(COUNTA(A461:AE461)&gt;0),"",IF(A461="","New client","Update"))</f>
        <v/>
      </c>
      <c r="AG461" s="27">
        <f>IF(AO461&lt;&gt;"",AO461,IF(LEN(AN461)=15,MID(AN461,3,10),""))</f>
        <v/>
      </c>
      <c r="AH461" s="27">
        <f>IF(AP461="","",AP461&amp;IF(D461="","  (guessed from PAN)",""))</f>
        <v/>
      </c>
      <c r="AI461" s="27">
        <f>IF(AN461="","",IFERROR(INDEX(Lists!$L$2:$L$38,MATCH(LEFT(AN461,2),Lists!$K$2:$K$38,0)),"Unknown code"))</f>
        <v/>
      </c>
      <c r="AJ461" s="27">
        <f>IF(AN461="","",IFERROR(IF(NOT(AND(LEN(AN461)=15,ISNUMBER(MATCH(LEFT(AN461,2),Lists!$K$2:$K$38,0)),SUMPRODUCT(--ISERROR(FIND(MID(MID(AN461,3,10),{1,2,3,4,5,10},1),"ABCDEFGHIJKLMNOPQRSTUVWXYZ")))=0,SUMPRODUCT(--ISERROR(FIND(MID(MID(AN461,3,10),{6,7,8,9},1),"0123456789")))=0,ISNUMBER(FIND(MID(AN461,13,1),"123456789ABCDEFGHIJKLMNOPQRSTUVWXYZ")),MID(AN461,14,1)="Z")),"Wrong format",IF(MID("0123456789ABCDEFGHIJKLMNOPQRSTUVWXYZ",MOD(36-MOD(SUMPRODUCT(INT((FIND(MID(AN461,{1,2,3,4,5,6,7,8,9,10,11,12,13,14},1),"0123456789ABCDEFGHIJKLMNOPQRSTUVWXYZ")-1)*{1,2,1,2,1,2,1,2,1,2,1,2,1,2}/36)+MOD((FIND(MID(AN461,{1,2,3,4,5,6,7,8,9,10,11,12,13,14},1),"0123456789ABCDEFGHIJKLMNOPQRSTUVWXYZ")-1)*{1,2,1,2,1,2,1,2,1,2,1,2,1,2},36)),36),36)+1,1)=MID(AN461,15,1),"OK","Typo? check digit wrong")),"Wrong format"))</f>
        <v/>
      </c>
      <c r="AK461" s="27">
        <f>IF(AO461="","",IF(AND(LEN(AO461)=10,SUMPRODUCT(--ISERROR(FIND(MID(AO461,{1,2,3,4,5,10},1),"ABCDEFGHIJKLMNOPQRSTUVWXYZ")))=0,SUMPRODUCT(--ISERROR(FIND(MID(AO461,{6,7,8,9},1),"0123456789")))=0),"OK","Wrong format"))</f>
        <v/>
      </c>
      <c r="AL461" s="27">
        <f>IF(TRIM(H461)="","",IF(AND(LEN(UPPER(TRIM(H461)))=10,SUMPRODUCT(--ISERROR(FIND(MID(UPPER(TRIM(H461)),{1,2,3,4,10},1),"ABCDEFGHIJKLMNOPQRSTUVWXYZ")))=0,SUMPRODUCT(--ISERROR(FIND(MID(UPPER(TRIM(H461)),{5,6,7,8,9},1),"0123456789")))=0),"OK","Wrong format"))</f>
        <v/>
      </c>
      <c r="AM461" s="28">
        <f>IF(NOT(COUNTA(A461:AE461)&gt;0),"",IF(AS461&lt;&gt;"","✖ "&amp;LEFT(AS461,LEN(AS461)-2),IF(AR461&gt;0,"✔ Ready — client + "&amp;AR461&amp;" service(s)","✔ Ready — client only")))</f>
        <v/>
      </c>
      <c r="AN461" s="29">
        <f>UPPER(SUBSTITUTE(TRIM(F461)," ",""))</f>
        <v/>
      </c>
      <c r="AO461" s="29">
        <f>UPPER(SUBSTITUTE(TRIM(E461)," ",""))</f>
        <v/>
      </c>
      <c r="AP461" s="29">
        <f>IF(D461&lt;&gt;"",D461,IFERROR(VLOOKUP(MID(AG461,4,1),Lists!$E$2:$F$8,2,FALSE),""))</f>
        <v/>
      </c>
      <c r="AQ461" s="29">
        <f>IFERROR(VLOOKUP(AP461,Lists!$A$2:$C$12,3,FALSE),"")</f>
        <v/>
      </c>
      <c r="AR461" s="29">
        <f>COUNTIF(W461:AC461,"Yes")</f>
        <v/>
      </c>
      <c r="AS461" s="29">
        <f>IF(TRIM(B461)="","Legal name missing; ","")&amp;IF(AND(AJ461&lt;&gt;"",AJ461&lt;&gt;"OK"),"GSTIN: "&amp;AJ461&amp;"; ","")&amp;IF(AND(AK461&lt;&gt;"",AK461&lt;&gt;"OK"),"PAN wrong format; ","")&amp;IF(AND(AO461&lt;&gt;"",LEN(AN461)=15,MID(AN461,3,10)&lt;&gt;AO461),"PAN does not match GSTIN; ","")&amp;IF(AND(AL461&lt;&gt;"",AL461&lt;&gt;"OK"),"TAN wrong format; ","")&amp;IF(AG461="","PAN missing; ","")&amp;IF(AP461="","Entity type missing; ","")&amp;IF(AND(AN461&lt;&gt;"",COUNTIF($AN$6:$AN$1005,AN461)&gt;1),"GSTIN repeated in this sheet; ","")&amp;IF(AND(AG461&lt;&gt;"",COUNTIF($AG$6:$AG$1005,AG461)&gt;1),"PAN repeated in this sheet (same client? put extra GSTINs in Other GSTINs); ","")&amp;IF(AND(AR461&gt;0,V461=""),"Financial year missing; ","")&amp;IF(AND(AR461=0,V461&lt;&gt;""),"Financial year given but no service is Yes; ","")&amp;IF(AND(W461="Yes",AN461=""),"GST needs a GSTIN; ","")&amp;IF(AND(W461="Yes",X461=""),"GST return frequency missing; ","")&amp;IF(AND(Y461="Yes",TRIM(H461)=""),"TDS needs a TAN; ","")&amp;IF(AND(AA461="Yes",AQ461&lt;&gt;"",AQ461&lt;&gt;"company",AQ461&lt;&gt;"llp"),"ROC is only for a company / LLP; ","")&amp;IF(AND(AA461="Yes",OR(AQ461="company",AQ461="llp"),TRIM(I461)=""),"ROC needs the CIN / LLPIN; ","")</f>
        <v/>
      </c>
    </row>
    <row r="462">
      <c r="A462" s="30" t="n"/>
      <c r="B462" s="31" t="n"/>
      <c r="C462" s="31" t="n"/>
      <c r="D462" s="31" t="n"/>
      <c r="E462" s="30" t="n"/>
      <c r="F462" s="30" t="n"/>
      <c r="G462" s="30" t="n"/>
      <c r="H462" s="30" t="n"/>
      <c r="I462" s="30" t="n"/>
      <c r="J462" s="32" t="n"/>
      <c r="K462" s="31" t="n"/>
      <c r="L462" s="30" t="n"/>
      <c r="M462" s="31" t="n"/>
      <c r="N462" s="31" t="n"/>
      <c r="O462" s="31" t="n"/>
      <c r="P462" s="30" t="n"/>
      <c r="Q462" s="31" t="n"/>
      <c r="R462" s="31" t="n"/>
      <c r="S462" s="31" t="n"/>
      <c r="T462" s="31" t="n"/>
      <c r="U462" s="30" t="n"/>
      <c r="V462" s="31" t="n"/>
      <c r="W462" s="31" t="n"/>
      <c r="X462" s="31" t="n"/>
      <c r="Y462" s="31" t="n"/>
      <c r="Z462" s="31" t="n"/>
      <c r="AA462" s="31" t="n"/>
      <c r="AB462" s="31" t="n"/>
      <c r="AC462" s="31" t="n"/>
      <c r="AD462" s="31" t="n"/>
      <c r="AE462" s="31" t="n"/>
      <c r="AF462" s="27">
        <f>IF(NOT(COUNTA(A462:AE462)&gt;0),"",IF(A462="","New client","Update"))</f>
        <v/>
      </c>
      <c r="AG462" s="27">
        <f>IF(AO462&lt;&gt;"",AO462,IF(LEN(AN462)=15,MID(AN462,3,10),""))</f>
        <v/>
      </c>
      <c r="AH462" s="27">
        <f>IF(AP462="","",AP462&amp;IF(D462="","  (guessed from PAN)",""))</f>
        <v/>
      </c>
      <c r="AI462" s="27">
        <f>IF(AN462="","",IFERROR(INDEX(Lists!$L$2:$L$38,MATCH(LEFT(AN462,2),Lists!$K$2:$K$38,0)),"Unknown code"))</f>
        <v/>
      </c>
      <c r="AJ462" s="27">
        <f>IF(AN462="","",IFERROR(IF(NOT(AND(LEN(AN462)=15,ISNUMBER(MATCH(LEFT(AN462,2),Lists!$K$2:$K$38,0)),SUMPRODUCT(--ISERROR(FIND(MID(MID(AN462,3,10),{1,2,3,4,5,10},1),"ABCDEFGHIJKLMNOPQRSTUVWXYZ")))=0,SUMPRODUCT(--ISERROR(FIND(MID(MID(AN462,3,10),{6,7,8,9},1),"0123456789")))=0,ISNUMBER(FIND(MID(AN462,13,1),"123456789ABCDEFGHIJKLMNOPQRSTUVWXYZ")),MID(AN462,14,1)="Z")),"Wrong format",IF(MID("0123456789ABCDEFGHIJKLMNOPQRSTUVWXYZ",MOD(36-MOD(SUMPRODUCT(INT((FIND(MID(AN462,{1,2,3,4,5,6,7,8,9,10,11,12,13,14},1),"0123456789ABCDEFGHIJKLMNOPQRSTUVWXYZ")-1)*{1,2,1,2,1,2,1,2,1,2,1,2,1,2}/36)+MOD((FIND(MID(AN462,{1,2,3,4,5,6,7,8,9,10,11,12,13,14},1),"0123456789ABCDEFGHIJKLMNOPQRSTUVWXYZ")-1)*{1,2,1,2,1,2,1,2,1,2,1,2,1,2},36)),36),36)+1,1)=MID(AN462,15,1),"OK","Typo? check digit wrong")),"Wrong format"))</f>
        <v/>
      </c>
      <c r="AK462" s="27">
        <f>IF(AO462="","",IF(AND(LEN(AO462)=10,SUMPRODUCT(--ISERROR(FIND(MID(AO462,{1,2,3,4,5,10},1),"ABCDEFGHIJKLMNOPQRSTUVWXYZ")))=0,SUMPRODUCT(--ISERROR(FIND(MID(AO462,{6,7,8,9},1),"0123456789")))=0),"OK","Wrong format"))</f>
        <v/>
      </c>
      <c r="AL462" s="27">
        <f>IF(TRIM(H462)="","",IF(AND(LEN(UPPER(TRIM(H462)))=10,SUMPRODUCT(--ISERROR(FIND(MID(UPPER(TRIM(H462)),{1,2,3,4,10},1),"ABCDEFGHIJKLMNOPQRSTUVWXYZ")))=0,SUMPRODUCT(--ISERROR(FIND(MID(UPPER(TRIM(H462)),{5,6,7,8,9},1),"0123456789")))=0),"OK","Wrong format"))</f>
        <v/>
      </c>
      <c r="AM462" s="28">
        <f>IF(NOT(COUNTA(A462:AE462)&gt;0),"",IF(AS462&lt;&gt;"","✖ "&amp;LEFT(AS462,LEN(AS462)-2),IF(AR462&gt;0,"✔ Ready — client + "&amp;AR462&amp;" service(s)","✔ Ready — client only")))</f>
        <v/>
      </c>
      <c r="AN462" s="29">
        <f>UPPER(SUBSTITUTE(TRIM(F462)," ",""))</f>
        <v/>
      </c>
      <c r="AO462" s="29">
        <f>UPPER(SUBSTITUTE(TRIM(E462)," ",""))</f>
        <v/>
      </c>
      <c r="AP462" s="29">
        <f>IF(D462&lt;&gt;"",D462,IFERROR(VLOOKUP(MID(AG462,4,1),Lists!$E$2:$F$8,2,FALSE),""))</f>
        <v/>
      </c>
      <c r="AQ462" s="29">
        <f>IFERROR(VLOOKUP(AP462,Lists!$A$2:$C$12,3,FALSE),"")</f>
        <v/>
      </c>
      <c r="AR462" s="29">
        <f>COUNTIF(W462:AC462,"Yes")</f>
        <v/>
      </c>
      <c r="AS462" s="29">
        <f>IF(TRIM(B462)="","Legal name missing; ","")&amp;IF(AND(AJ462&lt;&gt;"",AJ462&lt;&gt;"OK"),"GSTIN: "&amp;AJ462&amp;"; ","")&amp;IF(AND(AK462&lt;&gt;"",AK462&lt;&gt;"OK"),"PAN wrong format; ","")&amp;IF(AND(AO462&lt;&gt;"",LEN(AN462)=15,MID(AN462,3,10)&lt;&gt;AO462),"PAN does not match GSTIN; ","")&amp;IF(AND(AL462&lt;&gt;"",AL462&lt;&gt;"OK"),"TAN wrong format; ","")&amp;IF(AG462="","PAN missing; ","")&amp;IF(AP462="","Entity type missing; ","")&amp;IF(AND(AN462&lt;&gt;"",COUNTIF($AN$6:$AN$1005,AN462)&gt;1),"GSTIN repeated in this sheet; ","")&amp;IF(AND(AG462&lt;&gt;"",COUNTIF($AG$6:$AG$1005,AG462)&gt;1),"PAN repeated in this sheet (same client? put extra GSTINs in Other GSTINs); ","")&amp;IF(AND(AR462&gt;0,V462=""),"Financial year missing; ","")&amp;IF(AND(AR462=0,V462&lt;&gt;""),"Financial year given but no service is Yes; ","")&amp;IF(AND(W462="Yes",AN462=""),"GST needs a GSTIN; ","")&amp;IF(AND(W462="Yes",X462=""),"GST return frequency missing; ","")&amp;IF(AND(Y462="Yes",TRIM(H462)=""),"TDS needs a TAN; ","")&amp;IF(AND(AA462="Yes",AQ462&lt;&gt;"",AQ462&lt;&gt;"company",AQ462&lt;&gt;"llp"),"ROC is only for a company / LLP; ","")&amp;IF(AND(AA462="Yes",OR(AQ462="company",AQ462="llp"),TRIM(I462)=""),"ROC needs the CIN / LLPIN; ","")</f>
        <v/>
      </c>
    </row>
    <row r="463">
      <c r="A463" s="30" t="n"/>
      <c r="B463" s="31" t="n"/>
      <c r="C463" s="31" t="n"/>
      <c r="D463" s="31" t="n"/>
      <c r="E463" s="30" t="n"/>
      <c r="F463" s="30" t="n"/>
      <c r="G463" s="30" t="n"/>
      <c r="H463" s="30" t="n"/>
      <c r="I463" s="30" t="n"/>
      <c r="J463" s="32" t="n"/>
      <c r="K463" s="31" t="n"/>
      <c r="L463" s="30" t="n"/>
      <c r="M463" s="31" t="n"/>
      <c r="N463" s="31" t="n"/>
      <c r="O463" s="31" t="n"/>
      <c r="P463" s="30" t="n"/>
      <c r="Q463" s="31" t="n"/>
      <c r="R463" s="31" t="n"/>
      <c r="S463" s="31" t="n"/>
      <c r="T463" s="31" t="n"/>
      <c r="U463" s="30" t="n"/>
      <c r="V463" s="31" t="n"/>
      <c r="W463" s="31" t="n"/>
      <c r="X463" s="31" t="n"/>
      <c r="Y463" s="31" t="n"/>
      <c r="Z463" s="31" t="n"/>
      <c r="AA463" s="31" t="n"/>
      <c r="AB463" s="31" t="n"/>
      <c r="AC463" s="31" t="n"/>
      <c r="AD463" s="31" t="n"/>
      <c r="AE463" s="31" t="n"/>
      <c r="AF463" s="27">
        <f>IF(NOT(COUNTA(A463:AE463)&gt;0),"",IF(A463="","New client","Update"))</f>
        <v/>
      </c>
      <c r="AG463" s="27">
        <f>IF(AO463&lt;&gt;"",AO463,IF(LEN(AN463)=15,MID(AN463,3,10),""))</f>
        <v/>
      </c>
      <c r="AH463" s="27">
        <f>IF(AP463="","",AP463&amp;IF(D463="","  (guessed from PAN)",""))</f>
        <v/>
      </c>
      <c r="AI463" s="27">
        <f>IF(AN463="","",IFERROR(INDEX(Lists!$L$2:$L$38,MATCH(LEFT(AN463,2),Lists!$K$2:$K$38,0)),"Unknown code"))</f>
        <v/>
      </c>
      <c r="AJ463" s="27">
        <f>IF(AN463="","",IFERROR(IF(NOT(AND(LEN(AN463)=15,ISNUMBER(MATCH(LEFT(AN463,2),Lists!$K$2:$K$38,0)),SUMPRODUCT(--ISERROR(FIND(MID(MID(AN463,3,10),{1,2,3,4,5,10},1),"ABCDEFGHIJKLMNOPQRSTUVWXYZ")))=0,SUMPRODUCT(--ISERROR(FIND(MID(MID(AN463,3,10),{6,7,8,9},1),"0123456789")))=0,ISNUMBER(FIND(MID(AN463,13,1),"123456789ABCDEFGHIJKLMNOPQRSTUVWXYZ")),MID(AN463,14,1)="Z")),"Wrong format",IF(MID("0123456789ABCDEFGHIJKLMNOPQRSTUVWXYZ",MOD(36-MOD(SUMPRODUCT(INT((FIND(MID(AN463,{1,2,3,4,5,6,7,8,9,10,11,12,13,14},1),"0123456789ABCDEFGHIJKLMNOPQRSTUVWXYZ")-1)*{1,2,1,2,1,2,1,2,1,2,1,2,1,2}/36)+MOD((FIND(MID(AN463,{1,2,3,4,5,6,7,8,9,10,11,12,13,14},1),"0123456789ABCDEFGHIJKLMNOPQRSTUVWXYZ")-1)*{1,2,1,2,1,2,1,2,1,2,1,2,1,2},36)),36),36)+1,1)=MID(AN463,15,1),"OK","Typo? check digit wrong")),"Wrong format"))</f>
        <v/>
      </c>
      <c r="AK463" s="27">
        <f>IF(AO463="","",IF(AND(LEN(AO463)=10,SUMPRODUCT(--ISERROR(FIND(MID(AO463,{1,2,3,4,5,10},1),"ABCDEFGHIJKLMNOPQRSTUVWXYZ")))=0,SUMPRODUCT(--ISERROR(FIND(MID(AO463,{6,7,8,9},1),"0123456789")))=0),"OK","Wrong format"))</f>
        <v/>
      </c>
      <c r="AL463" s="27">
        <f>IF(TRIM(H463)="","",IF(AND(LEN(UPPER(TRIM(H463)))=10,SUMPRODUCT(--ISERROR(FIND(MID(UPPER(TRIM(H463)),{1,2,3,4,10},1),"ABCDEFGHIJKLMNOPQRSTUVWXYZ")))=0,SUMPRODUCT(--ISERROR(FIND(MID(UPPER(TRIM(H463)),{5,6,7,8,9},1),"0123456789")))=0),"OK","Wrong format"))</f>
        <v/>
      </c>
      <c r="AM463" s="28">
        <f>IF(NOT(COUNTA(A463:AE463)&gt;0),"",IF(AS463&lt;&gt;"","✖ "&amp;LEFT(AS463,LEN(AS463)-2),IF(AR463&gt;0,"✔ Ready — client + "&amp;AR463&amp;" service(s)","✔ Ready — client only")))</f>
        <v/>
      </c>
      <c r="AN463" s="29">
        <f>UPPER(SUBSTITUTE(TRIM(F463)," ",""))</f>
        <v/>
      </c>
      <c r="AO463" s="29">
        <f>UPPER(SUBSTITUTE(TRIM(E463)," ",""))</f>
        <v/>
      </c>
      <c r="AP463" s="29">
        <f>IF(D463&lt;&gt;"",D463,IFERROR(VLOOKUP(MID(AG463,4,1),Lists!$E$2:$F$8,2,FALSE),""))</f>
        <v/>
      </c>
      <c r="AQ463" s="29">
        <f>IFERROR(VLOOKUP(AP463,Lists!$A$2:$C$12,3,FALSE),"")</f>
        <v/>
      </c>
      <c r="AR463" s="29">
        <f>COUNTIF(W463:AC463,"Yes")</f>
        <v/>
      </c>
      <c r="AS463" s="29">
        <f>IF(TRIM(B463)="","Legal name missing; ","")&amp;IF(AND(AJ463&lt;&gt;"",AJ463&lt;&gt;"OK"),"GSTIN: "&amp;AJ463&amp;"; ","")&amp;IF(AND(AK463&lt;&gt;"",AK463&lt;&gt;"OK"),"PAN wrong format; ","")&amp;IF(AND(AO463&lt;&gt;"",LEN(AN463)=15,MID(AN463,3,10)&lt;&gt;AO463),"PAN does not match GSTIN; ","")&amp;IF(AND(AL463&lt;&gt;"",AL463&lt;&gt;"OK"),"TAN wrong format; ","")&amp;IF(AG463="","PAN missing; ","")&amp;IF(AP463="","Entity type missing; ","")&amp;IF(AND(AN463&lt;&gt;"",COUNTIF($AN$6:$AN$1005,AN463)&gt;1),"GSTIN repeated in this sheet; ","")&amp;IF(AND(AG463&lt;&gt;"",COUNTIF($AG$6:$AG$1005,AG463)&gt;1),"PAN repeated in this sheet (same client? put extra GSTINs in Other GSTINs); ","")&amp;IF(AND(AR463&gt;0,V463=""),"Financial year missing; ","")&amp;IF(AND(AR463=0,V463&lt;&gt;""),"Financial year given but no service is Yes; ","")&amp;IF(AND(W463="Yes",AN463=""),"GST needs a GSTIN; ","")&amp;IF(AND(W463="Yes",X463=""),"GST return frequency missing; ","")&amp;IF(AND(Y463="Yes",TRIM(H463)=""),"TDS needs a TAN; ","")&amp;IF(AND(AA463="Yes",AQ463&lt;&gt;"",AQ463&lt;&gt;"company",AQ463&lt;&gt;"llp"),"ROC is only for a company / LLP; ","")&amp;IF(AND(AA463="Yes",OR(AQ463="company",AQ463="llp"),TRIM(I463)=""),"ROC needs the CIN / LLPIN; ","")</f>
        <v/>
      </c>
    </row>
    <row r="464">
      <c r="A464" s="30" t="n"/>
      <c r="B464" s="31" t="n"/>
      <c r="C464" s="31" t="n"/>
      <c r="D464" s="31" t="n"/>
      <c r="E464" s="30" t="n"/>
      <c r="F464" s="30" t="n"/>
      <c r="G464" s="30" t="n"/>
      <c r="H464" s="30" t="n"/>
      <c r="I464" s="30" t="n"/>
      <c r="J464" s="32" t="n"/>
      <c r="K464" s="31" t="n"/>
      <c r="L464" s="30" t="n"/>
      <c r="M464" s="31" t="n"/>
      <c r="N464" s="31" t="n"/>
      <c r="O464" s="31" t="n"/>
      <c r="P464" s="30" t="n"/>
      <c r="Q464" s="31" t="n"/>
      <c r="R464" s="31" t="n"/>
      <c r="S464" s="31" t="n"/>
      <c r="T464" s="31" t="n"/>
      <c r="U464" s="30" t="n"/>
      <c r="V464" s="31" t="n"/>
      <c r="W464" s="31" t="n"/>
      <c r="X464" s="31" t="n"/>
      <c r="Y464" s="31" t="n"/>
      <c r="Z464" s="31" t="n"/>
      <c r="AA464" s="31" t="n"/>
      <c r="AB464" s="31" t="n"/>
      <c r="AC464" s="31" t="n"/>
      <c r="AD464" s="31" t="n"/>
      <c r="AE464" s="31" t="n"/>
      <c r="AF464" s="27">
        <f>IF(NOT(COUNTA(A464:AE464)&gt;0),"",IF(A464="","New client","Update"))</f>
        <v/>
      </c>
      <c r="AG464" s="27">
        <f>IF(AO464&lt;&gt;"",AO464,IF(LEN(AN464)=15,MID(AN464,3,10),""))</f>
        <v/>
      </c>
      <c r="AH464" s="27">
        <f>IF(AP464="","",AP464&amp;IF(D464="","  (guessed from PAN)",""))</f>
        <v/>
      </c>
      <c r="AI464" s="27">
        <f>IF(AN464="","",IFERROR(INDEX(Lists!$L$2:$L$38,MATCH(LEFT(AN464,2),Lists!$K$2:$K$38,0)),"Unknown code"))</f>
        <v/>
      </c>
      <c r="AJ464" s="27">
        <f>IF(AN464="","",IFERROR(IF(NOT(AND(LEN(AN464)=15,ISNUMBER(MATCH(LEFT(AN464,2),Lists!$K$2:$K$38,0)),SUMPRODUCT(--ISERROR(FIND(MID(MID(AN464,3,10),{1,2,3,4,5,10},1),"ABCDEFGHIJKLMNOPQRSTUVWXYZ")))=0,SUMPRODUCT(--ISERROR(FIND(MID(MID(AN464,3,10),{6,7,8,9},1),"0123456789")))=0,ISNUMBER(FIND(MID(AN464,13,1),"123456789ABCDEFGHIJKLMNOPQRSTUVWXYZ")),MID(AN464,14,1)="Z")),"Wrong format",IF(MID("0123456789ABCDEFGHIJKLMNOPQRSTUVWXYZ",MOD(36-MOD(SUMPRODUCT(INT((FIND(MID(AN464,{1,2,3,4,5,6,7,8,9,10,11,12,13,14},1),"0123456789ABCDEFGHIJKLMNOPQRSTUVWXYZ")-1)*{1,2,1,2,1,2,1,2,1,2,1,2,1,2}/36)+MOD((FIND(MID(AN464,{1,2,3,4,5,6,7,8,9,10,11,12,13,14},1),"0123456789ABCDEFGHIJKLMNOPQRSTUVWXYZ")-1)*{1,2,1,2,1,2,1,2,1,2,1,2,1,2},36)),36),36)+1,1)=MID(AN464,15,1),"OK","Typo? check digit wrong")),"Wrong format"))</f>
        <v/>
      </c>
      <c r="AK464" s="27">
        <f>IF(AO464="","",IF(AND(LEN(AO464)=10,SUMPRODUCT(--ISERROR(FIND(MID(AO464,{1,2,3,4,5,10},1),"ABCDEFGHIJKLMNOPQRSTUVWXYZ")))=0,SUMPRODUCT(--ISERROR(FIND(MID(AO464,{6,7,8,9},1),"0123456789")))=0),"OK","Wrong format"))</f>
        <v/>
      </c>
      <c r="AL464" s="27">
        <f>IF(TRIM(H464)="","",IF(AND(LEN(UPPER(TRIM(H464)))=10,SUMPRODUCT(--ISERROR(FIND(MID(UPPER(TRIM(H464)),{1,2,3,4,10},1),"ABCDEFGHIJKLMNOPQRSTUVWXYZ")))=0,SUMPRODUCT(--ISERROR(FIND(MID(UPPER(TRIM(H464)),{5,6,7,8,9},1),"0123456789")))=0),"OK","Wrong format"))</f>
        <v/>
      </c>
      <c r="AM464" s="28">
        <f>IF(NOT(COUNTA(A464:AE464)&gt;0),"",IF(AS464&lt;&gt;"","✖ "&amp;LEFT(AS464,LEN(AS464)-2),IF(AR464&gt;0,"✔ Ready — client + "&amp;AR464&amp;" service(s)","✔ Ready — client only")))</f>
        <v/>
      </c>
      <c r="AN464" s="29">
        <f>UPPER(SUBSTITUTE(TRIM(F464)," ",""))</f>
        <v/>
      </c>
      <c r="AO464" s="29">
        <f>UPPER(SUBSTITUTE(TRIM(E464)," ",""))</f>
        <v/>
      </c>
      <c r="AP464" s="29">
        <f>IF(D464&lt;&gt;"",D464,IFERROR(VLOOKUP(MID(AG464,4,1),Lists!$E$2:$F$8,2,FALSE),""))</f>
        <v/>
      </c>
      <c r="AQ464" s="29">
        <f>IFERROR(VLOOKUP(AP464,Lists!$A$2:$C$12,3,FALSE),"")</f>
        <v/>
      </c>
      <c r="AR464" s="29">
        <f>COUNTIF(W464:AC464,"Yes")</f>
        <v/>
      </c>
      <c r="AS464" s="29">
        <f>IF(TRIM(B464)="","Legal name missing; ","")&amp;IF(AND(AJ464&lt;&gt;"",AJ464&lt;&gt;"OK"),"GSTIN: "&amp;AJ464&amp;"; ","")&amp;IF(AND(AK464&lt;&gt;"",AK464&lt;&gt;"OK"),"PAN wrong format; ","")&amp;IF(AND(AO464&lt;&gt;"",LEN(AN464)=15,MID(AN464,3,10)&lt;&gt;AO464),"PAN does not match GSTIN; ","")&amp;IF(AND(AL464&lt;&gt;"",AL464&lt;&gt;"OK"),"TAN wrong format; ","")&amp;IF(AG464="","PAN missing; ","")&amp;IF(AP464="","Entity type missing; ","")&amp;IF(AND(AN464&lt;&gt;"",COUNTIF($AN$6:$AN$1005,AN464)&gt;1),"GSTIN repeated in this sheet; ","")&amp;IF(AND(AG464&lt;&gt;"",COUNTIF($AG$6:$AG$1005,AG464)&gt;1),"PAN repeated in this sheet (same client? put extra GSTINs in Other GSTINs); ","")&amp;IF(AND(AR464&gt;0,V464=""),"Financial year missing; ","")&amp;IF(AND(AR464=0,V464&lt;&gt;""),"Financial year given but no service is Yes; ","")&amp;IF(AND(W464="Yes",AN464=""),"GST needs a GSTIN; ","")&amp;IF(AND(W464="Yes",X464=""),"GST return frequency missing; ","")&amp;IF(AND(Y464="Yes",TRIM(H464)=""),"TDS needs a TAN; ","")&amp;IF(AND(AA464="Yes",AQ464&lt;&gt;"",AQ464&lt;&gt;"company",AQ464&lt;&gt;"llp"),"ROC is only for a company / LLP; ","")&amp;IF(AND(AA464="Yes",OR(AQ464="company",AQ464="llp"),TRIM(I464)=""),"ROC needs the CIN / LLPIN; ","")</f>
        <v/>
      </c>
    </row>
    <row r="465">
      <c r="A465" s="30" t="n"/>
      <c r="B465" s="31" t="n"/>
      <c r="C465" s="31" t="n"/>
      <c r="D465" s="31" t="n"/>
      <c r="E465" s="30" t="n"/>
      <c r="F465" s="30" t="n"/>
      <c r="G465" s="30" t="n"/>
      <c r="H465" s="30" t="n"/>
      <c r="I465" s="30" t="n"/>
      <c r="J465" s="32" t="n"/>
      <c r="K465" s="31" t="n"/>
      <c r="L465" s="30" t="n"/>
      <c r="M465" s="31" t="n"/>
      <c r="N465" s="31" t="n"/>
      <c r="O465" s="31" t="n"/>
      <c r="P465" s="30" t="n"/>
      <c r="Q465" s="31" t="n"/>
      <c r="R465" s="31" t="n"/>
      <c r="S465" s="31" t="n"/>
      <c r="T465" s="31" t="n"/>
      <c r="U465" s="30" t="n"/>
      <c r="V465" s="31" t="n"/>
      <c r="W465" s="31" t="n"/>
      <c r="X465" s="31" t="n"/>
      <c r="Y465" s="31" t="n"/>
      <c r="Z465" s="31" t="n"/>
      <c r="AA465" s="31" t="n"/>
      <c r="AB465" s="31" t="n"/>
      <c r="AC465" s="31" t="n"/>
      <c r="AD465" s="31" t="n"/>
      <c r="AE465" s="31" t="n"/>
      <c r="AF465" s="27">
        <f>IF(NOT(COUNTA(A465:AE465)&gt;0),"",IF(A465="","New client","Update"))</f>
        <v/>
      </c>
      <c r="AG465" s="27">
        <f>IF(AO465&lt;&gt;"",AO465,IF(LEN(AN465)=15,MID(AN465,3,10),""))</f>
        <v/>
      </c>
      <c r="AH465" s="27">
        <f>IF(AP465="","",AP465&amp;IF(D465="","  (guessed from PAN)",""))</f>
        <v/>
      </c>
      <c r="AI465" s="27">
        <f>IF(AN465="","",IFERROR(INDEX(Lists!$L$2:$L$38,MATCH(LEFT(AN465,2),Lists!$K$2:$K$38,0)),"Unknown code"))</f>
        <v/>
      </c>
      <c r="AJ465" s="27">
        <f>IF(AN465="","",IFERROR(IF(NOT(AND(LEN(AN465)=15,ISNUMBER(MATCH(LEFT(AN465,2),Lists!$K$2:$K$38,0)),SUMPRODUCT(--ISERROR(FIND(MID(MID(AN465,3,10),{1,2,3,4,5,10},1),"ABCDEFGHIJKLMNOPQRSTUVWXYZ")))=0,SUMPRODUCT(--ISERROR(FIND(MID(MID(AN465,3,10),{6,7,8,9},1),"0123456789")))=0,ISNUMBER(FIND(MID(AN465,13,1),"123456789ABCDEFGHIJKLMNOPQRSTUVWXYZ")),MID(AN465,14,1)="Z")),"Wrong format",IF(MID("0123456789ABCDEFGHIJKLMNOPQRSTUVWXYZ",MOD(36-MOD(SUMPRODUCT(INT((FIND(MID(AN465,{1,2,3,4,5,6,7,8,9,10,11,12,13,14},1),"0123456789ABCDEFGHIJKLMNOPQRSTUVWXYZ")-1)*{1,2,1,2,1,2,1,2,1,2,1,2,1,2}/36)+MOD((FIND(MID(AN465,{1,2,3,4,5,6,7,8,9,10,11,12,13,14},1),"0123456789ABCDEFGHIJKLMNOPQRSTUVWXYZ")-1)*{1,2,1,2,1,2,1,2,1,2,1,2,1,2},36)),36),36)+1,1)=MID(AN465,15,1),"OK","Typo? check digit wrong")),"Wrong format"))</f>
        <v/>
      </c>
      <c r="AK465" s="27">
        <f>IF(AO465="","",IF(AND(LEN(AO465)=10,SUMPRODUCT(--ISERROR(FIND(MID(AO465,{1,2,3,4,5,10},1),"ABCDEFGHIJKLMNOPQRSTUVWXYZ")))=0,SUMPRODUCT(--ISERROR(FIND(MID(AO465,{6,7,8,9},1),"0123456789")))=0),"OK","Wrong format"))</f>
        <v/>
      </c>
      <c r="AL465" s="27">
        <f>IF(TRIM(H465)="","",IF(AND(LEN(UPPER(TRIM(H465)))=10,SUMPRODUCT(--ISERROR(FIND(MID(UPPER(TRIM(H465)),{1,2,3,4,10},1),"ABCDEFGHIJKLMNOPQRSTUVWXYZ")))=0,SUMPRODUCT(--ISERROR(FIND(MID(UPPER(TRIM(H465)),{5,6,7,8,9},1),"0123456789")))=0),"OK","Wrong format"))</f>
        <v/>
      </c>
      <c r="AM465" s="28">
        <f>IF(NOT(COUNTA(A465:AE465)&gt;0),"",IF(AS465&lt;&gt;"","✖ "&amp;LEFT(AS465,LEN(AS465)-2),IF(AR465&gt;0,"✔ Ready — client + "&amp;AR465&amp;" service(s)","✔ Ready — client only")))</f>
        <v/>
      </c>
      <c r="AN465" s="29">
        <f>UPPER(SUBSTITUTE(TRIM(F465)," ",""))</f>
        <v/>
      </c>
      <c r="AO465" s="29">
        <f>UPPER(SUBSTITUTE(TRIM(E465)," ",""))</f>
        <v/>
      </c>
      <c r="AP465" s="29">
        <f>IF(D465&lt;&gt;"",D465,IFERROR(VLOOKUP(MID(AG465,4,1),Lists!$E$2:$F$8,2,FALSE),""))</f>
        <v/>
      </c>
      <c r="AQ465" s="29">
        <f>IFERROR(VLOOKUP(AP465,Lists!$A$2:$C$12,3,FALSE),"")</f>
        <v/>
      </c>
      <c r="AR465" s="29">
        <f>COUNTIF(W465:AC465,"Yes")</f>
        <v/>
      </c>
      <c r="AS465" s="29">
        <f>IF(TRIM(B465)="","Legal name missing; ","")&amp;IF(AND(AJ465&lt;&gt;"",AJ465&lt;&gt;"OK"),"GSTIN: "&amp;AJ465&amp;"; ","")&amp;IF(AND(AK465&lt;&gt;"",AK465&lt;&gt;"OK"),"PAN wrong format; ","")&amp;IF(AND(AO465&lt;&gt;"",LEN(AN465)=15,MID(AN465,3,10)&lt;&gt;AO465),"PAN does not match GSTIN; ","")&amp;IF(AND(AL465&lt;&gt;"",AL465&lt;&gt;"OK"),"TAN wrong format; ","")&amp;IF(AG465="","PAN missing; ","")&amp;IF(AP465="","Entity type missing; ","")&amp;IF(AND(AN465&lt;&gt;"",COUNTIF($AN$6:$AN$1005,AN465)&gt;1),"GSTIN repeated in this sheet; ","")&amp;IF(AND(AG465&lt;&gt;"",COUNTIF($AG$6:$AG$1005,AG465)&gt;1),"PAN repeated in this sheet (same client? put extra GSTINs in Other GSTINs); ","")&amp;IF(AND(AR465&gt;0,V465=""),"Financial year missing; ","")&amp;IF(AND(AR465=0,V465&lt;&gt;""),"Financial year given but no service is Yes; ","")&amp;IF(AND(W465="Yes",AN465=""),"GST needs a GSTIN; ","")&amp;IF(AND(W465="Yes",X465=""),"GST return frequency missing; ","")&amp;IF(AND(Y465="Yes",TRIM(H465)=""),"TDS needs a TAN; ","")&amp;IF(AND(AA465="Yes",AQ465&lt;&gt;"",AQ465&lt;&gt;"company",AQ465&lt;&gt;"llp"),"ROC is only for a company / LLP; ","")&amp;IF(AND(AA465="Yes",OR(AQ465="company",AQ465="llp"),TRIM(I465)=""),"ROC needs the CIN / LLPIN; ","")</f>
        <v/>
      </c>
    </row>
    <row r="466">
      <c r="A466" s="30" t="n"/>
      <c r="B466" s="31" t="n"/>
      <c r="C466" s="31" t="n"/>
      <c r="D466" s="31" t="n"/>
      <c r="E466" s="30" t="n"/>
      <c r="F466" s="30" t="n"/>
      <c r="G466" s="30" t="n"/>
      <c r="H466" s="30" t="n"/>
      <c r="I466" s="30" t="n"/>
      <c r="J466" s="32" t="n"/>
      <c r="K466" s="31" t="n"/>
      <c r="L466" s="30" t="n"/>
      <c r="M466" s="31" t="n"/>
      <c r="N466" s="31" t="n"/>
      <c r="O466" s="31" t="n"/>
      <c r="P466" s="30" t="n"/>
      <c r="Q466" s="31" t="n"/>
      <c r="R466" s="31" t="n"/>
      <c r="S466" s="31" t="n"/>
      <c r="T466" s="31" t="n"/>
      <c r="U466" s="30" t="n"/>
      <c r="V466" s="31" t="n"/>
      <c r="W466" s="31" t="n"/>
      <c r="X466" s="31" t="n"/>
      <c r="Y466" s="31" t="n"/>
      <c r="Z466" s="31" t="n"/>
      <c r="AA466" s="31" t="n"/>
      <c r="AB466" s="31" t="n"/>
      <c r="AC466" s="31" t="n"/>
      <c r="AD466" s="31" t="n"/>
      <c r="AE466" s="31" t="n"/>
      <c r="AF466" s="27">
        <f>IF(NOT(COUNTA(A466:AE466)&gt;0),"",IF(A466="","New client","Update"))</f>
        <v/>
      </c>
      <c r="AG466" s="27">
        <f>IF(AO466&lt;&gt;"",AO466,IF(LEN(AN466)=15,MID(AN466,3,10),""))</f>
        <v/>
      </c>
      <c r="AH466" s="27">
        <f>IF(AP466="","",AP466&amp;IF(D466="","  (guessed from PAN)",""))</f>
        <v/>
      </c>
      <c r="AI466" s="27">
        <f>IF(AN466="","",IFERROR(INDEX(Lists!$L$2:$L$38,MATCH(LEFT(AN466,2),Lists!$K$2:$K$38,0)),"Unknown code"))</f>
        <v/>
      </c>
      <c r="AJ466" s="27">
        <f>IF(AN466="","",IFERROR(IF(NOT(AND(LEN(AN466)=15,ISNUMBER(MATCH(LEFT(AN466,2),Lists!$K$2:$K$38,0)),SUMPRODUCT(--ISERROR(FIND(MID(MID(AN466,3,10),{1,2,3,4,5,10},1),"ABCDEFGHIJKLMNOPQRSTUVWXYZ")))=0,SUMPRODUCT(--ISERROR(FIND(MID(MID(AN466,3,10),{6,7,8,9},1),"0123456789")))=0,ISNUMBER(FIND(MID(AN466,13,1),"123456789ABCDEFGHIJKLMNOPQRSTUVWXYZ")),MID(AN466,14,1)="Z")),"Wrong format",IF(MID("0123456789ABCDEFGHIJKLMNOPQRSTUVWXYZ",MOD(36-MOD(SUMPRODUCT(INT((FIND(MID(AN466,{1,2,3,4,5,6,7,8,9,10,11,12,13,14},1),"0123456789ABCDEFGHIJKLMNOPQRSTUVWXYZ")-1)*{1,2,1,2,1,2,1,2,1,2,1,2,1,2}/36)+MOD((FIND(MID(AN466,{1,2,3,4,5,6,7,8,9,10,11,12,13,14},1),"0123456789ABCDEFGHIJKLMNOPQRSTUVWXYZ")-1)*{1,2,1,2,1,2,1,2,1,2,1,2,1,2},36)),36),36)+1,1)=MID(AN466,15,1),"OK","Typo? check digit wrong")),"Wrong format"))</f>
        <v/>
      </c>
      <c r="AK466" s="27">
        <f>IF(AO466="","",IF(AND(LEN(AO466)=10,SUMPRODUCT(--ISERROR(FIND(MID(AO466,{1,2,3,4,5,10},1),"ABCDEFGHIJKLMNOPQRSTUVWXYZ")))=0,SUMPRODUCT(--ISERROR(FIND(MID(AO466,{6,7,8,9},1),"0123456789")))=0),"OK","Wrong format"))</f>
        <v/>
      </c>
      <c r="AL466" s="27">
        <f>IF(TRIM(H466)="","",IF(AND(LEN(UPPER(TRIM(H466)))=10,SUMPRODUCT(--ISERROR(FIND(MID(UPPER(TRIM(H466)),{1,2,3,4,10},1),"ABCDEFGHIJKLMNOPQRSTUVWXYZ")))=0,SUMPRODUCT(--ISERROR(FIND(MID(UPPER(TRIM(H466)),{5,6,7,8,9},1),"0123456789")))=0),"OK","Wrong format"))</f>
        <v/>
      </c>
      <c r="AM466" s="28">
        <f>IF(NOT(COUNTA(A466:AE466)&gt;0),"",IF(AS466&lt;&gt;"","✖ "&amp;LEFT(AS466,LEN(AS466)-2),IF(AR466&gt;0,"✔ Ready — client + "&amp;AR466&amp;" service(s)","✔ Ready — client only")))</f>
        <v/>
      </c>
      <c r="AN466" s="29">
        <f>UPPER(SUBSTITUTE(TRIM(F466)," ",""))</f>
        <v/>
      </c>
      <c r="AO466" s="29">
        <f>UPPER(SUBSTITUTE(TRIM(E466)," ",""))</f>
        <v/>
      </c>
      <c r="AP466" s="29">
        <f>IF(D466&lt;&gt;"",D466,IFERROR(VLOOKUP(MID(AG466,4,1),Lists!$E$2:$F$8,2,FALSE),""))</f>
        <v/>
      </c>
      <c r="AQ466" s="29">
        <f>IFERROR(VLOOKUP(AP466,Lists!$A$2:$C$12,3,FALSE),"")</f>
        <v/>
      </c>
      <c r="AR466" s="29">
        <f>COUNTIF(W466:AC466,"Yes")</f>
        <v/>
      </c>
      <c r="AS466" s="29">
        <f>IF(TRIM(B466)="","Legal name missing; ","")&amp;IF(AND(AJ466&lt;&gt;"",AJ466&lt;&gt;"OK"),"GSTIN: "&amp;AJ466&amp;"; ","")&amp;IF(AND(AK466&lt;&gt;"",AK466&lt;&gt;"OK"),"PAN wrong format; ","")&amp;IF(AND(AO466&lt;&gt;"",LEN(AN466)=15,MID(AN466,3,10)&lt;&gt;AO466),"PAN does not match GSTIN; ","")&amp;IF(AND(AL466&lt;&gt;"",AL466&lt;&gt;"OK"),"TAN wrong format; ","")&amp;IF(AG466="","PAN missing; ","")&amp;IF(AP466="","Entity type missing; ","")&amp;IF(AND(AN466&lt;&gt;"",COUNTIF($AN$6:$AN$1005,AN466)&gt;1),"GSTIN repeated in this sheet; ","")&amp;IF(AND(AG466&lt;&gt;"",COUNTIF($AG$6:$AG$1005,AG466)&gt;1),"PAN repeated in this sheet (same client? put extra GSTINs in Other GSTINs); ","")&amp;IF(AND(AR466&gt;0,V466=""),"Financial year missing; ","")&amp;IF(AND(AR466=0,V466&lt;&gt;""),"Financial year given but no service is Yes; ","")&amp;IF(AND(W466="Yes",AN466=""),"GST needs a GSTIN; ","")&amp;IF(AND(W466="Yes",X466=""),"GST return frequency missing; ","")&amp;IF(AND(Y466="Yes",TRIM(H466)=""),"TDS needs a TAN; ","")&amp;IF(AND(AA466="Yes",AQ466&lt;&gt;"",AQ466&lt;&gt;"company",AQ466&lt;&gt;"llp"),"ROC is only for a company / LLP; ","")&amp;IF(AND(AA466="Yes",OR(AQ466="company",AQ466="llp"),TRIM(I466)=""),"ROC needs the CIN / LLPIN; ","")</f>
        <v/>
      </c>
    </row>
    <row r="467">
      <c r="A467" s="30" t="n"/>
      <c r="B467" s="31" t="n"/>
      <c r="C467" s="31" t="n"/>
      <c r="D467" s="31" t="n"/>
      <c r="E467" s="30" t="n"/>
      <c r="F467" s="30" t="n"/>
      <c r="G467" s="30" t="n"/>
      <c r="H467" s="30" t="n"/>
      <c r="I467" s="30" t="n"/>
      <c r="J467" s="32" t="n"/>
      <c r="K467" s="31" t="n"/>
      <c r="L467" s="30" t="n"/>
      <c r="M467" s="31" t="n"/>
      <c r="N467" s="31" t="n"/>
      <c r="O467" s="31" t="n"/>
      <c r="P467" s="30" t="n"/>
      <c r="Q467" s="31" t="n"/>
      <c r="R467" s="31" t="n"/>
      <c r="S467" s="31" t="n"/>
      <c r="T467" s="31" t="n"/>
      <c r="U467" s="30" t="n"/>
      <c r="V467" s="31" t="n"/>
      <c r="W467" s="31" t="n"/>
      <c r="X467" s="31" t="n"/>
      <c r="Y467" s="31" t="n"/>
      <c r="Z467" s="31" t="n"/>
      <c r="AA467" s="31" t="n"/>
      <c r="AB467" s="31" t="n"/>
      <c r="AC467" s="31" t="n"/>
      <c r="AD467" s="31" t="n"/>
      <c r="AE467" s="31" t="n"/>
      <c r="AF467" s="27">
        <f>IF(NOT(COUNTA(A467:AE467)&gt;0),"",IF(A467="","New client","Update"))</f>
        <v/>
      </c>
      <c r="AG467" s="27">
        <f>IF(AO467&lt;&gt;"",AO467,IF(LEN(AN467)=15,MID(AN467,3,10),""))</f>
        <v/>
      </c>
      <c r="AH467" s="27">
        <f>IF(AP467="","",AP467&amp;IF(D467="","  (guessed from PAN)",""))</f>
        <v/>
      </c>
      <c r="AI467" s="27">
        <f>IF(AN467="","",IFERROR(INDEX(Lists!$L$2:$L$38,MATCH(LEFT(AN467,2),Lists!$K$2:$K$38,0)),"Unknown code"))</f>
        <v/>
      </c>
      <c r="AJ467" s="27">
        <f>IF(AN467="","",IFERROR(IF(NOT(AND(LEN(AN467)=15,ISNUMBER(MATCH(LEFT(AN467,2),Lists!$K$2:$K$38,0)),SUMPRODUCT(--ISERROR(FIND(MID(MID(AN467,3,10),{1,2,3,4,5,10},1),"ABCDEFGHIJKLMNOPQRSTUVWXYZ")))=0,SUMPRODUCT(--ISERROR(FIND(MID(MID(AN467,3,10),{6,7,8,9},1),"0123456789")))=0,ISNUMBER(FIND(MID(AN467,13,1),"123456789ABCDEFGHIJKLMNOPQRSTUVWXYZ")),MID(AN467,14,1)="Z")),"Wrong format",IF(MID("0123456789ABCDEFGHIJKLMNOPQRSTUVWXYZ",MOD(36-MOD(SUMPRODUCT(INT((FIND(MID(AN467,{1,2,3,4,5,6,7,8,9,10,11,12,13,14},1),"0123456789ABCDEFGHIJKLMNOPQRSTUVWXYZ")-1)*{1,2,1,2,1,2,1,2,1,2,1,2,1,2}/36)+MOD((FIND(MID(AN467,{1,2,3,4,5,6,7,8,9,10,11,12,13,14},1),"0123456789ABCDEFGHIJKLMNOPQRSTUVWXYZ")-1)*{1,2,1,2,1,2,1,2,1,2,1,2,1,2},36)),36),36)+1,1)=MID(AN467,15,1),"OK","Typo? check digit wrong")),"Wrong format"))</f>
        <v/>
      </c>
      <c r="AK467" s="27">
        <f>IF(AO467="","",IF(AND(LEN(AO467)=10,SUMPRODUCT(--ISERROR(FIND(MID(AO467,{1,2,3,4,5,10},1),"ABCDEFGHIJKLMNOPQRSTUVWXYZ")))=0,SUMPRODUCT(--ISERROR(FIND(MID(AO467,{6,7,8,9},1),"0123456789")))=0),"OK","Wrong format"))</f>
        <v/>
      </c>
      <c r="AL467" s="27">
        <f>IF(TRIM(H467)="","",IF(AND(LEN(UPPER(TRIM(H467)))=10,SUMPRODUCT(--ISERROR(FIND(MID(UPPER(TRIM(H467)),{1,2,3,4,10},1),"ABCDEFGHIJKLMNOPQRSTUVWXYZ")))=0,SUMPRODUCT(--ISERROR(FIND(MID(UPPER(TRIM(H467)),{5,6,7,8,9},1),"0123456789")))=0),"OK","Wrong format"))</f>
        <v/>
      </c>
      <c r="AM467" s="28">
        <f>IF(NOT(COUNTA(A467:AE467)&gt;0),"",IF(AS467&lt;&gt;"","✖ "&amp;LEFT(AS467,LEN(AS467)-2),IF(AR467&gt;0,"✔ Ready — client + "&amp;AR467&amp;" service(s)","✔ Ready — client only")))</f>
        <v/>
      </c>
      <c r="AN467" s="29">
        <f>UPPER(SUBSTITUTE(TRIM(F467)," ",""))</f>
        <v/>
      </c>
      <c r="AO467" s="29">
        <f>UPPER(SUBSTITUTE(TRIM(E467)," ",""))</f>
        <v/>
      </c>
      <c r="AP467" s="29">
        <f>IF(D467&lt;&gt;"",D467,IFERROR(VLOOKUP(MID(AG467,4,1),Lists!$E$2:$F$8,2,FALSE),""))</f>
        <v/>
      </c>
      <c r="AQ467" s="29">
        <f>IFERROR(VLOOKUP(AP467,Lists!$A$2:$C$12,3,FALSE),"")</f>
        <v/>
      </c>
      <c r="AR467" s="29">
        <f>COUNTIF(W467:AC467,"Yes")</f>
        <v/>
      </c>
      <c r="AS467" s="29">
        <f>IF(TRIM(B467)="","Legal name missing; ","")&amp;IF(AND(AJ467&lt;&gt;"",AJ467&lt;&gt;"OK"),"GSTIN: "&amp;AJ467&amp;"; ","")&amp;IF(AND(AK467&lt;&gt;"",AK467&lt;&gt;"OK"),"PAN wrong format; ","")&amp;IF(AND(AO467&lt;&gt;"",LEN(AN467)=15,MID(AN467,3,10)&lt;&gt;AO467),"PAN does not match GSTIN; ","")&amp;IF(AND(AL467&lt;&gt;"",AL467&lt;&gt;"OK"),"TAN wrong format; ","")&amp;IF(AG467="","PAN missing; ","")&amp;IF(AP467="","Entity type missing; ","")&amp;IF(AND(AN467&lt;&gt;"",COUNTIF($AN$6:$AN$1005,AN467)&gt;1),"GSTIN repeated in this sheet; ","")&amp;IF(AND(AG467&lt;&gt;"",COUNTIF($AG$6:$AG$1005,AG467)&gt;1),"PAN repeated in this sheet (same client? put extra GSTINs in Other GSTINs); ","")&amp;IF(AND(AR467&gt;0,V467=""),"Financial year missing; ","")&amp;IF(AND(AR467=0,V467&lt;&gt;""),"Financial year given but no service is Yes; ","")&amp;IF(AND(W467="Yes",AN467=""),"GST needs a GSTIN; ","")&amp;IF(AND(W467="Yes",X467=""),"GST return frequency missing; ","")&amp;IF(AND(Y467="Yes",TRIM(H467)=""),"TDS needs a TAN; ","")&amp;IF(AND(AA467="Yes",AQ467&lt;&gt;"",AQ467&lt;&gt;"company",AQ467&lt;&gt;"llp"),"ROC is only for a company / LLP; ","")&amp;IF(AND(AA467="Yes",OR(AQ467="company",AQ467="llp"),TRIM(I467)=""),"ROC needs the CIN / LLPIN; ","")</f>
        <v/>
      </c>
    </row>
    <row r="468">
      <c r="A468" s="30" t="n"/>
      <c r="B468" s="31" t="n"/>
      <c r="C468" s="31" t="n"/>
      <c r="D468" s="31" t="n"/>
      <c r="E468" s="30" t="n"/>
      <c r="F468" s="30" t="n"/>
      <c r="G468" s="30" t="n"/>
      <c r="H468" s="30" t="n"/>
      <c r="I468" s="30" t="n"/>
      <c r="J468" s="32" t="n"/>
      <c r="K468" s="31" t="n"/>
      <c r="L468" s="30" t="n"/>
      <c r="M468" s="31" t="n"/>
      <c r="N468" s="31" t="n"/>
      <c r="O468" s="31" t="n"/>
      <c r="P468" s="30" t="n"/>
      <c r="Q468" s="31" t="n"/>
      <c r="R468" s="31" t="n"/>
      <c r="S468" s="31" t="n"/>
      <c r="T468" s="31" t="n"/>
      <c r="U468" s="30" t="n"/>
      <c r="V468" s="31" t="n"/>
      <c r="W468" s="31" t="n"/>
      <c r="X468" s="31" t="n"/>
      <c r="Y468" s="31" t="n"/>
      <c r="Z468" s="31" t="n"/>
      <c r="AA468" s="31" t="n"/>
      <c r="AB468" s="31" t="n"/>
      <c r="AC468" s="31" t="n"/>
      <c r="AD468" s="31" t="n"/>
      <c r="AE468" s="31" t="n"/>
      <c r="AF468" s="27">
        <f>IF(NOT(COUNTA(A468:AE468)&gt;0),"",IF(A468="","New client","Update"))</f>
        <v/>
      </c>
      <c r="AG468" s="27">
        <f>IF(AO468&lt;&gt;"",AO468,IF(LEN(AN468)=15,MID(AN468,3,10),""))</f>
        <v/>
      </c>
      <c r="AH468" s="27">
        <f>IF(AP468="","",AP468&amp;IF(D468="","  (guessed from PAN)",""))</f>
        <v/>
      </c>
      <c r="AI468" s="27">
        <f>IF(AN468="","",IFERROR(INDEX(Lists!$L$2:$L$38,MATCH(LEFT(AN468,2),Lists!$K$2:$K$38,0)),"Unknown code"))</f>
        <v/>
      </c>
      <c r="AJ468" s="27">
        <f>IF(AN468="","",IFERROR(IF(NOT(AND(LEN(AN468)=15,ISNUMBER(MATCH(LEFT(AN468,2),Lists!$K$2:$K$38,0)),SUMPRODUCT(--ISERROR(FIND(MID(MID(AN468,3,10),{1,2,3,4,5,10},1),"ABCDEFGHIJKLMNOPQRSTUVWXYZ")))=0,SUMPRODUCT(--ISERROR(FIND(MID(MID(AN468,3,10),{6,7,8,9},1),"0123456789")))=0,ISNUMBER(FIND(MID(AN468,13,1),"123456789ABCDEFGHIJKLMNOPQRSTUVWXYZ")),MID(AN468,14,1)="Z")),"Wrong format",IF(MID("0123456789ABCDEFGHIJKLMNOPQRSTUVWXYZ",MOD(36-MOD(SUMPRODUCT(INT((FIND(MID(AN468,{1,2,3,4,5,6,7,8,9,10,11,12,13,14},1),"0123456789ABCDEFGHIJKLMNOPQRSTUVWXYZ")-1)*{1,2,1,2,1,2,1,2,1,2,1,2,1,2}/36)+MOD((FIND(MID(AN468,{1,2,3,4,5,6,7,8,9,10,11,12,13,14},1),"0123456789ABCDEFGHIJKLMNOPQRSTUVWXYZ")-1)*{1,2,1,2,1,2,1,2,1,2,1,2,1,2},36)),36),36)+1,1)=MID(AN468,15,1),"OK","Typo? check digit wrong")),"Wrong format"))</f>
        <v/>
      </c>
      <c r="AK468" s="27">
        <f>IF(AO468="","",IF(AND(LEN(AO468)=10,SUMPRODUCT(--ISERROR(FIND(MID(AO468,{1,2,3,4,5,10},1),"ABCDEFGHIJKLMNOPQRSTUVWXYZ")))=0,SUMPRODUCT(--ISERROR(FIND(MID(AO468,{6,7,8,9},1),"0123456789")))=0),"OK","Wrong format"))</f>
        <v/>
      </c>
      <c r="AL468" s="27">
        <f>IF(TRIM(H468)="","",IF(AND(LEN(UPPER(TRIM(H468)))=10,SUMPRODUCT(--ISERROR(FIND(MID(UPPER(TRIM(H468)),{1,2,3,4,10},1),"ABCDEFGHIJKLMNOPQRSTUVWXYZ")))=0,SUMPRODUCT(--ISERROR(FIND(MID(UPPER(TRIM(H468)),{5,6,7,8,9},1),"0123456789")))=0),"OK","Wrong format"))</f>
        <v/>
      </c>
      <c r="AM468" s="28">
        <f>IF(NOT(COUNTA(A468:AE468)&gt;0),"",IF(AS468&lt;&gt;"","✖ "&amp;LEFT(AS468,LEN(AS468)-2),IF(AR468&gt;0,"✔ Ready — client + "&amp;AR468&amp;" service(s)","✔ Ready — client only")))</f>
        <v/>
      </c>
      <c r="AN468" s="29">
        <f>UPPER(SUBSTITUTE(TRIM(F468)," ",""))</f>
        <v/>
      </c>
      <c r="AO468" s="29">
        <f>UPPER(SUBSTITUTE(TRIM(E468)," ",""))</f>
        <v/>
      </c>
      <c r="AP468" s="29">
        <f>IF(D468&lt;&gt;"",D468,IFERROR(VLOOKUP(MID(AG468,4,1),Lists!$E$2:$F$8,2,FALSE),""))</f>
        <v/>
      </c>
      <c r="AQ468" s="29">
        <f>IFERROR(VLOOKUP(AP468,Lists!$A$2:$C$12,3,FALSE),"")</f>
        <v/>
      </c>
      <c r="AR468" s="29">
        <f>COUNTIF(W468:AC468,"Yes")</f>
        <v/>
      </c>
      <c r="AS468" s="29">
        <f>IF(TRIM(B468)="","Legal name missing; ","")&amp;IF(AND(AJ468&lt;&gt;"",AJ468&lt;&gt;"OK"),"GSTIN: "&amp;AJ468&amp;"; ","")&amp;IF(AND(AK468&lt;&gt;"",AK468&lt;&gt;"OK"),"PAN wrong format; ","")&amp;IF(AND(AO468&lt;&gt;"",LEN(AN468)=15,MID(AN468,3,10)&lt;&gt;AO468),"PAN does not match GSTIN; ","")&amp;IF(AND(AL468&lt;&gt;"",AL468&lt;&gt;"OK"),"TAN wrong format; ","")&amp;IF(AG468="","PAN missing; ","")&amp;IF(AP468="","Entity type missing; ","")&amp;IF(AND(AN468&lt;&gt;"",COUNTIF($AN$6:$AN$1005,AN468)&gt;1),"GSTIN repeated in this sheet; ","")&amp;IF(AND(AG468&lt;&gt;"",COUNTIF($AG$6:$AG$1005,AG468)&gt;1),"PAN repeated in this sheet (same client? put extra GSTINs in Other GSTINs); ","")&amp;IF(AND(AR468&gt;0,V468=""),"Financial year missing; ","")&amp;IF(AND(AR468=0,V468&lt;&gt;""),"Financial year given but no service is Yes; ","")&amp;IF(AND(W468="Yes",AN468=""),"GST needs a GSTIN; ","")&amp;IF(AND(W468="Yes",X468=""),"GST return frequency missing; ","")&amp;IF(AND(Y468="Yes",TRIM(H468)=""),"TDS needs a TAN; ","")&amp;IF(AND(AA468="Yes",AQ468&lt;&gt;"",AQ468&lt;&gt;"company",AQ468&lt;&gt;"llp"),"ROC is only for a company / LLP; ","")&amp;IF(AND(AA468="Yes",OR(AQ468="company",AQ468="llp"),TRIM(I468)=""),"ROC needs the CIN / LLPIN; ","")</f>
        <v/>
      </c>
    </row>
    <row r="469">
      <c r="A469" s="30" t="n"/>
      <c r="B469" s="31" t="n"/>
      <c r="C469" s="31" t="n"/>
      <c r="D469" s="31" t="n"/>
      <c r="E469" s="30" t="n"/>
      <c r="F469" s="30" t="n"/>
      <c r="G469" s="30" t="n"/>
      <c r="H469" s="30" t="n"/>
      <c r="I469" s="30" t="n"/>
      <c r="J469" s="32" t="n"/>
      <c r="K469" s="31" t="n"/>
      <c r="L469" s="30" t="n"/>
      <c r="M469" s="31" t="n"/>
      <c r="N469" s="31" t="n"/>
      <c r="O469" s="31" t="n"/>
      <c r="P469" s="30" t="n"/>
      <c r="Q469" s="31" t="n"/>
      <c r="R469" s="31" t="n"/>
      <c r="S469" s="31" t="n"/>
      <c r="T469" s="31" t="n"/>
      <c r="U469" s="30" t="n"/>
      <c r="V469" s="31" t="n"/>
      <c r="W469" s="31" t="n"/>
      <c r="X469" s="31" t="n"/>
      <c r="Y469" s="31" t="n"/>
      <c r="Z469" s="31" t="n"/>
      <c r="AA469" s="31" t="n"/>
      <c r="AB469" s="31" t="n"/>
      <c r="AC469" s="31" t="n"/>
      <c r="AD469" s="31" t="n"/>
      <c r="AE469" s="31" t="n"/>
      <c r="AF469" s="27">
        <f>IF(NOT(COUNTA(A469:AE469)&gt;0),"",IF(A469="","New client","Update"))</f>
        <v/>
      </c>
      <c r="AG469" s="27">
        <f>IF(AO469&lt;&gt;"",AO469,IF(LEN(AN469)=15,MID(AN469,3,10),""))</f>
        <v/>
      </c>
      <c r="AH469" s="27">
        <f>IF(AP469="","",AP469&amp;IF(D469="","  (guessed from PAN)",""))</f>
        <v/>
      </c>
      <c r="AI469" s="27">
        <f>IF(AN469="","",IFERROR(INDEX(Lists!$L$2:$L$38,MATCH(LEFT(AN469,2),Lists!$K$2:$K$38,0)),"Unknown code"))</f>
        <v/>
      </c>
      <c r="AJ469" s="27">
        <f>IF(AN469="","",IFERROR(IF(NOT(AND(LEN(AN469)=15,ISNUMBER(MATCH(LEFT(AN469,2),Lists!$K$2:$K$38,0)),SUMPRODUCT(--ISERROR(FIND(MID(MID(AN469,3,10),{1,2,3,4,5,10},1),"ABCDEFGHIJKLMNOPQRSTUVWXYZ")))=0,SUMPRODUCT(--ISERROR(FIND(MID(MID(AN469,3,10),{6,7,8,9},1),"0123456789")))=0,ISNUMBER(FIND(MID(AN469,13,1),"123456789ABCDEFGHIJKLMNOPQRSTUVWXYZ")),MID(AN469,14,1)="Z")),"Wrong format",IF(MID("0123456789ABCDEFGHIJKLMNOPQRSTUVWXYZ",MOD(36-MOD(SUMPRODUCT(INT((FIND(MID(AN469,{1,2,3,4,5,6,7,8,9,10,11,12,13,14},1),"0123456789ABCDEFGHIJKLMNOPQRSTUVWXYZ")-1)*{1,2,1,2,1,2,1,2,1,2,1,2,1,2}/36)+MOD((FIND(MID(AN469,{1,2,3,4,5,6,7,8,9,10,11,12,13,14},1),"0123456789ABCDEFGHIJKLMNOPQRSTUVWXYZ")-1)*{1,2,1,2,1,2,1,2,1,2,1,2,1,2},36)),36),36)+1,1)=MID(AN469,15,1),"OK","Typo? check digit wrong")),"Wrong format"))</f>
        <v/>
      </c>
      <c r="AK469" s="27">
        <f>IF(AO469="","",IF(AND(LEN(AO469)=10,SUMPRODUCT(--ISERROR(FIND(MID(AO469,{1,2,3,4,5,10},1),"ABCDEFGHIJKLMNOPQRSTUVWXYZ")))=0,SUMPRODUCT(--ISERROR(FIND(MID(AO469,{6,7,8,9},1),"0123456789")))=0),"OK","Wrong format"))</f>
        <v/>
      </c>
      <c r="AL469" s="27">
        <f>IF(TRIM(H469)="","",IF(AND(LEN(UPPER(TRIM(H469)))=10,SUMPRODUCT(--ISERROR(FIND(MID(UPPER(TRIM(H469)),{1,2,3,4,10},1),"ABCDEFGHIJKLMNOPQRSTUVWXYZ")))=0,SUMPRODUCT(--ISERROR(FIND(MID(UPPER(TRIM(H469)),{5,6,7,8,9},1),"0123456789")))=0),"OK","Wrong format"))</f>
        <v/>
      </c>
      <c r="AM469" s="28">
        <f>IF(NOT(COUNTA(A469:AE469)&gt;0),"",IF(AS469&lt;&gt;"","✖ "&amp;LEFT(AS469,LEN(AS469)-2),IF(AR469&gt;0,"✔ Ready — client + "&amp;AR469&amp;" service(s)","✔ Ready — client only")))</f>
        <v/>
      </c>
      <c r="AN469" s="29">
        <f>UPPER(SUBSTITUTE(TRIM(F469)," ",""))</f>
        <v/>
      </c>
      <c r="AO469" s="29">
        <f>UPPER(SUBSTITUTE(TRIM(E469)," ",""))</f>
        <v/>
      </c>
      <c r="AP469" s="29">
        <f>IF(D469&lt;&gt;"",D469,IFERROR(VLOOKUP(MID(AG469,4,1),Lists!$E$2:$F$8,2,FALSE),""))</f>
        <v/>
      </c>
      <c r="AQ469" s="29">
        <f>IFERROR(VLOOKUP(AP469,Lists!$A$2:$C$12,3,FALSE),"")</f>
        <v/>
      </c>
      <c r="AR469" s="29">
        <f>COUNTIF(W469:AC469,"Yes")</f>
        <v/>
      </c>
      <c r="AS469" s="29">
        <f>IF(TRIM(B469)="","Legal name missing; ","")&amp;IF(AND(AJ469&lt;&gt;"",AJ469&lt;&gt;"OK"),"GSTIN: "&amp;AJ469&amp;"; ","")&amp;IF(AND(AK469&lt;&gt;"",AK469&lt;&gt;"OK"),"PAN wrong format; ","")&amp;IF(AND(AO469&lt;&gt;"",LEN(AN469)=15,MID(AN469,3,10)&lt;&gt;AO469),"PAN does not match GSTIN; ","")&amp;IF(AND(AL469&lt;&gt;"",AL469&lt;&gt;"OK"),"TAN wrong format; ","")&amp;IF(AG469="","PAN missing; ","")&amp;IF(AP469="","Entity type missing; ","")&amp;IF(AND(AN469&lt;&gt;"",COUNTIF($AN$6:$AN$1005,AN469)&gt;1),"GSTIN repeated in this sheet; ","")&amp;IF(AND(AG469&lt;&gt;"",COUNTIF($AG$6:$AG$1005,AG469)&gt;1),"PAN repeated in this sheet (same client? put extra GSTINs in Other GSTINs); ","")&amp;IF(AND(AR469&gt;0,V469=""),"Financial year missing; ","")&amp;IF(AND(AR469=0,V469&lt;&gt;""),"Financial year given but no service is Yes; ","")&amp;IF(AND(W469="Yes",AN469=""),"GST needs a GSTIN; ","")&amp;IF(AND(W469="Yes",X469=""),"GST return frequency missing; ","")&amp;IF(AND(Y469="Yes",TRIM(H469)=""),"TDS needs a TAN; ","")&amp;IF(AND(AA469="Yes",AQ469&lt;&gt;"",AQ469&lt;&gt;"company",AQ469&lt;&gt;"llp"),"ROC is only for a company / LLP; ","")&amp;IF(AND(AA469="Yes",OR(AQ469="company",AQ469="llp"),TRIM(I469)=""),"ROC needs the CIN / LLPIN; ","")</f>
        <v/>
      </c>
    </row>
    <row r="470">
      <c r="A470" s="30" t="n"/>
      <c r="B470" s="31" t="n"/>
      <c r="C470" s="31" t="n"/>
      <c r="D470" s="31" t="n"/>
      <c r="E470" s="30" t="n"/>
      <c r="F470" s="30" t="n"/>
      <c r="G470" s="30" t="n"/>
      <c r="H470" s="30" t="n"/>
      <c r="I470" s="30" t="n"/>
      <c r="J470" s="32" t="n"/>
      <c r="K470" s="31" t="n"/>
      <c r="L470" s="30" t="n"/>
      <c r="M470" s="31" t="n"/>
      <c r="N470" s="31" t="n"/>
      <c r="O470" s="31" t="n"/>
      <c r="P470" s="30" t="n"/>
      <c r="Q470" s="31" t="n"/>
      <c r="R470" s="31" t="n"/>
      <c r="S470" s="31" t="n"/>
      <c r="T470" s="31" t="n"/>
      <c r="U470" s="30" t="n"/>
      <c r="V470" s="31" t="n"/>
      <c r="W470" s="31" t="n"/>
      <c r="X470" s="31" t="n"/>
      <c r="Y470" s="31" t="n"/>
      <c r="Z470" s="31" t="n"/>
      <c r="AA470" s="31" t="n"/>
      <c r="AB470" s="31" t="n"/>
      <c r="AC470" s="31" t="n"/>
      <c r="AD470" s="31" t="n"/>
      <c r="AE470" s="31" t="n"/>
      <c r="AF470" s="27">
        <f>IF(NOT(COUNTA(A470:AE470)&gt;0),"",IF(A470="","New client","Update"))</f>
        <v/>
      </c>
      <c r="AG470" s="27">
        <f>IF(AO470&lt;&gt;"",AO470,IF(LEN(AN470)=15,MID(AN470,3,10),""))</f>
        <v/>
      </c>
      <c r="AH470" s="27">
        <f>IF(AP470="","",AP470&amp;IF(D470="","  (guessed from PAN)",""))</f>
        <v/>
      </c>
      <c r="AI470" s="27">
        <f>IF(AN470="","",IFERROR(INDEX(Lists!$L$2:$L$38,MATCH(LEFT(AN470,2),Lists!$K$2:$K$38,0)),"Unknown code"))</f>
        <v/>
      </c>
      <c r="AJ470" s="27">
        <f>IF(AN470="","",IFERROR(IF(NOT(AND(LEN(AN470)=15,ISNUMBER(MATCH(LEFT(AN470,2),Lists!$K$2:$K$38,0)),SUMPRODUCT(--ISERROR(FIND(MID(MID(AN470,3,10),{1,2,3,4,5,10},1),"ABCDEFGHIJKLMNOPQRSTUVWXYZ")))=0,SUMPRODUCT(--ISERROR(FIND(MID(MID(AN470,3,10),{6,7,8,9},1),"0123456789")))=0,ISNUMBER(FIND(MID(AN470,13,1),"123456789ABCDEFGHIJKLMNOPQRSTUVWXYZ")),MID(AN470,14,1)="Z")),"Wrong format",IF(MID("0123456789ABCDEFGHIJKLMNOPQRSTUVWXYZ",MOD(36-MOD(SUMPRODUCT(INT((FIND(MID(AN470,{1,2,3,4,5,6,7,8,9,10,11,12,13,14},1),"0123456789ABCDEFGHIJKLMNOPQRSTUVWXYZ")-1)*{1,2,1,2,1,2,1,2,1,2,1,2,1,2}/36)+MOD((FIND(MID(AN470,{1,2,3,4,5,6,7,8,9,10,11,12,13,14},1),"0123456789ABCDEFGHIJKLMNOPQRSTUVWXYZ")-1)*{1,2,1,2,1,2,1,2,1,2,1,2,1,2},36)),36),36)+1,1)=MID(AN470,15,1),"OK","Typo? check digit wrong")),"Wrong format"))</f>
        <v/>
      </c>
      <c r="AK470" s="27">
        <f>IF(AO470="","",IF(AND(LEN(AO470)=10,SUMPRODUCT(--ISERROR(FIND(MID(AO470,{1,2,3,4,5,10},1),"ABCDEFGHIJKLMNOPQRSTUVWXYZ")))=0,SUMPRODUCT(--ISERROR(FIND(MID(AO470,{6,7,8,9},1),"0123456789")))=0),"OK","Wrong format"))</f>
        <v/>
      </c>
      <c r="AL470" s="27">
        <f>IF(TRIM(H470)="","",IF(AND(LEN(UPPER(TRIM(H470)))=10,SUMPRODUCT(--ISERROR(FIND(MID(UPPER(TRIM(H470)),{1,2,3,4,10},1),"ABCDEFGHIJKLMNOPQRSTUVWXYZ")))=0,SUMPRODUCT(--ISERROR(FIND(MID(UPPER(TRIM(H470)),{5,6,7,8,9},1),"0123456789")))=0),"OK","Wrong format"))</f>
        <v/>
      </c>
      <c r="AM470" s="28">
        <f>IF(NOT(COUNTA(A470:AE470)&gt;0),"",IF(AS470&lt;&gt;"","✖ "&amp;LEFT(AS470,LEN(AS470)-2),IF(AR470&gt;0,"✔ Ready — client + "&amp;AR470&amp;" service(s)","✔ Ready — client only")))</f>
        <v/>
      </c>
      <c r="AN470" s="29">
        <f>UPPER(SUBSTITUTE(TRIM(F470)," ",""))</f>
        <v/>
      </c>
      <c r="AO470" s="29">
        <f>UPPER(SUBSTITUTE(TRIM(E470)," ",""))</f>
        <v/>
      </c>
      <c r="AP470" s="29">
        <f>IF(D470&lt;&gt;"",D470,IFERROR(VLOOKUP(MID(AG470,4,1),Lists!$E$2:$F$8,2,FALSE),""))</f>
        <v/>
      </c>
      <c r="AQ470" s="29">
        <f>IFERROR(VLOOKUP(AP470,Lists!$A$2:$C$12,3,FALSE),"")</f>
        <v/>
      </c>
      <c r="AR470" s="29">
        <f>COUNTIF(W470:AC470,"Yes")</f>
        <v/>
      </c>
      <c r="AS470" s="29">
        <f>IF(TRIM(B470)="","Legal name missing; ","")&amp;IF(AND(AJ470&lt;&gt;"",AJ470&lt;&gt;"OK"),"GSTIN: "&amp;AJ470&amp;"; ","")&amp;IF(AND(AK470&lt;&gt;"",AK470&lt;&gt;"OK"),"PAN wrong format; ","")&amp;IF(AND(AO470&lt;&gt;"",LEN(AN470)=15,MID(AN470,3,10)&lt;&gt;AO470),"PAN does not match GSTIN; ","")&amp;IF(AND(AL470&lt;&gt;"",AL470&lt;&gt;"OK"),"TAN wrong format; ","")&amp;IF(AG470="","PAN missing; ","")&amp;IF(AP470="","Entity type missing; ","")&amp;IF(AND(AN470&lt;&gt;"",COUNTIF($AN$6:$AN$1005,AN470)&gt;1),"GSTIN repeated in this sheet; ","")&amp;IF(AND(AG470&lt;&gt;"",COUNTIF($AG$6:$AG$1005,AG470)&gt;1),"PAN repeated in this sheet (same client? put extra GSTINs in Other GSTINs); ","")&amp;IF(AND(AR470&gt;0,V470=""),"Financial year missing; ","")&amp;IF(AND(AR470=0,V470&lt;&gt;""),"Financial year given but no service is Yes; ","")&amp;IF(AND(W470="Yes",AN470=""),"GST needs a GSTIN; ","")&amp;IF(AND(W470="Yes",X470=""),"GST return frequency missing; ","")&amp;IF(AND(Y470="Yes",TRIM(H470)=""),"TDS needs a TAN; ","")&amp;IF(AND(AA470="Yes",AQ470&lt;&gt;"",AQ470&lt;&gt;"company",AQ470&lt;&gt;"llp"),"ROC is only for a company / LLP; ","")&amp;IF(AND(AA470="Yes",OR(AQ470="company",AQ470="llp"),TRIM(I470)=""),"ROC needs the CIN / LLPIN; ","")</f>
        <v/>
      </c>
    </row>
    <row r="471">
      <c r="A471" s="30" t="n"/>
      <c r="B471" s="31" t="n"/>
      <c r="C471" s="31" t="n"/>
      <c r="D471" s="31" t="n"/>
      <c r="E471" s="30" t="n"/>
      <c r="F471" s="30" t="n"/>
      <c r="G471" s="30" t="n"/>
      <c r="H471" s="30" t="n"/>
      <c r="I471" s="30" t="n"/>
      <c r="J471" s="32" t="n"/>
      <c r="K471" s="31" t="n"/>
      <c r="L471" s="30" t="n"/>
      <c r="M471" s="31" t="n"/>
      <c r="N471" s="31" t="n"/>
      <c r="O471" s="31" t="n"/>
      <c r="P471" s="30" t="n"/>
      <c r="Q471" s="31" t="n"/>
      <c r="R471" s="31" t="n"/>
      <c r="S471" s="31" t="n"/>
      <c r="T471" s="31" t="n"/>
      <c r="U471" s="30" t="n"/>
      <c r="V471" s="31" t="n"/>
      <c r="W471" s="31" t="n"/>
      <c r="X471" s="31" t="n"/>
      <c r="Y471" s="31" t="n"/>
      <c r="Z471" s="31" t="n"/>
      <c r="AA471" s="31" t="n"/>
      <c r="AB471" s="31" t="n"/>
      <c r="AC471" s="31" t="n"/>
      <c r="AD471" s="31" t="n"/>
      <c r="AE471" s="31" t="n"/>
      <c r="AF471" s="27">
        <f>IF(NOT(COUNTA(A471:AE471)&gt;0),"",IF(A471="","New client","Update"))</f>
        <v/>
      </c>
      <c r="AG471" s="27">
        <f>IF(AO471&lt;&gt;"",AO471,IF(LEN(AN471)=15,MID(AN471,3,10),""))</f>
        <v/>
      </c>
      <c r="AH471" s="27">
        <f>IF(AP471="","",AP471&amp;IF(D471="","  (guessed from PAN)",""))</f>
        <v/>
      </c>
      <c r="AI471" s="27">
        <f>IF(AN471="","",IFERROR(INDEX(Lists!$L$2:$L$38,MATCH(LEFT(AN471,2),Lists!$K$2:$K$38,0)),"Unknown code"))</f>
        <v/>
      </c>
      <c r="AJ471" s="27">
        <f>IF(AN471="","",IFERROR(IF(NOT(AND(LEN(AN471)=15,ISNUMBER(MATCH(LEFT(AN471,2),Lists!$K$2:$K$38,0)),SUMPRODUCT(--ISERROR(FIND(MID(MID(AN471,3,10),{1,2,3,4,5,10},1),"ABCDEFGHIJKLMNOPQRSTUVWXYZ")))=0,SUMPRODUCT(--ISERROR(FIND(MID(MID(AN471,3,10),{6,7,8,9},1),"0123456789")))=0,ISNUMBER(FIND(MID(AN471,13,1),"123456789ABCDEFGHIJKLMNOPQRSTUVWXYZ")),MID(AN471,14,1)="Z")),"Wrong format",IF(MID("0123456789ABCDEFGHIJKLMNOPQRSTUVWXYZ",MOD(36-MOD(SUMPRODUCT(INT((FIND(MID(AN471,{1,2,3,4,5,6,7,8,9,10,11,12,13,14},1),"0123456789ABCDEFGHIJKLMNOPQRSTUVWXYZ")-1)*{1,2,1,2,1,2,1,2,1,2,1,2,1,2}/36)+MOD((FIND(MID(AN471,{1,2,3,4,5,6,7,8,9,10,11,12,13,14},1),"0123456789ABCDEFGHIJKLMNOPQRSTUVWXYZ")-1)*{1,2,1,2,1,2,1,2,1,2,1,2,1,2},36)),36),36)+1,1)=MID(AN471,15,1),"OK","Typo? check digit wrong")),"Wrong format"))</f>
        <v/>
      </c>
      <c r="AK471" s="27">
        <f>IF(AO471="","",IF(AND(LEN(AO471)=10,SUMPRODUCT(--ISERROR(FIND(MID(AO471,{1,2,3,4,5,10},1),"ABCDEFGHIJKLMNOPQRSTUVWXYZ")))=0,SUMPRODUCT(--ISERROR(FIND(MID(AO471,{6,7,8,9},1),"0123456789")))=0),"OK","Wrong format"))</f>
        <v/>
      </c>
      <c r="AL471" s="27">
        <f>IF(TRIM(H471)="","",IF(AND(LEN(UPPER(TRIM(H471)))=10,SUMPRODUCT(--ISERROR(FIND(MID(UPPER(TRIM(H471)),{1,2,3,4,10},1),"ABCDEFGHIJKLMNOPQRSTUVWXYZ")))=0,SUMPRODUCT(--ISERROR(FIND(MID(UPPER(TRIM(H471)),{5,6,7,8,9},1),"0123456789")))=0),"OK","Wrong format"))</f>
        <v/>
      </c>
      <c r="AM471" s="28">
        <f>IF(NOT(COUNTA(A471:AE471)&gt;0),"",IF(AS471&lt;&gt;"","✖ "&amp;LEFT(AS471,LEN(AS471)-2),IF(AR471&gt;0,"✔ Ready — client + "&amp;AR471&amp;" service(s)","✔ Ready — client only")))</f>
        <v/>
      </c>
      <c r="AN471" s="29">
        <f>UPPER(SUBSTITUTE(TRIM(F471)," ",""))</f>
        <v/>
      </c>
      <c r="AO471" s="29">
        <f>UPPER(SUBSTITUTE(TRIM(E471)," ",""))</f>
        <v/>
      </c>
      <c r="AP471" s="29">
        <f>IF(D471&lt;&gt;"",D471,IFERROR(VLOOKUP(MID(AG471,4,1),Lists!$E$2:$F$8,2,FALSE),""))</f>
        <v/>
      </c>
      <c r="AQ471" s="29">
        <f>IFERROR(VLOOKUP(AP471,Lists!$A$2:$C$12,3,FALSE),"")</f>
        <v/>
      </c>
      <c r="AR471" s="29">
        <f>COUNTIF(W471:AC471,"Yes")</f>
        <v/>
      </c>
      <c r="AS471" s="29">
        <f>IF(TRIM(B471)="","Legal name missing; ","")&amp;IF(AND(AJ471&lt;&gt;"",AJ471&lt;&gt;"OK"),"GSTIN: "&amp;AJ471&amp;"; ","")&amp;IF(AND(AK471&lt;&gt;"",AK471&lt;&gt;"OK"),"PAN wrong format; ","")&amp;IF(AND(AO471&lt;&gt;"",LEN(AN471)=15,MID(AN471,3,10)&lt;&gt;AO471),"PAN does not match GSTIN; ","")&amp;IF(AND(AL471&lt;&gt;"",AL471&lt;&gt;"OK"),"TAN wrong format; ","")&amp;IF(AG471="","PAN missing; ","")&amp;IF(AP471="","Entity type missing; ","")&amp;IF(AND(AN471&lt;&gt;"",COUNTIF($AN$6:$AN$1005,AN471)&gt;1),"GSTIN repeated in this sheet; ","")&amp;IF(AND(AG471&lt;&gt;"",COUNTIF($AG$6:$AG$1005,AG471)&gt;1),"PAN repeated in this sheet (same client? put extra GSTINs in Other GSTINs); ","")&amp;IF(AND(AR471&gt;0,V471=""),"Financial year missing; ","")&amp;IF(AND(AR471=0,V471&lt;&gt;""),"Financial year given but no service is Yes; ","")&amp;IF(AND(W471="Yes",AN471=""),"GST needs a GSTIN; ","")&amp;IF(AND(W471="Yes",X471=""),"GST return frequency missing; ","")&amp;IF(AND(Y471="Yes",TRIM(H471)=""),"TDS needs a TAN; ","")&amp;IF(AND(AA471="Yes",AQ471&lt;&gt;"",AQ471&lt;&gt;"company",AQ471&lt;&gt;"llp"),"ROC is only for a company / LLP; ","")&amp;IF(AND(AA471="Yes",OR(AQ471="company",AQ471="llp"),TRIM(I471)=""),"ROC needs the CIN / LLPIN; ","")</f>
        <v/>
      </c>
    </row>
    <row r="472">
      <c r="A472" s="30" t="n"/>
      <c r="B472" s="31" t="n"/>
      <c r="C472" s="31" t="n"/>
      <c r="D472" s="31" t="n"/>
      <c r="E472" s="30" t="n"/>
      <c r="F472" s="30" t="n"/>
      <c r="G472" s="30" t="n"/>
      <c r="H472" s="30" t="n"/>
      <c r="I472" s="30" t="n"/>
      <c r="J472" s="32" t="n"/>
      <c r="K472" s="31" t="n"/>
      <c r="L472" s="30" t="n"/>
      <c r="M472" s="31" t="n"/>
      <c r="N472" s="31" t="n"/>
      <c r="O472" s="31" t="n"/>
      <c r="P472" s="30" t="n"/>
      <c r="Q472" s="31" t="n"/>
      <c r="R472" s="31" t="n"/>
      <c r="S472" s="31" t="n"/>
      <c r="T472" s="31" t="n"/>
      <c r="U472" s="30" t="n"/>
      <c r="V472" s="31" t="n"/>
      <c r="W472" s="31" t="n"/>
      <c r="X472" s="31" t="n"/>
      <c r="Y472" s="31" t="n"/>
      <c r="Z472" s="31" t="n"/>
      <c r="AA472" s="31" t="n"/>
      <c r="AB472" s="31" t="n"/>
      <c r="AC472" s="31" t="n"/>
      <c r="AD472" s="31" t="n"/>
      <c r="AE472" s="31" t="n"/>
      <c r="AF472" s="27">
        <f>IF(NOT(COUNTA(A472:AE472)&gt;0),"",IF(A472="","New client","Update"))</f>
        <v/>
      </c>
      <c r="AG472" s="27">
        <f>IF(AO472&lt;&gt;"",AO472,IF(LEN(AN472)=15,MID(AN472,3,10),""))</f>
        <v/>
      </c>
      <c r="AH472" s="27">
        <f>IF(AP472="","",AP472&amp;IF(D472="","  (guessed from PAN)",""))</f>
        <v/>
      </c>
      <c r="AI472" s="27">
        <f>IF(AN472="","",IFERROR(INDEX(Lists!$L$2:$L$38,MATCH(LEFT(AN472,2),Lists!$K$2:$K$38,0)),"Unknown code"))</f>
        <v/>
      </c>
      <c r="AJ472" s="27">
        <f>IF(AN472="","",IFERROR(IF(NOT(AND(LEN(AN472)=15,ISNUMBER(MATCH(LEFT(AN472,2),Lists!$K$2:$K$38,0)),SUMPRODUCT(--ISERROR(FIND(MID(MID(AN472,3,10),{1,2,3,4,5,10},1),"ABCDEFGHIJKLMNOPQRSTUVWXYZ")))=0,SUMPRODUCT(--ISERROR(FIND(MID(MID(AN472,3,10),{6,7,8,9},1),"0123456789")))=0,ISNUMBER(FIND(MID(AN472,13,1),"123456789ABCDEFGHIJKLMNOPQRSTUVWXYZ")),MID(AN472,14,1)="Z")),"Wrong format",IF(MID("0123456789ABCDEFGHIJKLMNOPQRSTUVWXYZ",MOD(36-MOD(SUMPRODUCT(INT((FIND(MID(AN472,{1,2,3,4,5,6,7,8,9,10,11,12,13,14},1),"0123456789ABCDEFGHIJKLMNOPQRSTUVWXYZ")-1)*{1,2,1,2,1,2,1,2,1,2,1,2,1,2}/36)+MOD((FIND(MID(AN472,{1,2,3,4,5,6,7,8,9,10,11,12,13,14},1),"0123456789ABCDEFGHIJKLMNOPQRSTUVWXYZ")-1)*{1,2,1,2,1,2,1,2,1,2,1,2,1,2},36)),36),36)+1,1)=MID(AN472,15,1),"OK","Typo? check digit wrong")),"Wrong format"))</f>
        <v/>
      </c>
      <c r="AK472" s="27">
        <f>IF(AO472="","",IF(AND(LEN(AO472)=10,SUMPRODUCT(--ISERROR(FIND(MID(AO472,{1,2,3,4,5,10},1),"ABCDEFGHIJKLMNOPQRSTUVWXYZ")))=0,SUMPRODUCT(--ISERROR(FIND(MID(AO472,{6,7,8,9},1),"0123456789")))=0),"OK","Wrong format"))</f>
        <v/>
      </c>
      <c r="AL472" s="27">
        <f>IF(TRIM(H472)="","",IF(AND(LEN(UPPER(TRIM(H472)))=10,SUMPRODUCT(--ISERROR(FIND(MID(UPPER(TRIM(H472)),{1,2,3,4,10},1),"ABCDEFGHIJKLMNOPQRSTUVWXYZ")))=0,SUMPRODUCT(--ISERROR(FIND(MID(UPPER(TRIM(H472)),{5,6,7,8,9},1),"0123456789")))=0),"OK","Wrong format"))</f>
        <v/>
      </c>
      <c r="AM472" s="28">
        <f>IF(NOT(COUNTA(A472:AE472)&gt;0),"",IF(AS472&lt;&gt;"","✖ "&amp;LEFT(AS472,LEN(AS472)-2),IF(AR472&gt;0,"✔ Ready — client + "&amp;AR472&amp;" service(s)","✔ Ready — client only")))</f>
        <v/>
      </c>
      <c r="AN472" s="29">
        <f>UPPER(SUBSTITUTE(TRIM(F472)," ",""))</f>
        <v/>
      </c>
      <c r="AO472" s="29">
        <f>UPPER(SUBSTITUTE(TRIM(E472)," ",""))</f>
        <v/>
      </c>
      <c r="AP472" s="29">
        <f>IF(D472&lt;&gt;"",D472,IFERROR(VLOOKUP(MID(AG472,4,1),Lists!$E$2:$F$8,2,FALSE),""))</f>
        <v/>
      </c>
      <c r="AQ472" s="29">
        <f>IFERROR(VLOOKUP(AP472,Lists!$A$2:$C$12,3,FALSE),"")</f>
        <v/>
      </c>
      <c r="AR472" s="29">
        <f>COUNTIF(W472:AC472,"Yes")</f>
        <v/>
      </c>
      <c r="AS472" s="29">
        <f>IF(TRIM(B472)="","Legal name missing; ","")&amp;IF(AND(AJ472&lt;&gt;"",AJ472&lt;&gt;"OK"),"GSTIN: "&amp;AJ472&amp;"; ","")&amp;IF(AND(AK472&lt;&gt;"",AK472&lt;&gt;"OK"),"PAN wrong format; ","")&amp;IF(AND(AO472&lt;&gt;"",LEN(AN472)=15,MID(AN472,3,10)&lt;&gt;AO472),"PAN does not match GSTIN; ","")&amp;IF(AND(AL472&lt;&gt;"",AL472&lt;&gt;"OK"),"TAN wrong format; ","")&amp;IF(AG472="","PAN missing; ","")&amp;IF(AP472="","Entity type missing; ","")&amp;IF(AND(AN472&lt;&gt;"",COUNTIF($AN$6:$AN$1005,AN472)&gt;1),"GSTIN repeated in this sheet; ","")&amp;IF(AND(AG472&lt;&gt;"",COUNTIF($AG$6:$AG$1005,AG472)&gt;1),"PAN repeated in this sheet (same client? put extra GSTINs in Other GSTINs); ","")&amp;IF(AND(AR472&gt;0,V472=""),"Financial year missing; ","")&amp;IF(AND(AR472=0,V472&lt;&gt;""),"Financial year given but no service is Yes; ","")&amp;IF(AND(W472="Yes",AN472=""),"GST needs a GSTIN; ","")&amp;IF(AND(W472="Yes",X472=""),"GST return frequency missing; ","")&amp;IF(AND(Y472="Yes",TRIM(H472)=""),"TDS needs a TAN; ","")&amp;IF(AND(AA472="Yes",AQ472&lt;&gt;"",AQ472&lt;&gt;"company",AQ472&lt;&gt;"llp"),"ROC is only for a company / LLP; ","")&amp;IF(AND(AA472="Yes",OR(AQ472="company",AQ472="llp"),TRIM(I472)=""),"ROC needs the CIN / LLPIN; ","")</f>
        <v/>
      </c>
    </row>
    <row r="473">
      <c r="A473" s="30" t="n"/>
      <c r="B473" s="31" t="n"/>
      <c r="C473" s="31" t="n"/>
      <c r="D473" s="31" t="n"/>
      <c r="E473" s="30" t="n"/>
      <c r="F473" s="30" t="n"/>
      <c r="G473" s="30" t="n"/>
      <c r="H473" s="30" t="n"/>
      <c r="I473" s="30" t="n"/>
      <c r="J473" s="32" t="n"/>
      <c r="K473" s="31" t="n"/>
      <c r="L473" s="30" t="n"/>
      <c r="M473" s="31" t="n"/>
      <c r="N473" s="31" t="n"/>
      <c r="O473" s="31" t="n"/>
      <c r="P473" s="30" t="n"/>
      <c r="Q473" s="31" t="n"/>
      <c r="R473" s="31" t="n"/>
      <c r="S473" s="31" t="n"/>
      <c r="T473" s="31" t="n"/>
      <c r="U473" s="30" t="n"/>
      <c r="V473" s="31" t="n"/>
      <c r="W473" s="31" t="n"/>
      <c r="X473" s="31" t="n"/>
      <c r="Y473" s="31" t="n"/>
      <c r="Z473" s="31" t="n"/>
      <c r="AA473" s="31" t="n"/>
      <c r="AB473" s="31" t="n"/>
      <c r="AC473" s="31" t="n"/>
      <c r="AD473" s="31" t="n"/>
      <c r="AE473" s="31" t="n"/>
      <c r="AF473" s="27">
        <f>IF(NOT(COUNTA(A473:AE473)&gt;0),"",IF(A473="","New client","Update"))</f>
        <v/>
      </c>
      <c r="AG473" s="27">
        <f>IF(AO473&lt;&gt;"",AO473,IF(LEN(AN473)=15,MID(AN473,3,10),""))</f>
        <v/>
      </c>
      <c r="AH473" s="27">
        <f>IF(AP473="","",AP473&amp;IF(D473="","  (guessed from PAN)",""))</f>
        <v/>
      </c>
      <c r="AI473" s="27">
        <f>IF(AN473="","",IFERROR(INDEX(Lists!$L$2:$L$38,MATCH(LEFT(AN473,2),Lists!$K$2:$K$38,0)),"Unknown code"))</f>
        <v/>
      </c>
      <c r="AJ473" s="27">
        <f>IF(AN473="","",IFERROR(IF(NOT(AND(LEN(AN473)=15,ISNUMBER(MATCH(LEFT(AN473,2),Lists!$K$2:$K$38,0)),SUMPRODUCT(--ISERROR(FIND(MID(MID(AN473,3,10),{1,2,3,4,5,10},1),"ABCDEFGHIJKLMNOPQRSTUVWXYZ")))=0,SUMPRODUCT(--ISERROR(FIND(MID(MID(AN473,3,10),{6,7,8,9},1),"0123456789")))=0,ISNUMBER(FIND(MID(AN473,13,1),"123456789ABCDEFGHIJKLMNOPQRSTUVWXYZ")),MID(AN473,14,1)="Z")),"Wrong format",IF(MID("0123456789ABCDEFGHIJKLMNOPQRSTUVWXYZ",MOD(36-MOD(SUMPRODUCT(INT((FIND(MID(AN473,{1,2,3,4,5,6,7,8,9,10,11,12,13,14},1),"0123456789ABCDEFGHIJKLMNOPQRSTUVWXYZ")-1)*{1,2,1,2,1,2,1,2,1,2,1,2,1,2}/36)+MOD((FIND(MID(AN473,{1,2,3,4,5,6,7,8,9,10,11,12,13,14},1),"0123456789ABCDEFGHIJKLMNOPQRSTUVWXYZ")-1)*{1,2,1,2,1,2,1,2,1,2,1,2,1,2},36)),36),36)+1,1)=MID(AN473,15,1),"OK","Typo? check digit wrong")),"Wrong format"))</f>
        <v/>
      </c>
      <c r="AK473" s="27">
        <f>IF(AO473="","",IF(AND(LEN(AO473)=10,SUMPRODUCT(--ISERROR(FIND(MID(AO473,{1,2,3,4,5,10},1),"ABCDEFGHIJKLMNOPQRSTUVWXYZ")))=0,SUMPRODUCT(--ISERROR(FIND(MID(AO473,{6,7,8,9},1),"0123456789")))=0),"OK","Wrong format"))</f>
        <v/>
      </c>
      <c r="AL473" s="27">
        <f>IF(TRIM(H473)="","",IF(AND(LEN(UPPER(TRIM(H473)))=10,SUMPRODUCT(--ISERROR(FIND(MID(UPPER(TRIM(H473)),{1,2,3,4,10},1),"ABCDEFGHIJKLMNOPQRSTUVWXYZ")))=0,SUMPRODUCT(--ISERROR(FIND(MID(UPPER(TRIM(H473)),{5,6,7,8,9},1),"0123456789")))=0),"OK","Wrong format"))</f>
        <v/>
      </c>
      <c r="AM473" s="28">
        <f>IF(NOT(COUNTA(A473:AE473)&gt;0),"",IF(AS473&lt;&gt;"","✖ "&amp;LEFT(AS473,LEN(AS473)-2),IF(AR473&gt;0,"✔ Ready — client + "&amp;AR473&amp;" service(s)","✔ Ready — client only")))</f>
        <v/>
      </c>
      <c r="AN473" s="29">
        <f>UPPER(SUBSTITUTE(TRIM(F473)," ",""))</f>
        <v/>
      </c>
      <c r="AO473" s="29">
        <f>UPPER(SUBSTITUTE(TRIM(E473)," ",""))</f>
        <v/>
      </c>
      <c r="AP473" s="29">
        <f>IF(D473&lt;&gt;"",D473,IFERROR(VLOOKUP(MID(AG473,4,1),Lists!$E$2:$F$8,2,FALSE),""))</f>
        <v/>
      </c>
      <c r="AQ473" s="29">
        <f>IFERROR(VLOOKUP(AP473,Lists!$A$2:$C$12,3,FALSE),"")</f>
        <v/>
      </c>
      <c r="AR473" s="29">
        <f>COUNTIF(W473:AC473,"Yes")</f>
        <v/>
      </c>
      <c r="AS473" s="29">
        <f>IF(TRIM(B473)="","Legal name missing; ","")&amp;IF(AND(AJ473&lt;&gt;"",AJ473&lt;&gt;"OK"),"GSTIN: "&amp;AJ473&amp;"; ","")&amp;IF(AND(AK473&lt;&gt;"",AK473&lt;&gt;"OK"),"PAN wrong format; ","")&amp;IF(AND(AO473&lt;&gt;"",LEN(AN473)=15,MID(AN473,3,10)&lt;&gt;AO473),"PAN does not match GSTIN; ","")&amp;IF(AND(AL473&lt;&gt;"",AL473&lt;&gt;"OK"),"TAN wrong format; ","")&amp;IF(AG473="","PAN missing; ","")&amp;IF(AP473="","Entity type missing; ","")&amp;IF(AND(AN473&lt;&gt;"",COUNTIF($AN$6:$AN$1005,AN473)&gt;1),"GSTIN repeated in this sheet; ","")&amp;IF(AND(AG473&lt;&gt;"",COUNTIF($AG$6:$AG$1005,AG473)&gt;1),"PAN repeated in this sheet (same client? put extra GSTINs in Other GSTINs); ","")&amp;IF(AND(AR473&gt;0,V473=""),"Financial year missing; ","")&amp;IF(AND(AR473=0,V473&lt;&gt;""),"Financial year given but no service is Yes; ","")&amp;IF(AND(W473="Yes",AN473=""),"GST needs a GSTIN; ","")&amp;IF(AND(W473="Yes",X473=""),"GST return frequency missing; ","")&amp;IF(AND(Y473="Yes",TRIM(H473)=""),"TDS needs a TAN; ","")&amp;IF(AND(AA473="Yes",AQ473&lt;&gt;"",AQ473&lt;&gt;"company",AQ473&lt;&gt;"llp"),"ROC is only for a company / LLP; ","")&amp;IF(AND(AA473="Yes",OR(AQ473="company",AQ473="llp"),TRIM(I473)=""),"ROC needs the CIN / LLPIN; ","")</f>
        <v/>
      </c>
    </row>
    <row r="474">
      <c r="A474" s="30" t="n"/>
      <c r="B474" s="31" t="n"/>
      <c r="C474" s="31" t="n"/>
      <c r="D474" s="31" t="n"/>
      <c r="E474" s="30" t="n"/>
      <c r="F474" s="30" t="n"/>
      <c r="G474" s="30" t="n"/>
      <c r="H474" s="30" t="n"/>
      <c r="I474" s="30" t="n"/>
      <c r="J474" s="32" t="n"/>
      <c r="K474" s="31" t="n"/>
      <c r="L474" s="30" t="n"/>
      <c r="M474" s="31" t="n"/>
      <c r="N474" s="31" t="n"/>
      <c r="O474" s="31" t="n"/>
      <c r="P474" s="30" t="n"/>
      <c r="Q474" s="31" t="n"/>
      <c r="R474" s="31" t="n"/>
      <c r="S474" s="31" t="n"/>
      <c r="T474" s="31" t="n"/>
      <c r="U474" s="30" t="n"/>
      <c r="V474" s="31" t="n"/>
      <c r="W474" s="31" t="n"/>
      <c r="X474" s="31" t="n"/>
      <c r="Y474" s="31" t="n"/>
      <c r="Z474" s="31" t="n"/>
      <c r="AA474" s="31" t="n"/>
      <c r="AB474" s="31" t="n"/>
      <c r="AC474" s="31" t="n"/>
      <c r="AD474" s="31" t="n"/>
      <c r="AE474" s="31" t="n"/>
      <c r="AF474" s="27">
        <f>IF(NOT(COUNTA(A474:AE474)&gt;0),"",IF(A474="","New client","Update"))</f>
        <v/>
      </c>
      <c r="AG474" s="27">
        <f>IF(AO474&lt;&gt;"",AO474,IF(LEN(AN474)=15,MID(AN474,3,10),""))</f>
        <v/>
      </c>
      <c r="AH474" s="27">
        <f>IF(AP474="","",AP474&amp;IF(D474="","  (guessed from PAN)",""))</f>
        <v/>
      </c>
      <c r="AI474" s="27">
        <f>IF(AN474="","",IFERROR(INDEX(Lists!$L$2:$L$38,MATCH(LEFT(AN474,2),Lists!$K$2:$K$38,0)),"Unknown code"))</f>
        <v/>
      </c>
      <c r="AJ474" s="27">
        <f>IF(AN474="","",IFERROR(IF(NOT(AND(LEN(AN474)=15,ISNUMBER(MATCH(LEFT(AN474,2),Lists!$K$2:$K$38,0)),SUMPRODUCT(--ISERROR(FIND(MID(MID(AN474,3,10),{1,2,3,4,5,10},1),"ABCDEFGHIJKLMNOPQRSTUVWXYZ")))=0,SUMPRODUCT(--ISERROR(FIND(MID(MID(AN474,3,10),{6,7,8,9},1),"0123456789")))=0,ISNUMBER(FIND(MID(AN474,13,1),"123456789ABCDEFGHIJKLMNOPQRSTUVWXYZ")),MID(AN474,14,1)="Z")),"Wrong format",IF(MID("0123456789ABCDEFGHIJKLMNOPQRSTUVWXYZ",MOD(36-MOD(SUMPRODUCT(INT((FIND(MID(AN474,{1,2,3,4,5,6,7,8,9,10,11,12,13,14},1),"0123456789ABCDEFGHIJKLMNOPQRSTUVWXYZ")-1)*{1,2,1,2,1,2,1,2,1,2,1,2,1,2}/36)+MOD((FIND(MID(AN474,{1,2,3,4,5,6,7,8,9,10,11,12,13,14},1),"0123456789ABCDEFGHIJKLMNOPQRSTUVWXYZ")-1)*{1,2,1,2,1,2,1,2,1,2,1,2,1,2},36)),36),36)+1,1)=MID(AN474,15,1),"OK","Typo? check digit wrong")),"Wrong format"))</f>
        <v/>
      </c>
      <c r="AK474" s="27">
        <f>IF(AO474="","",IF(AND(LEN(AO474)=10,SUMPRODUCT(--ISERROR(FIND(MID(AO474,{1,2,3,4,5,10},1),"ABCDEFGHIJKLMNOPQRSTUVWXYZ")))=0,SUMPRODUCT(--ISERROR(FIND(MID(AO474,{6,7,8,9},1),"0123456789")))=0),"OK","Wrong format"))</f>
        <v/>
      </c>
      <c r="AL474" s="27">
        <f>IF(TRIM(H474)="","",IF(AND(LEN(UPPER(TRIM(H474)))=10,SUMPRODUCT(--ISERROR(FIND(MID(UPPER(TRIM(H474)),{1,2,3,4,10},1),"ABCDEFGHIJKLMNOPQRSTUVWXYZ")))=0,SUMPRODUCT(--ISERROR(FIND(MID(UPPER(TRIM(H474)),{5,6,7,8,9},1),"0123456789")))=0),"OK","Wrong format"))</f>
        <v/>
      </c>
      <c r="AM474" s="28">
        <f>IF(NOT(COUNTA(A474:AE474)&gt;0),"",IF(AS474&lt;&gt;"","✖ "&amp;LEFT(AS474,LEN(AS474)-2),IF(AR474&gt;0,"✔ Ready — client + "&amp;AR474&amp;" service(s)","✔ Ready — client only")))</f>
        <v/>
      </c>
      <c r="AN474" s="29">
        <f>UPPER(SUBSTITUTE(TRIM(F474)," ",""))</f>
        <v/>
      </c>
      <c r="AO474" s="29">
        <f>UPPER(SUBSTITUTE(TRIM(E474)," ",""))</f>
        <v/>
      </c>
      <c r="AP474" s="29">
        <f>IF(D474&lt;&gt;"",D474,IFERROR(VLOOKUP(MID(AG474,4,1),Lists!$E$2:$F$8,2,FALSE),""))</f>
        <v/>
      </c>
      <c r="AQ474" s="29">
        <f>IFERROR(VLOOKUP(AP474,Lists!$A$2:$C$12,3,FALSE),"")</f>
        <v/>
      </c>
      <c r="AR474" s="29">
        <f>COUNTIF(W474:AC474,"Yes")</f>
        <v/>
      </c>
      <c r="AS474" s="29">
        <f>IF(TRIM(B474)="","Legal name missing; ","")&amp;IF(AND(AJ474&lt;&gt;"",AJ474&lt;&gt;"OK"),"GSTIN: "&amp;AJ474&amp;"; ","")&amp;IF(AND(AK474&lt;&gt;"",AK474&lt;&gt;"OK"),"PAN wrong format; ","")&amp;IF(AND(AO474&lt;&gt;"",LEN(AN474)=15,MID(AN474,3,10)&lt;&gt;AO474),"PAN does not match GSTIN; ","")&amp;IF(AND(AL474&lt;&gt;"",AL474&lt;&gt;"OK"),"TAN wrong format; ","")&amp;IF(AG474="","PAN missing; ","")&amp;IF(AP474="","Entity type missing; ","")&amp;IF(AND(AN474&lt;&gt;"",COUNTIF($AN$6:$AN$1005,AN474)&gt;1),"GSTIN repeated in this sheet; ","")&amp;IF(AND(AG474&lt;&gt;"",COUNTIF($AG$6:$AG$1005,AG474)&gt;1),"PAN repeated in this sheet (same client? put extra GSTINs in Other GSTINs); ","")&amp;IF(AND(AR474&gt;0,V474=""),"Financial year missing; ","")&amp;IF(AND(AR474=0,V474&lt;&gt;""),"Financial year given but no service is Yes; ","")&amp;IF(AND(W474="Yes",AN474=""),"GST needs a GSTIN; ","")&amp;IF(AND(W474="Yes",X474=""),"GST return frequency missing; ","")&amp;IF(AND(Y474="Yes",TRIM(H474)=""),"TDS needs a TAN; ","")&amp;IF(AND(AA474="Yes",AQ474&lt;&gt;"",AQ474&lt;&gt;"company",AQ474&lt;&gt;"llp"),"ROC is only for a company / LLP; ","")&amp;IF(AND(AA474="Yes",OR(AQ474="company",AQ474="llp"),TRIM(I474)=""),"ROC needs the CIN / LLPIN; ","")</f>
        <v/>
      </c>
    </row>
    <row r="475">
      <c r="A475" s="30" t="n"/>
      <c r="B475" s="31" t="n"/>
      <c r="C475" s="31" t="n"/>
      <c r="D475" s="31" t="n"/>
      <c r="E475" s="30" t="n"/>
      <c r="F475" s="30" t="n"/>
      <c r="G475" s="30" t="n"/>
      <c r="H475" s="30" t="n"/>
      <c r="I475" s="30" t="n"/>
      <c r="J475" s="32" t="n"/>
      <c r="K475" s="31" t="n"/>
      <c r="L475" s="30" t="n"/>
      <c r="M475" s="31" t="n"/>
      <c r="N475" s="31" t="n"/>
      <c r="O475" s="31" t="n"/>
      <c r="P475" s="30" t="n"/>
      <c r="Q475" s="31" t="n"/>
      <c r="R475" s="31" t="n"/>
      <c r="S475" s="31" t="n"/>
      <c r="T475" s="31" t="n"/>
      <c r="U475" s="30" t="n"/>
      <c r="V475" s="31" t="n"/>
      <c r="W475" s="31" t="n"/>
      <c r="X475" s="31" t="n"/>
      <c r="Y475" s="31" t="n"/>
      <c r="Z475" s="31" t="n"/>
      <c r="AA475" s="31" t="n"/>
      <c r="AB475" s="31" t="n"/>
      <c r="AC475" s="31" t="n"/>
      <c r="AD475" s="31" t="n"/>
      <c r="AE475" s="31" t="n"/>
      <c r="AF475" s="27">
        <f>IF(NOT(COUNTA(A475:AE475)&gt;0),"",IF(A475="","New client","Update"))</f>
        <v/>
      </c>
      <c r="AG475" s="27">
        <f>IF(AO475&lt;&gt;"",AO475,IF(LEN(AN475)=15,MID(AN475,3,10),""))</f>
        <v/>
      </c>
      <c r="AH475" s="27">
        <f>IF(AP475="","",AP475&amp;IF(D475="","  (guessed from PAN)",""))</f>
        <v/>
      </c>
      <c r="AI475" s="27">
        <f>IF(AN475="","",IFERROR(INDEX(Lists!$L$2:$L$38,MATCH(LEFT(AN475,2),Lists!$K$2:$K$38,0)),"Unknown code"))</f>
        <v/>
      </c>
      <c r="AJ475" s="27">
        <f>IF(AN475="","",IFERROR(IF(NOT(AND(LEN(AN475)=15,ISNUMBER(MATCH(LEFT(AN475,2),Lists!$K$2:$K$38,0)),SUMPRODUCT(--ISERROR(FIND(MID(MID(AN475,3,10),{1,2,3,4,5,10},1),"ABCDEFGHIJKLMNOPQRSTUVWXYZ")))=0,SUMPRODUCT(--ISERROR(FIND(MID(MID(AN475,3,10),{6,7,8,9},1),"0123456789")))=0,ISNUMBER(FIND(MID(AN475,13,1),"123456789ABCDEFGHIJKLMNOPQRSTUVWXYZ")),MID(AN475,14,1)="Z")),"Wrong format",IF(MID("0123456789ABCDEFGHIJKLMNOPQRSTUVWXYZ",MOD(36-MOD(SUMPRODUCT(INT((FIND(MID(AN475,{1,2,3,4,5,6,7,8,9,10,11,12,13,14},1),"0123456789ABCDEFGHIJKLMNOPQRSTUVWXYZ")-1)*{1,2,1,2,1,2,1,2,1,2,1,2,1,2}/36)+MOD((FIND(MID(AN475,{1,2,3,4,5,6,7,8,9,10,11,12,13,14},1),"0123456789ABCDEFGHIJKLMNOPQRSTUVWXYZ")-1)*{1,2,1,2,1,2,1,2,1,2,1,2,1,2},36)),36),36)+1,1)=MID(AN475,15,1),"OK","Typo? check digit wrong")),"Wrong format"))</f>
        <v/>
      </c>
      <c r="AK475" s="27">
        <f>IF(AO475="","",IF(AND(LEN(AO475)=10,SUMPRODUCT(--ISERROR(FIND(MID(AO475,{1,2,3,4,5,10},1),"ABCDEFGHIJKLMNOPQRSTUVWXYZ")))=0,SUMPRODUCT(--ISERROR(FIND(MID(AO475,{6,7,8,9},1),"0123456789")))=0),"OK","Wrong format"))</f>
        <v/>
      </c>
      <c r="AL475" s="27">
        <f>IF(TRIM(H475)="","",IF(AND(LEN(UPPER(TRIM(H475)))=10,SUMPRODUCT(--ISERROR(FIND(MID(UPPER(TRIM(H475)),{1,2,3,4,10},1),"ABCDEFGHIJKLMNOPQRSTUVWXYZ")))=0,SUMPRODUCT(--ISERROR(FIND(MID(UPPER(TRIM(H475)),{5,6,7,8,9},1),"0123456789")))=0),"OK","Wrong format"))</f>
        <v/>
      </c>
      <c r="AM475" s="28">
        <f>IF(NOT(COUNTA(A475:AE475)&gt;0),"",IF(AS475&lt;&gt;"","✖ "&amp;LEFT(AS475,LEN(AS475)-2),IF(AR475&gt;0,"✔ Ready — client + "&amp;AR475&amp;" service(s)","✔ Ready — client only")))</f>
        <v/>
      </c>
      <c r="AN475" s="29">
        <f>UPPER(SUBSTITUTE(TRIM(F475)," ",""))</f>
        <v/>
      </c>
      <c r="AO475" s="29">
        <f>UPPER(SUBSTITUTE(TRIM(E475)," ",""))</f>
        <v/>
      </c>
      <c r="AP475" s="29">
        <f>IF(D475&lt;&gt;"",D475,IFERROR(VLOOKUP(MID(AG475,4,1),Lists!$E$2:$F$8,2,FALSE),""))</f>
        <v/>
      </c>
      <c r="AQ475" s="29">
        <f>IFERROR(VLOOKUP(AP475,Lists!$A$2:$C$12,3,FALSE),"")</f>
        <v/>
      </c>
      <c r="AR475" s="29">
        <f>COUNTIF(W475:AC475,"Yes")</f>
        <v/>
      </c>
      <c r="AS475" s="29">
        <f>IF(TRIM(B475)="","Legal name missing; ","")&amp;IF(AND(AJ475&lt;&gt;"",AJ475&lt;&gt;"OK"),"GSTIN: "&amp;AJ475&amp;"; ","")&amp;IF(AND(AK475&lt;&gt;"",AK475&lt;&gt;"OK"),"PAN wrong format; ","")&amp;IF(AND(AO475&lt;&gt;"",LEN(AN475)=15,MID(AN475,3,10)&lt;&gt;AO475),"PAN does not match GSTIN; ","")&amp;IF(AND(AL475&lt;&gt;"",AL475&lt;&gt;"OK"),"TAN wrong format; ","")&amp;IF(AG475="","PAN missing; ","")&amp;IF(AP475="","Entity type missing; ","")&amp;IF(AND(AN475&lt;&gt;"",COUNTIF($AN$6:$AN$1005,AN475)&gt;1),"GSTIN repeated in this sheet; ","")&amp;IF(AND(AG475&lt;&gt;"",COUNTIF($AG$6:$AG$1005,AG475)&gt;1),"PAN repeated in this sheet (same client? put extra GSTINs in Other GSTINs); ","")&amp;IF(AND(AR475&gt;0,V475=""),"Financial year missing; ","")&amp;IF(AND(AR475=0,V475&lt;&gt;""),"Financial year given but no service is Yes; ","")&amp;IF(AND(W475="Yes",AN475=""),"GST needs a GSTIN; ","")&amp;IF(AND(W475="Yes",X475=""),"GST return frequency missing; ","")&amp;IF(AND(Y475="Yes",TRIM(H475)=""),"TDS needs a TAN; ","")&amp;IF(AND(AA475="Yes",AQ475&lt;&gt;"",AQ475&lt;&gt;"company",AQ475&lt;&gt;"llp"),"ROC is only for a company / LLP; ","")&amp;IF(AND(AA475="Yes",OR(AQ475="company",AQ475="llp"),TRIM(I475)=""),"ROC needs the CIN / LLPIN; ","")</f>
        <v/>
      </c>
    </row>
    <row r="476">
      <c r="A476" s="30" t="n"/>
      <c r="B476" s="31" t="n"/>
      <c r="C476" s="31" t="n"/>
      <c r="D476" s="31" t="n"/>
      <c r="E476" s="30" t="n"/>
      <c r="F476" s="30" t="n"/>
      <c r="G476" s="30" t="n"/>
      <c r="H476" s="30" t="n"/>
      <c r="I476" s="30" t="n"/>
      <c r="J476" s="32" t="n"/>
      <c r="K476" s="31" t="n"/>
      <c r="L476" s="30" t="n"/>
      <c r="M476" s="31" t="n"/>
      <c r="N476" s="31" t="n"/>
      <c r="O476" s="31" t="n"/>
      <c r="P476" s="30" t="n"/>
      <c r="Q476" s="31" t="n"/>
      <c r="R476" s="31" t="n"/>
      <c r="S476" s="31" t="n"/>
      <c r="T476" s="31" t="n"/>
      <c r="U476" s="30" t="n"/>
      <c r="V476" s="31" t="n"/>
      <c r="W476" s="31" t="n"/>
      <c r="X476" s="31" t="n"/>
      <c r="Y476" s="31" t="n"/>
      <c r="Z476" s="31" t="n"/>
      <c r="AA476" s="31" t="n"/>
      <c r="AB476" s="31" t="n"/>
      <c r="AC476" s="31" t="n"/>
      <c r="AD476" s="31" t="n"/>
      <c r="AE476" s="31" t="n"/>
      <c r="AF476" s="27">
        <f>IF(NOT(COUNTA(A476:AE476)&gt;0),"",IF(A476="","New client","Update"))</f>
        <v/>
      </c>
      <c r="AG476" s="27">
        <f>IF(AO476&lt;&gt;"",AO476,IF(LEN(AN476)=15,MID(AN476,3,10),""))</f>
        <v/>
      </c>
      <c r="AH476" s="27">
        <f>IF(AP476="","",AP476&amp;IF(D476="","  (guessed from PAN)",""))</f>
        <v/>
      </c>
      <c r="AI476" s="27">
        <f>IF(AN476="","",IFERROR(INDEX(Lists!$L$2:$L$38,MATCH(LEFT(AN476,2),Lists!$K$2:$K$38,0)),"Unknown code"))</f>
        <v/>
      </c>
      <c r="AJ476" s="27">
        <f>IF(AN476="","",IFERROR(IF(NOT(AND(LEN(AN476)=15,ISNUMBER(MATCH(LEFT(AN476,2),Lists!$K$2:$K$38,0)),SUMPRODUCT(--ISERROR(FIND(MID(MID(AN476,3,10),{1,2,3,4,5,10},1),"ABCDEFGHIJKLMNOPQRSTUVWXYZ")))=0,SUMPRODUCT(--ISERROR(FIND(MID(MID(AN476,3,10),{6,7,8,9},1),"0123456789")))=0,ISNUMBER(FIND(MID(AN476,13,1),"123456789ABCDEFGHIJKLMNOPQRSTUVWXYZ")),MID(AN476,14,1)="Z")),"Wrong format",IF(MID("0123456789ABCDEFGHIJKLMNOPQRSTUVWXYZ",MOD(36-MOD(SUMPRODUCT(INT((FIND(MID(AN476,{1,2,3,4,5,6,7,8,9,10,11,12,13,14},1),"0123456789ABCDEFGHIJKLMNOPQRSTUVWXYZ")-1)*{1,2,1,2,1,2,1,2,1,2,1,2,1,2}/36)+MOD((FIND(MID(AN476,{1,2,3,4,5,6,7,8,9,10,11,12,13,14},1),"0123456789ABCDEFGHIJKLMNOPQRSTUVWXYZ")-1)*{1,2,1,2,1,2,1,2,1,2,1,2,1,2},36)),36),36)+1,1)=MID(AN476,15,1),"OK","Typo? check digit wrong")),"Wrong format"))</f>
        <v/>
      </c>
      <c r="AK476" s="27">
        <f>IF(AO476="","",IF(AND(LEN(AO476)=10,SUMPRODUCT(--ISERROR(FIND(MID(AO476,{1,2,3,4,5,10},1),"ABCDEFGHIJKLMNOPQRSTUVWXYZ")))=0,SUMPRODUCT(--ISERROR(FIND(MID(AO476,{6,7,8,9},1),"0123456789")))=0),"OK","Wrong format"))</f>
        <v/>
      </c>
      <c r="AL476" s="27">
        <f>IF(TRIM(H476)="","",IF(AND(LEN(UPPER(TRIM(H476)))=10,SUMPRODUCT(--ISERROR(FIND(MID(UPPER(TRIM(H476)),{1,2,3,4,10},1),"ABCDEFGHIJKLMNOPQRSTUVWXYZ")))=0,SUMPRODUCT(--ISERROR(FIND(MID(UPPER(TRIM(H476)),{5,6,7,8,9},1),"0123456789")))=0),"OK","Wrong format"))</f>
        <v/>
      </c>
      <c r="AM476" s="28">
        <f>IF(NOT(COUNTA(A476:AE476)&gt;0),"",IF(AS476&lt;&gt;"","✖ "&amp;LEFT(AS476,LEN(AS476)-2),IF(AR476&gt;0,"✔ Ready — client + "&amp;AR476&amp;" service(s)","✔ Ready — client only")))</f>
        <v/>
      </c>
      <c r="AN476" s="29">
        <f>UPPER(SUBSTITUTE(TRIM(F476)," ",""))</f>
        <v/>
      </c>
      <c r="AO476" s="29">
        <f>UPPER(SUBSTITUTE(TRIM(E476)," ",""))</f>
        <v/>
      </c>
      <c r="AP476" s="29">
        <f>IF(D476&lt;&gt;"",D476,IFERROR(VLOOKUP(MID(AG476,4,1),Lists!$E$2:$F$8,2,FALSE),""))</f>
        <v/>
      </c>
      <c r="AQ476" s="29">
        <f>IFERROR(VLOOKUP(AP476,Lists!$A$2:$C$12,3,FALSE),"")</f>
        <v/>
      </c>
      <c r="AR476" s="29">
        <f>COUNTIF(W476:AC476,"Yes")</f>
        <v/>
      </c>
      <c r="AS476" s="29">
        <f>IF(TRIM(B476)="","Legal name missing; ","")&amp;IF(AND(AJ476&lt;&gt;"",AJ476&lt;&gt;"OK"),"GSTIN: "&amp;AJ476&amp;"; ","")&amp;IF(AND(AK476&lt;&gt;"",AK476&lt;&gt;"OK"),"PAN wrong format; ","")&amp;IF(AND(AO476&lt;&gt;"",LEN(AN476)=15,MID(AN476,3,10)&lt;&gt;AO476),"PAN does not match GSTIN; ","")&amp;IF(AND(AL476&lt;&gt;"",AL476&lt;&gt;"OK"),"TAN wrong format; ","")&amp;IF(AG476="","PAN missing; ","")&amp;IF(AP476="","Entity type missing; ","")&amp;IF(AND(AN476&lt;&gt;"",COUNTIF($AN$6:$AN$1005,AN476)&gt;1),"GSTIN repeated in this sheet; ","")&amp;IF(AND(AG476&lt;&gt;"",COUNTIF($AG$6:$AG$1005,AG476)&gt;1),"PAN repeated in this sheet (same client? put extra GSTINs in Other GSTINs); ","")&amp;IF(AND(AR476&gt;0,V476=""),"Financial year missing; ","")&amp;IF(AND(AR476=0,V476&lt;&gt;""),"Financial year given but no service is Yes; ","")&amp;IF(AND(W476="Yes",AN476=""),"GST needs a GSTIN; ","")&amp;IF(AND(W476="Yes",X476=""),"GST return frequency missing; ","")&amp;IF(AND(Y476="Yes",TRIM(H476)=""),"TDS needs a TAN; ","")&amp;IF(AND(AA476="Yes",AQ476&lt;&gt;"",AQ476&lt;&gt;"company",AQ476&lt;&gt;"llp"),"ROC is only for a company / LLP; ","")&amp;IF(AND(AA476="Yes",OR(AQ476="company",AQ476="llp"),TRIM(I476)=""),"ROC needs the CIN / LLPIN; ","")</f>
        <v/>
      </c>
    </row>
    <row r="477">
      <c r="A477" s="30" t="n"/>
      <c r="B477" s="31" t="n"/>
      <c r="C477" s="31" t="n"/>
      <c r="D477" s="31" t="n"/>
      <c r="E477" s="30" t="n"/>
      <c r="F477" s="30" t="n"/>
      <c r="G477" s="30" t="n"/>
      <c r="H477" s="30" t="n"/>
      <c r="I477" s="30" t="n"/>
      <c r="J477" s="32" t="n"/>
      <c r="K477" s="31" t="n"/>
      <c r="L477" s="30" t="n"/>
      <c r="M477" s="31" t="n"/>
      <c r="N477" s="31" t="n"/>
      <c r="O477" s="31" t="n"/>
      <c r="P477" s="30" t="n"/>
      <c r="Q477" s="31" t="n"/>
      <c r="R477" s="31" t="n"/>
      <c r="S477" s="31" t="n"/>
      <c r="T477" s="31" t="n"/>
      <c r="U477" s="30" t="n"/>
      <c r="V477" s="31" t="n"/>
      <c r="W477" s="31" t="n"/>
      <c r="X477" s="31" t="n"/>
      <c r="Y477" s="31" t="n"/>
      <c r="Z477" s="31" t="n"/>
      <c r="AA477" s="31" t="n"/>
      <c r="AB477" s="31" t="n"/>
      <c r="AC477" s="31" t="n"/>
      <c r="AD477" s="31" t="n"/>
      <c r="AE477" s="31" t="n"/>
      <c r="AF477" s="27">
        <f>IF(NOT(COUNTA(A477:AE477)&gt;0),"",IF(A477="","New client","Update"))</f>
        <v/>
      </c>
      <c r="AG477" s="27">
        <f>IF(AO477&lt;&gt;"",AO477,IF(LEN(AN477)=15,MID(AN477,3,10),""))</f>
        <v/>
      </c>
      <c r="AH477" s="27">
        <f>IF(AP477="","",AP477&amp;IF(D477="","  (guessed from PAN)",""))</f>
        <v/>
      </c>
      <c r="AI477" s="27">
        <f>IF(AN477="","",IFERROR(INDEX(Lists!$L$2:$L$38,MATCH(LEFT(AN477,2),Lists!$K$2:$K$38,0)),"Unknown code"))</f>
        <v/>
      </c>
      <c r="AJ477" s="27">
        <f>IF(AN477="","",IFERROR(IF(NOT(AND(LEN(AN477)=15,ISNUMBER(MATCH(LEFT(AN477,2),Lists!$K$2:$K$38,0)),SUMPRODUCT(--ISERROR(FIND(MID(MID(AN477,3,10),{1,2,3,4,5,10},1),"ABCDEFGHIJKLMNOPQRSTUVWXYZ")))=0,SUMPRODUCT(--ISERROR(FIND(MID(MID(AN477,3,10),{6,7,8,9},1),"0123456789")))=0,ISNUMBER(FIND(MID(AN477,13,1),"123456789ABCDEFGHIJKLMNOPQRSTUVWXYZ")),MID(AN477,14,1)="Z")),"Wrong format",IF(MID("0123456789ABCDEFGHIJKLMNOPQRSTUVWXYZ",MOD(36-MOD(SUMPRODUCT(INT((FIND(MID(AN477,{1,2,3,4,5,6,7,8,9,10,11,12,13,14},1),"0123456789ABCDEFGHIJKLMNOPQRSTUVWXYZ")-1)*{1,2,1,2,1,2,1,2,1,2,1,2,1,2}/36)+MOD((FIND(MID(AN477,{1,2,3,4,5,6,7,8,9,10,11,12,13,14},1),"0123456789ABCDEFGHIJKLMNOPQRSTUVWXYZ")-1)*{1,2,1,2,1,2,1,2,1,2,1,2,1,2},36)),36),36)+1,1)=MID(AN477,15,1),"OK","Typo? check digit wrong")),"Wrong format"))</f>
        <v/>
      </c>
      <c r="AK477" s="27">
        <f>IF(AO477="","",IF(AND(LEN(AO477)=10,SUMPRODUCT(--ISERROR(FIND(MID(AO477,{1,2,3,4,5,10},1),"ABCDEFGHIJKLMNOPQRSTUVWXYZ")))=0,SUMPRODUCT(--ISERROR(FIND(MID(AO477,{6,7,8,9},1),"0123456789")))=0),"OK","Wrong format"))</f>
        <v/>
      </c>
      <c r="AL477" s="27">
        <f>IF(TRIM(H477)="","",IF(AND(LEN(UPPER(TRIM(H477)))=10,SUMPRODUCT(--ISERROR(FIND(MID(UPPER(TRIM(H477)),{1,2,3,4,10},1),"ABCDEFGHIJKLMNOPQRSTUVWXYZ")))=0,SUMPRODUCT(--ISERROR(FIND(MID(UPPER(TRIM(H477)),{5,6,7,8,9},1),"0123456789")))=0),"OK","Wrong format"))</f>
        <v/>
      </c>
      <c r="AM477" s="28">
        <f>IF(NOT(COUNTA(A477:AE477)&gt;0),"",IF(AS477&lt;&gt;"","✖ "&amp;LEFT(AS477,LEN(AS477)-2),IF(AR477&gt;0,"✔ Ready — client + "&amp;AR477&amp;" service(s)","✔ Ready — client only")))</f>
        <v/>
      </c>
      <c r="AN477" s="29">
        <f>UPPER(SUBSTITUTE(TRIM(F477)," ",""))</f>
        <v/>
      </c>
      <c r="AO477" s="29">
        <f>UPPER(SUBSTITUTE(TRIM(E477)," ",""))</f>
        <v/>
      </c>
      <c r="AP477" s="29">
        <f>IF(D477&lt;&gt;"",D477,IFERROR(VLOOKUP(MID(AG477,4,1),Lists!$E$2:$F$8,2,FALSE),""))</f>
        <v/>
      </c>
      <c r="AQ477" s="29">
        <f>IFERROR(VLOOKUP(AP477,Lists!$A$2:$C$12,3,FALSE),"")</f>
        <v/>
      </c>
      <c r="AR477" s="29">
        <f>COUNTIF(W477:AC477,"Yes")</f>
        <v/>
      </c>
      <c r="AS477" s="29">
        <f>IF(TRIM(B477)="","Legal name missing; ","")&amp;IF(AND(AJ477&lt;&gt;"",AJ477&lt;&gt;"OK"),"GSTIN: "&amp;AJ477&amp;"; ","")&amp;IF(AND(AK477&lt;&gt;"",AK477&lt;&gt;"OK"),"PAN wrong format; ","")&amp;IF(AND(AO477&lt;&gt;"",LEN(AN477)=15,MID(AN477,3,10)&lt;&gt;AO477),"PAN does not match GSTIN; ","")&amp;IF(AND(AL477&lt;&gt;"",AL477&lt;&gt;"OK"),"TAN wrong format; ","")&amp;IF(AG477="","PAN missing; ","")&amp;IF(AP477="","Entity type missing; ","")&amp;IF(AND(AN477&lt;&gt;"",COUNTIF($AN$6:$AN$1005,AN477)&gt;1),"GSTIN repeated in this sheet; ","")&amp;IF(AND(AG477&lt;&gt;"",COUNTIF($AG$6:$AG$1005,AG477)&gt;1),"PAN repeated in this sheet (same client? put extra GSTINs in Other GSTINs); ","")&amp;IF(AND(AR477&gt;0,V477=""),"Financial year missing; ","")&amp;IF(AND(AR477=0,V477&lt;&gt;""),"Financial year given but no service is Yes; ","")&amp;IF(AND(W477="Yes",AN477=""),"GST needs a GSTIN; ","")&amp;IF(AND(W477="Yes",X477=""),"GST return frequency missing; ","")&amp;IF(AND(Y477="Yes",TRIM(H477)=""),"TDS needs a TAN; ","")&amp;IF(AND(AA477="Yes",AQ477&lt;&gt;"",AQ477&lt;&gt;"company",AQ477&lt;&gt;"llp"),"ROC is only for a company / LLP; ","")&amp;IF(AND(AA477="Yes",OR(AQ477="company",AQ477="llp"),TRIM(I477)=""),"ROC needs the CIN / LLPIN; ","")</f>
        <v/>
      </c>
    </row>
    <row r="478">
      <c r="A478" s="30" t="n"/>
      <c r="B478" s="31" t="n"/>
      <c r="C478" s="31" t="n"/>
      <c r="D478" s="31" t="n"/>
      <c r="E478" s="30" t="n"/>
      <c r="F478" s="30" t="n"/>
      <c r="G478" s="30" t="n"/>
      <c r="H478" s="30" t="n"/>
      <c r="I478" s="30" t="n"/>
      <c r="J478" s="32" t="n"/>
      <c r="K478" s="31" t="n"/>
      <c r="L478" s="30" t="n"/>
      <c r="M478" s="31" t="n"/>
      <c r="N478" s="31" t="n"/>
      <c r="O478" s="31" t="n"/>
      <c r="P478" s="30" t="n"/>
      <c r="Q478" s="31" t="n"/>
      <c r="R478" s="31" t="n"/>
      <c r="S478" s="31" t="n"/>
      <c r="T478" s="31" t="n"/>
      <c r="U478" s="30" t="n"/>
      <c r="V478" s="31" t="n"/>
      <c r="W478" s="31" t="n"/>
      <c r="X478" s="31" t="n"/>
      <c r="Y478" s="31" t="n"/>
      <c r="Z478" s="31" t="n"/>
      <c r="AA478" s="31" t="n"/>
      <c r="AB478" s="31" t="n"/>
      <c r="AC478" s="31" t="n"/>
      <c r="AD478" s="31" t="n"/>
      <c r="AE478" s="31" t="n"/>
      <c r="AF478" s="27">
        <f>IF(NOT(COUNTA(A478:AE478)&gt;0),"",IF(A478="","New client","Update"))</f>
        <v/>
      </c>
      <c r="AG478" s="27">
        <f>IF(AO478&lt;&gt;"",AO478,IF(LEN(AN478)=15,MID(AN478,3,10),""))</f>
        <v/>
      </c>
      <c r="AH478" s="27">
        <f>IF(AP478="","",AP478&amp;IF(D478="","  (guessed from PAN)",""))</f>
        <v/>
      </c>
      <c r="AI478" s="27">
        <f>IF(AN478="","",IFERROR(INDEX(Lists!$L$2:$L$38,MATCH(LEFT(AN478,2),Lists!$K$2:$K$38,0)),"Unknown code"))</f>
        <v/>
      </c>
      <c r="AJ478" s="27">
        <f>IF(AN478="","",IFERROR(IF(NOT(AND(LEN(AN478)=15,ISNUMBER(MATCH(LEFT(AN478,2),Lists!$K$2:$K$38,0)),SUMPRODUCT(--ISERROR(FIND(MID(MID(AN478,3,10),{1,2,3,4,5,10},1),"ABCDEFGHIJKLMNOPQRSTUVWXYZ")))=0,SUMPRODUCT(--ISERROR(FIND(MID(MID(AN478,3,10),{6,7,8,9},1),"0123456789")))=0,ISNUMBER(FIND(MID(AN478,13,1),"123456789ABCDEFGHIJKLMNOPQRSTUVWXYZ")),MID(AN478,14,1)="Z")),"Wrong format",IF(MID("0123456789ABCDEFGHIJKLMNOPQRSTUVWXYZ",MOD(36-MOD(SUMPRODUCT(INT((FIND(MID(AN478,{1,2,3,4,5,6,7,8,9,10,11,12,13,14},1),"0123456789ABCDEFGHIJKLMNOPQRSTUVWXYZ")-1)*{1,2,1,2,1,2,1,2,1,2,1,2,1,2}/36)+MOD((FIND(MID(AN478,{1,2,3,4,5,6,7,8,9,10,11,12,13,14},1),"0123456789ABCDEFGHIJKLMNOPQRSTUVWXYZ")-1)*{1,2,1,2,1,2,1,2,1,2,1,2,1,2},36)),36),36)+1,1)=MID(AN478,15,1),"OK","Typo? check digit wrong")),"Wrong format"))</f>
        <v/>
      </c>
      <c r="AK478" s="27">
        <f>IF(AO478="","",IF(AND(LEN(AO478)=10,SUMPRODUCT(--ISERROR(FIND(MID(AO478,{1,2,3,4,5,10},1),"ABCDEFGHIJKLMNOPQRSTUVWXYZ")))=0,SUMPRODUCT(--ISERROR(FIND(MID(AO478,{6,7,8,9},1),"0123456789")))=0),"OK","Wrong format"))</f>
        <v/>
      </c>
      <c r="AL478" s="27">
        <f>IF(TRIM(H478)="","",IF(AND(LEN(UPPER(TRIM(H478)))=10,SUMPRODUCT(--ISERROR(FIND(MID(UPPER(TRIM(H478)),{1,2,3,4,10},1),"ABCDEFGHIJKLMNOPQRSTUVWXYZ")))=0,SUMPRODUCT(--ISERROR(FIND(MID(UPPER(TRIM(H478)),{5,6,7,8,9},1),"0123456789")))=0),"OK","Wrong format"))</f>
        <v/>
      </c>
      <c r="AM478" s="28">
        <f>IF(NOT(COUNTA(A478:AE478)&gt;0),"",IF(AS478&lt;&gt;"","✖ "&amp;LEFT(AS478,LEN(AS478)-2),IF(AR478&gt;0,"✔ Ready — client + "&amp;AR478&amp;" service(s)","✔ Ready — client only")))</f>
        <v/>
      </c>
      <c r="AN478" s="29">
        <f>UPPER(SUBSTITUTE(TRIM(F478)," ",""))</f>
        <v/>
      </c>
      <c r="AO478" s="29">
        <f>UPPER(SUBSTITUTE(TRIM(E478)," ",""))</f>
        <v/>
      </c>
      <c r="AP478" s="29">
        <f>IF(D478&lt;&gt;"",D478,IFERROR(VLOOKUP(MID(AG478,4,1),Lists!$E$2:$F$8,2,FALSE),""))</f>
        <v/>
      </c>
      <c r="AQ478" s="29">
        <f>IFERROR(VLOOKUP(AP478,Lists!$A$2:$C$12,3,FALSE),"")</f>
        <v/>
      </c>
      <c r="AR478" s="29">
        <f>COUNTIF(W478:AC478,"Yes")</f>
        <v/>
      </c>
      <c r="AS478" s="29">
        <f>IF(TRIM(B478)="","Legal name missing; ","")&amp;IF(AND(AJ478&lt;&gt;"",AJ478&lt;&gt;"OK"),"GSTIN: "&amp;AJ478&amp;"; ","")&amp;IF(AND(AK478&lt;&gt;"",AK478&lt;&gt;"OK"),"PAN wrong format; ","")&amp;IF(AND(AO478&lt;&gt;"",LEN(AN478)=15,MID(AN478,3,10)&lt;&gt;AO478),"PAN does not match GSTIN; ","")&amp;IF(AND(AL478&lt;&gt;"",AL478&lt;&gt;"OK"),"TAN wrong format; ","")&amp;IF(AG478="","PAN missing; ","")&amp;IF(AP478="","Entity type missing; ","")&amp;IF(AND(AN478&lt;&gt;"",COUNTIF($AN$6:$AN$1005,AN478)&gt;1),"GSTIN repeated in this sheet; ","")&amp;IF(AND(AG478&lt;&gt;"",COUNTIF($AG$6:$AG$1005,AG478)&gt;1),"PAN repeated in this sheet (same client? put extra GSTINs in Other GSTINs); ","")&amp;IF(AND(AR478&gt;0,V478=""),"Financial year missing; ","")&amp;IF(AND(AR478=0,V478&lt;&gt;""),"Financial year given but no service is Yes; ","")&amp;IF(AND(W478="Yes",AN478=""),"GST needs a GSTIN; ","")&amp;IF(AND(W478="Yes",X478=""),"GST return frequency missing; ","")&amp;IF(AND(Y478="Yes",TRIM(H478)=""),"TDS needs a TAN; ","")&amp;IF(AND(AA478="Yes",AQ478&lt;&gt;"",AQ478&lt;&gt;"company",AQ478&lt;&gt;"llp"),"ROC is only for a company / LLP; ","")&amp;IF(AND(AA478="Yes",OR(AQ478="company",AQ478="llp"),TRIM(I478)=""),"ROC needs the CIN / LLPIN; ","")</f>
        <v/>
      </c>
    </row>
    <row r="479">
      <c r="A479" s="30" t="n"/>
      <c r="B479" s="31" t="n"/>
      <c r="C479" s="31" t="n"/>
      <c r="D479" s="31" t="n"/>
      <c r="E479" s="30" t="n"/>
      <c r="F479" s="30" t="n"/>
      <c r="G479" s="30" t="n"/>
      <c r="H479" s="30" t="n"/>
      <c r="I479" s="30" t="n"/>
      <c r="J479" s="32" t="n"/>
      <c r="K479" s="31" t="n"/>
      <c r="L479" s="30" t="n"/>
      <c r="M479" s="31" t="n"/>
      <c r="N479" s="31" t="n"/>
      <c r="O479" s="31" t="n"/>
      <c r="P479" s="30" t="n"/>
      <c r="Q479" s="31" t="n"/>
      <c r="R479" s="31" t="n"/>
      <c r="S479" s="31" t="n"/>
      <c r="T479" s="31" t="n"/>
      <c r="U479" s="30" t="n"/>
      <c r="V479" s="31" t="n"/>
      <c r="W479" s="31" t="n"/>
      <c r="X479" s="31" t="n"/>
      <c r="Y479" s="31" t="n"/>
      <c r="Z479" s="31" t="n"/>
      <c r="AA479" s="31" t="n"/>
      <c r="AB479" s="31" t="n"/>
      <c r="AC479" s="31" t="n"/>
      <c r="AD479" s="31" t="n"/>
      <c r="AE479" s="31" t="n"/>
      <c r="AF479" s="27">
        <f>IF(NOT(COUNTA(A479:AE479)&gt;0),"",IF(A479="","New client","Update"))</f>
        <v/>
      </c>
      <c r="AG479" s="27">
        <f>IF(AO479&lt;&gt;"",AO479,IF(LEN(AN479)=15,MID(AN479,3,10),""))</f>
        <v/>
      </c>
      <c r="AH479" s="27">
        <f>IF(AP479="","",AP479&amp;IF(D479="","  (guessed from PAN)",""))</f>
        <v/>
      </c>
      <c r="AI479" s="27">
        <f>IF(AN479="","",IFERROR(INDEX(Lists!$L$2:$L$38,MATCH(LEFT(AN479,2),Lists!$K$2:$K$38,0)),"Unknown code"))</f>
        <v/>
      </c>
      <c r="AJ479" s="27">
        <f>IF(AN479="","",IFERROR(IF(NOT(AND(LEN(AN479)=15,ISNUMBER(MATCH(LEFT(AN479,2),Lists!$K$2:$K$38,0)),SUMPRODUCT(--ISERROR(FIND(MID(MID(AN479,3,10),{1,2,3,4,5,10},1),"ABCDEFGHIJKLMNOPQRSTUVWXYZ")))=0,SUMPRODUCT(--ISERROR(FIND(MID(MID(AN479,3,10),{6,7,8,9},1),"0123456789")))=0,ISNUMBER(FIND(MID(AN479,13,1),"123456789ABCDEFGHIJKLMNOPQRSTUVWXYZ")),MID(AN479,14,1)="Z")),"Wrong format",IF(MID("0123456789ABCDEFGHIJKLMNOPQRSTUVWXYZ",MOD(36-MOD(SUMPRODUCT(INT((FIND(MID(AN479,{1,2,3,4,5,6,7,8,9,10,11,12,13,14},1),"0123456789ABCDEFGHIJKLMNOPQRSTUVWXYZ")-1)*{1,2,1,2,1,2,1,2,1,2,1,2,1,2}/36)+MOD((FIND(MID(AN479,{1,2,3,4,5,6,7,8,9,10,11,12,13,14},1),"0123456789ABCDEFGHIJKLMNOPQRSTUVWXYZ")-1)*{1,2,1,2,1,2,1,2,1,2,1,2,1,2},36)),36),36)+1,1)=MID(AN479,15,1),"OK","Typo? check digit wrong")),"Wrong format"))</f>
        <v/>
      </c>
      <c r="AK479" s="27">
        <f>IF(AO479="","",IF(AND(LEN(AO479)=10,SUMPRODUCT(--ISERROR(FIND(MID(AO479,{1,2,3,4,5,10},1),"ABCDEFGHIJKLMNOPQRSTUVWXYZ")))=0,SUMPRODUCT(--ISERROR(FIND(MID(AO479,{6,7,8,9},1),"0123456789")))=0),"OK","Wrong format"))</f>
        <v/>
      </c>
      <c r="AL479" s="27">
        <f>IF(TRIM(H479)="","",IF(AND(LEN(UPPER(TRIM(H479)))=10,SUMPRODUCT(--ISERROR(FIND(MID(UPPER(TRIM(H479)),{1,2,3,4,10},1),"ABCDEFGHIJKLMNOPQRSTUVWXYZ")))=0,SUMPRODUCT(--ISERROR(FIND(MID(UPPER(TRIM(H479)),{5,6,7,8,9},1),"0123456789")))=0),"OK","Wrong format"))</f>
        <v/>
      </c>
      <c r="AM479" s="28">
        <f>IF(NOT(COUNTA(A479:AE479)&gt;0),"",IF(AS479&lt;&gt;"","✖ "&amp;LEFT(AS479,LEN(AS479)-2),IF(AR479&gt;0,"✔ Ready — client + "&amp;AR479&amp;" service(s)","✔ Ready — client only")))</f>
        <v/>
      </c>
      <c r="AN479" s="29">
        <f>UPPER(SUBSTITUTE(TRIM(F479)," ",""))</f>
        <v/>
      </c>
      <c r="AO479" s="29">
        <f>UPPER(SUBSTITUTE(TRIM(E479)," ",""))</f>
        <v/>
      </c>
      <c r="AP479" s="29">
        <f>IF(D479&lt;&gt;"",D479,IFERROR(VLOOKUP(MID(AG479,4,1),Lists!$E$2:$F$8,2,FALSE),""))</f>
        <v/>
      </c>
      <c r="AQ479" s="29">
        <f>IFERROR(VLOOKUP(AP479,Lists!$A$2:$C$12,3,FALSE),"")</f>
        <v/>
      </c>
      <c r="AR479" s="29">
        <f>COUNTIF(W479:AC479,"Yes")</f>
        <v/>
      </c>
      <c r="AS479" s="29">
        <f>IF(TRIM(B479)="","Legal name missing; ","")&amp;IF(AND(AJ479&lt;&gt;"",AJ479&lt;&gt;"OK"),"GSTIN: "&amp;AJ479&amp;"; ","")&amp;IF(AND(AK479&lt;&gt;"",AK479&lt;&gt;"OK"),"PAN wrong format; ","")&amp;IF(AND(AO479&lt;&gt;"",LEN(AN479)=15,MID(AN479,3,10)&lt;&gt;AO479),"PAN does not match GSTIN; ","")&amp;IF(AND(AL479&lt;&gt;"",AL479&lt;&gt;"OK"),"TAN wrong format; ","")&amp;IF(AG479="","PAN missing; ","")&amp;IF(AP479="","Entity type missing; ","")&amp;IF(AND(AN479&lt;&gt;"",COUNTIF($AN$6:$AN$1005,AN479)&gt;1),"GSTIN repeated in this sheet; ","")&amp;IF(AND(AG479&lt;&gt;"",COUNTIF($AG$6:$AG$1005,AG479)&gt;1),"PAN repeated in this sheet (same client? put extra GSTINs in Other GSTINs); ","")&amp;IF(AND(AR479&gt;0,V479=""),"Financial year missing; ","")&amp;IF(AND(AR479=0,V479&lt;&gt;""),"Financial year given but no service is Yes; ","")&amp;IF(AND(W479="Yes",AN479=""),"GST needs a GSTIN; ","")&amp;IF(AND(W479="Yes",X479=""),"GST return frequency missing; ","")&amp;IF(AND(Y479="Yes",TRIM(H479)=""),"TDS needs a TAN; ","")&amp;IF(AND(AA479="Yes",AQ479&lt;&gt;"",AQ479&lt;&gt;"company",AQ479&lt;&gt;"llp"),"ROC is only for a company / LLP; ","")&amp;IF(AND(AA479="Yes",OR(AQ479="company",AQ479="llp"),TRIM(I479)=""),"ROC needs the CIN / LLPIN; ","")</f>
        <v/>
      </c>
    </row>
    <row r="480">
      <c r="A480" s="30" t="n"/>
      <c r="B480" s="31" t="n"/>
      <c r="C480" s="31" t="n"/>
      <c r="D480" s="31" t="n"/>
      <c r="E480" s="30" t="n"/>
      <c r="F480" s="30" t="n"/>
      <c r="G480" s="30" t="n"/>
      <c r="H480" s="30" t="n"/>
      <c r="I480" s="30" t="n"/>
      <c r="J480" s="32" t="n"/>
      <c r="K480" s="31" t="n"/>
      <c r="L480" s="30" t="n"/>
      <c r="M480" s="31" t="n"/>
      <c r="N480" s="31" t="n"/>
      <c r="O480" s="31" t="n"/>
      <c r="P480" s="30" t="n"/>
      <c r="Q480" s="31" t="n"/>
      <c r="R480" s="31" t="n"/>
      <c r="S480" s="31" t="n"/>
      <c r="T480" s="31" t="n"/>
      <c r="U480" s="30" t="n"/>
      <c r="V480" s="31" t="n"/>
      <c r="W480" s="31" t="n"/>
      <c r="X480" s="31" t="n"/>
      <c r="Y480" s="31" t="n"/>
      <c r="Z480" s="31" t="n"/>
      <c r="AA480" s="31" t="n"/>
      <c r="AB480" s="31" t="n"/>
      <c r="AC480" s="31" t="n"/>
      <c r="AD480" s="31" t="n"/>
      <c r="AE480" s="31" t="n"/>
      <c r="AF480" s="27">
        <f>IF(NOT(COUNTA(A480:AE480)&gt;0),"",IF(A480="","New client","Update"))</f>
        <v/>
      </c>
      <c r="AG480" s="27">
        <f>IF(AO480&lt;&gt;"",AO480,IF(LEN(AN480)=15,MID(AN480,3,10),""))</f>
        <v/>
      </c>
      <c r="AH480" s="27">
        <f>IF(AP480="","",AP480&amp;IF(D480="","  (guessed from PAN)",""))</f>
        <v/>
      </c>
      <c r="AI480" s="27">
        <f>IF(AN480="","",IFERROR(INDEX(Lists!$L$2:$L$38,MATCH(LEFT(AN480,2),Lists!$K$2:$K$38,0)),"Unknown code"))</f>
        <v/>
      </c>
      <c r="AJ480" s="27">
        <f>IF(AN480="","",IFERROR(IF(NOT(AND(LEN(AN480)=15,ISNUMBER(MATCH(LEFT(AN480,2),Lists!$K$2:$K$38,0)),SUMPRODUCT(--ISERROR(FIND(MID(MID(AN480,3,10),{1,2,3,4,5,10},1),"ABCDEFGHIJKLMNOPQRSTUVWXYZ")))=0,SUMPRODUCT(--ISERROR(FIND(MID(MID(AN480,3,10),{6,7,8,9},1),"0123456789")))=0,ISNUMBER(FIND(MID(AN480,13,1),"123456789ABCDEFGHIJKLMNOPQRSTUVWXYZ")),MID(AN480,14,1)="Z")),"Wrong format",IF(MID("0123456789ABCDEFGHIJKLMNOPQRSTUVWXYZ",MOD(36-MOD(SUMPRODUCT(INT((FIND(MID(AN480,{1,2,3,4,5,6,7,8,9,10,11,12,13,14},1),"0123456789ABCDEFGHIJKLMNOPQRSTUVWXYZ")-1)*{1,2,1,2,1,2,1,2,1,2,1,2,1,2}/36)+MOD((FIND(MID(AN480,{1,2,3,4,5,6,7,8,9,10,11,12,13,14},1),"0123456789ABCDEFGHIJKLMNOPQRSTUVWXYZ")-1)*{1,2,1,2,1,2,1,2,1,2,1,2,1,2},36)),36),36)+1,1)=MID(AN480,15,1),"OK","Typo? check digit wrong")),"Wrong format"))</f>
        <v/>
      </c>
      <c r="AK480" s="27">
        <f>IF(AO480="","",IF(AND(LEN(AO480)=10,SUMPRODUCT(--ISERROR(FIND(MID(AO480,{1,2,3,4,5,10},1),"ABCDEFGHIJKLMNOPQRSTUVWXYZ")))=0,SUMPRODUCT(--ISERROR(FIND(MID(AO480,{6,7,8,9},1),"0123456789")))=0),"OK","Wrong format"))</f>
        <v/>
      </c>
      <c r="AL480" s="27">
        <f>IF(TRIM(H480)="","",IF(AND(LEN(UPPER(TRIM(H480)))=10,SUMPRODUCT(--ISERROR(FIND(MID(UPPER(TRIM(H480)),{1,2,3,4,10},1),"ABCDEFGHIJKLMNOPQRSTUVWXYZ")))=0,SUMPRODUCT(--ISERROR(FIND(MID(UPPER(TRIM(H480)),{5,6,7,8,9},1),"0123456789")))=0),"OK","Wrong format"))</f>
        <v/>
      </c>
      <c r="AM480" s="28">
        <f>IF(NOT(COUNTA(A480:AE480)&gt;0),"",IF(AS480&lt;&gt;"","✖ "&amp;LEFT(AS480,LEN(AS480)-2),IF(AR480&gt;0,"✔ Ready — client + "&amp;AR480&amp;" service(s)","✔ Ready — client only")))</f>
        <v/>
      </c>
      <c r="AN480" s="29">
        <f>UPPER(SUBSTITUTE(TRIM(F480)," ",""))</f>
        <v/>
      </c>
      <c r="AO480" s="29">
        <f>UPPER(SUBSTITUTE(TRIM(E480)," ",""))</f>
        <v/>
      </c>
      <c r="AP480" s="29">
        <f>IF(D480&lt;&gt;"",D480,IFERROR(VLOOKUP(MID(AG480,4,1),Lists!$E$2:$F$8,2,FALSE),""))</f>
        <v/>
      </c>
      <c r="AQ480" s="29">
        <f>IFERROR(VLOOKUP(AP480,Lists!$A$2:$C$12,3,FALSE),"")</f>
        <v/>
      </c>
      <c r="AR480" s="29">
        <f>COUNTIF(W480:AC480,"Yes")</f>
        <v/>
      </c>
      <c r="AS480" s="29">
        <f>IF(TRIM(B480)="","Legal name missing; ","")&amp;IF(AND(AJ480&lt;&gt;"",AJ480&lt;&gt;"OK"),"GSTIN: "&amp;AJ480&amp;"; ","")&amp;IF(AND(AK480&lt;&gt;"",AK480&lt;&gt;"OK"),"PAN wrong format; ","")&amp;IF(AND(AO480&lt;&gt;"",LEN(AN480)=15,MID(AN480,3,10)&lt;&gt;AO480),"PAN does not match GSTIN; ","")&amp;IF(AND(AL480&lt;&gt;"",AL480&lt;&gt;"OK"),"TAN wrong format; ","")&amp;IF(AG480="","PAN missing; ","")&amp;IF(AP480="","Entity type missing; ","")&amp;IF(AND(AN480&lt;&gt;"",COUNTIF($AN$6:$AN$1005,AN480)&gt;1),"GSTIN repeated in this sheet; ","")&amp;IF(AND(AG480&lt;&gt;"",COUNTIF($AG$6:$AG$1005,AG480)&gt;1),"PAN repeated in this sheet (same client? put extra GSTINs in Other GSTINs); ","")&amp;IF(AND(AR480&gt;0,V480=""),"Financial year missing; ","")&amp;IF(AND(AR480=0,V480&lt;&gt;""),"Financial year given but no service is Yes; ","")&amp;IF(AND(W480="Yes",AN480=""),"GST needs a GSTIN; ","")&amp;IF(AND(W480="Yes",X480=""),"GST return frequency missing; ","")&amp;IF(AND(Y480="Yes",TRIM(H480)=""),"TDS needs a TAN; ","")&amp;IF(AND(AA480="Yes",AQ480&lt;&gt;"",AQ480&lt;&gt;"company",AQ480&lt;&gt;"llp"),"ROC is only for a company / LLP; ","")&amp;IF(AND(AA480="Yes",OR(AQ480="company",AQ480="llp"),TRIM(I480)=""),"ROC needs the CIN / LLPIN; ","")</f>
        <v/>
      </c>
    </row>
    <row r="481">
      <c r="A481" s="30" t="n"/>
      <c r="B481" s="31" t="n"/>
      <c r="C481" s="31" t="n"/>
      <c r="D481" s="31" t="n"/>
      <c r="E481" s="30" t="n"/>
      <c r="F481" s="30" t="n"/>
      <c r="G481" s="30" t="n"/>
      <c r="H481" s="30" t="n"/>
      <c r="I481" s="30" t="n"/>
      <c r="J481" s="32" t="n"/>
      <c r="K481" s="31" t="n"/>
      <c r="L481" s="30" t="n"/>
      <c r="M481" s="31" t="n"/>
      <c r="N481" s="31" t="n"/>
      <c r="O481" s="31" t="n"/>
      <c r="P481" s="30" t="n"/>
      <c r="Q481" s="31" t="n"/>
      <c r="R481" s="31" t="n"/>
      <c r="S481" s="31" t="n"/>
      <c r="T481" s="31" t="n"/>
      <c r="U481" s="30" t="n"/>
      <c r="V481" s="31" t="n"/>
      <c r="W481" s="31" t="n"/>
      <c r="X481" s="31" t="n"/>
      <c r="Y481" s="31" t="n"/>
      <c r="Z481" s="31" t="n"/>
      <c r="AA481" s="31" t="n"/>
      <c r="AB481" s="31" t="n"/>
      <c r="AC481" s="31" t="n"/>
      <c r="AD481" s="31" t="n"/>
      <c r="AE481" s="31" t="n"/>
      <c r="AF481" s="27">
        <f>IF(NOT(COUNTA(A481:AE481)&gt;0),"",IF(A481="","New client","Update"))</f>
        <v/>
      </c>
      <c r="AG481" s="27">
        <f>IF(AO481&lt;&gt;"",AO481,IF(LEN(AN481)=15,MID(AN481,3,10),""))</f>
        <v/>
      </c>
      <c r="AH481" s="27">
        <f>IF(AP481="","",AP481&amp;IF(D481="","  (guessed from PAN)",""))</f>
        <v/>
      </c>
      <c r="AI481" s="27">
        <f>IF(AN481="","",IFERROR(INDEX(Lists!$L$2:$L$38,MATCH(LEFT(AN481,2),Lists!$K$2:$K$38,0)),"Unknown code"))</f>
        <v/>
      </c>
      <c r="AJ481" s="27">
        <f>IF(AN481="","",IFERROR(IF(NOT(AND(LEN(AN481)=15,ISNUMBER(MATCH(LEFT(AN481,2),Lists!$K$2:$K$38,0)),SUMPRODUCT(--ISERROR(FIND(MID(MID(AN481,3,10),{1,2,3,4,5,10},1),"ABCDEFGHIJKLMNOPQRSTUVWXYZ")))=0,SUMPRODUCT(--ISERROR(FIND(MID(MID(AN481,3,10),{6,7,8,9},1),"0123456789")))=0,ISNUMBER(FIND(MID(AN481,13,1),"123456789ABCDEFGHIJKLMNOPQRSTUVWXYZ")),MID(AN481,14,1)="Z")),"Wrong format",IF(MID("0123456789ABCDEFGHIJKLMNOPQRSTUVWXYZ",MOD(36-MOD(SUMPRODUCT(INT((FIND(MID(AN481,{1,2,3,4,5,6,7,8,9,10,11,12,13,14},1),"0123456789ABCDEFGHIJKLMNOPQRSTUVWXYZ")-1)*{1,2,1,2,1,2,1,2,1,2,1,2,1,2}/36)+MOD((FIND(MID(AN481,{1,2,3,4,5,6,7,8,9,10,11,12,13,14},1),"0123456789ABCDEFGHIJKLMNOPQRSTUVWXYZ")-1)*{1,2,1,2,1,2,1,2,1,2,1,2,1,2},36)),36),36)+1,1)=MID(AN481,15,1),"OK","Typo? check digit wrong")),"Wrong format"))</f>
        <v/>
      </c>
      <c r="AK481" s="27">
        <f>IF(AO481="","",IF(AND(LEN(AO481)=10,SUMPRODUCT(--ISERROR(FIND(MID(AO481,{1,2,3,4,5,10},1),"ABCDEFGHIJKLMNOPQRSTUVWXYZ")))=0,SUMPRODUCT(--ISERROR(FIND(MID(AO481,{6,7,8,9},1),"0123456789")))=0),"OK","Wrong format"))</f>
        <v/>
      </c>
      <c r="AL481" s="27">
        <f>IF(TRIM(H481)="","",IF(AND(LEN(UPPER(TRIM(H481)))=10,SUMPRODUCT(--ISERROR(FIND(MID(UPPER(TRIM(H481)),{1,2,3,4,10},1),"ABCDEFGHIJKLMNOPQRSTUVWXYZ")))=0,SUMPRODUCT(--ISERROR(FIND(MID(UPPER(TRIM(H481)),{5,6,7,8,9},1),"0123456789")))=0),"OK","Wrong format"))</f>
        <v/>
      </c>
      <c r="AM481" s="28">
        <f>IF(NOT(COUNTA(A481:AE481)&gt;0),"",IF(AS481&lt;&gt;"","✖ "&amp;LEFT(AS481,LEN(AS481)-2),IF(AR481&gt;0,"✔ Ready — client + "&amp;AR481&amp;" service(s)","✔ Ready — client only")))</f>
        <v/>
      </c>
      <c r="AN481" s="29">
        <f>UPPER(SUBSTITUTE(TRIM(F481)," ",""))</f>
        <v/>
      </c>
      <c r="AO481" s="29">
        <f>UPPER(SUBSTITUTE(TRIM(E481)," ",""))</f>
        <v/>
      </c>
      <c r="AP481" s="29">
        <f>IF(D481&lt;&gt;"",D481,IFERROR(VLOOKUP(MID(AG481,4,1),Lists!$E$2:$F$8,2,FALSE),""))</f>
        <v/>
      </c>
      <c r="AQ481" s="29">
        <f>IFERROR(VLOOKUP(AP481,Lists!$A$2:$C$12,3,FALSE),"")</f>
        <v/>
      </c>
      <c r="AR481" s="29">
        <f>COUNTIF(W481:AC481,"Yes")</f>
        <v/>
      </c>
      <c r="AS481" s="29">
        <f>IF(TRIM(B481)="","Legal name missing; ","")&amp;IF(AND(AJ481&lt;&gt;"",AJ481&lt;&gt;"OK"),"GSTIN: "&amp;AJ481&amp;"; ","")&amp;IF(AND(AK481&lt;&gt;"",AK481&lt;&gt;"OK"),"PAN wrong format; ","")&amp;IF(AND(AO481&lt;&gt;"",LEN(AN481)=15,MID(AN481,3,10)&lt;&gt;AO481),"PAN does not match GSTIN; ","")&amp;IF(AND(AL481&lt;&gt;"",AL481&lt;&gt;"OK"),"TAN wrong format; ","")&amp;IF(AG481="","PAN missing; ","")&amp;IF(AP481="","Entity type missing; ","")&amp;IF(AND(AN481&lt;&gt;"",COUNTIF($AN$6:$AN$1005,AN481)&gt;1),"GSTIN repeated in this sheet; ","")&amp;IF(AND(AG481&lt;&gt;"",COUNTIF($AG$6:$AG$1005,AG481)&gt;1),"PAN repeated in this sheet (same client? put extra GSTINs in Other GSTINs); ","")&amp;IF(AND(AR481&gt;0,V481=""),"Financial year missing; ","")&amp;IF(AND(AR481=0,V481&lt;&gt;""),"Financial year given but no service is Yes; ","")&amp;IF(AND(W481="Yes",AN481=""),"GST needs a GSTIN; ","")&amp;IF(AND(W481="Yes",X481=""),"GST return frequency missing; ","")&amp;IF(AND(Y481="Yes",TRIM(H481)=""),"TDS needs a TAN; ","")&amp;IF(AND(AA481="Yes",AQ481&lt;&gt;"",AQ481&lt;&gt;"company",AQ481&lt;&gt;"llp"),"ROC is only for a company / LLP; ","")&amp;IF(AND(AA481="Yes",OR(AQ481="company",AQ481="llp"),TRIM(I481)=""),"ROC needs the CIN / LLPIN; ","")</f>
        <v/>
      </c>
    </row>
    <row r="482">
      <c r="A482" s="30" t="n"/>
      <c r="B482" s="31" t="n"/>
      <c r="C482" s="31" t="n"/>
      <c r="D482" s="31" t="n"/>
      <c r="E482" s="30" t="n"/>
      <c r="F482" s="30" t="n"/>
      <c r="G482" s="30" t="n"/>
      <c r="H482" s="30" t="n"/>
      <c r="I482" s="30" t="n"/>
      <c r="J482" s="32" t="n"/>
      <c r="K482" s="31" t="n"/>
      <c r="L482" s="30" t="n"/>
      <c r="M482" s="31" t="n"/>
      <c r="N482" s="31" t="n"/>
      <c r="O482" s="31" t="n"/>
      <c r="P482" s="30" t="n"/>
      <c r="Q482" s="31" t="n"/>
      <c r="R482" s="31" t="n"/>
      <c r="S482" s="31" t="n"/>
      <c r="T482" s="31" t="n"/>
      <c r="U482" s="30" t="n"/>
      <c r="V482" s="31" t="n"/>
      <c r="W482" s="31" t="n"/>
      <c r="X482" s="31" t="n"/>
      <c r="Y482" s="31" t="n"/>
      <c r="Z482" s="31" t="n"/>
      <c r="AA482" s="31" t="n"/>
      <c r="AB482" s="31" t="n"/>
      <c r="AC482" s="31" t="n"/>
      <c r="AD482" s="31" t="n"/>
      <c r="AE482" s="31" t="n"/>
      <c r="AF482" s="27">
        <f>IF(NOT(COUNTA(A482:AE482)&gt;0),"",IF(A482="","New client","Update"))</f>
        <v/>
      </c>
      <c r="AG482" s="27">
        <f>IF(AO482&lt;&gt;"",AO482,IF(LEN(AN482)=15,MID(AN482,3,10),""))</f>
        <v/>
      </c>
      <c r="AH482" s="27">
        <f>IF(AP482="","",AP482&amp;IF(D482="","  (guessed from PAN)",""))</f>
        <v/>
      </c>
      <c r="AI482" s="27">
        <f>IF(AN482="","",IFERROR(INDEX(Lists!$L$2:$L$38,MATCH(LEFT(AN482,2),Lists!$K$2:$K$38,0)),"Unknown code"))</f>
        <v/>
      </c>
      <c r="AJ482" s="27">
        <f>IF(AN482="","",IFERROR(IF(NOT(AND(LEN(AN482)=15,ISNUMBER(MATCH(LEFT(AN482,2),Lists!$K$2:$K$38,0)),SUMPRODUCT(--ISERROR(FIND(MID(MID(AN482,3,10),{1,2,3,4,5,10},1),"ABCDEFGHIJKLMNOPQRSTUVWXYZ")))=0,SUMPRODUCT(--ISERROR(FIND(MID(MID(AN482,3,10),{6,7,8,9},1),"0123456789")))=0,ISNUMBER(FIND(MID(AN482,13,1),"123456789ABCDEFGHIJKLMNOPQRSTUVWXYZ")),MID(AN482,14,1)="Z")),"Wrong format",IF(MID("0123456789ABCDEFGHIJKLMNOPQRSTUVWXYZ",MOD(36-MOD(SUMPRODUCT(INT((FIND(MID(AN482,{1,2,3,4,5,6,7,8,9,10,11,12,13,14},1),"0123456789ABCDEFGHIJKLMNOPQRSTUVWXYZ")-1)*{1,2,1,2,1,2,1,2,1,2,1,2,1,2}/36)+MOD((FIND(MID(AN482,{1,2,3,4,5,6,7,8,9,10,11,12,13,14},1),"0123456789ABCDEFGHIJKLMNOPQRSTUVWXYZ")-1)*{1,2,1,2,1,2,1,2,1,2,1,2,1,2},36)),36),36)+1,1)=MID(AN482,15,1),"OK","Typo? check digit wrong")),"Wrong format"))</f>
        <v/>
      </c>
      <c r="AK482" s="27">
        <f>IF(AO482="","",IF(AND(LEN(AO482)=10,SUMPRODUCT(--ISERROR(FIND(MID(AO482,{1,2,3,4,5,10},1),"ABCDEFGHIJKLMNOPQRSTUVWXYZ")))=0,SUMPRODUCT(--ISERROR(FIND(MID(AO482,{6,7,8,9},1),"0123456789")))=0),"OK","Wrong format"))</f>
        <v/>
      </c>
      <c r="AL482" s="27">
        <f>IF(TRIM(H482)="","",IF(AND(LEN(UPPER(TRIM(H482)))=10,SUMPRODUCT(--ISERROR(FIND(MID(UPPER(TRIM(H482)),{1,2,3,4,10},1),"ABCDEFGHIJKLMNOPQRSTUVWXYZ")))=0,SUMPRODUCT(--ISERROR(FIND(MID(UPPER(TRIM(H482)),{5,6,7,8,9},1),"0123456789")))=0),"OK","Wrong format"))</f>
        <v/>
      </c>
      <c r="AM482" s="28">
        <f>IF(NOT(COUNTA(A482:AE482)&gt;0),"",IF(AS482&lt;&gt;"","✖ "&amp;LEFT(AS482,LEN(AS482)-2),IF(AR482&gt;0,"✔ Ready — client + "&amp;AR482&amp;" service(s)","✔ Ready — client only")))</f>
        <v/>
      </c>
      <c r="AN482" s="29">
        <f>UPPER(SUBSTITUTE(TRIM(F482)," ",""))</f>
        <v/>
      </c>
      <c r="AO482" s="29">
        <f>UPPER(SUBSTITUTE(TRIM(E482)," ",""))</f>
        <v/>
      </c>
      <c r="AP482" s="29">
        <f>IF(D482&lt;&gt;"",D482,IFERROR(VLOOKUP(MID(AG482,4,1),Lists!$E$2:$F$8,2,FALSE),""))</f>
        <v/>
      </c>
      <c r="AQ482" s="29">
        <f>IFERROR(VLOOKUP(AP482,Lists!$A$2:$C$12,3,FALSE),"")</f>
        <v/>
      </c>
      <c r="AR482" s="29">
        <f>COUNTIF(W482:AC482,"Yes")</f>
        <v/>
      </c>
      <c r="AS482" s="29">
        <f>IF(TRIM(B482)="","Legal name missing; ","")&amp;IF(AND(AJ482&lt;&gt;"",AJ482&lt;&gt;"OK"),"GSTIN: "&amp;AJ482&amp;"; ","")&amp;IF(AND(AK482&lt;&gt;"",AK482&lt;&gt;"OK"),"PAN wrong format; ","")&amp;IF(AND(AO482&lt;&gt;"",LEN(AN482)=15,MID(AN482,3,10)&lt;&gt;AO482),"PAN does not match GSTIN; ","")&amp;IF(AND(AL482&lt;&gt;"",AL482&lt;&gt;"OK"),"TAN wrong format; ","")&amp;IF(AG482="","PAN missing; ","")&amp;IF(AP482="","Entity type missing; ","")&amp;IF(AND(AN482&lt;&gt;"",COUNTIF($AN$6:$AN$1005,AN482)&gt;1),"GSTIN repeated in this sheet; ","")&amp;IF(AND(AG482&lt;&gt;"",COUNTIF($AG$6:$AG$1005,AG482)&gt;1),"PAN repeated in this sheet (same client? put extra GSTINs in Other GSTINs); ","")&amp;IF(AND(AR482&gt;0,V482=""),"Financial year missing; ","")&amp;IF(AND(AR482=0,V482&lt;&gt;""),"Financial year given but no service is Yes; ","")&amp;IF(AND(W482="Yes",AN482=""),"GST needs a GSTIN; ","")&amp;IF(AND(W482="Yes",X482=""),"GST return frequency missing; ","")&amp;IF(AND(Y482="Yes",TRIM(H482)=""),"TDS needs a TAN; ","")&amp;IF(AND(AA482="Yes",AQ482&lt;&gt;"",AQ482&lt;&gt;"company",AQ482&lt;&gt;"llp"),"ROC is only for a company / LLP; ","")&amp;IF(AND(AA482="Yes",OR(AQ482="company",AQ482="llp"),TRIM(I482)=""),"ROC needs the CIN / LLPIN; ","")</f>
        <v/>
      </c>
    </row>
    <row r="483">
      <c r="A483" s="30" t="n"/>
      <c r="B483" s="31" t="n"/>
      <c r="C483" s="31" t="n"/>
      <c r="D483" s="31" t="n"/>
      <c r="E483" s="30" t="n"/>
      <c r="F483" s="30" t="n"/>
      <c r="G483" s="30" t="n"/>
      <c r="H483" s="30" t="n"/>
      <c r="I483" s="30" t="n"/>
      <c r="J483" s="32" t="n"/>
      <c r="K483" s="31" t="n"/>
      <c r="L483" s="30" t="n"/>
      <c r="M483" s="31" t="n"/>
      <c r="N483" s="31" t="n"/>
      <c r="O483" s="31" t="n"/>
      <c r="P483" s="30" t="n"/>
      <c r="Q483" s="31" t="n"/>
      <c r="R483" s="31" t="n"/>
      <c r="S483" s="31" t="n"/>
      <c r="T483" s="31" t="n"/>
      <c r="U483" s="30" t="n"/>
      <c r="V483" s="31" t="n"/>
      <c r="W483" s="31" t="n"/>
      <c r="X483" s="31" t="n"/>
      <c r="Y483" s="31" t="n"/>
      <c r="Z483" s="31" t="n"/>
      <c r="AA483" s="31" t="n"/>
      <c r="AB483" s="31" t="n"/>
      <c r="AC483" s="31" t="n"/>
      <c r="AD483" s="31" t="n"/>
      <c r="AE483" s="31" t="n"/>
      <c r="AF483" s="27">
        <f>IF(NOT(COUNTA(A483:AE483)&gt;0),"",IF(A483="","New client","Update"))</f>
        <v/>
      </c>
      <c r="AG483" s="27">
        <f>IF(AO483&lt;&gt;"",AO483,IF(LEN(AN483)=15,MID(AN483,3,10),""))</f>
        <v/>
      </c>
      <c r="AH483" s="27">
        <f>IF(AP483="","",AP483&amp;IF(D483="","  (guessed from PAN)",""))</f>
        <v/>
      </c>
      <c r="AI483" s="27">
        <f>IF(AN483="","",IFERROR(INDEX(Lists!$L$2:$L$38,MATCH(LEFT(AN483,2),Lists!$K$2:$K$38,0)),"Unknown code"))</f>
        <v/>
      </c>
      <c r="AJ483" s="27">
        <f>IF(AN483="","",IFERROR(IF(NOT(AND(LEN(AN483)=15,ISNUMBER(MATCH(LEFT(AN483,2),Lists!$K$2:$K$38,0)),SUMPRODUCT(--ISERROR(FIND(MID(MID(AN483,3,10),{1,2,3,4,5,10},1),"ABCDEFGHIJKLMNOPQRSTUVWXYZ")))=0,SUMPRODUCT(--ISERROR(FIND(MID(MID(AN483,3,10),{6,7,8,9},1),"0123456789")))=0,ISNUMBER(FIND(MID(AN483,13,1),"123456789ABCDEFGHIJKLMNOPQRSTUVWXYZ")),MID(AN483,14,1)="Z")),"Wrong format",IF(MID("0123456789ABCDEFGHIJKLMNOPQRSTUVWXYZ",MOD(36-MOD(SUMPRODUCT(INT((FIND(MID(AN483,{1,2,3,4,5,6,7,8,9,10,11,12,13,14},1),"0123456789ABCDEFGHIJKLMNOPQRSTUVWXYZ")-1)*{1,2,1,2,1,2,1,2,1,2,1,2,1,2}/36)+MOD((FIND(MID(AN483,{1,2,3,4,5,6,7,8,9,10,11,12,13,14},1),"0123456789ABCDEFGHIJKLMNOPQRSTUVWXYZ")-1)*{1,2,1,2,1,2,1,2,1,2,1,2,1,2},36)),36),36)+1,1)=MID(AN483,15,1),"OK","Typo? check digit wrong")),"Wrong format"))</f>
        <v/>
      </c>
      <c r="AK483" s="27">
        <f>IF(AO483="","",IF(AND(LEN(AO483)=10,SUMPRODUCT(--ISERROR(FIND(MID(AO483,{1,2,3,4,5,10},1),"ABCDEFGHIJKLMNOPQRSTUVWXYZ")))=0,SUMPRODUCT(--ISERROR(FIND(MID(AO483,{6,7,8,9},1),"0123456789")))=0),"OK","Wrong format"))</f>
        <v/>
      </c>
      <c r="AL483" s="27">
        <f>IF(TRIM(H483)="","",IF(AND(LEN(UPPER(TRIM(H483)))=10,SUMPRODUCT(--ISERROR(FIND(MID(UPPER(TRIM(H483)),{1,2,3,4,10},1),"ABCDEFGHIJKLMNOPQRSTUVWXYZ")))=0,SUMPRODUCT(--ISERROR(FIND(MID(UPPER(TRIM(H483)),{5,6,7,8,9},1),"0123456789")))=0),"OK","Wrong format"))</f>
        <v/>
      </c>
      <c r="AM483" s="28">
        <f>IF(NOT(COUNTA(A483:AE483)&gt;0),"",IF(AS483&lt;&gt;"","✖ "&amp;LEFT(AS483,LEN(AS483)-2),IF(AR483&gt;0,"✔ Ready — client + "&amp;AR483&amp;" service(s)","✔ Ready — client only")))</f>
        <v/>
      </c>
      <c r="AN483" s="29">
        <f>UPPER(SUBSTITUTE(TRIM(F483)," ",""))</f>
        <v/>
      </c>
      <c r="AO483" s="29">
        <f>UPPER(SUBSTITUTE(TRIM(E483)," ",""))</f>
        <v/>
      </c>
      <c r="AP483" s="29">
        <f>IF(D483&lt;&gt;"",D483,IFERROR(VLOOKUP(MID(AG483,4,1),Lists!$E$2:$F$8,2,FALSE),""))</f>
        <v/>
      </c>
      <c r="AQ483" s="29">
        <f>IFERROR(VLOOKUP(AP483,Lists!$A$2:$C$12,3,FALSE),"")</f>
        <v/>
      </c>
      <c r="AR483" s="29">
        <f>COUNTIF(W483:AC483,"Yes")</f>
        <v/>
      </c>
      <c r="AS483" s="29">
        <f>IF(TRIM(B483)="","Legal name missing; ","")&amp;IF(AND(AJ483&lt;&gt;"",AJ483&lt;&gt;"OK"),"GSTIN: "&amp;AJ483&amp;"; ","")&amp;IF(AND(AK483&lt;&gt;"",AK483&lt;&gt;"OK"),"PAN wrong format; ","")&amp;IF(AND(AO483&lt;&gt;"",LEN(AN483)=15,MID(AN483,3,10)&lt;&gt;AO483),"PAN does not match GSTIN; ","")&amp;IF(AND(AL483&lt;&gt;"",AL483&lt;&gt;"OK"),"TAN wrong format; ","")&amp;IF(AG483="","PAN missing; ","")&amp;IF(AP483="","Entity type missing; ","")&amp;IF(AND(AN483&lt;&gt;"",COUNTIF($AN$6:$AN$1005,AN483)&gt;1),"GSTIN repeated in this sheet; ","")&amp;IF(AND(AG483&lt;&gt;"",COUNTIF($AG$6:$AG$1005,AG483)&gt;1),"PAN repeated in this sheet (same client? put extra GSTINs in Other GSTINs); ","")&amp;IF(AND(AR483&gt;0,V483=""),"Financial year missing; ","")&amp;IF(AND(AR483=0,V483&lt;&gt;""),"Financial year given but no service is Yes; ","")&amp;IF(AND(W483="Yes",AN483=""),"GST needs a GSTIN; ","")&amp;IF(AND(W483="Yes",X483=""),"GST return frequency missing; ","")&amp;IF(AND(Y483="Yes",TRIM(H483)=""),"TDS needs a TAN; ","")&amp;IF(AND(AA483="Yes",AQ483&lt;&gt;"",AQ483&lt;&gt;"company",AQ483&lt;&gt;"llp"),"ROC is only for a company / LLP; ","")&amp;IF(AND(AA483="Yes",OR(AQ483="company",AQ483="llp"),TRIM(I483)=""),"ROC needs the CIN / LLPIN; ","")</f>
        <v/>
      </c>
    </row>
    <row r="484">
      <c r="A484" s="30" t="n"/>
      <c r="B484" s="31" t="n"/>
      <c r="C484" s="31" t="n"/>
      <c r="D484" s="31" t="n"/>
      <c r="E484" s="30" t="n"/>
      <c r="F484" s="30" t="n"/>
      <c r="G484" s="30" t="n"/>
      <c r="H484" s="30" t="n"/>
      <c r="I484" s="30" t="n"/>
      <c r="J484" s="32" t="n"/>
      <c r="K484" s="31" t="n"/>
      <c r="L484" s="30" t="n"/>
      <c r="M484" s="31" t="n"/>
      <c r="N484" s="31" t="n"/>
      <c r="O484" s="31" t="n"/>
      <c r="P484" s="30" t="n"/>
      <c r="Q484" s="31" t="n"/>
      <c r="R484" s="31" t="n"/>
      <c r="S484" s="31" t="n"/>
      <c r="T484" s="31" t="n"/>
      <c r="U484" s="30" t="n"/>
      <c r="V484" s="31" t="n"/>
      <c r="W484" s="31" t="n"/>
      <c r="X484" s="31" t="n"/>
      <c r="Y484" s="31" t="n"/>
      <c r="Z484" s="31" t="n"/>
      <c r="AA484" s="31" t="n"/>
      <c r="AB484" s="31" t="n"/>
      <c r="AC484" s="31" t="n"/>
      <c r="AD484" s="31" t="n"/>
      <c r="AE484" s="31" t="n"/>
      <c r="AF484" s="27">
        <f>IF(NOT(COUNTA(A484:AE484)&gt;0),"",IF(A484="","New client","Update"))</f>
        <v/>
      </c>
      <c r="AG484" s="27">
        <f>IF(AO484&lt;&gt;"",AO484,IF(LEN(AN484)=15,MID(AN484,3,10),""))</f>
        <v/>
      </c>
      <c r="AH484" s="27">
        <f>IF(AP484="","",AP484&amp;IF(D484="","  (guessed from PAN)",""))</f>
        <v/>
      </c>
      <c r="AI484" s="27">
        <f>IF(AN484="","",IFERROR(INDEX(Lists!$L$2:$L$38,MATCH(LEFT(AN484,2),Lists!$K$2:$K$38,0)),"Unknown code"))</f>
        <v/>
      </c>
      <c r="AJ484" s="27">
        <f>IF(AN484="","",IFERROR(IF(NOT(AND(LEN(AN484)=15,ISNUMBER(MATCH(LEFT(AN484,2),Lists!$K$2:$K$38,0)),SUMPRODUCT(--ISERROR(FIND(MID(MID(AN484,3,10),{1,2,3,4,5,10},1),"ABCDEFGHIJKLMNOPQRSTUVWXYZ")))=0,SUMPRODUCT(--ISERROR(FIND(MID(MID(AN484,3,10),{6,7,8,9},1),"0123456789")))=0,ISNUMBER(FIND(MID(AN484,13,1),"123456789ABCDEFGHIJKLMNOPQRSTUVWXYZ")),MID(AN484,14,1)="Z")),"Wrong format",IF(MID("0123456789ABCDEFGHIJKLMNOPQRSTUVWXYZ",MOD(36-MOD(SUMPRODUCT(INT((FIND(MID(AN484,{1,2,3,4,5,6,7,8,9,10,11,12,13,14},1),"0123456789ABCDEFGHIJKLMNOPQRSTUVWXYZ")-1)*{1,2,1,2,1,2,1,2,1,2,1,2,1,2}/36)+MOD((FIND(MID(AN484,{1,2,3,4,5,6,7,8,9,10,11,12,13,14},1),"0123456789ABCDEFGHIJKLMNOPQRSTUVWXYZ")-1)*{1,2,1,2,1,2,1,2,1,2,1,2,1,2},36)),36),36)+1,1)=MID(AN484,15,1),"OK","Typo? check digit wrong")),"Wrong format"))</f>
        <v/>
      </c>
      <c r="AK484" s="27">
        <f>IF(AO484="","",IF(AND(LEN(AO484)=10,SUMPRODUCT(--ISERROR(FIND(MID(AO484,{1,2,3,4,5,10},1),"ABCDEFGHIJKLMNOPQRSTUVWXYZ")))=0,SUMPRODUCT(--ISERROR(FIND(MID(AO484,{6,7,8,9},1),"0123456789")))=0),"OK","Wrong format"))</f>
        <v/>
      </c>
      <c r="AL484" s="27">
        <f>IF(TRIM(H484)="","",IF(AND(LEN(UPPER(TRIM(H484)))=10,SUMPRODUCT(--ISERROR(FIND(MID(UPPER(TRIM(H484)),{1,2,3,4,10},1),"ABCDEFGHIJKLMNOPQRSTUVWXYZ")))=0,SUMPRODUCT(--ISERROR(FIND(MID(UPPER(TRIM(H484)),{5,6,7,8,9},1),"0123456789")))=0),"OK","Wrong format"))</f>
        <v/>
      </c>
      <c r="AM484" s="28">
        <f>IF(NOT(COUNTA(A484:AE484)&gt;0),"",IF(AS484&lt;&gt;"","✖ "&amp;LEFT(AS484,LEN(AS484)-2),IF(AR484&gt;0,"✔ Ready — client + "&amp;AR484&amp;" service(s)","✔ Ready — client only")))</f>
        <v/>
      </c>
      <c r="AN484" s="29">
        <f>UPPER(SUBSTITUTE(TRIM(F484)," ",""))</f>
        <v/>
      </c>
      <c r="AO484" s="29">
        <f>UPPER(SUBSTITUTE(TRIM(E484)," ",""))</f>
        <v/>
      </c>
      <c r="AP484" s="29">
        <f>IF(D484&lt;&gt;"",D484,IFERROR(VLOOKUP(MID(AG484,4,1),Lists!$E$2:$F$8,2,FALSE),""))</f>
        <v/>
      </c>
      <c r="AQ484" s="29">
        <f>IFERROR(VLOOKUP(AP484,Lists!$A$2:$C$12,3,FALSE),"")</f>
        <v/>
      </c>
      <c r="AR484" s="29">
        <f>COUNTIF(W484:AC484,"Yes")</f>
        <v/>
      </c>
      <c r="AS484" s="29">
        <f>IF(TRIM(B484)="","Legal name missing; ","")&amp;IF(AND(AJ484&lt;&gt;"",AJ484&lt;&gt;"OK"),"GSTIN: "&amp;AJ484&amp;"; ","")&amp;IF(AND(AK484&lt;&gt;"",AK484&lt;&gt;"OK"),"PAN wrong format; ","")&amp;IF(AND(AO484&lt;&gt;"",LEN(AN484)=15,MID(AN484,3,10)&lt;&gt;AO484),"PAN does not match GSTIN; ","")&amp;IF(AND(AL484&lt;&gt;"",AL484&lt;&gt;"OK"),"TAN wrong format; ","")&amp;IF(AG484="","PAN missing; ","")&amp;IF(AP484="","Entity type missing; ","")&amp;IF(AND(AN484&lt;&gt;"",COUNTIF($AN$6:$AN$1005,AN484)&gt;1),"GSTIN repeated in this sheet; ","")&amp;IF(AND(AG484&lt;&gt;"",COUNTIF($AG$6:$AG$1005,AG484)&gt;1),"PAN repeated in this sheet (same client? put extra GSTINs in Other GSTINs); ","")&amp;IF(AND(AR484&gt;0,V484=""),"Financial year missing; ","")&amp;IF(AND(AR484=0,V484&lt;&gt;""),"Financial year given but no service is Yes; ","")&amp;IF(AND(W484="Yes",AN484=""),"GST needs a GSTIN; ","")&amp;IF(AND(W484="Yes",X484=""),"GST return frequency missing; ","")&amp;IF(AND(Y484="Yes",TRIM(H484)=""),"TDS needs a TAN; ","")&amp;IF(AND(AA484="Yes",AQ484&lt;&gt;"",AQ484&lt;&gt;"company",AQ484&lt;&gt;"llp"),"ROC is only for a company / LLP; ","")&amp;IF(AND(AA484="Yes",OR(AQ484="company",AQ484="llp"),TRIM(I484)=""),"ROC needs the CIN / LLPIN; ","")</f>
        <v/>
      </c>
    </row>
    <row r="485">
      <c r="A485" s="30" t="n"/>
      <c r="B485" s="31" t="n"/>
      <c r="C485" s="31" t="n"/>
      <c r="D485" s="31" t="n"/>
      <c r="E485" s="30" t="n"/>
      <c r="F485" s="30" t="n"/>
      <c r="G485" s="30" t="n"/>
      <c r="H485" s="30" t="n"/>
      <c r="I485" s="30" t="n"/>
      <c r="J485" s="32" t="n"/>
      <c r="K485" s="31" t="n"/>
      <c r="L485" s="30" t="n"/>
      <c r="M485" s="31" t="n"/>
      <c r="N485" s="31" t="n"/>
      <c r="O485" s="31" t="n"/>
      <c r="P485" s="30" t="n"/>
      <c r="Q485" s="31" t="n"/>
      <c r="R485" s="31" t="n"/>
      <c r="S485" s="31" t="n"/>
      <c r="T485" s="31" t="n"/>
      <c r="U485" s="30" t="n"/>
      <c r="V485" s="31" t="n"/>
      <c r="W485" s="31" t="n"/>
      <c r="X485" s="31" t="n"/>
      <c r="Y485" s="31" t="n"/>
      <c r="Z485" s="31" t="n"/>
      <c r="AA485" s="31" t="n"/>
      <c r="AB485" s="31" t="n"/>
      <c r="AC485" s="31" t="n"/>
      <c r="AD485" s="31" t="n"/>
      <c r="AE485" s="31" t="n"/>
      <c r="AF485" s="27">
        <f>IF(NOT(COUNTA(A485:AE485)&gt;0),"",IF(A485="","New client","Update"))</f>
        <v/>
      </c>
      <c r="AG485" s="27">
        <f>IF(AO485&lt;&gt;"",AO485,IF(LEN(AN485)=15,MID(AN485,3,10),""))</f>
        <v/>
      </c>
      <c r="AH485" s="27">
        <f>IF(AP485="","",AP485&amp;IF(D485="","  (guessed from PAN)",""))</f>
        <v/>
      </c>
      <c r="AI485" s="27">
        <f>IF(AN485="","",IFERROR(INDEX(Lists!$L$2:$L$38,MATCH(LEFT(AN485,2),Lists!$K$2:$K$38,0)),"Unknown code"))</f>
        <v/>
      </c>
      <c r="AJ485" s="27">
        <f>IF(AN485="","",IFERROR(IF(NOT(AND(LEN(AN485)=15,ISNUMBER(MATCH(LEFT(AN485,2),Lists!$K$2:$K$38,0)),SUMPRODUCT(--ISERROR(FIND(MID(MID(AN485,3,10),{1,2,3,4,5,10},1),"ABCDEFGHIJKLMNOPQRSTUVWXYZ")))=0,SUMPRODUCT(--ISERROR(FIND(MID(MID(AN485,3,10),{6,7,8,9},1),"0123456789")))=0,ISNUMBER(FIND(MID(AN485,13,1),"123456789ABCDEFGHIJKLMNOPQRSTUVWXYZ")),MID(AN485,14,1)="Z")),"Wrong format",IF(MID("0123456789ABCDEFGHIJKLMNOPQRSTUVWXYZ",MOD(36-MOD(SUMPRODUCT(INT((FIND(MID(AN485,{1,2,3,4,5,6,7,8,9,10,11,12,13,14},1),"0123456789ABCDEFGHIJKLMNOPQRSTUVWXYZ")-1)*{1,2,1,2,1,2,1,2,1,2,1,2,1,2}/36)+MOD((FIND(MID(AN485,{1,2,3,4,5,6,7,8,9,10,11,12,13,14},1),"0123456789ABCDEFGHIJKLMNOPQRSTUVWXYZ")-1)*{1,2,1,2,1,2,1,2,1,2,1,2,1,2},36)),36),36)+1,1)=MID(AN485,15,1),"OK","Typo? check digit wrong")),"Wrong format"))</f>
        <v/>
      </c>
      <c r="AK485" s="27">
        <f>IF(AO485="","",IF(AND(LEN(AO485)=10,SUMPRODUCT(--ISERROR(FIND(MID(AO485,{1,2,3,4,5,10},1),"ABCDEFGHIJKLMNOPQRSTUVWXYZ")))=0,SUMPRODUCT(--ISERROR(FIND(MID(AO485,{6,7,8,9},1),"0123456789")))=0),"OK","Wrong format"))</f>
        <v/>
      </c>
      <c r="AL485" s="27">
        <f>IF(TRIM(H485)="","",IF(AND(LEN(UPPER(TRIM(H485)))=10,SUMPRODUCT(--ISERROR(FIND(MID(UPPER(TRIM(H485)),{1,2,3,4,10},1),"ABCDEFGHIJKLMNOPQRSTUVWXYZ")))=0,SUMPRODUCT(--ISERROR(FIND(MID(UPPER(TRIM(H485)),{5,6,7,8,9},1),"0123456789")))=0),"OK","Wrong format"))</f>
        <v/>
      </c>
      <c r="AM485" s="28">
        <f>IF(NOT(COUNTA(A485:AE485)&gt;0),"",IF(AS485&lt;&gt;"","✖ "&amp;LEFT(AS485,LEN(AS485)-2),IF(AR485&gt;0,"✔ Ready — client + "&amp;AR485&amp;" service(s)","✔ Ready — client only")))</f>
        <v/>
      </c>
      <c r="AN485" s="29">
        <f>UPPER(SUBSTITUTE(TRIM(F485)," ",""))</f>
        <v/>
      </c>
      <c r="AO485" s="29">
        <f>UPPER(SUBSTITUTE(TRIM(E485)," ",""))</f>
        <v/>
      </c>
      <c r="AP485" s="29">
        <f>IF(D485&lt;&gt;"",D485,IFERROR(VLOOKUP(MID(AG485,4,1),Lists!$E$2:$F$8,2,FALSE),""))</f>
        <v/>
      </c>
      <c r="AQ485" s="29">
        <f>IFERROR(VLOOKUP(AP485,Lists!$A$2:$C$12,3,FALSE),"")</f>
        <v/>
      </c>
      <c r="AR485" s="29">
        <f>COUNTIF(W485:AC485,"Yes")</f>
        <v/>
      </c>
      <c r="AS485" s="29">
        <f>IF(TRIM(B485)="","Legal name missing; ","")&amp;IF(AND(AJ485&lt;&gt;"",AJ485&lt;&gt;"OK"),"GSTIN: "&amp;AJ485&amp;"; ","")&amp;IF(AND(AK485&lt;&gt;"",AK485&lt;&gt;"OK"),"PAN wrong format; ","")&amp;IF(AND(AO485&lt;&gt;"",LEN(AN485)=15,MID(AN485,3,10)&lt;&gt;AO485),"PAN does not match GSTIN; ","")&amp;IF(AND(AL485&lt;&gt;"",AL485&lt;&gt;"OK"),"TAN wrong format; ","")&amp;IF(AG485="","PAN missing; ","")&amp;IF(AP485="","Entity type missing; ","")&amp;IF(AND(AN485&lt;&gt;"",COUNTIF($AN$6:$AN$1005,AN485)&gt;1),"GSTIN repeated in this sheet; ","")&amp;IF(AND(AG485&lt;&gt;"",COUNTIF($AG$6:$AG$1005,AG485)&gt;1),"PAN repeated in this sheet (same client? put extra GSTINs in Other GSTINs); ","")&amp;IF(AND(AR485&gt;0,V485=""),"Financial year missing; ","")&amp;IF(AND(AR485=0,V485&lt;&gt;""),"Financial year given but no service is Yes; ","")&amp;IF(AND(W485="Yes",AN485=""),"GST needs a GSTIN; ","")&amp;IF(AND(W485="Yes",X485=""),"GST return frequency missing; ","")&amp;IF(AND(Y485="Yes",TRIM(H485)=""),"TDS needs a TAN; ","")&amp;IF(AND(AA485="Yes",AQ485&lt;&gt;"",AQ485&lt;&gt;"company",AQ485&lt;&gt;"llp"),"ROC is only for a company / LLP; ","")&amp;IF(AND(AA485="Yes",OR(AQ485="company",AQ485="llp"),TRIM(I485)=""),"ROC needs the CIN / LLPIN; ","")</f>
        <v/>
      </c>
    </row>
    <row r="486">
      <c r="A486" s="30" t="n"/>
      <c r="B486" s="31" t="n"/>
      <c r="C486" s="31" t="n"/>
      <c r="D486" s="31" t="n"/>
      <c r="E486" s="30" t="n"/>
      <c r="F486" s="30" t="n"/>
      <c r="G486" s="30" t="n"/>
      <c r="H486" s="30" t="n"/>
      <c r="I486" s="30" t="n"/>
      <c r="J486" s="32" t="n"/>
      <c r="K486" s="31" t="n"/>
      <c r="L486" s="30" t="n"/>
      <c r="M486" s="31" t="n"/>
      <c r="N486" s="31" t="n"/>
      <c r="O486" s="31" t="n"/>
      <c r="P486" s="30" t="n"/>
      <c r="Q486" s="31" t="n"/>
      <c r="R486" s="31" t="n"/>
      <c r="S486" s="31" t="n"/>
      <c r="T486" s="31" t="n"/>
      <c r="U486" s="30" t="n"/>
      <c r="V486" s="31" t="n"/>
      <c r="W486" s="31" t="n"/>
      <c r="X486" s="31" t="n"/>
      <c r="Y486" s="31" t="n"/>
      <c r="Z486" s="31" t="n"/>
      <c r="AA486" s="31" t="n"/>
      <c r="AB486" s="31" t="n"/>
      <c r="AC486" s="31" t="n"/>
      <c r="AD486" s="31" t="n"/>
      <c r="AE486" s="31" t="n"/>
      <c r="AF486" s="27">
        <f>IF(NOT(COUNTA(A486:AE486)&gt;0),"",IF(A486="","New client","Update"))</f>
        <v/>
      </c>
      <c r="AG486" s="27">
        <f>IF(AO486&lt;&gt;"",AO486,IF(LEN(AN486)=15,MID(AN486,3,10),""))</f>
        <v/>
      </c>
      <c r="AH486" s="27">
        <f>IF(AP486="","",AP486&amp;IF(D486="","  (guessed from PAN)",""))</f>
        <v/>
      </c>
      <c r="AI486" s="27">
        <f>IF(AN486="","",IFERROR(INDEX(Lists!$L$2:$L$38,MATCH(LEFT(AN486,2),Lists!$K$2:$K$38,0)),"Unknown code"))</f>
        <v/>
      </c>
      <c r="AJ486" s="27">
        <f>IF(AN486="","",IFERROR(IF(NOT(AND(LEN(AN486)=15,ISNUMBER(MATCH(LEFT(AN486,2),Lists!$K$2:$K$38,0)),SUMPRODUCT(--ISERROR(FIND(MID(MID(AN486,3,10),{1,2,3,4,5,10},1),"ABCDEFGHIJKLMNOPQRSTUVWXYZ")))=0,SUMPRODUCT(--ISERROR(FIND(MID(MID(AN486,3,10),{6,7,8,9},1),"0123456789")))=0,ISNUMBER(FIND(MID(AN486,13,1),"123456789ABCDEFGHIJKLMNOPQRSTUVWXYZ")),MID(AN486,14,1)="Z")),"Wrong format",IF(MID("0123456789ABCDEFGHIJKLMNOPQRSTUVWXYZ",MOD(36-MOD(SUMPRODUCT(INT((FIND(MID(AN486,{1,2,3,4,5,6,7,8,9,10,11,12,13,14},1),"0123456789ABCDEFGHIJKLMNOPQRSTUVWXYZ")-1)*{1,2,1,2,1,2,1,2,1,2,1,2,1,2}/36)+MOD((FIND(MID(AN486,{1,2,3,4,5,6,7,8,9,10,11,12,13,14},1),"0123456789ABCDEFGHIJKLMNOPQRSTUVWXYZ")-1)*{1,2,1,2,1,2,1,2,1,2,1,2,1,2},36)),36),36)+1,1)=MID(AN486,15,1),"OK","Typo? check digit wrong")),"Wrong format"))</f>
        <v/>
      </c>
      <c r="AK486" s="27">
        <f>IF(AO486="","",IF(AND(LEN(AO486)=10,SUMPRODUCT(--ISERROR(FIND(MID(AO486,{1,2,3,4,5,10},1),"ABCDEFGHIJKLMNOPQRSTUVWXYZ")))=0,SUMPRODUCT(--ISERROR(FIND(MID(AO486,{6,7,8,9},1),"0123456789")))=0),"OK","Wrong format"))</f>
        <v/>
      </c>
      <c r="AL486" s="27">
        <f>IF(TRIM(H486)="","",IF(AND(LEN(UPPER(TRIM(H486)))=10,SUMPRODUCT(--ISERROR(FIND(MID(UPPER(TRIM(H486)),{1,2,3,4,10},1),"ABCDEFGHIJKLMNOPQRSTUVWXYZ")))=0,SUMPRODUCT(--ISERROR(FIND(MID(UPPER(TRIM(H486)),{5,6,7,8,9},1),"0123456789")))=0),"OK","Wrong format"))</f>
        <v/>
      </c>
      <c r="AM486" s="28">
        <f>IF(NOT(COUNTA(A486:AE486)&gt;0),"",IF(AS486&lt;&gt;"","✖ "&amp;LEFT(AS486,LEN(AS486)-2),IF(AR486&gt;0,"✔ Ready — client + "&amp;AR486&amp;" service(s)","✔ Ready — client only")))</f>
        <v/>
      </c>
      <c r="AN486" s="29">
        <f>UPPER(SUBSTITUTE(TRIM(F486)," ",""))</f>
        <v/>
      </c>
      <c r="AO486" s="29">
        <f>UPPER(SUBSTITUTE(TRIM(E486)," ",""))</f>
        <v/>
      </c>
      <c r="AP486" s="29">
        <f>IF(D486&lt;&gt;"",D486,IFERROR(VLOOKUP(MID(AG486,4,1),Lists!$E$2:$F$8,2,FALSE),""))</f>
        <v/>
      </c>
      <c r="AQ486" s="29">
        <f>IFERROR(VLOOKUP(AP486,Lists!$A$2:$C$12,3,FALSE),"")</f>
        <v/>
      </c>
      <c r="AR486" s="29">
        <f>COUNTIF(W486:AC486,"Yes")</f>
        <v/>
      </c>
      <c r="AS486" s="29">
        <f>IF(TRIM(B486)="","Legal name missing; ","")&amp;IF(AND(AJ486&lt;&gt;"",AJ486&lt;&gt;"OK"),"GSTIN: "&amp;AJ486&amp;"; ","")&amp;IF(AND(AK486&lt;&gt;"",AK486&lt;&gt;"OK"),"PAN wrong format; ","")&amp;IF(AND(AO486&lt;&gt;"",LEN(AN486)=15,MID(AN486,3,10)&lt;&gt;AO486),"PAN does not match GSTIN; ","")&amp;IF(AND(AL486&lt;&gt;"",AL486&lt;&gt;"OK"),"TAN wrong format; ","")&amp;IF(AG486="","PAN missing; ","")&amp;IF(AP486="","Entity type missing; ","")&amp;IF(AND(AN486&lt;&gt;"",COUNTIF($AN$6:$AN$1005,AN486)&gt;1),"GSTIN repeated in this sheet; ","")&amp;IF(AND(AG486&lt;&gt;"",COUNTIF($AG$6:$AG$1005,AG486)&gt;1),"PAN repeated in this sheet (same client? put extra GSTINs in Other GSTINs); ","")&amp;IF(AND(AR486&gt;0,V486=""),"Financial year missing; ","")&amp;IF(AND(AR486=0,V486&lt;&gt;""),"Financial year given but no service is Yes; ","")&amp;IF(AND(W486="Yes",AN486=""),"GST needs a GSTIN; ","")&amp;IF(AND(W486="Yes",X486=""),"GST return frequency missing; ","")&amp;IF(AND(Y486="Yes",TRIM(H486)=""),"TDS needs a TAN; ","")&amp;IF(AND(AA486="Yes",AQ486&lt;&gt;"",AQ486&lt;&gt;"company",AQ486&lt;&gt;"llp"),"ROC is only for a company / LLP; ","")&amp;IF(AND(AA486="Yes",OR(AQ486="company",AQ486="llp"),TRIM(I486)=""),"ROC needs the CIN / LLPIN; ","")</f>
        <v/>
      </c>
    </row>
    <row r="487">
      <c r="A487" s="30" t="n"/>
      <c r="B487" s="31" t="n"/>
      <c r="C487" s="31" t="n"/>
      <c r="D487" s="31" t="n"/>
      <c r="E487" s="30" t="n"/>
      <c r="F487" s="30" t="n"/>
      <c r="G487" s="30" t="n"/>
      <c r="H487" s="30" t="n"/>
      <c r="I487" s="30" t="n"/>
      <c r="J487" s="32" t="n"/>
      <c r="K487" s="31" t="n"/>
      <c r="L487" s="30" t="n"/>
      <c r="M487" s="31" t="n"/>
      <c r="N487" s="31" t="n"/>
      <c r="O487" s="31" t="n"/>
      <c r="P487" s="30" t="n"/>
      <c r="Q487" s="31" t="n"/>
      <c r="R487" s="31" t="n"/>
      <c r="S487" s="31" t="n"/>
      <c r="T487" s="31" t="n"/>
      <c r="U487" s="30" t="n"/>
      <c r="V487" s="31" t="n"/>
      <c r="W487" s="31" t="n"/>
      <c r="X487" s="31" t="n"/>
      <c r="Y487" s="31" t="n"/>
      <c r="Z487" s="31" t="n"/>
      <c r="AA487" s="31" t="n"/>
      <c r="AB487" s="31" t="n"/>
      <c r="AC487" s="31" t="n"/>
      <c r="AD487" s="31" t="n"/>
      <c r="AE487" s="31" t="n"/>
      <c r="AF487" s="27">
        <f>IF(NOT(COUNTA(A487:AE487)&gt;0),"",IF(A487="","New client","Update"))</f>
        <v/>
      </c>
      <c r="AG487" s="27">
        <f>IF(AO487&lt;&gt;"",AO487,IF(LEN(AN487)=15,MID(AN487,3,10),""))</f>
        <v/>
      </c>
      <c r="AH487" s="27">
        <f>IF(AP487="","",AP487&amp;IF(D487="","  (guessed from PAN)",""))</f>
        <v/>
      </c>
      <c r="AI487" s="27">
        <f>IF(AN487="","",IFERROR(INDEX(Lists!$L$2:$L$38,MATCH(LEFT(AN487,2),Lists!$K$2:$K$38,0)),"Unknown code"))</f>
        <v/>
      </c>
      <c r="AJ487" s="27">
        <f>IF(AN487="","",IFERROR(IF(NOT(AND(LEN(AN487)=15,ISNUMBER(MATCH(LEFT(AN487,2),Lists!$K$2:$K$38,0)),SUMPRODUCT(--ISERROR(FIND(MID(MID(AN487,3,10),{1,2,3,4,5,10},1),"ABCDEFGHIJKLMNOPQRSTUVWXYZ")))=0,SUMPRODUCT(--ISERROR(FIND(MID(MID(AN487,3,10),{6,7,8,9},1),"0123456789")))=0,ISNUMBER(FIND(MID(AN487,13,1),"123456789ABCDEFGHIJKLMNOPQRSTUVWXYZ")),MID(AN487,14,1)="Z")),"Wrong format",IF(MID("0123456789ABCDEFGHIJKLMNOPQRSTUVWXYZ",MOD(36-MOD(SUMPRODUCT(INT((FIND(MID(AN487,{1,2,3,4,5,6,7,8,9,10,11,12,13,14},1),"0123456789ABCDEFGHIJKLMNOPQRSTUVWXYZ")-1)*{1,2,1,2,1,2,1,2,1,2,1,2,1,2}/36)+MOD((FIND(MID(AN487,{1,2,3,4,5,6,7,8,9,10,11,12,13,14},1),"0123456789ABCDEFGHIJKLMNOPQRSTUVWXYZ")-1)*{1,2,1,2,1,2,1,2,1,2,1,2,1,2},36)),36),36)+1,1)=MID(AN487,15,1),"OK","Typo? check digit wrong")),"Wrong format"))</f>
        <v/>
      </c>
      <c r="AK487" s="27">
        <f>IF(AO487="","",IF(AND(LEN(AO487)=10,SUMPRODUCT(--ISERROR(FIND(MID(AO487,{1,2,3,4,5,10},1),"ABCDEFGHIJKLMNOPQRSTUVWXYZ")))=0,SUMPRODUCT(--ISERROR(FIND(MID(AO487,{6,7,8,9},1),"0123456789")))=0),"OK","Wrong format"))</f>
        <v/>
      </c>
      <c r="AL487" s="27">
        <f>IF(TRIM(H487)="","",IF(AND(LEN(UPPER(TRIM(H487)))=10,SUMPRODUCT(--ISERROR(FIND(MID(UPPER(TRIM(H487)),{1,2,3,4,10},1),"ABCDEFGHIJKLMNOPQRSTUVWXYZ")))=0,SUMPRODUCT(--ISERROR(FIND(MID(UPPER(TRIM(H487)),{5,6,7,8,9},1),"0123456789")))=0),"OK","Wrong format"))</f>
        <v/>
      </c>
      <c r="AM487" s="28">
        <f>IF(NOT(COUNTA(A487:AE487)&gt;0),"",IF(AS487&lt;&gt;"","✖ "&amp;LEFT(AS487,LEN(AS487)-2),IF(AR487&gt;0,"✔ Ready — client + "&amp;AR487&amp;" service(s)","✔ Ready — client only")))</f>
        <v/>
      </c>
      <c r="AN487" s="29">
        <f>UPPER(SUBSTITUTE(TRIM(F487)," ",""))</f>
        <v/>
      </c>
      <c r="AO487" s="29">
        <f>UPPER(SUBSTITUTE(TRIM(E487)," ",""))</f>
        <v/>
      </c>
      <c r="AP487" s="29">
        <f>IF(D487&lt;&gt;"",D487,IFERROR(VLOOKUP(MID(AG487,4,1),Lists!$E$2:$F$8,2,FALSE),""))</f>
        <v/>
      </c>
      <c r="AQ487" s="29">
        <f>IFERROR(VLOOKUP(AP487,Lists!$A$2:$C$12,3,FALSE),"")</f>
        <v/>
      </c>
      <c r="AR487" s="29">
        <f>COUNTIF(W487:AC487,"Yes")</f>
        <v/>
      </c>
      <c r="AS487" s="29">
        <f>IF(TRIM(B487)="","Legal name missing; ","")&amp;IF(AND(AJ487&lt;&gt;"",AJ487&lt;&gt;"OK"),"GSTIN: "&amp;AJ487&amp;"; ","")&amp;IF(AND(AK487&lt;&gt;"",AK487&lt;&gt;"OK"),"PAN wrong format; ","")&amp;IF(AND(AO487&lt;&gt;"",LEN(AN487)=15,MID(AN487,3,10)&lt;&gt;AO487),"PAN does not match GSTIN; ","")&amp;IF(AND(AL487&lt;&gt;"",AL487&lt;&gt;"OK"),"TAN wrong format; ","")&amp;IF(AG487="","PAN missing; ","")&amp;IF(AP487="","Entity type missing; ","")&amp;IF(AND(AN487&lt;&gt;"",COUNTIF($AN$6:$AN$1005,AN487)&gt;1),"GSTIN repeated in this sheet; ","")&amp;IF(AND(AG487&lt;&gt;"",COUNTIF($AG$6:$AG$1005,AG487)&gt;1),"PAN repeated in this sheet (same client? put extra GSTINs in Other GSTINs); ","")&amp;IF(AND(AR487&gt;0,V487=""),"Financial year missing; ","")&amp;IF(AND(AR487=0,V487&lt;&gt;""),"Financial year given but no service is Yes; ","")&amp;IF(AND(W487="Yes",AN487=""),"GST needs a GSTIN; ","")&amp;IF(AND(W487="Yes",X487=""),"GST return frequency missing; ","")&amp;IF(AND(Y487="Yes",TRIM(H487)=""),"TDS needs a TAN; ","")&amp;IF(AND(AA487="Yes",AQ487&lt;&gt;"",AQ487&lt;&gt;"company",AQ487&lt;&gt;"llp"),"ROC is only for a company / LLP; ","")&amp;IF(AND(AA487="Yes",OR(AQ487="company",AQ487="llp"),TRIM(I487)=""),"ROC needs the CIN / LLPIN; ","")</f>
        <v/>
      </c>
    </row>
    <row r="488">
      <c r="A488" s="30" t="n"/>
      <c r="B488" s="31" t="n"/>
      <c r="C488" s="31" t="n"/>
      <c r="D488" s="31" t="n"/>
      <c r="E488" s="30" t="n"/>
      <c r="F488" s="30" t="n"/>
      <c r="G488" s="30" t="n"/>
      <c r="H488" s="30" t="n"/>
      <c r="I488" s="30" t="n"/>
      <c r="J488" s="32" t="n"/>
      <c r="K488" s="31" t="n"/>
      <c r="L488" s="30" t="n"/>
      <c r="M488" s="31" t="n"/>
      <c r="N488" s="31" t="n"/>
      <c r="O488" s="31" t="n"/>
      <c r="P488" s="30" t="n"/>
      <c r="Q488" s="31" t="n"/>
      <c r="R488" s="31" t="n"/>
      <c r="S488" s="31" t="n"/>
      <c r="T488" s="31" t="n"/>
      <c r="U488" s="30" t="n"/>
      <c r="V488" s="31" t="n"/>
      <c r="W488" s="31" t="n"/>
      <c r="X488" s="31" t="n"/>
      <c r="Y488" s="31" t="n"/>
      <c r="Z488" s="31" t="n"/>
      <c r="AA488" s="31" t="n"/>
      <c r="AB488" s="31" t="n"/>
      <c r="AC488" s="31" t="n"/>
      <c r="AD488" s="31" t="n"/>
      <c r="AE488" s="31" t="n"/>
      <c r="AF488" s="27">
        <f>IF(NOT(COUNTA(A488:AE488)&gt;0),"",IF(A488="","New client","Update"))</f>
        <v/>
      </c>
      <c r="AG488" s="27">
        <f>IF(AO488&lt;&gt;"",AO488,IF(LEN(AN488)=15,MID(AN488,3,10),""))</f>
        <v/>
      </c>
      <c r="AH488" s="27">
        <f>IF(AP488="","",AP488&amp;IF(D488="","  (guessed from PAN)",""))</f>
        <v/>
      </c>
      <c r="AI488" s="27">
        <f>IF(AN488="","",IFERROR(INDEX(Lists!$L$2:$L$38,MATCH(LEFT(AN488,2),Lists!$K$2:$K$38,0)),"Unknown code"))</f>
        <v/>
      </c>
      <c r="AJ488" s="27">
        <f>IF(AN488="","",IFERROR(IF(NOT(AND(LEN(AN488)=15,ISNUMBER(MATCH(LEFT(AN488,2),Lists!$K$2:$K$38,0)),SUMPRODUCT(--ISERROR(FIND(MID(MID(AN488,3,10),{1,2,3,4,5,10},1),"ABCDEFGHIJKLMNOPQRSTUVWXYZ")))=0,SUMPRODUCT(--ISERROR(FIND(MID(MID(AN488,3,10),{6,7,8,9},1),"0123456789")))=0,ISNUMBER(FIND(MID(AN488,13,1),"123456789ABCDEFGHIJKLMNOPQRSTUVWXYZ")),MID(AN488,14,1)="Z")),"Wrong format",IF(MID("0123456789ABCDEFGHIJKLMNOPQRSTUVWXYZ",MOD(36-MOD(SUMPRODUCT(INT((FIND(MID(AN488,{1,2,3,4,5,6,7,8,9,10,11,12,13,14},1),"0123456789ABCDEFGHIJKLMNOPQRSTUVWXYZ")-1)*{1,2,1,2,1,2,1,2,1,2,1,2,1,2}/36)+MOD((FIND(MID(AN488,{1,2,3,4,5,6,7,8,9,10,11,12,13,14},1),"0123456789ABCDEFGHIJKLMNOPQRSTUVWXYZ")-1)*{1,2,1,2,1,2,1,2,1,2,1,2,1,2},36)),36),36)+1,1)=MID(AN488,15,1),"OK","Typo? check digit wrong")),"Wrong format"))</f>
        <v/>
      </c>
      <c r="AK488" s="27">
        <f>IF(AO488="","",IF(AND(LEN(AO488)=10,SUMPRODUCT(--ISERROR(FIND(MID(AO488,{1,2,3,4,5,10},1),"ABCDEFGHIJKLMNOPQRSTUVWXYZ")))=0,SUMPRODUCT(--ISERROR(FIND(MID(AO488,{6,7,8,9},1),"0123456789")))=0),"OK","Wrong format"))</f>
        <v/>
      </c>
      <c r="AL488" s="27">
        <f>IF(TRIM(H488)="","",IF(AND(LEN(UPPER(TRIM(H488)))=10,SUMPRODUCT(--ISERROR(FIND(MID(UPPER(TRIM(H488)),{1,2,3,4,10},1),"ABCDEFGHIJKLMNOPQRSTUVWXYZ")))=0,SUMPRODUCT(--ISERROR(FIND(MID(UPPER(TRIM(H488)),{5,6,7,8,9},1),"0123456789")))=0),"OK","Wrong format"))</f>
        <v/>
      </c>
      <c r="AM488" s="28">
        <f>IF(NOT(COUNTA(A488:AE488)&gt;0),"",IF(AS488&lt;&gt;"","✖ "&amp;LEFT(AS488,LEN(AS488)-2),IF(AR488&gt;0,"✔ Ready — client + "&amp;AR488&amp;" service(s)","✔ Ready — client only")))</f>
        <v/>
      </c>
      <c r="AN488" s="29">
        <f>UPPER(SUBSTITUTE(TRIM(F488)," ",""))</f>
        <v/>
      </c>
      <c r="AO488" s="29">
        <f>UPPER(SUBSTITUTE(TRIM(E488)," ",""))</f>
        <v/>
      </c>
      <c r="AP488" s="29">
        <f>IF(D488&lt;&gt;"",D488,IFERROR(VLOOKUP(MID(AG488,4,1),Lists!$E$2:$F$8,2,FALSE),""))</f>
        <v/>
      </c>
      <c r="AQ488" s="29">
        <f>IFERROR(VLOOKUP(AP488,Lists!$A$2:$C$12,3,FALSE),"")</f>
        <v/>
      </c>
      <c r="AR488" s="29">
        <f>COUNTIF(W488:AC488,"Yes")</f>
        <v/>
      </c>
      <c r="AS488" s="29">
        <f>IF(TRIM(B488)="","Legal name missing; ","")&amp;IF(AND(AJ488&lt;&gt;"",AJ488&lt;&gt;"OK"),"GSTIN: "&amp;AJ488&amp;"; ","")&amp;IF(AND(AK488&lt;&gt;"",AK488&lt;&gt;"OK"),"PAN wrong format; ","")&amp;IF(AND(AO488&lt;&gt;"",LEN(AN488)=15,MID(AN488,3,10)&lt;&gt;AO488),"PAN does not match GSTIN; ","")&amp;IF(AND(AL488&lt;&gt;"",AL488&lt;&gt;"OK"),"TAN wrong format; ","")&amp;IF(AG488="","PAN missing; ","")&amp;IF(AP488="","Entity type missing; ","")&amp;IF(AND(AN488&lt;&gt;"",COUNTIF($AN$6:$AN$1005,AN488)&gt;1),"GSTIN repeated in this sheet; ","")&amp;IF(AND(AG488&lt;&gt;"",COUNTIF($AG$6:$AG$1005,AG488)&gt;1),"PAN repeated in this sheet (same client? put extra GSTINs in Other GSTINs); ","")&amp;IF(AND(AR488&gt;0,V488=""),"Financial year missing; ","")&amp;IF(AND(AR488=0,V488&lt;&gt;""),"Financial year given but no service is Yes; ","")&amp;IF(AND(W488="Yes",AN488=""),"GST needs a GSTIN; ","")&amp;IF(AND(W488="Yes",X488=""),"GST return frequency missing; ","")&amp;IF(AND(Y488="Yes",TRIM(H488)=""),"TDS needs a TAN; ","")&amp;IF(AND(AA488="Yes",AQ488&lt;&gt;"",AQ488&lt;&gt;"company",AQ488&lt;&gt;"llp"),"ROC is only for a company / LLP; ","")&amp;IF(AND(AA488="Yes",OR(AQ488="company",AQ488="llp"),TRIM(I488)=""),"ROC needs the CIN / LLPIN; ","")</f>
        <v/>
      </c>
    </row>
    <row r="489">
      <c r="A489" s="30" t="n"/>
      <c r="B489" s="31" t="n"/>
      <c r="C489" s="31" t="n"/>
      <c r="D489" s="31" t="n"/>
      <c r="E489" s="30" t="n"/>
      <c r="F489" s="30" t="n"/>
      <c r="G489" s="30" t="n"/>
      <c r="H489" s="30" t="n"/>
      <c r="I489" s="30" t="n"/>
      <c r="J489" s="32" t="n"/>
      <c r="K489" s="31" t="n"/>
      <c r="L489" s="30" t="n"/>
      <c r="M489" s="31" t="n"/>
      <c r="N489" s="31" t="n"/>
      <c r="O489" s="31" t="n"/>
      <c r="P489" s="30" t="n"/>
      <c r="Q489" s="31" t="n"/>
      <c r="R489" s="31" t="n"/>
      <c r="S489" s="31" t="n"/>
      <c r="T489" s="31" t="n"/>
      <c r="U489" s="30" t="n"/>
      <c r="V489" s="31" t="n"/>
      <c r="W489" s="31" t="n"/>
      <c r="X489" s="31" t="n"/>
      <c r="Y489" s="31" t="n"/>
      <c r="Z489" s="31" t="n"/>
      <c r="AA489" s="31" t="n"/>
      <c r="AB489" s="31" t="n"/>
      <c r="AC489" s="31" t="n"/>
      <c r="AD489" s="31" t="n"/>
      <c r="AE489" s="31" t="n"/>
      <c r="AF489" s="27">
        <f>IF(NOT(COUNTA(A489:AE489)&gt;0),"",IF(A489="","New client","Update"))</f>
        <v/>
      </c>
      <c r="AG489" s="27">
        <f>IF(AO489&lt;&gt;"",AO489,IF(LEN(AN489)=15,MID(AN489,3,10),""))</f>
        <v/>
      </c>
      <c r="AH489" s="27">
        <f>IF(AP489="","",AP489&amp;IF(D489="","  (guessed from PAN)",""))</f>
        <v/>
      </c>
      <c r="AI489" s="27">
        <f>IF(AN489="","",IFERROR(INDEX(Lists!$L$2:$L$38,MATCH(LEFT(AN489,2),Lists!$K$2:$K$38,0)),"Unknown code"))</f>
        <v/>
      </c>
      <c r="AJ489" s="27">
        <f>IF(AN489="","",IFERROR(IF(NOT(AND(LEN(AN489)=15,ISNUMBER(MATCH(LEFT(AN489,2),Lists!$K$2:$K$38,0)),SUMPRODUCT(--ISERROR(FIND(MID(MID(AN489,3,10),{1,2,3,4,5,10},1),"ABCDEFGHIJKLMNOPQRSTUVWXYZ")))=0,SUMPRODUCT(--ISERROR(FIND(MID(MID(AN489,3,10),{6,7,8,9},1),"0123456789")))=0,ISNUMBER(FIND(MID(AN489,13,1),"123456789ABCDEFGHIJKLMNOPQRSTUVWXYZ")),MID(AN489,14,1)="Z")),"Wrong format",IF(MID("0123456789ABCDEFGHIJKLMNOPQRSTUVWXYZ",MOD(36-MOD(SUMPRODUCT(INT((FIND(MID(AN489,{1,2,3,4,5,6,7,8,9,10,11,12,13,14},1),"0123456789ABCDEFGHIJKLMNOPQRSTUVWXYZ")-1)*{1,2,1,2,1,2,1,2,1,2,1,2,1,2}/36)+MOD((FIND(MID(AN489,{1,2,3,4,5,6,7,8,9,10,11,12,13,14},1),"0123456789ABCDEFGHIJKLMNOPQRSTUVWXYZ")-1)*{1,2,1,2,1,2,1,2,1,2,1,2,1,2},36)),36),36)+1,1)=MID(AN489,15,1),"OK","Typo? check digit wrong")),"Wrong format"))</f>
        <v/>
      </c>
      <c r="AK489" s="27">
        <f>IF(AO489="","",IF(AND(LEN(AO489)=10,SUMPRODUCT(--ISERROR(FIND(MID(AO489,{1,2,3,4,5,10},1),"ABCDEFGHIJKLMNOPQRSTUVWXYZ")))=0,SUMPRODUCT(--ISERROR(FIND(MID(AO489,{6,7,8,9},1),"0123456789")))=0),"OK","Wrong format"))</f>
        <v/>
      </c>
      <c r="AL489" s="27">
        <f>IF(TRIM(H489)="","",IF(AND(LEN(UPPER(TRIM(H489)))=10,SUMPRODUCT(--ISERROR(FIND(MID(UPPER(TRIM(H489)),{1,2,3,4,10},1),"ABCDEFGHIJKLMNOPQRSTUVWXYZ")))=0,SUMPRODUCT(--ISERROR(FIND(MID(UPPER(TRIM(H489)),{5,6,7,8,9},1),"0123456789")))=0),"OK","Wrong format"))</f>
        <v/>
      </c>
      <c r="AM489" s="28">
        <f>IF(NOT(COUNTA(A489:AE489)&gt;0),"",IF(AS489&lt;&gt;"","✖ "&amp;LEFT(AS489,LEN(AS489)-2),IF(AR489&gt;0,"✔ Ready — client + "&amp;AR489&amp;" service(s)","✔ Ready — client only")))</f>
        <v/>
      </c>
      <c r="AN489" s="29">
        <f>UPPER(SUBSTITUTE(TRIM(F489)," ",""))</f>
        <v/>
      </c>
      <c r="AO489" s="29">
        <f>UPPER(SUBSTITUTE(TRIM(E489)," ",""))</f>
        <v/>
      </c>
      <c r="AP489" s="29">
        <f>IF(D489&lt;&gt;"",D489,IFERROR(VLOOKUP(MID(AG489,4,1),Lists!$E$2:$F$8,2,FALSE),""))</f>
        <v/>
      </c>
      <c r="AQ489" s="29">
        <f>IFERROR(VLOOKUP(AP489,Lists!$A$2:$C$12,3,FALSE),"")</f>
        <v/>
      </c>
      <c r="AR489" s="29">
        <f>COUNTIF(W489:AC489,"Yes")</f>
        <v/>
      </c>
      <c r="AS489" s="29">
        <f>IF(TRIM(B489)="","Legal name missing; ","")&amp;IF(AND(AJ489&lt;&gt;"",AJ489&lt;&gt;"OK"),"GSTIN: "&amp;AJ489&amp;"; ","")&amp;IF(AND(AK489&lt;&gt;"",AK489&lt;&gt;"OK"),"PAN wrong format; ","")&amp;IF(AND(AO489&lt;&gt;"",LEN(AN489)=15,MID(AN489,3,10)&lt;&gt;AO489),"PAN does not match GSTIN; ","")&amp;IF(AND(AL489&lt;&gt;"",AL489&lt;&gt;"OK"),"TAN wrong format; ","")&amp;IF(AG489="","PAN missing; ","")&amp;IF(AP489="","Entity type missing; ","")&amp;IF(AND(AN489&lt;&gt;"",COUNTIF($AN$6:$AN$1005,AN489)&gt;1),"GSTIN repeated in this sheet; ","")&amp;IF(AND(AG489&lt;&gt;"",COUNTIF($AG$6:$AG$1005,AG489)&gt;1),"PAN repeated in this sheet (same client? put extra GSTINs in Other GSTINs); ","")&amp;IF(AND(AR489&gt;0,V489=""),"Financial year missing; ","")&amp;IF(AND(AR489=0,V489&lt;&gt;""),"Financial year given but no service is Yes; ","")&amp;IF(AND(W489="Yes",AN489=""),"GST needs a GSTIN; ","")&amp;IF(AND(W489="Yes",X489=""),"GST return frequency missing; ","")&amp;IF(AND(Y489="Yes",TRIM(H489)=""),"TDS needs a TAN; ","")&amp;IF(AND(AA489="Yes",AQ489&lt;&gt;"",AQ489&lt;&gt;"company",AQ489&lt;&gt;"llp"),"ROC is only for a company / LLP; ","")&amp;IF(AND(AA489="Yes",OR(AQ489="company",AQ489="llp"),TRIM(I489)=""),"ROC needs the CIN / LLPIN; ","")</f>
        <v/>
      </c>
    </row>
    <row r="490">
      <c r="A490" s="30" t="n"/>
      <c r="B490" s="31" t="n"/>
      <c r="C490" s="31" t="n"/>
      <c r="D490" s="31" t="n"/>
      <c r="E490" s="30" t="n"/>
      <c r="F490" s="30" t="n"/>
      <c r="G490" s="30" t="n"/>
      <c r="H490" s="30" t="n"/>
      <c r="I490" s="30" t="n"/>
      <c r="J490" s="32" t="n"/>
      <c r="K490" s="31" t="n"/>
      <c r="L490" s="30" t="n"/>
      <c r="M490" s="31" t="n"/>
      <c r="N490" s="31" t="n"/>
      <c r="O490" s="31" t="n"/>
      <c r="P490" s="30" t="n"/>
      <c r="Q490" s="31" t="n"/>
      <c r="R490" s="31" t="n"/>
      <c r="S490" s="31" t="n"/>
      <c r="T490" s="31" t="n"/>
      <c r="U490" s="30" t="n"/>
      <c r="V490" s="31" t="n"/>
      <c r="W490" s="31" t="n"/>
      <c r="X490" s="31" t="n"/>
      <c r="Y490" s="31" t="n"/>
      <c r="Z490" s="31" t="n"/>
      <c r="AA490" s="31" t="n"/>
      <c r="AB490" s="31" t="n"/>
      <c r="AC490" s="31" t="n"/>
      <c r="AD490" s="31" t="n"/>
      <c r="AE490" s="31" t="n"/>
      <c r="AF490" s="27">
        <f>IF(NOT(COUNTA(A490:AE490)&gt;0),"",IF(A490="","New client","Update"))</f>
        <v/>
      </c>
      <c r="AG490" s="27">
        <f>IF(AO490&lt;&gt;"",AO490,IF(LEN(AN490)=15,MID(AN490,3,10),""))</f>
        <v/>
      </c>
      <c r="AH490" s="27">
        <f>IF(AP490="","",AP490&amp;IF(D490="","  (guessed from PAN)",""))</f>
        <v/>
      </c>
      <c r="AI490" s="27">
        <f>IF(AN490="","",IFERROR(INDEX(Lists!$L$2:$L$38,MATCH(LEFT(AN490,2),Lists!$K$2:$K$38,0)),"Unknown code"))</f>
        <v/>
      </c>
      <c r="AJ490" s="27">
        <f>IF(AN490="","",IFERROR(IF(NOT(AND(LEN(AN490)=15,ISNUMBER(MATCH(LEFT(AN490,2),Lists!$K$2:$K$38,0)),SUMPRODUCT(--ISERROR(FIND(MID(MID(AN490,3,10),{1,2,3,4,5,10},1),"ABCDEFGHIJKLMNOPQRSTUVWXYZ")))=0,SUMPRODUCT(--ISERROR(FIND(MID(MID(AN490,3,10),{6,7,8,9},1),"0123456789")))=0,ISNUMBER(FIND(MID(AN490,13,1),"123456789ABCDEFGHIJKLMNOPQRSTUVWXYZ")),MID(AN490,14,1)="Z")),"Wrong format",IF(MID("0123456789ABCDEFGHIJKLMNOPQRSTUVWXYZ",MOD(36-MOD(SUMPRODUCT(INT((FIND(MID(AN490,{1,2,3,4,5,6,7,8,9,10,11,12,13,14},1),"0123456789ABCDEFGHIJKLMNOPQRSTUVWXYZ")-1)*{1,2,1,2,1,2,1,2,1,2,1,2,1,2}/36)+MOD((FIND(MID(AN490,{1,2,3,4,5,6,7,8,9,10,11,12,13,14},1),"0123456789ABCDEFGHIJKLMNOPQRSTUVWXYZ")-1)*{1,2,1,2,1,2,1,2,1,2,1,2,1,2},36)),36),36)+1,1)=MID(AN490,15,1),"OK","Typo? check digit wrong")),"Wrong format"))</f>
        <v/>
      </c>
      <c r="AK490" s="27">
        <f>IF(AO490="","",IF(AND(LEN(AO490)=10,SUMPRODUCT(--ISERROR(FIND(MID(AO490,{1,2,3,4,5,10},1),"ABCDEFGHIJKLMNOPQRSTUVWXYZ")))=0,SUMPRODUCT(--ISERROR(FIND(MID(AO490,{6,7,8,9},1),"0123456789")))=0),"OK","Wrong format"))</f>
        <v/>
      </c>
      <c r="AL490" s="27">
        <f>IF(TRIM(H490)="","",IF(AND(LEN(UPPER(TRIM(H490)))=10,SUMPRODUCT(--ISERROR(FIND(MID(UPPER(TRIM(H490)),{1,2,3,4,10},1),"ABCDEFGHIJKLMNOPQRSTUVWXYZ")))=0,SUMPRODUCT(--ISERROR(FIND(MID(UPPER(TRIM(H490)),{5,6,7,8,9},1),"0123456789")))=0),"OK","Wrong format"))</f>
        <v/>
      </c>
      <c r="AM490" s="28">
        <f>IF(NOT(COUNTA(A490:AE490)&gt;0),"",IF(AS490&lt;&gt;"","✖ "&amp;LEFT(AS490,LEN(AS490)-2),IF(AR490&gt;0,"✔ Ready — client + "&amp;AR490&amp;" service(s)","✔ Ready — client only")))</f>
        <v/>
      </c>
      <c r="AN490" s="29">
        <f>UPPER(SUBSTITUTE(TRIM(F490)," ",""))</f>
        <v/>
      </c>
      <c r="AO490" s="29">
        <f>UPPER(SUBSTITUTE(TRIM(E490)," ",""))</f>
        <v/>
      </c>
      <c r="AP490" s="29">
        <f>IF(D490&lt;&gt;"",D490,IFERROR(VLOOKUP(MID(AG490,4,1),Lists!$E$2:$F$8,2,FALSE),""))</f>
        <v/>
      </c>
      <c r="AQ490" s="29">
        <f>IFERROR(VLOOKUP(AP490,Lists!$A$2:$C$12,3,FALSE),"")</f>
        <v/>
      </c>
      <c r="AR490" s="29">
        <f>COUNTIF(W490:AC490,"Yes")</f>
        <v/>
      </c>
      <c r="AS490" s="29">
        <f>IF(TRIM(B490)="","Legal name missing; ","")&amp;IF(AND(AJ490&lt;&gt;"",AJ490&lt;&gt;"OK"),"GSTIN: "&amp;AJ490&amp;"; ","")&amp;IF(AND(AK490&lt;&gt;"",AK490&lt;&gt;"OK"),"PAN wrong format; ","")&amp;IF(AND(AO490&lt;&gt;"",LEN(AN490)=15,MID(AN490,3,10)&lt;&gt;AO490),"PAN does not match GSTIN; ","")&amp;IF(AND(AL490&lt;&gt;"",AL490&lt;&gt;"OK"),"TAN wrong format; ","")&amp;IF(AG490="","PAN missing; ","")&amp;IF(AP490="","Entity type missing; ","")&amp;IF(AND(AN490&lt;&gt;"",COUNTIF($AN$6:$AN$1005,AN490)&gt;1),"GSTIN repeated in this sheet; ","")&amp;IF(AND(AG490&lt;&gt;"",COUNTIF($AG$6:$AG$1005,AG490)&gt;1),"PAN repeated in this sheet (same client? put extra GSTINs in Other GSTINs); ","")&amp;IF(AND(AR490&gt;0,V490=""),"Financial year missing; ","")&amp;IF(AND(AR490=0,V490&lt;&gt;""),"Financial year given but no service is Yes; ","")&amp;IF(AND(W490="Yes",AN490=""),"GST needs a GSTIN; ","")&amp;IF(AND(W490="Yes",X490=""),"GST return frequency missing; ","")&amp;IF(AND(Y490="Yes",TRIM(H490)=""),"TDS needs a TAN; ","")&amp;IF(AND(AA490="Yes",AQ490&lt;&gt;"",AQ490&lt;&gt;"company",AQ490&lt;&gt;"llp"),"ROC is only for a company / LLP; ","")&amp;IF(AND(AA490="Yes",OR(AQ490="company",AQ490="llp"),TRIM(I490)=""),"ROC needs the CIN / LLPIN; ","")</f>
        <v/>
      </c>
    </row>
    <row r="491">
      <c r="A491" s="30" t="n"/>
      <c r="B491" s="31" t="n"/>
      <c r="C491" s="31" t="n"/>
      <c r="D491" s="31" t="n"/>
      <c r="E491" s="30" t="n"/>
      <c r="F491" s="30" t="n"/>
      <c r="G491" s="30" t="n"/>
      <c r="H491" s="30" t="n"/>
      <c r="I491" s="30" t="n"/>
      <c r="J491" s="32" t="n"/>
      <c r="K491" s="31" t="n"/>
      <c r="L491" s="30" t="n"/>
      <c r="M491" s="31" t="n"/>
      <c r="N491" s="31" t="n"/>
      <c r="O491" s="31" t="n"/>
      <c r="P491" s="30" t="n"/>
      <c r="Q491" s="31" t="n"/>
      <c r="R491" s="31" t="n"/>
      <c r="S491" s="31" t="n"/>
      <c r="T491" s="31" t="n"/>
      <c r="U491" s="30" t="n"/>
      <c r="V491" s="31" t="n"/>
      <c r="W491" s="31" t="n"/>
      <c r="X491" s="31" t="n"/>
      <c r="Y491" s="31" t="n"/>
      <c r="Z491" s="31" t="n"/>
      <c r="AA491" s="31" t="n"/>
      <c r="AB491" s="31" t="n"/>
      <c r="AC491" s="31" t="n"/>
      <c r="AD491" s="31" t="n"/>
      <c r="AE491" s="31" t="n"/>
      <c r="AF491" s="27">
        <f>IF(NOT(COUNTA(A491:AE491)&gt;0),"",IF(A491="","New client","Update"))</f>
        <v/>
      </c>
      <c r="AG491" s="27">
        <f>IF(AO491&lt;&gt;"",AO491,IF(LEN(AN491)=15,MID(AN491,3,10),""))</f>
        <v/>
      </c>
      <c r="AH491" s="27">
        <f>IF(AP491="","",AP491&amp;IF(D491="","  (guessed from PAN)",""))</f>
        <v/>
      </c>
      <c r="AI491" s="27">
        <f>IF(AN491="","",IFERROR(INDEX(Lists!$L$2:$L$38,MATCH(LEFT(AN491,2),Lists!$K$2:$K$38,0)),"Unknown code"))</f>
        <v/>
      </c>
      <c r="AJ491" s="27">
        <f>IF(AN491="","",IFERROR(IF(NOT(AND(LEN(AN491)=15,ISNUMBER(MATCH(LEFT(AN491,2),Lists!$K$2:$K$38,0)),SUMPRODUCT(--ISERROR(FIND(MID(MID(AN491,3,10),{1,2,3,4,5,10},1),"ABCDEFGHIJKLMNOPQRSTUVWXYZ")))=0,SUMPRODUCT(--ISERROR(FIND(MID(MID(AN491,3,10),{6,7,8,9},1),"0123456789")))=0,ISNUMBER(FIND(MID(AN491,13,1),"123456789ABCDEFGHIJKLMNOPQRSTUVWXYZ")),MID(AN491,14,1)="Z")),"Wrong format",IF(MID("0123456789ABCDEFGHIJKLMNOPQRSTUVWXYZ",MOD(36-MOD(SUMPRODUCT(INT((FIND(MID(AN491,{1,2,3,4,5,6,7,8,9,10,11,12,13,14},1),"0123456789ABCDEFGHIJKLMNOPQRSTUVWXYZ")-1)*{1,2,1,2,1,2,1,2,1,2,1,2,1,2}/36)+MOD((FIND(MID(AN491,{1,2,3,4,5,6,7,8,9,10,11,12,13,14},1),"0123456789ABCDEFGHIJKLMNOPQRSTUVWXYZ")-1)*{1,2,1,2,1,2,1,2,1,2,1,2,1,2},36)),36),36)+1,1)=MID(AN491,15,1),"OK","Typo? check digit wrong")),"Wrong format"))</f>
        <v/>
      </c>
      <c r="AK491" s="27">
        <f>IF(AO491="","",IF(AND(LEN(AO491)=10,SUMPRODUCT(--ISERROR(FIND(MID(AO491,{1,2,3,4,5,10},1),"ABCDEFGHIJKLMNOPQRSTUVWXYZ")))=0,SUMPRODUCT(--ISERROR(FIND(MID(AO491,{6,7,8,9},1),"0123456789")))=0),"OK","Wrong format"))</f>
        <v/>
      </c>
      <c r="AL491" s="27">
        <f>IF(TRIM(H491)="","",IF(AND(LEN(UPPER(TRIM(H491)))=10,SUMPRODUCT(--ISERROR(FIND(MID(UPPER(TRIM(H491)),{1,2,3,4,10},1),"ABCDEFGHIJKLMNOPQRSTUVWXYZ")))=0,SUMPRODUCT(--ISERROR(FIND(MID(UPPER(TRIM(H491)),{5,6,7,8,9},1),"0123456789")))=0),"OK","Wrong format"))</f>
        <v/>
      </c>
      <c r="AM491" s="28">
        <f>IF(NOT(COUNTA(A491:AE491)&gt;0),"",IF(AS491&lt;&gt;"","✖ "&amp;LEFT(AS491,LEN(AS491)-2),IF(AR491&gt;0,"✔ Ready — client + "&amp;AR491&amp;" service(s)","✔ Ready — client only")))</f>
        <v/>
      </c>
      <c r="AN491" s="29">
        <f>UPPER(SUBSTITUTE(TRIM(F491)," ",""))</f>
        <v/>
      </c>
      <c r="AO491" s="29">
        <f>UPPER(SUBSTITUTE(TRIM(E491)," ",""))</f>
        <v/>
      </c>
      <c r="AP491" s="29">
        <f>IF(D491&lt;&gt;"",D491,IFERROR(VLOOKUP(MID(AG491,4,1),Lists!$E$2:$F$8,2,FALSE),""))</f>
        <v/>
      </c>
      <c r="AQ491" s="29">
        <f>IFERROR(VLOOKUP(AP491,Lists!$A$2:$C$12,3,FALSE),"")</f>
        <v/>
      </c>
      <c r="AR491" s="29">
        <f>COUNTIF(W491:AC491,"Yes")</f>
        <v/>
      </c>
      <c r="AS491" s="29">
        <f>IF(TRIM(B491)="","Legal name missing; ","")&amp;IF(AND(AJ491&lt;&gt;"",AJ491&lt;&gt;"OK"),"GSTIN: "&amp;AJ491&amp;"; ","")&amp;IF(AND(AK491&lt;&gt;"",AK491&lt;&gt;"OK"),"PAN wrong format; ","")&amp;IF(AND(AO491&lt;&gt;"",LEN(AN491)=15,MID(AN491,3,10)&lt;&gt;AO491),"PAN does not match GSTIN; ","")&amp;IF(AND(AL491&lt;&gt;"",AL491&lt;&gt;"OK"),"TAN wrong format; ","")&amp;IF(AG491="","PAN missing; ","")&amp;IF(AP491="","Entity type missing; ","")&amp;IF(AND(AN491&lt;&gt;"",COUNTIF($AN$6:$AN$1005,AN491)&gt;1),"GSTIN repeated in this sheet; ","")&amp;IF(AND(AG491&lt;&gt;"",COUNTIF($AG$6:$AG$1005,AG491)&gt;1),"PAN repeated in this sheet (same client? put extra GSTINs in Other GSTINs); ","")&amp;IF(AND(AR491&gt;0,V491=""),"Financial year missing; ","")&amp;IF(AND(AR491=0,V491&lt;&gt;""),"Financial year given but no service is Yes; ","")&amp;IF(AND(W491="Yes",AN491=""),"GST needs a GSTIN; ","")&amp;IF(AND(W491="Yes",X491=""),"GST return frequency missing; ","")&amp;IF(AND(Y491="Yes",TRIM(H491)=""),"TDS needs a TAN; ","")&amp;IF(AND(AA491="Yes",AQ491&lt;&gt;"",AQ491&lt;&gt;"company",AQ491&lt;&gt;"llp"),"ROC is only for a company / LLP; ","")&amp;IF(AND(AA491="Yes",OR(AQ491="company",AQ491="llp"),TRIM(I491)=""),"ROC needs the CIN / LLPIN; ","")</f>
        <v/>
      </c>
    </row>
    <row r="492">
      <c r="A492" s="30" t="n"/>
      <c r="B492" s="31" t="n"/>
      <c r="C492" s="31" t="n"/>
      <c r="D492" s="31" t="n"/>
      <c r="E492" s="30" t="n"/>
      <c r="F492" s="30" t="n"/>
      <c r="G492" s="30" t="n"/>
      <c r="H492" s="30" t="n"/>
      <c r="I492" s="30" t="n"/>
      <c r="J492" s="32" t="n"/>
      <c r="K492" s="31" t="n"/>
      <c r="L492" s="30" t="n"/>
      <c r="M492" s="31" t="n"/>
      <c r="N492" s="31" t="n"/>
      <c r="O492" s="31" t="n"/>
      <c r="P492" s="30" t="n"/>
      <c r="Q492" s="31" t="n"/>
      <c r="R492" s="31" t="n"/>
      <c r="S492" s="31" t="n"/>
      <c r="T492" s="31" t="n"/>
      <c r="U492" s="30" t="n"/>
      <c r="V492" s="31" t="n"/>
      <c r="W492" s="31" t="n"/>
      <c r="X492" s="31" t="n"/>
      <c r="Y492" s="31" t="n"/>
      <c r="Z492" s="31" t="n"/>
      <c r="AA492" s="31" t="n"/>
      <c r="AB492" s="31" t="n"/>
      <c r="AC492" s="31" t="n"/>
      <c r="AD492" s="31" t="n"/>
      <c r="AE492" s="31" t="n"/>
      <c r="AF492" s="27">
        <f>IF(NOT(COUNTA(A492:AE492)&gt;0),"",IF(A492="","New client","Update"))</f>
        <v/>
      </c>
      <c r="AG492" s="27">
        <f>IF(AO492&lt;&gt;"",AO492,IF(LEN(AN492)=15,MID(AN492,3,10),""))</f>
        <v/>
      </c>
      <c r="AH492" s="27">
        <f>IF(AP492="","",AP492&amp;IF(D492="","  (guessed from PAN)",""))</f>
        <v/>
      </c>
      <c r="AI492" s="27">
        <f>IF(AN492="","",IFERROR(INDEX(Lists!$L$2:$L$38,MATCH(LEFT(AN492,2),Lists!$K$2:$K$38,0)),"Unknown code"))</f>
        <v/>
      </c>
      <c r="AJ492" s="27">
        <f>IF(AN492="","",IFERROR(IF(NOT(AND(LEN(AN492)=15,ISNUMBER(MATCH(LEFT(AN492,2),Lists!$K$2:$K$38,0)),SUMPRODUCT(--ISERROR(FIND(MID(MID(AN492,3,10),{1,2,3,4,5,10},1),"ABCDEFGHIJKLMNOPQRSTUVWXYZ")))=0,SUMPRODUCT(--ISERROR(FIND(MID(MID(AN492,3,10),{6,7,8,9},1),"0123456789")))=0,ISNUMBER(FIND(MID(AN492,13,1),"123456789ABCDEFGHIJKLMNOPQRSTUVWXYZ")),MID(AN492,14,1)="Z")),"Wrong format",IF(MID("0123456789ABCDEFGHIJKLMNOPQRSTUVWXYZ",MOD(36-MOD(SUMPRODUCT(INT((FIND(MID(AN492,{1,2,3,4,5,6,7,8,9,10,11,12,13,14},1),"0123456789ABCDEFGHIJKLMNOPQRSTUVWXYZ")-1)*{1,2,1,2,1,2,1,2,1,2,1,2,1,2}/36)+MOD((FIND(MID(AN492,{1,2,3,4,5,6,7,8,9,10,11,12,13,14},1),"0123456789ABCDEFGHIJKLMNOPQRSTUVWXYZ")-1)*{1,2,1,2,1,2,1,2,1,2,1,2,1,2},36)),36),36)+1,1)=MID(AN492,15,1),"OK","Typo? check digit wrong")),"Wrong format"))</f>
        <v/>
      </c>
      <c r="AK492" s="27">
        <f>IF(AO492="","",IF(AND(LEN(AO492)=10,SUMPRODUCT(--ISERROR(FIND(MID(AO492,{1,2,3,4,5,10},1),"ABCDEFGHIJKLMNOPQRSTUVWXYZ")))=0,SUMPRODUCT(--ISERROR(FIND(MID(AO492,{6,7,8,9},1),"0123456789")))=0),"OK","Wrong format"))</f>
        <v/>
      </c>
      <c r="AL492" s="27">
        <f>IF(TRIM(H492)="","",IF(AND(LEN(UPPER(TRIM(H492)))=10,SUMPRODUCT(--ISERROR(FIND(MID(UPPER(TRIM(H492)),{1,2,3,4,10},1),"ABCDEFGHIJKLMNOPQRSTUVWXYZ")))=0,SUMPRODUCT(--ISERROR(FIND(MID(UPPER(TRIM(H492)),{5,6,7,8,9},1),"0123456789")))=0),"OK","Wrong format"))</f>
        <v/>
      </c>
      <c r="AM492" s="28">
        <f>IF(NOT(COUNTA(A492:AE492)&gt;0),"",IF(AS492&lt;&gt;"","✖ "&amp;LEFT(AS492,LEN(AS492)-2),IF(AR492&gt;0,"✔ Ready — client + "&amp;AR492&amp;" service(s)","✔ Ready — client only")))</f>
        <v/>
      </c>
      <c r="AN492" s="29">
        <f>UPPER(SUBSTITUTE(TRIM(F492)," ",""))</f>
        <v/>
      </c>
      <c r="AO492" s="29">
        <f>UPPER(SUBSTITUTE(TRIM(E492)," ",""))</f>
        <v/>
      </c>
      <c r="AP492" s="29">
        <f>IF(D492&lt;&gt;"",D492,IFERROR(VLOOKUP(MID(AG492,4,1),Lists!$E$2:$F$8,2,FALSE),""))</f>
        <v/>
      </c>
      <c r="AQ492" s="29">
        <f>IFERROR(VLOOKUP(AP492,Lists!$A$2:$C$12,3,FALSE),"")</f>
        <v/>
      </c>
      <c r="AR492" s="29">
        <f>COUNTIF(W492:AC492,"Yes")</f>
        <v/>
      </c>
      <c r="AS492" s="29">
        <f>IF(TRIM(B492)="","Legal name missing; ","")&amp;IF(AND(AJ492&lt;&gt;"",AJ492&lt;&gt;"OK"),"GSTIN: "&amp;AJ492&amp;"; ","")&amp;IF(AND(AK492&lt;&gt;"",AK492&lt;&gt;"OK"),"PAN wrong format; ","")&amp;IF(AND(AO492&lt;&gt;"",LEN(AN492)=15,MID(AN492,3,10)&lt;&gt;AO492),"PAN does not match GSTIN; ","")&amp;IF(AND(AL492&lt;&gt;"",AL492&lt;&gt;"OK"),"TAN wrong format; ","")&amp;IF(AG492="","PAN missing; ","")&amp;IF(AP492="","Entity type missing; ","")&amp;IF(AND(AN492&lt;&gt;"",COUNTIF($AN$6:$AN$1005,AN492)&gt;1),"GSTIN repeated in this sheet; ","")&amp;IF(AND(AG492&lt;&gt;"",COUNTIF($AG$6:$AG$1005,AG492)&gt;1),"PAN repeated in this sheet (same client? put extra GSTINs in Other GSTINs); ","")&amp;IF(AND(AR492&gt;0,V492=""),"Financial year missing; ","")&amp;IF(AND(AR492=0,V492&lt;&gt;""),"Financial year given but no service is Yes; ","")&amp;IF(AND(W492="Yes",AN492=""),"GST needs a GSTIN; ","")&amp;IF(AND(W492="Yes",X492=""),"GST return frequency missing; ","")&amp;IF(AND(Y492="Yes",TRIM(H492)=""),"TDS needs a TAN; ","")&amp;IF(AND(AA492="Yes",AQ492&lt;&gt;"",AQ492&lt;&gt;"company",AQ492&lt;&gt;"llp"),"ROC is only for a company / LLP; ","")&amp;IF(AND(AA492="Yes",OR(AQ492="company",AQ492="llp"),TRIM(I492)=""),"ROC needs the CIN / LLPIN; ","")</f>
        <v/>
      </c>
    </row>
    <row r="493">
      <c r="A493" s="30" t="n"/>
      <c r="B493" s="31" t="n"/>
      <c r="C493" s="31" t="n"/>
      <c r="D493" s="31" t="n"/>
      <c r="E493" s="30" t="n"/>
      <c r="F493" s="30" t="n"/>
      <c r="G493" s="30" t="n"/>
      <c r="H493" s="30" t="n"/>
      <c r="I493" s="30" t="n"/>
      <c r="J493" s="32" t="n"/>
      <c r="K493" s="31" t="n"/>
      <c r="L493" s="30" t="n"/>
      <c r="M493" s="31" t="n"/>
      <c r="N493" s="31" t="n"/>
      <c r="O493" s="31" t="n"/>
      <c r="P493" s="30" t="n"/>
      <c r="Q493" s="31" t="n"/>
      <c r="R493" s="31" t="n"/>
      <c r="S493" s="31" t="n"/>
      <c r="T493" s="31" t="n"/>
      <c r="U493" s="30" t="n"/>
      <c r="V493" s="31" t="n"/>
      <c r="W493" s="31" t="n"/>
      <c r="X493" s="31" t="n"/>
      <c r="Y493" s="31" t="n"/>
      <c r="Z493" s="31" t="n"/>
      <c r="AA493" s="31" t="n"/>
      <c r="AB493" s="31" t="n"/>
      <c r="AC493" s="31" t="n"/>
      <c r="AD493" s="31" t="n"/>
      <c r="AE493" s="31" t="n"/>
      <c r="AF493" s="27">
        <f>IF(NOT(COUNTA(A493:AE493)&gt;0),"",IF(A493="","New client","Update"))</f>
        <v/>
      </c>
      <c r="AG493" s="27">
        <f>IF(AO493&lt;&gt;"",AO493,IF(LEN(AN493)=15,MID(AN493,3,10),""))</f>
        <v/>
      </c>
      <c r="AH493" s="27">
        <f>IF(AP493="","",AP493&amp;IF(D493="","  (guessed from PAN)",""))</f>
        <v/>
      </c>
      <c r="AI493" s="27">
        <f>IF(AN493="","",IFERROR(INDEX(Lists!$L$2:$L$38,MATCH(LEFT(AN493,2),Lists!$K$2:$K$38,0)),"Unknown code"))</f>
        <v/>
      </c>
      <c r="AJ493" s="27">
        <f>IF(AN493="","",IFERROR(IF(NOT(AND(LEN(AN493)=15,ISNUMBER(MATCH(LEFT(AN493,2),Lists!$K$2:$K$38,0)),SUMPRODUCT(--ISERROR(FIND(MID(MID(AN493,3,10),{1,2,3,4,5,10},1),"ABCDEFGHIJKLMNOPQRSTUVWXYZ")))=0,SUMPRODUCT(--ISERROR(FIND(MID(MID(AN493,3,10),{6,7,8,9},1),"0123456789")))=0,ISNUMBER(FIND(MID(AN493,13,1),"123456789ABCDEFGHIJKLMNOPQRSTUVWXYZ")),MID(AN493,14,1)="Z")),"Wrong format",IF(MID("0123456789ABCDEFGHIJKLMNOPQRSTUVWXYZ",MOD(36-MOD(SUMPRODUCT(INT((FIND(MID(AN493,{1,2,3,4,5,6,7,8,9,10,11,12,13,14},1),"0123456789ABCDEFGHIJKLMNOPQRSTUVWXYZ")-1)*{1,2,1,2,1,2,1,2,1,2,1,2,1,2}/36)+MOD((FIND(MID(AN493,{1,2,3,4,5,6,7,8,9,10,11,12,13,14},1),"0123456789ABCDEFGHIJKLMNOPQRSTUVWXYZ")-1)*{1,2,1,2,1,2,1,2,1,2,1,2,1,2},36)),36),36)+1,1)=MID(AN493,15,1),"OK","Typo? check digit wrong")),"Wrong format"))</f>
        <v/>
      </c>
      <c r="AK493" s="27">
        <f>IF(AO493="","",IF(AND(LEN(AO493)=10,SUMPRODUCT(--ISERROR(FIND(MID(AO493,{1,2,3,4,5,10},1),"ABCDEFGHIJKLMNOPQRSTUVWXYZ")))=0,SUMPRODUCT(--ISERROR(FIND(MID(AO493,{6,7,8,9},1),"0123456789")))=0),"OK","Wrong format"))</f>
        <v/>
      </c>
      <c r="AL493" s="27">
        <f>IF(TRIM(H493)="","",IF(AND(LEN(UPPER(TRIM(H493)))=10,SUMPRODUCT(--ISERROR(FIND(MID(UPPER(TRIM(H493)),{1,2,3,4,10},1),"ABCDEFGHIJKLMNOPQRSTUVWXYZ")))=0,SUMPRODUCT(--ISERROR(FIND(MID(UPPER(TRIM(H493)),{5,6,7,8,9},1),"0123456789")))=0),"OK","Wrong format"))</f>
        <v/>
      </c>
      <c r="AM493" s="28">
        <f>IF(NOT(COUNTA(A493:AE493)&gt;0),"",IF(AS493&lt;&gt;"","✖ "&amp;LEFT(AS493,LEN(AS493)-2),IF(AR493&gt;0,"✔ Ready — client + "&amp;AR493&amp;" service(s)","✔ Ready — client only")))</f>
        <v/>
      </c>
      <c r="AN493" s="29">
        <f>UPPER(SUBSTITUTE(TRIM(F493)," ",""))</f>
        <v/>
      </c>
      <c r="AO493" s="29">
        <f>UPPER(SUBSTITUTE(TRIM(E493)," ",""))</f>
        <v/>
      </c>
      <c r="AP493" s="29">
        <f>IF(D493&lt;&gt;"",D493,IFERROR(VLOOKUP(MID(AG493,4,1),Lists!$E$2:$F$8,2,FALSE),""))</f>
        <v/>
      </c>
      <c r="AQ493" s="29">
        <f>IFERROR(VLOOKUP(AP493,Lists!$A$2:$C$12,3,FALSE),"")</f>
        <v/>
      </c>
      <c r="AR493" s="29">
        <f>COUNTIF(W493:AC493,"Yes")</f>
        <v/>
      </c>
      <c r="AS493" s="29">
        <f>IF(TRIM(B493)="","Legal name missing; ","")&amp;IF(AND(AJ493&lt;&gt;"",AJ493&lt;&gt;"OK"),"GSTIN: "&amp;AJ493&amp;"; ","")&amp;IF(AND(AK493&lt;&gt;"",AK493&lt;&gt;"OK"),"PAN wrong format; ","")&amp;IF(AND(AO493&lt;&gt;"",LEN(AN493)=15,MID(AN493,3,10)&lt;&gt;AO493),"PAN does not match GSTIN; ","")&amp;IF(AND(AL493&lt;&gt;"",AL493&lt;&gt;"OK"),"TAN wrong format; ","")&amp;IF(AG493="","PAN missing; ","")&amp;IF(AP493="","Entity type missing; ","")&amp;IF(AND(AN493&lt;&gt;"",COUNTIF($AN$6:$AN$1005,AN493)&gt;1),"GSTIN repeated in this sheet; ","")&amp;IF(AND(AG493&lt;&gt;"",COUNTIF($AG$6:$AG$1005,AG493)&gt;1),"PAN repeated in this sheet (same client? put extra GSTINs in Other GSTINs); ","")&amp;IF(AND(AR493&gt;0,V493=""),"Financial year missing; ","")&amp;IF(AND(AR493=0,V493&lt;&gt;""),"Financial year given but no service is Yes; ","")&amp;IF(AND(W493="Yes",AN493=""),"GST needs a GSTIN; ","")&amp;IF(AND(W493="Yes",X493=""),"GST return frequency missing; ","")&amp;IF(AND(Y493="Yes",TRIM(H493)=""),"TDS needs a TAN; ","")&amp;IF(AND(AA493="Yes",AQ493&lt;&gt;"",AQ493&lt;&gt;"company",AQ493&lt;&gt;"llp"),"ROC is only for a company / LLP; ","")&amp;IF(AND(AA493="Yes",OR(AQ493="company",AQ493="llp"),TRIM(I493)=""),"ROC needs the CIN / LLPIN; ","")</f>
        <v/>
      </c>
    </row>
    <row r="494">
      <c r="A494" s="30" t="n"/>
      <c r="B494" s="31" t="n"/>
      <c r="C494" s="31" t="n"/>
      <c r="D494" s="31" t="n"/>
      <c r="E494" s="30" t="n"/>
      <c r="F494" s="30" t="n"/>
      <c r="G494" s="30" t="n"/>
      <c r="H494" s="30" t="n"/>
      <c r="I494" s="30" t="n"/>
      <c r="J494" s="32" t="n"/>
      <c r="K494" s="31" t="n"/>
      <c r="L494" s="30" t="n"/>
      <c r="M494" s="31" t="n"/>
      <c r="N494" s="31" t="n"/>
      <c r="O494" s="31" t="n"/>
      <c r="P494" s="30" t="n"/>
      <c r="Q494" s="31" t="n"/>
      <c r="R494" s="31" t="n"/>
      <c r="S494" s="31" t="n"/>
      <c r="T494" s="31" t="n"/>
      <c r="U494" s="30" t="n"/>
      <c r="V494" s="31" t="n"/>
      <c r="W494" s="31" t="n"/>
      <c r="X494" s="31" t="n"/>
      <c r="Y494" s="31" t="n"/>
      <c r="Z494" s="31" t="n"/>
      <c r="AA494" s="31" t="n"/>
      <c r="AB494" s="31" t="n"/>
      <c r="AC494" s="31" t="n"/>
      <c r="AD494" s="31" t="n"/>
      <c r="AE494" s="31" t="n"/>
      <c r="AF494" s="27">
        <f>IF(NOT(COUNTA(A494:AE494)&gt;0),"",IF(A494="","New client","Update"))</f>
        <v/>
      </c>
      <c r="AG494" s="27">
        <f>IF(AO494&lt;&gt;"",AO494,IF(LEN(AN494)=15,MID(AN494,3,10),""))</f>
        <v/>
      </c>
      <c r="AH494" s="27">
        <f>IF(AP494="","",AP494&amp;IF(D494="","  (guessed from PAN)",""))</f>
        <v/>
      </c>
      <c r="AI494" s="27">
        <f>IF(AN494="","",IFERROR(INDEX(Lists!$L$2:$L$38,MATCH(LEFT(AN494,2),Lists!$K$2:$K$38,0)),"Unknown code"))</f>
        <v/>
      </c>
      <c r="AJ494" s="27">
        <f>IF(AN494="","",IFERROR(IF(NOT(AND(LEN(AN494)=15,ISNUMBER(MATCH(LEFT(AN494,2),Lists!$K$2:$K$38,0)),SUMPRODUCT(--ISERROR(FIND(MID(MID(AN494,3,10),{1,2,3,4,5,10},1),"ABCDEFGHIJKLMNOPQRSTUVWXYZ")))=0,SUMPRODUCT(--ISERROR(FIND(MID(MID(AN494,3,10),{6,7,8,9},1),"0123456789")))=0,ISNUMBER(FIND(MID(AN494,13,1),"123456789ABCDEFGHIJKLMNOPQRSTUVWXYZ")),MID(AN494,14,1)="Z")),"Wrong format",IF(MID("0123456789ABCDEFGHIJKLMNOPQRSTUVWXYZ",MOD(36-MOD(SUMPRODUCT(INT((FIND(MID(AN494,{1,2,3,4,5,6,7,8,9,10,11,12,13,14},1),"0123456789ABCDEFGHIJKLMNOPQRSTUVWXYZ")-1)*{1,2,1,2,1,2,1,2,1,2,1,2,1,2}/36)+MOD((FIND(MID(AN494,{1,2,3,4,5,6,7,8,9,10,11,12,13,14},1),"0123456789ABCDEFGHIJKLMNOPQRSTUVWXYZ")-1)*{1,2,1,2,1,2,1,2,1,2,1,2,1,2},36)),36),36)+1,1)=MID(AN494,15,1),"OK","Typo? check digit wrong")),"Wrong format"))</f>
        <v/>
      </c>
      <c r="AK494" s="27">
        <f>IF(AO494="","",IF(AND(LEN(AO494)=10,SUMPRODUCT(--ISERROR(FIND(MID(AO494,{1,2,3,4,5,10},1),"ABCDEFGHIJKLMNOPQRSTUVWXYZ")))=0,SUMPRODUCT(--ISERROR(FIND(MID(AO494,{6,7,8,9},1),"0123456789")))=0),"OK","Wrong format"))</f>
        <v/>
      </c>
      <c r="AL494" s="27">
        <f>IF(TRIM(H494)="","",IF(AND(LEN(UPPER(TRIM(H494)))=10,SUMPRODUCT(--ISERROR(FIND(MID(UPPER(TRIM(H494)),{1,2,3,4,10},1),"ABCDEFGHIJKLMNOPQRSTUVWXYZ")))=0,SUMPRODUCT(--ISERROR(FIND(MID(UPPER(TRIM(H494)),{5,6,7,8,9},1),"0123456789")))=0),"OK","Wrong format"))</f>
        <v/>
      </c>
      <c r="AM494" s="28">
        <f>IF(NOT(COUNTA(A494:AE494)&gt;0),"",IF(AS494&lt;&gt;"","✖ "&amp;LEFT(AS494,LEN(AS494)-2),IF(AR494&gt;0,"✔ Ready — client + "&amp;AR494&amp;" service(s)","✔ Ready — client only")))</f>
        <v/>
      </c>
      <c r="AN494" s="29">
        <f>UPPER(SUBSTITUTE(TRIM(F494)," ",""))</f>
        <v/>
      </c>
      <c r="AO494" s="29">
        <f>UPPER(SUBSTITUTE(TRIM(E494)," ",""))</f>
        <v/>
      </c>
      <c r="AP494" s="29">
        <f>IF(D494&lt;&gt;"",D494,IFERROR(VLOOKUP(MID(AG494,4,1),Lists!$E$2:$F$8,2,FALSE),""))</f>
        <v/>
      </c>
      <c r="AQ494" s="29">
        <f>IFERROR(VLOOKUP(AP494,Lists!$A$2:$C$12,3,FALSE),"")</f>
        <v/>
      </c>
      <c r="AR494" s="29">
        <f>COUNTIF(W494:AC494,"Yes")</f>
        <v/>
      </c>
      <c r="AS494" s="29">
        <f>IF(TRIM(B494)="","Legal name missing; ","")&amp;IF(AND(AJ494&lt;&gt;"",AJ494&lt;&gt;"OK"),"GSTIN: "&amp;AJ494&amp;"; ","")&amp;IF(AND(AK494&lt;&gt;"",AK494&lt;&gt;"OK"),"PAN wrong format; ","")&amp;IF(AND(AO494&lt;&gt;"",LEN(AN494)=15,MID(AN494,3,10)&lt;&gt;AO494),"PAN does not match GSTIN; ","")&amp;IF(AND(AL494&lt;&gt;"",AL494&lt;&gt;"OK"),"TAN wrong format; ","")&amp;IF(AG494="","PAN missing; ","")&amp;IF(AP494="","Entity type missing; ","")&amp;IF(AND(AN494&lt;&gt;"",COUNTIF($AN$6:$AN$1005,AN494)&gt;1),"GSTIN repeated in this sheet; ","")&amp;IF(AND(AG494&lt;&gt;"",COUNTIF($AG$6:$AG$1005,AG494)&gt;1),"PAN repeated in this sheet (same client? put extra GSTINs in Other GSTINs); ","")&amp;IF(AND(AR494&gt;0,V494=""),"Financial year missing; ","")&amp;IF(AND(AR494=0,V494&lt;&gt;""),"Financial year given but no service is Yes; ","")&amp;IF(AND(W494="Yes",AN494=""),"GST needs a GSTIN; ","")&amp;IF(AND(W494="Yes",X494=""),"GST return frequency missing; ","")&amp;IF(AND(Y494="Yes",TRIM(H494)=""),"TDS needs a TAN; ","")&amp;IF(AND(AA494="Yes",AQ494&lt;&gt;"",AQ494&lt;&gt;"company",AQ494&lt;&gt;"llp"),"ROC is only for a company / LLP; ","")&amp;IF(AND(AA494="Yes",OR(AQ494="company",AQ494="llp"),TRIM(I494)=""),"ROC needs the CIN / LLPIN; ","")</f>
        <v/>
      </c>
    </row>
    <row r="495">
      <c r="A495" s="30" t="n"/>
      <c r="B495" s="31" t="n"/>
      <c r="C495" s="31" t="n"/>
      <c r="D495" s="31" t="n"/>
      <c r="E495" s="30" t="n"/>
      <c r="F495" s="30" t="n"/>
      <c r="G495" s="30" t="n"/>
      <c r="H495" s="30" t="n"/>
      <c r="I495" s="30" t="n"/>
      <c r="J495" s="32" t="n"/>
      <c r="K495" s="31" t="n"/>
      <c r="L495" s="30" t="n"/>
      <c r="M495" s="31" t="n"/>
      <c r="N495" s="31" t="n"/>
      <c r="O495" s="31" t="n"/>
      <c r="P495" s="30" t="n"/>
      <c r="Q495" s="31" t="n"/>
      <c r="R495" s="31" t="n"/>
      <c r="S495" s="31" t="n"/>
      <c r="T495" s="31" t="n"/>
      <c r="U495" s="30" t="n"/>
      <c r="V495" s="31" t="n"/>
      <c r="W495" s="31" t="n"/>
      <c r="X495" s="31" t="n"/>
      <c r="Y495" s="31" t="n"/>
      <c r="Z495" s="31" t="n"/>
      <c r="AA495" s="31" t="n"/>
      <c r="AB495" s="31" t="n"/>
      <c r="AC495" s="31" t="n"/>
      <c r="AD495" s="31" t="n"/>
      <c r="AE495" s="31" t="n"/>
      <c r="AF495" s="27">
        <f>IF(NOT(COUNTA(A495:AE495)&gt;0),"",IF(A495="","New client","Update"))</f>
        <v/>
      </c>
      <c r="AG495" s="27">
        <f>IF(AO495&lt;&gt;"",AO495,IF(LEN(AN495)=15,MID(AN495,3,10),""))</f>
        <v/>
      </c>
      <c r="AH495" s="27">
        <f>IF(AP495="","",AP495&amp;IF(D495="","  (guessed from PAN)",""))</f>
        <v/>
      </c>
      <c r="AI495" s="27">
        <f>IF(AN495="","",IFERROR(INDEX(Lists!$L$2:$L$38,MATCH(LEFT(AN495,2),Lists!$K$2:$K$38,0)),"Unknown code"))</f>
        <v/>
      </c>
      <c r="AJ495" s="27">
        <f>IF(AN495="","",IFERROR(IF(NOT(AND(LEN(AN495)=15,ISNUMBER(MATCH(LEFT(AN495,2),Lists!$K$2:$K$38,0)),SUMPRODUCT(--ISERROR(FIND(MID(MID(AN495,3,10),{1,2,3,4,5,10},1),"ABCDEFGHIJKLMNOPQRSTUVWXYZ")))=0,SUMPRODUCT(--ISERROR(FIND(MID(MID(AN495,3,10),{6,7,8,9},1),"0123456789")))=0,ISNUMBER(FIND(MID(AN495,13,1),"123456789ABCDEFGHIJKLMNOPQRSTUVWXYZ")),MID(AN495,14,1)="Z")),"Wrong format",IF(MID("0123456789ABCDEFGHIJKLMNOPQRSTUVWXYZ",MOD(36-MOD(SUMPRODUCT(INT((FIND(MID(AN495,{1,2,3,4,5,6,7,8,9,10,11,12,13,14},1),"0123456789ABCDEFGHIJKLMNOPQRSTUVWXYZ")-1)*{1,2,1,2,1,2,1,2,1,2,1,2,1,2}/36)+MOD((FIND(MID(AN495,{1,2,3,4,5,6,7,8,9,10,11,12,13,14},1),"0123456789ABCDEFGHIJKLMNOPQRSTUVWXYZ")-1)*{1,2,1,2,1,2,1,2,1,2,1,2,1,2},36)),36),36)+1,1)=MID(AN495,15,1),"OK","Typo? check digit wrong")),"Wrong format"))</f>
        <v/>
      </c>
      <c r="AK495" s="27">
        <f>IF(AO495="","",IF(AND(LEN(AO495)=10,SUMPRODUCT(--ISERROR(FIND(MID(AO495,{1,2,3,4,5,10},1),"ABCDEFGHIJKLMNOPQRSTUVWXYZ")))=0,SUMPRODUCT(--ISERROR(FIND(MID(AO495,{6,7,8,9},1),"0123456789")))=0),"OK","Wrong format"))</f>
        <v/>
      </c>
      <c r="AL495" s="27">
        <f>IF(TRIM(H495)="","",IF(AND(LEN(UPPER(TRIM(H495)))=10,SUMPRODUCT(--ISERROR(FIND(MID(UPPER(TRIM(H495)),{1,2,3,4,10},1),"ABCDEFGHIJKLMNOPQRSTUVWXYZ")))=0,SUMPRODUCT(--ISERROR(FIND(MID(UPPER(TRIM(H495)),{5,6,7,8,9},1),"0123456789")))=0),"OK","Wrong format"))</f>
        <v/>
      </c>
      <c r="AM495" s="28">
        <f>IF(NOT(COUNTA(A495:AE495)&gt;0),"",IF(AS495&lt;&gt;"","✖ "&amp;LEFT(AS495,LEN(AS495)-2),IF(AR495&gt;0,"✔ Ready — client + "&amp;AR495&amp;" service(s)","✔ Ready — client only")))</f>
        <v/>
      </c>
      <c r="AN495" s="29">
        <f>UPPER(SUBSTITUTE(TRIM(F495)," ",""))</f>
        <v/>
      </c>
      <c r="AO495" s="29">
        <f>UPPER(SUBSTITUTE(TRIM(E495)," ",""))</f>
        <v/>
      </c>
      <c r="AP495" s="29">
        <f>IF(D495&lt;&gt;"",D495,IFERROR(VLOOKUP(MID(AG495,4,1),Lists!$E$2:$F$8,2,FALSE),""))</f>
        <v/>
      </c>
      <c r="AQ495" s="29">
        <f>IFERROR(VLOOKUP(AP495,Lists!$A$2:$C$12,3,FALSE),"")</f>
        <v/>
      </c>
      <c r="AR495" s="29">
        <f>COUNTIF(W495:AC495,"Yes")</f>
        <v/>
      </c>
      <c r="AS495" s="29">
        <f>IF(TRIM(B495)="","Legal name missing; ","")&amp;IF(AND(AJ495&lt;&gt;"",AJ495&lt;&gt;"OK"),"GSTIN: "&amp;AJ495&amp;"; ","")&amp;IF(AND(AK495&lt;&gt;"",AK495&lt;&gt;"OK"),"PAN wrong format; ","")&amp;IF(AND(AO495&lt;&gt;"",LEN(AN495)=15,MID(AN495,3,10)&lt;&gt;AO495),"PAN does not match GSTIN; ","")&amp;IF(AND(AL495&lt;&gt;"",AL495&lt;&gt;"OK"),"TAN wrong format; ","")&amp;IF(AG495="","PAN missing; ","")&amp;IF(AP495="","Entity type missing; ","")&amp;IF(AND(AN495&lt;&gt;"",COUNTIF($AN$6:$AN$1005,AN495)&gt;1),"GSTIN repeated in this sheet; ","")&amp;IF(AND(AG495&lt;&gt;"",COUNTIF($AG$6:$AG$1005,AG495)&gt;1),"PAN repeated in this sheet (same client? put extra GSTINs in Other GSTINs); ","")&amp;IF(AND(AR495&gt;0,V495=""),"Financial year missing; ","")&amp;IF(AND(AR495=0,V495&lt;&gt;""),"Financial year given but no service is Yes; ","")&amp;IF(AND(W495="Yes",AN495=""),"GST needs a GSTIN; ","")&amp;IF(AND(W495="Yes",X495=""),"GST return frequency missing; ","")&amp;IF(AND(Y495="Yes",TRIM(H495)=""),"TDS needs a TAN; ","")&amp;IF(AND(AA495="Yes",AQ495&lt;&gt;"",AQ495&lt;&gt;"company",AQ495&lt;&gt;"llp"),"ROC is only for a company / LLP; ","")&amp;IF(AND(AA495="Yes",OR(AQ495="company",AQ495="llp"),TRIM(I495)=""),"ROC needs the CIN / LLPIN; ","")</f>
        <v/>
      </c>
    </row>
    <row r="496">
      <c r="A496" s="30" t="n"/>
      <c r="B496" s="31" t="n"/>
      <c r="C496" s="31" t="n"/>
      <c r="D496" s="31" t="n"/>
      <c r="E496" s="30" t="n"/>
      <c r="F496" s="30" t="n"/>
      <c r="G496" s="30" t="n"/>
      <c r="H496" s="30" t="n"/>
      <c r="I496" s="30" t="n"/>
      <c r="J496" s="32" t="n"/>
      <c r="K496" s="31" t="n"/>
      <c r="L496" s="30" t="n"/>
      <c r="M496" s="31" t="n"/>
      <c r="N496" s="31" t="n"/>
      <c r="O496" s="31" t="n"/>
      <c r="P496" s="30" t="n"/>
      <c r="Q496" s="31" t="n"/>
      <c r="R496" s="31" t="n"/>
      <c r="S496" s="31" t="n"/>
      <c r="T496" s="31" t="n"/>
      <c r="U496" s="30" t="n"/>
      <c r="V496" s="31" t="n"/>
      <c r="W496" s="31" t="n"/>
      <c r="X496" s="31" t="n"/>
      <c r="Y496" s="31" t="n"/>
      <c r="Z496" s="31" t="n"/>
      <c r="AA496" s="31" t="n"/>
      <c r="AB496" s="31" t="n"/>
      <c r="AC496" s="31" t="n"/>
      <c r="AD496" s="31" t="n"/>
      <c r="AE496" s="31" t="n"/>
      <c r="AF496" s="27">
        <f>IF(NOT(COUNTA(A496:AE496)&gt;0),"",IF(A496="","New client","Update"))</f>
        <v/>
      </c>
      <c r="AG496" s="27">
        <f>IF(AO496&lt;&gt;"",AO496,IF(LEN(AN496)=15,MID(AN496,3,10),""))</f>
        <v/>
      </c>
      <c r="AH496" s="27">
        <f>IF(AP496="","",AP496&amp;IF(D496="","  (guessed from PAN)",""))</f>
        <v/>
      </c>
      <c r="AI496" s="27">
        <f>IF(AN496="","",IFERROR(INDEX(Lists!$L$2:$L$38,MATCH(LEFT(AN496,2),Lists!$K$2:$K$38,0)),"Unknown code"))</f>
        <v/>
      </c>
      <c r="AJ496" s="27">
        <f>IF(AN496="","",IFERROR(IF(NOT(AND(LEN(AN496)=15,ISNUMBER(MATCH(LEFT(AN496,2),Lists!$K$2:$K$38,0)),SUMPRODUCT(--ISERROR(FIND(MID(MID(AN496,3,10),{1,2,3,4,5,10},1),"ABCDEFGHIJKLMNOPQRSTUVWXYZ")))=0,SUMPRODUCT(--ISERROR(FIND(MID(MID(AN496,3,10),{6,7,8,9},1),"0123456789")))=0,ISNUMBER(FIND(MID(AN496,13,1),"123456789ABCDEFGHIJKLMNOPQRSTUVWXYZ")),MID(AN496,14,1)="Z")),"Wrong format",IF(MID("0123456789ABCDEFGHIJKLMNOPQRSTUVWXYZ",MOD(36-MOD(SUMPRODUCT(INT((FIND(MID(AN496,{1,2,3,4,5,6,7,8,9,10,11,12,13,14},1),"0123456789ABCDEFGHIJKLMNOPQRSTUVWXYZ")-1)*{1,2,1,2,1,2,1,2,1,2,1,2,1,2}/36)+MOD((FIND(MID(AN496,{1,2,3,4,5,6,7,8,9,10,11,12,13,14},1),"0123456789ABCDEFGHIJKLMNOPQRSTUVWXYZ")-1)*{1,2,1,2,1,2,1,2,1,2,1,2,1,2},36)),36),36)+1,1)=MID(AN496,15,1),"OK","Typo? check digit wrong")),"Wrong format"))</f>
        <v/>
      </c>
      <c r="AK496" s="27">
        <f>IF(AO496="","",IF(AND(LEN(AO496)=10,SUMPRODUCT(--ISERROR(FIND(MID(AO496,{1,2,3,4,5,10},1),"ABCDEFGHIJKLMNOPQRSTUVWXYZ")))=0,SUMPRODUCT(--ISERROR(FIND(MID(AO496,{6,7,8,9},1),"0123456789")))=0),"OK","Wrong format"))</f>
        <v/>
      </c>
      <c r="AL496" s="27">
        <f>IF(TRIM(H496)="","",IF(AND(LEN(UPPER(TRIM(H496)))=10,SUMPRODUCT(--ISERROR(FIND(MID(UPPER(TRIM(H496)),{1,2,3,4,10},1),"ABCDEFGHIJKLMNOPQRSTUVWXYZ")))=0,SUMPRODUCT(--ISERROR(FIND(MID(UPPER(TRIM(H496)),{5,6,7,8,9},1),"0123456789")))=0),"OK","Wrong format"))</f>
        <v/>
      </c>
      <c r="AM496" s="28">
        <f>IF(NOT(COUNTA(A496:AE496)&gt;0),"",IF(AS496&lt;&gt;"","✖ "&amp;LEFT(AS496,LEN(AS496)-2),IF(AR496&gt;0,"✔ Ready — client + "&amp;AR496&amp;" service(s)","✔ Ready — client only")))</f>
        <v/>
      </c>
      <c r="AN496" s="29">
        <f>UPPER(SUBSTITUTE(TRIM(F496)," ",""))</f>
        <v/>
      </c>
      <c r="AO496" s="29">
        <f>UPPER(SUBSTITUTE(TRIM(E496)," ",""))</f>
        <v/>
      </c>
      <c r="AP496" s="29">
        <f>IF(D496&lt;&gt;"",D496,IFERROR(VLOOKUP(MID(AG496,4,1),Lists!$E$2:$F$8,2,FALSE),""))</f>
        <v/>
      </c>
      <c r="AQ496" s="29">
        <f>IFERROR(VLOOKUP(AP496,Lists!$A$2:$C$12,3,FALSE),"")</f>
        <v/>
      </c>
      <c r="AR496" s="29">
        <f>COUNTIF(W496:AC496,"Yes")</f>
        <v/>
      </c>
      <c r="AS496" s="29">
        <f>IF(TRIM(B496)="","Legal name missing; ","")&amp;IF(AND(AJ496&lt;&gt;"",AJ496&lt;&gt;"OK"),"GSTIN: "&amp;AJ496&amp;"; ","")&amp;IF(AND(AK496&lt;&gt;"",AK496&lt;&gt;"OK"),"PAN wrong format; ","")&amp;IF(AND(AO496&lt;&gt;"",LEN(AN496)=15,MID(AN496,3,10)&lt;&gt;AO496),"PAN does not match GSTIN; ","")&amp;IF(AND(AL496&lt;&gt;"",AL496&lt;&gt;"OK"),"TAN wrong format; ","")&amp;IF(AG496="","PAN missing; ","")&amp;IF(AP496="","Entity type missing; ","")&amp;IF(AND(AN496&lt;&gt;"",COUNTIF($AN$6:$AN$1005,AN496)&gt;1),"GSTIN repeated in this sheet; ","")&amp;IF(AND(AG496&lt;&gt;"",COUNTIF($AG$6:$AG$1005,AG496)&gt;1),"PAN repeated in this sheet (same client? put extra GSTINs in Other GSTINs); ","")&amp;IF(AND(AR496&gt;0,V496=""),"Financial year missing; ","")&amp;IF(AND(AR496=0,V496&lt;&gt;""),"Financial year given but no service is Yes; ","")&amp;IF(AND(W496="Yes",AN496=""),"GST needs a GSTIN; ","")&amp;IF(AND(W496="Yes",X496=""),"GST return frequency missing; ","")&amp;IF(AND(Y496="Yes",TRIM(H496)=""),"TDS needs a TAN; ","")&amp;IF(AND(AA496="Yes",AQ496&lt;&gt;"",AQ496&lt;&gt;"company",AQ496&lt;&gt;"llp"),"ROC is only for a company / LLP; ","")&amp;IF(AND(AA496="Yes",OR(AQ496="company",AQ496="llp"),TRIM(I496)=""),"ROC needs the CIN / LLPIN; ","")</f>
        <v/>
      </c>
    </row>
    <row r="497">
      <c r="A497" s="30" t="n"/>
      <c r="B497" s="31" t="n"/>
      <c r="C497" s="31" t="n"/>
      <c r="D497" s="31" t="n"/>
      <c r="E497" s="30" t="n"/>
      <c r="F497" s="30" t="n"/>
      <c r="G497" s="30" t="n"/>
      <c r="H497" s="30" t="n"/>
      <c r="I497" s="30" t="n"/>
      <c r="J497" s="32" t="n"/>
      <c r="K497" s="31" t="n"/>
      <c r="L497" s="30" t="n"/>
      <c r="M497" s="31" t="n"/>
      <c r="N497" s="31" t="n"/>
      <c r="O497" s="31" t="n"/>
      <c r="P497" s="30" t="n"/>
      <c r="Q497" s="31" t="n"/>
      <c r="R497" s="31" t="n"/>
      <c r="S497" s="31" t="n"/>
      <c r="T497" s="31" t="n"/>
      <c r="U497" s="30" t="n"/>
      <c r="V497" s="31" t="n"/>
      <c r="W497" s="31" t="n"/>
      <c r="X497" s="31" t="n"/>
      <c r="Y497" s="31" t="n"/>
      <c r="Z497" s="31" t="n"/>
      <c r="AA497" s="31" t="n"/>
      <c r="AB497" s="31" t="n"/>
      <c r="AC497" s="31" t="n"/>
      <c r="AD497" s="31" t="n"/>
      <c r="AE497" s="31" t="n"/>
      <c r="AF497" s="27">
        <f>IF(NOT(COUNTA(A497:AE497)&gt;0),"",IF(A497="","New client","Update"))</f>
        <v/>
      </c>
      <c r="AG497" s="27">
        <f>IF(AO497&lt;&gt;"",AO497,IF(LEN(AN497)=15,MID(AN497,3,10),""))</f>
        <v/>
      </c>
      <c r="AH497" s="27">
        <f>IF(AP497="","",AP497&amp;IF(D497="","  (guessed from PAN)",""))</f>
        <v/>
      </c>
      <c r="AI497" s="27">
        <f>IF(AN497="","",IFERROR(INDEX(Lists!$L$2:$L$38,MATCH(LEFT(AN497,2),Lists!$K$2:$K$38,0)),"Unknown code"))</f>
        <v/>
      </c>
      <c r="AJ497" s="27">
        <f>IF(AN497="","",IFERROR(IF(NOT(AND(LEN(AN497)=15,ISNUMBER(MATCH(LEFT(AN497,2),Lists!$K$2:$K$38,0)),SUMPRODUCT(--ISERROR(FIND(MID(MID(AN497,3,10),{1,2,3,4,5,10},1),"ABCDEFGHIJKLMNOPQRSTUVWXYZ")))=0,SUMPRODUCT(--ISERROR(FIND(MID(MID(AN497,3,10),{6,7,8,9},1),"0123456789")))=0,ISNUMBER(FIND(MID(AN497,13,1),"123456789ABCDEFGHIJKLMNOPQRSTUVWXYZ")),MID(AN497,14,1)="Z")),"Wrong format",IF(MID("0123456789ABCDEFGHIJKLMNOPQRSTUVWXYZ",MOD(36-MOD(SUMPRODUCT(INT((FIND(MID(AN497,{1,2,3,4,5,6,7,8,9,10,11,12,13,14},1),"0123456789ABCDEFGHIJKLMNOPQRSTUVWXYZ")-1)*{1,2,1,2,1,2,1,2,1,2,1,2,1,2}/36)+MOD((FIND(MID(AN497,{1,2,3,4,5,6,7,8,9,10,11,12,13,14},1),"0123456789ABCDEFGHIJKLMNOPQRSTUVWXYZ")-1)*{1,2,1,2,1,2,1,2,1,2,1,2,1,2},36)),36),36)+1,1)=MID(AN497,15,1),"OK","Typo? check digit wrong")),"Wrong format"))</f>
        <v/>
      </c>
      <c r="AK497" s="27">
        <f>IF(AO497="","",IF(AND(LEN(AO497)=10,SUMPRODUCT(--ISERROR(FIND(MID(AO497,{1,2,3,4,5,10},1),"ABCDEFGHIJKLMNOPQRSTUVWXYZ")))=0,SUMPRODUCT(--ISERROR(FIND(MID(AO497,{6,7,8,9},1),"0123456789")))=0),"OK","Wrong format"))</f>
        <v/>
      </c>
      <c r="AL497" s="27">
        <f>IF(TRIM(H497)="","",IF(AND(LEN(UPPER(TRIM(H497)))=10,SUMPRODUCT(--ISERROR(FIND(MID(UPPER(TRIM(H497)),{1,2,3,4,10},1),"ABCDEFGHIJKLMNOPQRSTUVWXYZ")))=0,SUMPRODUCT(--ISERROR(FIND(MID(UPPER(TRIM(H497)),{5,6,7,8,9},1),"0123456789")))=0),"OK","Wrong format"))</f>
        <v/>
      </c>
      <c r="AM497" s="28">
        <f>IF(NOT(COUNTA(A497:AE497)&gt;0),"",IF(AS497&lt;&gt;"","✖ "&amp;LEFT(AS497,LEN(AS497)-2),IF(AR497&gt;0,"✔ Ready — client + "&amp;AR497&amp;" service(s)","✔ Ready — client only")))</f>
        <v/>
      </c>
      <c r="AN497" s="29">
        <f>UPPER(SUBSTITUTE(TRIM(F497)," ",""))</f>
        <v/>
      </c>
      <c r="AO497" s="29">
        <f>UPPER(SUBSTITUTE(TRIM(E497)," ",""))</f>
        <v/>
      </c>
      <c r="AP497" s="29">
        <f>IF(D497&lt;&gt;"",D497,IFERROR(VLOOKUP(MID(AG497,4,1),Lists!$E$2:$F$8,2,FALSE),""))</f>
        <v/>
      </c>
      <c r="AQ497" s="29">
        <f>IFERROR(VLOOKUP(AP497,Lists!$A$2:$C$12,3,FALSE),"")</f>
        <v/>
      </c>
      <c r="AR497" s="29">
        <f>COUNTIF(W497:AC497,"Yes")</f>
        <v/>
      </c>
      <c r="AS497" s="29">
        <f>IF(TRIM(B497)="","Legal name missing; ","")&amp;IF(AND(AJ497&lt;&gt;"",AJ497&lt;&gt;"OK"),"GSTIN: "&amp;AJ497&amp;"; ","")&amp;IF(AND(AK497&lt;&gt;"",AK497&lt;&gt;"OK"),"PAN wrong format; ","")&amp;IF(AND(AO497&lt;&gt;"",LEN(AN497)=15,MID(AN497,3,10)&lt;&gt;AO497),"PAN does not match GSTIN; ","")&amp;IF(AND(AL497&lt;&gt;"",AL497&lt;&gt;"OK"),"TAN wrong format; ","")&amp;IF(AG497="","PAN missing; ","")&amp;IF(AP497="","Entity type missing; ","")&amp;IF(AND(AN497&lt;&gt;"",COUNTIF($AN$6:$AN$1005,AN497)&gt;1),"GSTIN repeated in this sheet; ","")&amp;IF(AND(AG497&lt;&gt;"",COUNTIF($AG$6:$AG$1005,AG497)&gt;1),"PAN repeated in this sheet (same client? put extra GSTINs in Other GSTINs); ","")&amp;IF(AND(AR497&gt;0,V497=""),"Financial year missing; ","")&amp;IF(AND(AR497=0,V497&lt;&gt;""),"Financial year given but no service is Yes; ","")&amp;IF(AND(W497="Yes",AN497=""),"GST needs a GSTIN; ","")&amp;IF(AND(W497="Yes",X497=""),"GST return frequency missing; ","")&amp;IF(AND(Y497="Yes",TRIM(H497)=""),"TDS needs a TAN; ","")&amp;IF(AND(AA497="Yes",AQ497&lt;&gt;"",AQ497&lt;&gt;"company",AQ497&lt;&gt;"llp"),"ROC is only for a company / LLP; ","")&amp;IF(AND(AA497="Yes",OR(AQ497="company",AQ497="llp"),TRIM(I497)=""),"ROC needs the CIN / LLPIN; ","")</f>
        <v/>
      </c>
    </row>
    <row r="498">
      <c r="A498" s="30" t="n"/>
      <c r="B498" s="31" t="n"/>
      <c r="C498" s="31" t="n"/>
      <c r="D498" s="31" t="n"/>
      <c r="E498" s="30" t="n"/>
      <c r="F498" s="30" t="n"/>
      <c r="G498" s="30" t="n"/>
      <c r="H498" s="30" t="n"/>
      <c r="I498" s="30" t="n"/>
      <c r="J498" s="32" t="n"/>
      <c r="K498" s="31" t="n"/>
      <c r="L498" s="30" t="n"/>
      <c r="M498" s="31" t="n"/>
      <c r="N498" s="31" t="n"/>
      <c r="O498" s="31" t="n"/>
      <c r="P498" s="30" t="n"/>
      <c r="Q498" s="31" t="n"/>
      <c r="R498" s="31" t="n"/>
      <c r="S498" s="31" t="n"/>
      <c r="T498" s="31" t="n"/>
      <c r="U498" s="30" t="n"/>
      <c r="V498" s="31" t="n"/>
      <c r="W498" s="31" t="n"/>
      <c r="X498" s="31" t="n"/>
      <c r="Y498" s="31" t="n"/>
      <c r="Z498" s="31" t="n"/>
      <c r="AA498" s="31" t="n"/>
      <c r="AB498" s="31" t="n"/>
      <c r="AC498" s="31" t="n"/>
      <c r="AD498" s="31" t="n"/>
      <c r="AE498" s="31" t="n"/>
      <c r="AF498" s="27">
        <f>IF(NOT(COUNTA(A498:AE498)&gt;0),"",IF(A498="","New client","Update"))</f>
        <v/>
      </c>
      <c r="AG498" s="27">
        <f>IF(AO498&lt;&gt;"",AO498,IF(LEN(AN498)=15,MID(AN498,3,10),""))</f>
        <v/>
      </c>
      <c r="AH498" s="27">
        <f>IF(AP498="","",AP498&amp;IF(D498="","  (guessed from PAN)",""))</f>
        <v/>
      </c>
      <c r="AI498" s="27">
        <f>IF(AN498="","",IFERROR(INDEX(Lists!$L$2:$L$38,MATCH(LEFT(AN498,2),Lists!$K$2:$K$38,0)),"Unknown code"))</f>
        <v/>
      </c>
      <c r="AJ498" s="27">
        <f>IF(AN498="","",IFERROR(IF(NOT(AND(LEN(AN498)=15,ISNUMBER(MATCH(LEFT(AN498,2),Lists!$K$2:$K$38,0)),SUMPRODUCT(--ISERROR(FIND(MID(MID(AN498,3,10),{1,2,3,4,5,10},1),"ABCDEFGHIJKLMNOPQRSTUVWXYZ")))=0,SUMPRODUCT(--ISERROR(FIND(MID(MID(AN498,3,10),{6,7,8,9},1),"0123456789")))=0,ISNUMBER(FIND(MID(AN498,13,1),"123456789ABCDEFGHIJKLMNOPQRSTUVWXYZ")),MID(AN498,14,1)="Z")),"Wrong format",IF(MID("0123456789ABCDEFGHIJKLMNOPQRSTUVWXYZ",MOD(36-MOD(SUMPRODUCT(INT((FIND(MID(AN498,{1,2,3,4,5,6,7,8,9,10,11,12,13,14},1),"0123456789ABCDEFGHIJKLMNOPQRSTUVWXYZ")-1)*{1,2,1,2,1,2,1,2,1,2,1,2,1,2}/36)+MOD((FIND(MID(AN498,{1,2,3,4,5,6,7,8,9,10,11,12,13,14},1),"0123456789ABCDEFGHIJKLMNOPQRSTUVWXYZ")-1)*{1,2,1,2,1,2,1,2,1,2,1,2,1,2},36)),36),36)+1,1)=MID(AN498,15,1),"OK","Typo? check digit wrong")),"Wrong format"))</f>
        <v/>
      </c>
      <c r="AK498" s="27">
        <f>IF(AO498="","",IF(AND(LEN(AO498)=10,SUMPRODUCT(--ISERROR(FIND(MID(AO498,{1,2,3,4,5,10},1),"ABCDEFGHIJKLMNOPQRSTUVWXYZ")))=0,SUMPRODUCT(--ISERROR(FIND(MID(AO498,{6,7,8,9},1),"0123456789")))=0),"OK","Wrong format"))</f>
        <v/>
      </c>
      <c r="AL498" s="27">
        <f>IF(TRIM(H498)="","",IF(AND(LEN(UPPER(TRIM(H498)))=10,SUMPRODUCT(--ISERROR(FIND(MID(UPPER(TRIM(H498)),{1,2,3,4,10},1),"ABCDEFGHIJKLMNOPQRSTUVWXYZ")))=0,SUMPRODUCT(--ISERROR(FIND(MID(UPPER(TRIM(H498)),{5,6,7,8,9},1),"0123456789")))=0),"OK","Wrong format"))</f>
        <v/>
      </c>
      <c r="AM498" s="28">
        <f>IF(NOT(COUNTA(A498:AE498)&gt;0),"",IF(AS498&lt;&gt;"","✖ "&amp;LEFT(AS498,LEN(AS498)-2),IF(AR498&gt;0,"✔ Ready — client + "&amp;AR498&amp;" service(s)","✔ Ready — client only")))</f>
        <v/>
      </c>
      <c r="AN498" s="29">
        <f>UPPER(SUBSTITUTE(TRIM(F498)," ",""))</f>
        <v/>
      </c>
      <c r="AO498" s="29">
        <f>UPPER(SUBSTITUTE(TRIM(E498)," ",""))</f>
        <v/>
      </c>
      <c r="AP498" s="29">
        <f>IF(D498&lt;&gt;"",D498,IFERROR(VLOOKUP(MID(AG498,4,1),Lists!$E$2:$F$8,2,FALSE),""))</f>
        <v/>
      </c>
      <c r="AQ498" s="29">
        <f>IFERROR(VLOOKUP(AP498,Lists!$A$2:$C$12,3,FALSE),"")</f>
        <v/>
      </c>
      <c r="AR498" s="29">
        <f>COUNTIF(W498:AC498,"Yes")</f>
        <v/>
      </c>
      <c r="AS498" s="29">
        <f>IF(TRIM(B498)="","Legal name missing; ","")&amp;IF(AND(AJ498&lt;&gt;"",AJ498&lt;&gt;"OK"),"GSTIN: "&amp;AJ498&amp;"; ","")&amp;IF(AND(AK498&lt;&gt;"",AK498&lt;&gt;"OK"),"PAN wrong format; ","")&amp;IF(AND(AO498&lt;&gt;"",LEN(AN498)=15,MID(AN498,3,10)&lt;&gt;AO498),"PAN does not match GSTIN; ","")&amp;IF(AND(AL498&lt;&gt;"",AL498&lt;&gt;"OK"),"TAN wrong format; ","")&amp;IF(AG498="","PAN missing; ","")&amp;IF(AP498="","Entity type missing; ","")&amp;IF(AND(AN498&lt;&gt;"",COUNTIF($AN$6:$AN$1005,AN498)&gt;1),"GSTIN repeated in this sheet; ","")&amp;IF(AND(AG498&lt;&gt;"",COUNTIF($AG$6:$AG$1005,AG498)&gt;1),"PAN repeated in this sheet (same client? put extra GSTINs in Other GSTINs); ","")&amp;IF(AND(AR498&gt;0,V498=""),"Financial year missing; ","")&amp;IF(AND(AR498=0,V498&lt;&gt;""),"Financial year given but no service is Yes; ","")&amp;IF(AND(W498="Yes",AN498=""),"GST needs a GSTIN; ","")&amp;IF(AND(W498="Yes",X498=""),"GST return frequency missing; ","")&amp;IF(AND(Y498="Yes",TRIM(H498)=""),"TDS needs a TAN; ","")&amp;IF(AND(AA498="Yes",AQ498&lt;&gt;"",AQ498&lt;&gt;"company",AQ498&lt;&gt;"llp"),"ROC is only for a company / LLP; ","")&amp;IF(AND(AA498="Yes",OR(AQ498="company",AQ498="llp"),TRIM(I498)=""),"ROC needs the CIN / LLPIN; ","")</f>
        <v/>
      </c>
    </row>
    <row r="499">
      <c r="A499" s="30" t="n"/>
      <c r="B499" s="31" t="n"/>
      <c r="C499" s="31" t="n"/>
      <c r="D499" s="31" t="n"/>
      <c r="E499" s="30" t="n"/>
      <c r="F499" s="30" t="n"/>
      <c r="G499" s="30" t="n"/>
      <c r="H499" s="30" t="n"/>
      <c r="I499" s="30" t="n"/>
      <c r="J499" s="32" t="n"/>
      <c r="K499" s="31" t="n"/>
      <c r="L499" s="30" t="n"/>
      <c r="M499" s="31" t="n"/>
      <c r="N499" s="31" t="n"/>
      <c r="O499" s="31" t="n"/>
      <c r="P499" s="30" t="n"/>
      <c r="Q499" s="31" t="n"/>
      <c r="R499" s="31" t="n"/>
      <c r="S499" s="31" t="n"/>
      <c r="T499" s="31" t="n"/>
      <c r="U499" s="30" t="n"/>
      <c r="V499" s="31" t="n"/>
      <c r="W499" s="31" t="n"/>
      <c r="X499" s="31" t="n"/>
      <c r="Y499" s="31" t="n"/>
      <c r="Z499" s="31" t="n"/>
      <c r="AA499" s="31" t="n"/>
      <c r="AB499" s="31" t="n"/>
      <c r="AC499" s="31" t="n"/>
      <c r="AD499" s="31" t="n"/>
      <c r="AE499" s="31" t="n"/>
      <c r="AF499" s="27">
        <f>IF(NOT(COUNTA(A499:AE499)&gt;0),"",IF(A499="","New client","Update"))</f>
        <v/>
      </c>
      <c r="AG499" s="27">
        <f>IF(AO499&lt;&gt;"",AO499,IF(LEN(AN499)=15,MID(AN499,3,10),""))</f>
        <v/>
      </c>
      <c r="AH499" s="27">
        <f>IF(AP499="","",AP499&amp;IF(D499="","  (guessed from PAN)",""))</f>
        <v/>
      </c>
      <c r="AI499" s="27">
        <f>IF(AN499="","",IFERROR(INDEX(Lists!$L$2:$L$38,MATCH(LEFT(AN499,2),Lists!$K$2:$K$38,0)),"Unknown code"))</f>
        <v/>
      </c>
      <c r="AJ499" s="27">
        <f>IF(AN499="","",IFERROR(IF(NOT(AND(LEN(AN499)=15,ISNUMBER(MATCH(LEFT(AN499,2),Lists!$K$2:$K$38,0)),SUMPRODUCT(--ISERROR(FIND(MID(MID(AN499,3,10),{1,2,3,4,5,10},1),"ABCDEFGHIJKLMNOPQRSTUVWXYZ")))=0,SUMPRODUCT(--ISERROR(FIND(MID(MID(AN499,3,10),{6,7,8,9},1),"0123456789")))=0,ISNUMBER(FIND(MID(AN499,13,1),"123456789ABCDEFGHIJKLMNOPQRSTUVWXYZ")),MID(AN499,14,1)="Z")),"Wrong format",IF(MID("0123456789ABCDEFGHIJKLMNOPQRSTUVWXYZ",MOD(36-MOD(SUMPRODUCT(INT((FIND(MID(AN499,{1,2,3,4,5,6,7,8,9,10,11,12,13,14},1),"0123456789ABCDEFGHIJKLMNOPQRSTUVWXYZ")-1)*{1,2,1,2,1,2,1,2,1,2,1,2,1,2}/36)+MOD((FIND(MID(AN499,{1,2,3,4,5,6,7,8,9,10,11,12,13,14},1),"0123456789ABCDEFGHIJKLMNOPQRSTUVWXYZ")-1)*{1,2,1,2,1,2,1,2,1,2,1,2,1,2},36)),36),36)+1,1)=MID(AN499,15,1),"OK","Typo? check digit wrong")),"Wrong format"))</f>
        <v/>
      </c>
      <c r="AK499" s="27">
        <f>IF(AO499="","",IF(AND(LEN(AO499)=10,SUMPRODUCT(--ISERROR(FIND(MID(AO499,{1,2,3,4,5,10},1),"ABCDEFGHIJKLMNOPQRSTUVWXYZ")))=0,SUMPRODUCT(--ISERROR(FIND(MID(AO499,{6,7,8,9},1),"0123456789")))=0),"OK","Wrong format"))</f>
        <v/>
      </c>
      <c r="AL499" s="27">
        <f>IF(TRIM(H499)="","",IF(AND(LEN(UPPER(TRIM(H499)))=10,SUMPRODUCT(--ISERROR(FIND(MID(UPPER(TRIM(H499)),{1,2,3,4,10},1),"ABCDEFGHIJKLMNOPQRSTUVWXYZ")))=0,SUMPRODUCT(--ISERROR(FIND(MID(UPPER(TRIM(H499)),{5,6,7,8,9},1),"0123456789")))=0),"OK","Wrong format"))</f>
        <v/>
      </c>
      <c r="AM499" s="28">
        <f>IF(NOT(COUNTA(A499:AE499)&gt;0),"",IF(AS499&lt;&gt;"","✖ "&amp;LEFT(AS499,LEN(AS499)-2),IF(AR499&gt;0,"✔ Ready — client + "&amp;AR499&amp;" service(s)","✔ Ready — client only")))</f>
        <v/>
      </c>
      <c r="AN499" s="29">
        <f>UPPER(SUBSTITUTE(TRIM(F499)," ",""))</f>
        <v/>
      </c>
      <c r="AO499" s="29">
        <f>UPPER(SUBSTITUTE(TRIM(E499)," ",""))</f>
        <v/>
      </c>
      <c r="AP499" s="29">
        <f>IF(D499&lt;&gt;"",D499,IFERROR(VLOOKUP(MID(AG499,4,1),Lists!$E$2:$F$8,2,FALSE),""))</f>
        <v/>
      </c>
      <c r="AQ499" s="29">
        <f>IFERROR(VLOOKUP(AP499,Lists!$A$2:$C$12,3,FALSE),"")</f>
        <v/>
      </c>
      <c r="AR499" s="29">
        <f>COUNTIF(W499:AC499,"Yes")</f>
        <v/>
      </c>
      <c r="AS499" s="29">
        <f>IF(TRIM(B499)="","Legal name missing; ","")&amp;IF(AND(AJ499&lt;&gt;"",AJ499&lt;&gt;"OK"),"GSTIN: "&amp;AJ499&amp;"; ","")&amp;IF(AND(AK499&lt;&gt;"",AK499&lt;&gt;"OK"),"PAN wrong format; ","")&amp;IF(AND(AO499&lt;&gt;"",LEN(AN499)=15,MID(AN499,3,10)&lt;&gt;AO499),"PAN does not match GSTIN; ","")&amp;IF(AND(AL499&lt;&gt;"",AL499&lt;&gt;"OK"),"TAN wrong format; ","")&amp;IF(AG499="","PAN missing; ","")&amp;IF(AP499="","Entity type missing; ","")&amp;IF(AND(AN499&lt;&gt;"",COUNTIF($AN$6:$AN$1005,AN499)&gt;1),"GSTIN repeated in this sheet; ","")&amp;IF(AND(AG499&lt;&gt;"",COUNTIF($AG$6:$AG$1005,AG499)&gt;1),"PAN repeated in this sheet (same client? put extra GSTINs in Other GSTINs); ","")&amp;IF(AND(AR499&gt;0,V499=""),"Financial year missing; ","")&amp;IF(AND(AR499=0,V499&lt;&gt;""),"Financial year given but no service is Yes; ","")&amp;IF(AND(W499="Yes",AN499=""),"GST needs a GSTIN; ","")&amp;IF(AND(W499="Yes",X499=""),"GST return frequency missing; ","")&amp;IF(AND(Y499="Yes",TRIM(H499)=""),"TDS needs a TAN; ","")&amp;IF(AND(AA499="Yes",AQ499&lt;&gt;"",AQ499&lt;&gt;"company",AQ499&lt;&gt;"llp"),"ROC is only for a company / LLP; ","")&amp;IF(AND(AA499="Yes",OR(AQ499="company",AQ499="llp"),TRIM(I499)=""),"ROC needs the CIN / LLPIN; ","")</f>
        <v/>
      </c>
    </row>
    <row r="500">
      <c r="A500" s="30" t="n"/>
      <c r="B500" s="31" t="n"/>
      <c r="C500" s="31" t="n"/>
      <c r="D500" s="31" t="n"/>
      <c r="E500" s="30" t="n"/>
      <c r="F500" s="30" t="n"/>
      <c r="G500" s="30" t="n"/>
      <c r="H500" s="30" t="n"/>
      <c r="I500" s="30" t="n"/>
      <c r="J500" s="32" t="n"/>
      <c r="K500" s="31" t="n"/>
      <c r="L500" s="30" t="n"/>
      <c r="M500" s="31" t="n"/>
      <c r="N500" s="31" t="n"/>
      <c r="O500" s="31" t="n"/>
      <c r="P500" s="30" t="n"/>
      <c r="Q500" s="31" t="n"/>
      <c r="R500" s="31" t="n"/>
      <c r="S500" s="31" t="n"/>
      <c r="T500" s="31" t="n"/>
      <c r="U500" s="30" t="n"/>
      <c r="V500" s="31" t="n"/>
      <c r="W500" s="31" t="n"/>
      <c r="X500" s="31" t="n"/>
      <c r="Y500" s="31" t="n"/>
      <c r="Z500" s="31" t="n"/>
      <c r="AA500" s="31" t="n"/>
      <c r="AB500" s="31" t="n"/>
      <c r="AC500" s="31" t="n"/>
      <c r="AD500" s="31" t="n"/>
      <c r="AE500" s="31" t="n"/>
      <c r="AF500" s="27">
        <f>IF(NOT(COUNTA(A500:AE500)&gt;0),"",IF(A500="","New client","Update"))</f>
        <v/>
      </c>
      <c r="AG500" s="27">
        <f>IF(AO500&lt;&gt;"",AO500,IF(LEN(AN500)=15,MID(AN500,3,10),""))</f>
        <v/>
      </c>
      <c r="AH500" s="27">
        <f>IF(AP500="","",AP500&amp;IF(D500="","  (guessed from PAN)",""))</f>
        <v/>
      </c>
      <c r="AI500" s="27">
        <f>IF(AN500="","",IFERROR(INDEX(Lists!$L$2:$L$38,MATCH(LEFT(AN500,2),Lists!$K$2:$K$38,0)),"Unknown code"))</f>
        <v/>
      </c>
      <c r="AJ500" s="27">
        <f>IF(AN500="","",IFERROR(IF(NOT(AND(LEN(AN500)=15,ISNUMBER(MATCH(LEFT(AN500,2),Lists!$K$2:$K$38,0)),SUMPRODUCT(--ISERROR(FIND(MID(MID(AN500,3,10),{1,2,3,4,5,10},1),"ABCDEFGHIJKLMNOPQRSTUVWXYZ")))=0,SUMPRODUCT(--ISERROR(FIND(MID(MID(AN500,3,10),{6,7,8,9},1),"0123456789")))=0,ISNUMBER(FIND(MID(AN500,13,1),"123456789ABCDEFGHIJKLMNOPQRSTUVWXYZ")),MID(AN500,14,1)="Z")),"Wrong format",IF(MID("0123456789ABCDEFGHIJKLMNOPQRSTUVWXYZ",MOD(36-MOD(SUMPRODUCT(INT((FIND(MID(AN500,{1,2,3,4,5,6,7,8,9,10,11,12,13,14},1),"0123456789ABCDEFGHIJKLMNOPQRSTUVWXYZ")-1)*{1,2,1,2,1,2,1,2,1,2,1,2,1,2}/36)+MOD((FIND(MID(AN500,{1,2,3,4,5,6,7,8,9,10,11,12,13,14},1),"0123456789ABCDEFGHIJKLMNOPQRSTUVWXYZ")-1)*{1,2,1,2,1,2,1,2,1,2,1,2,1,2},36)),36),36)+1,1)=MID(AN500,15,1),"OK","Typo? check digit wrong")),"Wrong format"))</f>
        <v/>
      </c>
      <c r="AK500" s="27">
        <f>IF(AO500="","",IF(AND(LEN(AO500)=10,SUMPRODUCT(--ISERROR(FIND(MID(AO500,{1,2,3,4,5,10},1),"ABCDEFGHIJKLMNOPQRSTUVWXYZ")))=0,SUMPRODUCT(--ISERROR(FIND(MID(AO500,{6,7,8,9},1),"0123456789")))=0),"OK","Wrong format"))</f>
        <v/>
      </c>
      <c r="AL500" s="27">
        <f>IF(TRIM(H500)="","",IF(AND(LEN(UPPER(TRIM(H500)))=10,SUMPRODUCT(--ISERROR(FIND(MID(UPPER(TRIM(H500)),{1,2,3,4,10},1),"ABCDEFGHIJKLMNOPQRSTUVWXYZ")))=0,SUMPRODUCT(--ISERROR(FIND(MID(UPPER(TRIM(H500)),{5,6,7,8,9},1),"0123456789")))=0),"OK","Wrong format"))</f>
        <v/>
      </c>
      <c r="AM500" s="28">
        <f>IF(NOT(COUNTA(A500:AE500)&gt;0),"",IF(AS500&lt;&gt;"","✖ "&amp;LEFT(AS500,LEN(AS500)-2),IF(AR500&gt;0,"✔ Ready — client + "&amp;AR500&amp;" service(s)","✔ Ready — client only")))</f>
        <v/>
      </c>
      <c r="AN500" s="29">
        <f>UPPER(SUBSTITUTE(TRIM(F500)," ",""))</f>
        <v/>
      </c>
      <c r="AO500" s="29">
        <f>UPPER(SUBSTITUTE(TRIM(E500)," ",""))</f>
        <v/>
      </c>
      <c r="AP500" s="29">
        <f>IF(D500&lt;&gt;"",D500,IFERROR(VLOOKUP(MID(AG500,4,1),Lists!$E$2:$F$8,2,FALSE),""))</f>
        <v/>
      </c>
      <c r="AQ500" s="29">
        <f>IFERROR(VLOOKUP(AP500,Lists!$A$2:$C$12,3,FALSE),"")</f>
        <v/>
      </c>
      <c r="AR500" s="29">
        <f>COUNTIF(W500:AC500,"Yes")</f>
        <v/>
      </c>
      <c r="AS500" s="29">
        <f>IF(TRIM(B500)="","Legal name missing; ","")&amp;IF(AND(AJ500&lt;&gt;"",AJ500&lt;&gt;"OK"),"GSTIN: "&amp;AJ500&amp;"; ","")&amp;IF(AND(AK500&lt;&gt;"",AK500&lt;&gt;"OK"),"PAN wrong format; ","")&amp;IF(AND(AO500&lt;&gt;"",LEN(AN500)=15,MID(AN500,3,10)&lt;&gt;AO500),"PAN does not match GSTIN; ","")&amp;IF(AND(AL500&lt;&gt;"",AL500&lt;&gt;"OK"),"TAN wrong format; ","")&amp;IF(AG500="","PAN missing; ","")&amp;IF(AP500="","Entity type missing; ","")&amp;IF(AND(AN500&lt;&gt;"",COUNTIF($AN$6:$AN$1005,AN500)&gt;1),"GSTIN repeated in this sheet; ","")&amp;IF(AND(AG500&lt;&gt;"",COUNTIF($AG$6:$AG$1005,AG500)&gt;1),"PAN repeated in this sheet (same client? put extra GSTINs in Other GSTINs); ","")&amp;IF(AND(AR500&gt;0,V500=""),"Financial year missing; ","")&amp;IF(AND(AR500=0,V500&lt;&gt;""),"Financial year given but no service is Yes; ","")&amp;IF(AND(W500="Yes",AN500=""),"GST needs a GSTIN; ","")&amp;IF(AND(W500="Yes",X500=""),"GST return frequency missing; ","")&amp;IF(AND(Y500="Yes",TRIM(H500)=""),"TDS needs a TAN; ","")&amp;IF(AND(AA500="Yes",AQ500&lt;&gt;"",AQ500&lt;&gt;"company",AQ500&lt;&gt;"llp"),"ROC is only for a company / LLP; ","")&amp;IF(AND(AA500="Yes",OR(AQ500="company",AQ500="llp"),TRIM(I500)=""),"ROC needs the CIN / LLPIN; ","")</f>
        <v/>
      </c>
    </row>
    <row r="501">
      <c r="A501" s="30" t="n"/>
      <c r="B501" s="31" t="n"/>
      <c r="C501" s="31" t="n"/>
      <c r="D501" s="31" t="n"/>
      <c r="E501" s="30" t="n"/>
      <c r="F501" s="30" t="n"/>
      <c r="G501" s="30" t="n"/>
      <c r="H501" s="30" t="n"/>
      <c r="I501" s="30" t="n"/>
      <c r="J501" s="32" t="n"/>
      <c r="K501" s="31" t="n"/>
      <c r="L501" s="30" t="n"/>
      <c r="M501" s="31" t="n"/>
      <c r="N501" s="31" t="n"/>
      <c r="O501" s="31" t="n"/>
      <c r="P501" s="30" t="n"/>
      <c r="Q501" s="31" t="n"/>
      <c r="R501" s="31" t="n"/>
      <c r="S501" s="31" t="n"/>
      <c r="T501" s="31" t="n"/>
      <c r="U501" s="30" t="n"/>
      <c r="V501" s="31" t="n"/>
      <c r="W501" s="31" t="n"/>
      <c r="X501" s="31" t="n"/>
      <c r="Y501" s="31" t="n"/>
      <c r="Z501" s="31" t="n"/>
      <c r="AA501" s="31" t="n"/>
      <c r="AB501" s="31" t="n"/>
      <c r="AC501" s="31" t="n"/>
      <c r="AD501" s="31" t="n"/>
      <c r="AE501" s="31" t="n"/>
      <c r="AF501" s="27">
        <f>IF(NOT(COUNTA(A501:AE501)&gt;0),"",IF(A501="","New client","Update"))</f>
        <v/>
      </c>
      <c r="AG501" s="27">
        <f>IF(AO501&lt;&gt;"",AO501,IF(LEN(AN501)=15,MID(AN501,3,10),""))</f>
        <v/>
      </c>
      <c r="AH501" s="27">
        <f>IF(AP501="","",AP501&amp;IF(D501="","  (guessed from PAN)",""))</f>
        <v/>
      </c>
      <c r="AI501" s="27">
        <f>IF(AN501="","",IFERROR(INDEX(Lists!$L$2:$L$38,MATCH(LEFT(AN501,2),Lists!$K$2:$K$38,0)),"Unknown code"))</f>
        <v/>
      </c>
      <c r="AJ501" s="27">
        <f>IF(AN501="","",IFERROR(IF(NOT(AND(LEN(AN501)=15,ISNUMBER(MATCH(LEFT(AN501,2),Lists!$K$2:$K$38,0)),SUMPRODUCT(--ISERROR(FIND(MID(MID(AN501,3,10),{1,2,3,4,5,10},1),"ABCDEFGHIJKLMNOPQRSTUVWXYZ")))=0,SUMPRODUCT(--ISERROR(FIND(MID(MID(AN501,3,10),{6,7,8,9},1),"0123456789")))=0,ISNUMBER(FIND(MID(AN501,13,1),"123456789ABCDEFGHIJKLMNOPQRSTUVWXYZ")),MID(AN501,14,1)="Z")),"Wrong format",IF(MID("0123456789ABCDEFGHIJKLMNOPQRSTUVWXYZ",MOD(36-MOD(SUMPRODUCT(INT((FIND(MID(AN501,{1,2,3,4,5,6,7,8,9,10,11,12,13,14},1),"0123456789ABCDEFGHIJKLMNOPQRSTUVWXYZ")-1)*{1,2,1,2,1,2,1,2,1,2,1,2,1,2}/36)+MOD((FIND(MID(AN501,{1,2,3,4,5,6,7,8,9,10,11,12,13,14},1),"0123456789ABCDEFGHIJKLMNOPQRSTUVWXYZ")-1)*{1,2,1,2,1,2,1,2,1,2,1,2,1,2},36)),36),36)+1,1)=MID(AN501,15,1),"OK","Typo? check digit wrong")),"Wrong format"))</f>
        <v/>
      </c>
      <c r="AK501" s="27">
        <f>IF(AO501="","",IF(AND(LEN(AO501)=10,SUMPRODUCT(--ISERROR(FIND(MID(AO501,{1,2,3,4,5,10},1),"ABCDEFGHIJKLMNOPQRSTUVWXYZ")))=0,SUMPRODUCT(--ISERROR(FIND(MID(AO501,{6,7,8,9},1),"0123456789")))=0),"OK","Wrong format"))</f>
        <v/>
      </c>
      <c r="AL501" s="27">
        <f>IF(TRIM(H501)="","",IF(AND(LEN(UPPER(TRIM(H501)))=10,SUMPRODUCT(--ISERROR(FIND(MID(UPPER(TRIM(H501)),{1,2,3,4,10},1),"ABCDEFGHIJKLMNOPQRSTUVWXYZ")))=0,SUMPRODUCT(--ISERROR(FIND(MID(UPPER(TRIM(H501)),{5,6,7,8,9},1),"0123456789")))=0),"OK","Wrong format"))</f>
        <v/>
      </c>
      <c r="AM501" s="28">
        <f>IF(NOT(COUNTA(A501:AE501)&gt;0),"",IF(AS501&lt;&gt;"","✖ "&amp;LEFT(AS501,LEN(AS501)-2),IF(AR501&gt;0,"✔ Ready — client + "&amp;AR501&amp;" service(s)","✔ Ready — client only")))</f>
        <v/>
      </c>
      <c r="AN501" s="29">
        <f>UPPER(SUBSTITUTE(TRIM(F501)," ",""))</f>
        <v/>
      </c>
      <c r="AO501" s="29">
        <f>UPPER(SUBSTITUTE(TRIM(E501)," ",""))</f>
        <v/>
      </c>
      <c r="AP501" s="29">
        <f>IF(D501&lt;&gt;"",D501,IFERROR(VLOOKUP(MID(AG501,4,1),Lists!$E$2:$F$8,2,FALSE),""))</f>
        <v/>
      </c>
      <c r="AQ501" s="29">
        <f>IFERROR(VLOOKUP(AP501,Lists!$A$2:$C$12,3,FALSE),"")</f>
        <v/>
      </c>
      <c r="AR501" s="29">
        <f>COUNTIF(W501:AC501,"Yes")</f>
        <v/>
      </c>
      <c r="AS501" s="29">
        <f>IF(TRIM(B501)="","Legal name missing; ","")&amp;IF(AND(AJ501&lt;&gt;"",AJ501&lt;&gt;"OK"),"GSTIN: "&amp;AJ501&amp;"; ","")&amp;IF(AND(AK501&lt;&gt;"",AK501&lt;&gt;"OK"),"PAN wrong format; ","")&amp;IF(AND(AO501&lt;&gt;"",LEN(AN501)=15,MID(AN501,3,10)&lt;&gt;AO501),"PAN does not match GSTIN; ","")&amp;IF(AND(AL501&lt;&gt;"",AL501&lt;&gt;"OK"),"TAN wrong format; ","")&amp;IF(AG501="","PAN missing; ","")&amp;IF(AP501="","Entity type missing; ","")&amp;IF(AND(AN501&lt;&gt;"",COUNTIF($AN$6:$AN$1005,AN501)&gt;1),"GSTIN repeated in this sheet; ","")&amp;IF(AND(AG501&lt;&gt;"",COUNTIF($AG$6:$AG$1005,AG501)&gt;1),"PAN repeated in this sheet (same client? put extra GSTINs in Other GSTINs); ","")&amp;IF(AND(AR501&gt;0,V501=""),"Financial year missing; ","")&amp;IF(AND(AR501=0,V501&lt;&gt;""),"Financial year given but no service is Yes; ","")&amp;IF(AND(W501="Yes",AN501=""),"GST needs a GSTIN; ","")&amp;IF(AND(W501="Yes",X501=""),"GST return frequency missing; ","")&amp;IF(AND(Y501="Yes",TRIM(H501)=""),"TDS needs a TAN; ","")&amp;IF(AND(AA501="Yes",AQ501&lt;&gt;"",AQ501&lt;&gt;"company",AQ501&lt;&gt;"llp"),"ROC is only for a company / LLP; ","")&amp;IF(AND(AA501="Yes",OR(AQ501="company",AQ501="llp"),TRIM(I501)=""),"ROC needs the CIN / LLPIN; ","")</f>
        <v/>
      </c>
    </row>
    <row r="502">
      <c r="A502" s="30" t="n"/>
      <c r="B502" s="31" t="n"/>
      <c r="C502" s="31" t="n"/>
      <c r="D502" s="31" t="n"/>
      <c r="E502" s="30" t="n"/>
      <c r="F502" s="30" t="n"/>
      <c r="G502" s="30" t="n"/>
      <c r="H502" s="30" t="n"/>
      <c r="I502" s="30" t="n"/>
      <c r="J502" s="32" t="n"/>
      <c r="K502" s="31" t="n"/>
      <c r="L502" s="30" t="n"/>
      <c r="M502" s="31" t="n"/>
      <c r="N502" s="31" t="n"/>
      <c r="O502" s="31" t="n"/>
      <c r="P502" s="30" t="n"/>
      <c r="Q502" s="31" t="n"/>
      <c r="R502" s="31" t="n"/>
      <c r="S502" s="31" t="n"/>
      <c r="T502" s="31" t="n"/>
      <c r="U502" s="30" t="n"/>
      <c r="V502" s="31" t="n"/>
      <c r="W502" s="31" t="n"/>
      <c r="X502" s="31" t="n"/>
      <c r="Y502" s="31" t="n"/>
      <c r="Z502" s="31" t="n"/>
      <c r="AA502" s="31" t="n"/>
      <c r="AB502" s="31" t="n"/>
      <c r="AC502" s="31" t="n"/>
      <c r="AD502" s="31" t="n"/>
      <c r="AE502" s="31" t="n"/>
      <c r="AF502" s="27">
        <f>IF(NOT(COUNTA(A502:AE502)&gt;0),"",IF(A502="","New client","Update"))</f>
        <v/>
      </c>
      <c r="AG502" s="27">
        <f>IF(AO502&lt;&gt;"",AO502,IF(LEN(AN502)=15,MID(AN502,3,10),""))</f>
        <v/>
      </c>
      <c r="AH502" s="27">
        <f>IF(AP502="","",AP502&amp;IF(D502="","  (guessed from PAN)",""))</f>
        <v/>
      </c>
      <c r="AI502" s="27">
        <f>IF(AN502="","",IFERROR(INDEX(Lists!$L$2:$L$38,MATCH(LEFT(AN502,2),Lists!$K$2:$K$38,0)),"Unknown code"))</f>
        <v/>
      </c>
      <c r="AJ502" s="27">
        <f>IF(AN502="","",IFERROR(IF(NOT(AND(LEN(AN502)=15,ISNUMBER(MATCH(LEFT(AN502,2),Lists!$K$2:$K$38,0)),SUMPRODUCT(--ISERROR(FIND(MID(MID(AN502,3,10),{1,2,3,4,5,10},1),"ABCDEFGHIJKLMNOPQRSTUVWXYZ")))=0,SUMPRODUCT(--ISERROR(FIND(MID(MID(AN502,3,10),{6,7,8,9},1),"0123456789")))=0,ISNUMBER(FIND(MID(AN502,13,1),"123456789ABCDEFGHIJKLMNOPQRSTUVWXYZ")),MID(AN502,14,1)="Z")),"Wrong format",IF(MID("0123456789ABCDEFGHIJKLMNOPQRSTUVWXYZ",MOD(36-MOD(SUMPRODUCT(INT((FIND(MID(AN502,{1,2,3,4,5,6,7,8,9,10,11,12,13,14},1),"0123456789ABCDEFGHIJKLMNOPQRSTUVWXYZ")-1)*{1,2,1,2,1,2,1,2,1,2,1,2,1,2}/36)+MOD((FIND(MID(AN502,{1,2,3,4,5,6,7,8,9,10,11,12,13,14},1),"0123456789ABCDEFGHIJKLMNOPQRSTUVWXYZ")-1)*{1,2,1,2,1,2,1,2,1,2,1,2,1,2},36)),36),36)+1,1)=MID(AN502,15,1),"OK","Typo? check digit wrong")),"Wrong format"))</f>
        <v/>
      </c>
      <c r="AK502" s="27">
        <f>IF(AO502="","",IF(AND(LEN(AO502)=10,SUMPRODUCT(--ISERROR(FIND(MID(AO502,{1,2,3,4,5,10},1),"ABCDEFGHIJKLMNOPQRSTUVWXYZ")))=0,SUMPRODUCT(--ISERROR(FIND(MID(AO502,{6,7,8,9},1),"0123456789")))=0),"OK","Wrong format"))</f>
        <v/>
      </c>
      <c r="AL502" s="27">
        <f>IF(TRIM(H502)="","",IF(AND(LEN(UPPER(TRIM(H502)))=10,SUMPRODUCT(--ISERROR(FIND(MID(UPPER(TRIM(H502)),{1,2,3,4,10},1),"ABCDEFGHIJKLMNOPQRSTUVWXYZ")))=0,SUMPRODUCT(--ISERROR(FIND(MID(UPPER(TRIM(H502)),{5,6,7,8,9},1),"0123456789")))=0),"OK","Wrong format"))</f>
        <v/>
      </c>
      <c r="AM502" s="28">
        <f>IF(NOT(COUNTA(A502:AE502)&gt;0),"",IF(AS502&lt;&gt;"","✖ "&amp;LEFT(AS502,LEN(AS502)-2),IF(AR502&gt;0,"✔ Ready — client + "&amp;AR502&amp;" service(s)","✔ Ready — client only")))</f>
        <v/>
      </c>
      <c r="AN502" s="29">
        <f>UPPER(SUBSTITUTE(TRIM(F502)," ",""))</f>
        <v/>
      </c>
      <c r="AO502" s="29">
        <f>UPPER(SUBSTITUTE(TRIM(E502)," ",""))</f>
        <v/>
      </c>
      <c r="AP502" s="29">
        <f>IF(D502&lt;&gt;"",D502,IFERROR(VLOOKUP(MID(AG502,4,1),Lists!$E$2:$F$8,2,FALSE),""))</f>
        <v/>
      </c>
      <c r="AQ502" s="29">
        <f>IFERROR(VLOOKUP(AP502,Lists!$A$2:$C$12,3,FALSE),"")</f>
        <v/>
      </c>
      <c r="AR502" s="29">
        <f>COUNTIF(W502:AC502,"Yes")</f>
        <v/>
      </c>
      <c r="AS502" s="29">
        <f>IF(TRIM(B502)="","Legal name missing; ","")&amp;IF(AND(AJ502&lt;&gt;"",AJ502&lt;&gt;"OK"),"GSTIN: "&amp;AJ502&amp;"; ","")&amp;IF(AND(AK502&lt;&gt;"",AK502&lt;&gt;"OK"),"PAN wrong format; ","")&amp;IF(AND(AO502&lt;&gt;"",LEN(AN502)=15,MID(AN502,3,10)&lt;&gt;AO502),"PAN does not match GSTIN; ","")&amp;IF(AND(AL502&lt;&gt;"",AL502&lt;&gt;"OK"),"TAN wrong format; ","")&amp;IF(AG502="","PAN missing; ","")&amp;IF(AP502="","Entity type missing; ","")&amp;IF(AND(AN502&lt;&gt;"",COUNTIF($AN$6:$AN$1005,AN502)&gt;1),"GSTIN repeated in this sheet; ","")&amp;IF(AND(AG502&lt;&gt;"",COUNTIF($AG$6:$AG$1005,AG502)&gt;1),"PAN repeated in this sheet (same client? put extra GSTINs in Other GSTINs); ","")&amp;IF(AND(AR502&gt;0,V502=""),"Financial year missing; ","")&amp;IF(AND(AR502=0,V502&lt;&gt;""),"Financial year given but no service is Yes; ","")&amp;IF(AND(W502="Yes",AN502=""),"GST needs a GSTIN; ","")&amp;IF(AND(W502="Yes",X502=""),"GST return frequency missing; ","")&amp;IF(AND(Y502="Yes",TRIM(H502)=""),"TDS needs a TAN; ","")&amp;IF(AND(AA502="Yes",AQ502&lt;&gt;"",AQ502&lt;&gt;"company",AQ502&lt;&gt;"llp"),"ROC is only for a company / LLP; ","")&amp;IF(AND(AA502="Yes",OR(AQ502="company",AQ502="llp"),TRIM(I502)=""),"ROC needs the CIN / LLPIN; ","")</f>
        <v/>
      </c>
    </row>
    <row r="503">
      <c r="A503" s="30" t="n"/>
      <c r="B503" s="31" t="n"/>
      <c r="C503" s="31" t="n"/>
      <c r="D503" s="31" t="n"/>
      <c r="E503" s="30" t="n"/>
      <c r="F503" s="30" t="n"/>
      <c r="G503" s="30" t="n"/>
      <c r="H503" s="30" t="n"/>
      <c r="I503" s="30" t="n"/>
      <c r="J503" s="32" t="n"/>
      <c r="K503" s="31" t="n"/>
      <c r="L503" s="30" t="n"/>
      <c r="M503" s="31" t="n"/>
      <c r="N503" s="31" t="n"/>
      <c r="O503" s="31" t="n"/>
      <c r="P503" s="30" t="n"/>
      <c r="Q503" s="31" t="n"/>
      <c r="R503" s="31" t="n"/>
      <c r="S503" s="31" t="n"/>
      <c r="T503" s="31" t="n"/>
      <c r="U503" s="30" t="n"/>
      <c r="V503" s="31" t="n"/>
      <c r="W503" s="31" t="n"/>
      <c r="X503" s="31" t="n"/>
      <c r="Y503" s="31" t="n"/>
      <c r="Z503" s="31" t="n"/>
      <c r="AA503" s="31" t="n"/>
      <c r="AB503" s="31" t="n"/>
      <c r="AC503" s="31" t="n"/>
      <c r="AD503" s="31" t="n"/>
      <c r="AE503" s="31" t="n"/>
      <c r="AF503" s="27">
        <f>IF(NOT(COUNTA(A503:AE503)&gt;0),"",IF(A503="","New client","Update"))</f>
        <v/>
      </c>
      <c r="AG503" s="27">
        <f>IF(AO503&lt;&gt;"",AO503,IF(LEN(AN503)=15,MID(AN503,3,10),""))</f>
        <v/>
      </c>
      <c r="AH503" s="27">
        <f>IF(AP503="","",AP503&amp;IF(D503="","  (guessed from PAN)",""))</f>
        <v/>
      </c>
      <c r="AI503" s="27">
        <f>IF(AN503="","",IFERROR(INDEX(Lists!$L$2:$L$38,MATCH(LEFT(AN503,2),Lists!$K$2:$K$38,0)),"Unknown code"))</f>
        <v/>
      </c>
      <c r="AJ503" s="27">
        <f>IF(AN503="","",IFERROR(IF(NOT(AND(LEN(AN503)=15,ISNUMBER(MATCH(LEFT(AN503,2),Lists!$K$2:$K$38,0)),SUMPRODUCT(--ISERROR(FIND(MID(MID(AN503,3,10),{1,2,3,4,5,10},1),"ABCDEFGHIJKLMNOPQRSTUVWXYZ")))=0,SUMPRODUCT(--ISERROR(FIND(MID(MID(AN503,3,10),{6,7,8,9},1),"0123456789")))=0,ISNUMBER(FIND(MID(AN503,13,1),"123456789ABCDEFGHIJKLMNOPQRSTUVWXYZ")),MID(AN503,14,1)="Z")),"Wrong format",IF(MID("0123456789ABCDEFGHIJKLMNOPQRSTUVWXYZ",MOD(36-MOD(SUMPRODUCT(INT((FIND(MID(AN503,{1,2,3,4,5,6,7,8,9,10,11,12,13,14},1),"0123456789ABCDEFGHIJKLMNOPQRSTUVWXYZ")-1)*{1,2,1,2,1,2,1,2,1,2,1,2,1,2}/36)+MOD((FIND(MID(AN503,{1,2,3,4,5,6,7,8,9,10,11,12,13,14},1),"0123456789ABCDEFGHIJKLMNOPQRSTUVWXYZ")-1)*{1,2,1,2,1,2,1,2,1,2,1,2,1,2},36)),36),36)+1,1)=MID(AN503,15,1),"OK","Typo? check digit wrong")),"Wrong format"))</f>
        <v/>
      </c>
      <c r="AK503" s="27">
        <f>IF(AO503="","",IF(AND(LEN(AO503)=10,SUMPRODUCT(--ISERROR(FIND(MID(AO503,{1,2,3,4,5,10},1),"ABCDEFGHIJKLMNOPQRSTUVWXYZ")))=0,SUMPRODUCT(--ISERROR(FIND(MID(AO503,{6,7,8,9},1),"0123456789")))=0),"OK","Wrong format"))</f>
        <v/>
      </c>
      <c r="AL503" s="27">
        <f>IF(TRIM(H503)="","",IF(AND(LEN(UPPER(TRIM(H503)))=10,SUMPRODUCT(--ISERROR(FIND(MID(UPPER(TRIM(H503)),{1,2,3,4,10},1),"ABCDEFGHIJKLMNOPQRSTUVWXYZ")))=0,SUMPRODUCT(--ISERROR(FIND(MID(UPPER(TRIM(H503)),{5,6,7,8,9},1),"0123456789")))=0),"OK","Wrong format"))</f>
        <v/>
      </c>
      <c r="AM503" s="28">
        <f>IF(NOT(COUNTA(A503:AE503)&gt;0),"",IF(AS503&lt;&gt;"","✖ "&amp;LEFT(AS503,LEN(AS503)-2),IF(AR503&gt;0,"✔ Ready — client + "&amp;AR503&amp;" service(s)","✔ Ready — client only")))</f>
        <v/>
      </c>
      <c r="AN503" s="29">
        <f>UPPER(SUBSTITUTE(TRIM(F503)," ",""))</f>
        <v/>
      </c>
      <c r="AO503" s="29">
        <f>UPPER(SUBSTITUTE(TRIM(E503)," ",""))</f>
        <v/>
      </c>
      <c r="AP503" s="29">
        <f>IF(D503&lt;&gt;"",D503,IFERROR(VLOOKUP(MID(AG503,4,1),Lists!$E$2:$F$8,2,FALSE),""))</f>
        <v/>
      </c>
      <c r="AQ503" s="29">
        <f>IFERROR(VLOOKUP(AP503,Lists!$A$2:$C$12,3,FALSE),"")</f>
        <v/>
      </c>
      <c r="AR503" s="29">
        <f>COUNTIF(W503:AC503,"Yes")</f>
        <v/>
      </c>
      <c r="AS503" s="29">
        <f>IF(TRIM(B503)="","Legal name missing; ","")&amp;IF(AND(AJ503&lt;&gt;"",AJ503&lt;&gt;"OK"),"GSTIN: "&amp;AJ503&amp;"; ","")&amp;IF(AND(AK503&lt;&gt;"",AK503&lt;&gt;"OK"),"PAN wrong format; ","")&amp;IF(AND(AO503&lt;&gt;"",LEN(AN503)=15,MID(AN503,3,10)&lt;&gt;AO503),"PAN does not match GSTIN; ","")&amp;IF(AND(AL503&lt;&gt;"",AL503&lt;&gt;"OK"),"TAN wrong format; ","")&amp;IF(AG503="","PAN missing; ","")&amp;IF(AP503="","Entity type missing; ","")&amp;IF(AND(AN503&lt;&gt;"",COUNTIF($AN$6:$AN$1005,AN503)&gt;1),"GSTIN repeated in this sheet; ","")&amp;IF(AND(AG503&lt;&gt;"",COUNTIF($AG$6:$AG$1005,AG503)&gt;1),"PAN repeated in this sheet (same client? put extra GSTINs in Other GSTINs); ","")&amp;IF(AND(AR503&gt;0,V503=""),"Financial year missing; ","")&amp;IF(AND(AR503=0,V503&lt;&gt;""),"Financial year given but no service is Yes; ","")&amp;IF(AND(W503="Yes",AN503=""),"GST needs a GSTIN; ","")&amp;IF(AND(W503="Yes",X503=""),"GST return frequency missing; ","")&amp;IF(AND(Y503="Yes",TRIM(H503)=""),"TDS needs a TAN; ","")&amp;IF(AND(AA503="Yes",AQ503&lt;&gt;"",AQ503&lt;&gt;"company",AQ503&lt;&gt;"llp"),"ROC is only for a company / LLP; ","")&amp;IF(AND(AA503="Yes",OR(AQ503="company",AQ503="llp"),TRIM(I503)=""),"ROC needs the CIN / LLPIN; ","")</f>
        <v/>
      </c>
    </row>
    <row r="504">
      <c r="A504" s="30" t="n"/>
      <c r="B504" s="31" t="n"/>
      <c r="C504" s="31" t="n"/>
      <c r="D504" s="31" t="n"/>
      <c r="E504" s="30" t="n"/>
      <c r="F504" s="30" t="n"/>
      <c r="G504" s="30" t="n"/>
      <c r="H504" s="30" t="n"/>
      <c r="I504" s="30" t="n"/>
      <c r="J504" s="32" t="n"/>
      <c r="K504" s="31" t="n"/>
      <c r="L504" s="30" t="n"/>
      <c r="M504" s="31" t="n"/>
      <c r="N504" s="31" t="n"/>
      <c r="O504" s="31" t="n"/>
      <c r="P504" s="30" t="n"/>
      <c r="Q504" s="31" t="n"/>
      <c r="R504" s="31" t="n"/>
      <c r="S504" s="31" t="n"/>
      <c r="T504" s="31" t="n"/>
      <c r="U504" s="30" t="n"/>
      <c r="V504" s="31" t="n"/>
      <c r="W504" s="31" t="n"/>
      <c r="X504" s="31" t="n"/>
      <c r="Y504" s="31" t="n"/>
      <c r="Z504" s="31" t="n"/>
      <c r="AA504" s="31" t="n"/>
      <c r="AB504" s="31" t="n"/>
      <c r="AC504" s="31" t="n"/>
      <c r="AD504" s="31" t="n"/>
      <c r="AE504" s="31" t="n"/>
      <c r="AF504" s="27">
        <f>IF(NOT(COUNTA(A504:AE504)&gt;0),"",IF(A504="","New client","Update"))</f>
        <v/>
      </c>
      <c r="AG504" s="27">
        <f>IF(AO504&lt;&gt;"",AO504,IF(LEN(AN504)=15,MID(AN504,3,10),""))</f>
        <v/>
      </c>
      <c r="AH504" s="27">
        <f>IF(AP504="","",AP504&amp;IF(D504="","  (guessed from PAN)",""))</f>
        <v/>
      </c>
      <c r="AI504" s="27">
        <f>IF(AN504="","",IFERROR(INDEX(Lists!$L$2:$L$38,MATCH(LEFT(AN504,2),Lists!$K$2:$K$38,0)),"Unknown code"))</f>
        <v/>
      </c>
      <c r="AJ504" s="27">
        <f>IF(AN504="","",IFERROR(IF(NOT(AND(LEN(AN504)=15,ISNUMBER(MATCH(LEFT(AN504,2),Lists!$K$2:$K$38,0)),SUMPRODUCT(--ISERROR(FIND(MID(MID(AN504,3,10),{1,2,3,4,5,10},1),"ABCDEFGHIJKLMNOPQRSTUVWXYZ")))=0,SUMPRODUCT(--ISERROR(FIND(MID(MID(AN504,3,10),{6,7,8,9},1),"0123456789")))=0,ISNUMBER(FIND(MID(AN504,13,1),"123456789ABCDEFGHIJKLMNOPQRSTUVWXYZ")),MID(AN504,14,1)="Z")),"Wrong format",IF(MID("0123456789ABCDEFGHIJKLMNOPQRSTUVWXYZ",MOD(36-MOD(SUMPRODUCT(INT((FIND(MID(AN504,{1,2,3,4,5,6,7,8,9,10,11,12,13,14},1),"0123456789ABCDEFGHIJKLMNOPQRSTUVWXYZ")-1)*{1,2,1,2,1,2,1,2,1,2,1,2,1,2}/36)+MOD((FIND(MID(AN504,{1,2,3,4,5,6,7,8,9,10,11,12,13,14},1),"0123456789ABCDEFGHIJKLMNOPQRSTUVWXYZ")-1)*{1,2,1,2,1,2,1,2,1,2,1,2,1,2},36)),36),36)+1,1)=MID(AN504,15,1),"OK","Typo? check digit wrong")),"Wrong format"))</f>
        <v/>
      </c>
      <c r="AK504" s="27">
        <f>IF(AO504="","",IF(AND(LEN(AO504)=10,SUMPRODUCT(--ISERROR(FIND(MID(AO504,{1,2,3,4,5,10},1),"ABCDEFGHIJKLMNOPQRSTUVWXYZ")))=0,SUMPRODUCT(--ISERROR(FIND(MID(AO504,{6,7,8,9},1),"0123456789")))=0),"OK","Wrong format"))</f>
        <v/>
      </c>
      <c r="AL504" s="27">
        <f>IF(TRIM(H504)="","",IF(AND(LEN(UPPER(TRIM(H504)))=10,SUMPRODUCT(--ISERROR(FIND(MID(UPPER(TRIM(H504)),{1,2,3,4,10},1),"ABCDEFGHIJKLMNOPQRSTUVWXYZ")))=0,SUMPRODUCT(--ISERROR(FIND(MID(UPPER(TRIM(H504)),{5,6,7,8,9},1),"0123456789")))=0),"OK","Wrong format"))</f>
        <v/>
      </c>
      <c r="AM504" s="28">
        <f>IF(NOT(COUNTA(A504:AE504)&gt;0),"",IF(AS504&lt;&gt;"","✖ "&amp;LEFT(AS504,LEN(AS504)-2),IF(AR504&gt;0,"✔ Ready — client + "&amp;AR504&amp;" service(s)","✔ Ready — client only")))</f>
        <v/>
      </c>
      <c r="AN504" s="29">
        <f>UPPER(SUBSTITUTE(TRIM(F504)," ",""))</f>
        <v/>
      </c>
      <c r="AO504" s="29">
        <f>UPPER(SUBSTITUTE(TRIM(E504)," ",""))</f>
        <v/>
      </c>
      <c r="AP504" s="29">
        <f>IF(D504&lt;&gt;"",D504,IFERROR(VLOOKUP(MID(AG504,4,1),Lists!$E$2:$F$8,2,FALSE),""))</f>
        <v/>
      </c>
      <c r="AQ504" s="29">
        <f>IFERROR(VLOOKUP(AP504,Lists!$A$2:$C$12,3,FALSE),"")</f>
        <v/>
      </c>
      <c r="AR504" s="29">
        <f>COUNTIF(W504:AC504,"Yes")</f>
        <v/>
      </c>
      <c r="AS504" s="29">
        <f>IF(TRIM(B504)="","Legal name missing; ","")&amp;IF(AND(AJ504&lt;&gt;"",AJ504&lt;&gt;"OK"),"GSTIN: "&amp;AJ504&amp;"; ","")&amp;IF(AND(AK504&lt;&gt;"",AK504&lt;&gt;"OK"),"PAN wrong format; ","")&amp;IF(AND(AO504&lt;&gt;"",LEN(AN504)=15,MID(AN504,3,10)&lt;&gt;AO504),"PAN does not match GSTIN; ","")&amp;IF(AND(AL504&lt;&gt;"",AL504&lt;&gt;"OK"),"TAN wrong format; ","")&amp;IF(AG504="","PAN missing; ","")&amp;IF(AP504="","Entity type missing; ","")&amp;IF(AND(AN504&lt;&gt;"",COUNTIF($AN$6:$AN$1005,AN504)&gt;1),"GSTIN repeated in this sheet; ","")&amp;IF(AND(AG504&lt;&gt;"",COUNTIF($AG$6:$AG$1005,AG504)&gt;1),"PAN repeated in this sheet (same client? put extra GSTINs in Other GSTINs); ","")&amp;IF(AND(AR504&gt;0,V504=""),"Financial year missing; ","")&amp;IF(AND(AR504=0,V504&lt;&gt;""),"Financial year given but no service is Yes; ","")&amp;IF(AND(W504="Yes",AN504=""),"GST needs a GSTIN; ","")&amp;IF(AND(W504="Yes",X504=""),"GST return frequency missing; ","")&amp;IF(AND(Y504="Yes",TRIM(H504)=""),"TDS needs a TAN; ","")&amp;IF(AND(AA504="Yes",AQ504&lt;&gt;"",AQ504&lt;&gt;"company",AQ504&lt;&gt;"llp"),"ROC is only for a company / LLP; ","")&amp;IF(AND(AA504="Yes",OR(AQ504="company",AQ504="llp"),TRIM(I504)=""),"ROC needs the CIN / LLPIN; ","")</f>
        <v/>
      </c>
    </row>
    <row r="505">
      <c r="A505" s="30" t="n"/>
      <c r="B505" s="31" t="n"/>
      <c r="C505" s="31" t="n"/>
      <c r="D505" s="31" t="n"/>
      <c r="E505" s="30" t="n"/>
      <c r="F505" s="30" t="n"/>
      <c r="G505" s="30" t="n"/>
      <c r="H505" s="30" t="n"/>
      <c r="I505" s="30" t="n"/>
      <c r="J505" s="32" t="n"/>
      <c r="K505" s="31" t="n"/>
      <c r="L505" s="30" t="n"/>
      <c r="M505" s="31" t="n"/>
      <c r="N505" s="31" t="n"/>
      <c r="O505" s="31" t="n"/>
      <c r="P505" s="30" t="n"/>
      <c r="Q505" s="31" t="n"/>
      <c r="R505" s="31" t="n"/>
      <c r="S505" s="31" t="n"/>
      <c r="T505" s="31" t="n"/>
      <c r="U505" s="30" t="n"/>
      <c r="V505" s="31" t="n"/>
      <c r="W505" s="31" t="n"/>
      <c r="X505" s="31" t="n"/>
      <c r="Y505" s="31" t="n"/>
      <c r="Z505" s="31" t="n"/>
      <c r="AA505" s="31" t="n"/>
      <c r="AB505" s="31" t="n"/>
      <c r="AC505" s="31" t="n"/>
      <c r="AD505" s="31" t="n"/>
      <c r="AE505" s="31" t="n"/>
      <c r="AF505" s="27">
        <f>IF(NOT(COUNTA(A505:AE505)&gt;0),"",IF(A505="","New client","Update"))</f>
        <v/>
      </c>
      <c r="AG505" s="27">
        <f>IF(AO505&lt;&gt;"",AO505,IF(LEN(AN505)=15,MID(AN505,3,10),""))</f>
        <v/>
      </c>
      <c r="AH505" s="27">
        <f>IF(AP505="","",AP505&amp;IF(D505="","  (guessed from PAN)",""))</f>
        <v/>
      </c>
      <c r="AI505" s="27">
        <f>IF(AN505="","",IFERROR(INDEX(Lists!$L$2:$L$38,MATCH(LEFT(AN505,2),Lists!$K$2:$K$38,0)),"Unknown code"))</f>
        <v/>
      </c>
      <c r="AJ505" s="27">
        <f>IF(AN505="","",IFERROR(IF(NOT(AND(LEN(AN505)=15,ISNUMBER(MATCH(LEFT(AN505,2),Lists!$K$2:$K$38,0)),SUMPRODUCT(--ISERROR(FIND(MID(MID(AN505,3,10),{1,2,3,4,5,10},1),"ABCDEFGHIJKLMNOPQRSTUVWXYZ")))=0,SUMPRODUCT(--ISERROR(FIND(MID(MID(AN505,3,10),{6,7,8,9},1),"0123456789")))=0,ISNUMBER(FIND(MID(AN505,13,1),"123456789ABCDEFGHIJKLMNOPQRSTUVWXYZ")),MID(AN505,14,1)="Z")),"Wrong format",IF(MID("0123456789ABCDEFGHIJKLMNOPQRSTUVWXYZ",MOD(36-MOD(SUMPRODUCT(INT((FIND(MID(AN505,{1,2,3,4,5,6,7,8,9,10,11,12,13,14},1),"0123456789ABCDEFGHIJKLMNOPQRSTUVWXYZ")-1)*{1,2,1,2,1,2,1,2,1,2,1,2,1,2}/36)+MOD((FIND(MID(AN505,{1,2,3,4,5,6,7,8,9,10,11,12,13,14},1),"0123456789ABCDEFGHIJKLMNOPQRSTUVWXYZ")-1)*{1,2,1,2,1,2,1,2,1,2,1,2,1,2},36)),36),36)+1,1)=MID(AN505,15,1),"OK","Typo? check digit wrong")),"Wrong format"))</f>
        <v/>
      </c>
      <c r="AK505" s="27">
        <f>IF(AO505="","",IF(AND(LEN(AO505)=10,SUMPRODUCT(--ISERROR(FIND(MID(AO505,{1,2,3,4,5,10},1),"ABCDEFGHIJKLMNOPQRSTUVWXYZ")))=0,SUMPRODUCT(--ISERROR(FIND(MID(AO505,{6,7,8,9},1),"0123456789")))=0),"OK","Wrong format"))</f>
        <v/>
      </c>
      <c r="AL505" s="27">
        <f>IF(TRIM(H505)="","",IF(AND(LEN(UPPER(TRIM(H505)))=10,SUMPRODUCT(--ISERROR(FIND(MID(UPPER(TRIM(H505)),{1,2,3,4,10},1),"ABCDEFGHIJKLMNOPQRSTUVWXYZ")))=0,SUMPRODUCT(--ISERROR(FIND(MID(UPPER(TRIM(H505)),{5,6,7,8,9},1),"0123456789")))=0),"OK","Wrong format"))</f>
        <v/>
      </c>
      <c r="AM505" s="28">
        <f>IF(NOT(COUNTA(A505:AE505)&gt;0),"",IF(AS505&lt;&gt;"","✖ "&amp;LEFT(AS505,LEN(AS505)-2),IF(AR505&gt;0,"✔ Ready — client + "&amp;AR505&amp;" service(s)","✔ Ready — client only")))</f>
        <v/>
      </c>
      <c r="AN505" s="29">
        <f>UPPER(SUBSTITUTE(TRIM(F505)," ",""))</f>
        <v/>
      </c>
      <c r="AO505" s="29">
        <f>UPPER(SUBSTITUTE(TRIM(E505)," ",""))</f>
        <v/>
      </c>
      <c r="AP505" s="29">
        <f>IF(D505&lt;&gt;"",D505,IFERROR(VLOOKUP(MID(AG505,4,1),Lists!$E$2:$F$8,2,FALSE),""))</f>
        <v/>
      </c>
      <c r="AQ505" s="29">
        <f>IFERROR(VLOOKUP(AP505,Lists!$A$2:$C$12,3,FALSE),"")</f>
        <v/>
      </c>
      <c r="AR505" s="29">
        <f>COUNTIF(W505:AC505,"Yes")</f>
        <v/>
      </c>
      <c r="AS505" s="29">
        <f>IF(TRIM(B505)="","Legal name missing; ","")&amp;IF(AND(AJ505&lt;&gt;"",AJ505&lt;&gt;"OK"),"GSTIN: "&amp;AJ505&amp;"; ","")&amp;IF(AND(AK505&lt;&gt;"",AK505&lt;&gt;"OK"),"PAN wrong format; ","")&amp;IF(AND(AO505&lt;&gt;"",LEN(AN505)=15,MID(AN505,3,10)&lt;&gt;AO505),"PAN does not match GSTIN; ","")&amp;IF(AND(AL505&lt;&gt;"",AL505&lt;&gt;"OK"),"TAN wrong format; ","")&amp;IF(AG505="","PAN missing; ","")&amp;IF(AP505="","Entity type missing; ","")&amp;IF(AND(AN505&lt;&gt;"",COUNTIF($AN$6:$AN$1005,AN505)&gt;1),"GSTIN repeated in this sheet; ","")&amp;IF(AND(AG505&lt;&gt;"",COUNTIF($AG$6:$AG$1005,AG505)&gt;1),"PAN repeated in this sheet (same client? put extra GSTINs in Other GSTINs); ","")&amp;IF(AND(AR505&gt;0,V505=""),"Financial year missing; ","")&amp;IF(AND(AR505=0,V505&lt;&gt;""),"Financial year given but no service is Yes; ","")&amp;IF(AND(W505="Yes",AN505=""),"GST needs a GSTIN; ","")&amp;IF(AND(W505="Yes",X505=""),"GST return frequency missing; ","")&amp;IF(AND(Y505="Yes",TRIM(H505)=""),"TDS needs a TAN; ","")&amp;IF(AND(AA505="Yes",AQ505&lt;&gt;"",AQ505&lt;&gt;"company",AQ505&lt;&gt;"llp"),"ROC is only for a company / LLP; ","")&amp;IF(AND(AA505="Yes",OR(AQ505="company",AQ505="llp"),TRIM(I505)=""),"ROC needs the CIN / LLPIN; ","")</f>
        <v/>
      </c>
    </row>
    <row r="506">
      <c r="A506" s="30" t="n"/>
      <c r="B506" s="31" t="n"/>
      <c r="C506" s="31" t="n"/>
      <c r="D506" s="31" t="n"/>
      <c r="E506" s="30" t="n"/>
      <c r="F506" s="30" t="n"/>
      <c r="G506" s="30" t="n"/>
      <c r="H506" s="30" t="n"/>
      <c r="I506" s="30" t="n"/>
      <c r="J506" s="32" t="n"/>
      <c r="K506" s="31" t="n"/>
      <c r="L506" s="30" t="n"/>
      <c r="M506" s="31" t="n"/>
      <c r="N506" s="31" t="n"/>
      <c r="O506" s="31" t="n"/>
      <c r="P506" s="30" t="n"/>
      <c r="Q506" s="31" t="n"/>
      <c r="R506" s="31" t="n"/>
      <c r="S506" s="31" t="n"/>
      <c r="T506" s="31" t="n"/>
      <c r="U506" s="30" t="n"/>
      <c r="V506" s="31" t="n"/>
      <c r="W506" s="31" t="n"/>
      <c r="X506" s="31" t="n"/>
      <c r="Y506" s="31" t="n"/>
      <c r="Z506" s="31" t="n"/>
      <c r="AA506" s="31" t="n"/>
      <c r="AB506" s="31" t="n"/>
      <c r="AC506" s="31" t="n"/>
      <c r="AD506" s="31" t="n"/>
      <c r="AE506" s="31" t="n"/>
      <c r="AF506" s="27">
        <f>IF(NOT(COUNTA(A506:AE506)&gt;0),"",IF(A506="","New client","Update"))</f>
        <v/>
      </c>
      <c r="AG506" s="27">
        <f>IF(AO506&lt;&gt;"",AO506,IF(LEN(AN506)=15,MID(AN506,3,10),""))</f>
        <v/>
      </c>
      <c r="AH506" s="27">
        <f>IF(AP506="","",AP506&amp;IF(D506="","  (guessed from PAN)",""))</f>
        <v/>
      </c>
      <c r="AI506" s="27">
        <f>IF(AN506="","",IFERROR(INDEX(Lists!$L$2:$L$38,MATCH(LEFT(AN506,2),Lists!$K$2:$K$38,0)),"Unknown code"))</f>
        <v/>
      </c>
      <c r="AJ506" s="27">
        <f>IF(AN506="","",IFERROR(IF(NOT(AND(LEN(AN506)=15,ISNUMBER(MATCH(LEFT(AN506,2),Lists!$K$2:$K$38,0)),SUMPRODUCT(--ISERROR(FIND(MID(MID(AN506,3,10),{1,2,3,4,5,10},1),"ABCDEFGHIJKLMNOPQRSTUVWXYZ")))=0,SUMPRODUCT(--ISERROR(FIND(MID(MID(AN506,3,10),{6,7,8,9},1),"0123456789")))=0,ISNUMBER(FIND(MID(AN506,13,1),"123456789ABCDEFGHIJKLMNOPQRSTUVWXYZ")),MID(AN506,14,1)="Z")),"Wrong format",IF(MID("0123456789ABCDEFGHIJKLMNOPQRSTUVWXYZ",MOD(36-MOD(SUMPRODUCT(INT((FIND(MID(AN506,{1,2,3,4,5,6,7,8,9,10,11,12,13,14},1),"0123456789ABCDEFGHIJKLMNOPQRSTUVWXYZ")-1)*{1,2,1,2,1,2,1,2,1,2,1,2,1,2}/36)+MOD((FIND(MID(AN506,{1,2,3,4,5,6,7,8,9,10,11,12,13,14},1),"0123456789ABCDEFGHIJKLMNOPQRSTUVWXYZ")-1)*{1,2,1,2,1,2,1,2,1,2,1,2,1,2},36)),36),36)+1,1)=MID(AN506,15,1),"OK","Typo? check digit wrong")),"Wrong format"))</f>
        <v/>
      </c>
      <c r="AK506" s="27">
        <f>IF(AO506="","",IF(AND(LEN(AO506)=10,SUMPRODUCT(--ISERROR(FIND(MID(AO506,{1,2,3,4,5,10},1),"ABCDEFGHIJKLMNOPQRSTUVWXYZ")))=0,SUMPRODUCT(--ISERROR(FIND(MID(AO506,{6,7,8,9},1),"0123456789")))=0),"OK","Wrong format"))</f>
        <v/>
      </c>
      <c r="AL506" s="27">
        <f>IF(TRIM(H506)="","",IF(AND(LEN(UPPER(TRIM(H506)))=10,SUMPRODUCT(--ISERROR(FIND(MID(UPPER(TRIM(H506)),{1,2,3,4,10},1),"ABCDEFGHIJKLMNOPQRSTUVWXYZ")))=0,SUMPRODUCT(--ISERROR(FIND(MID(UPPER(TRIM(H506)),{5,6,7,8,9},1),"0123456789")))=0),"OK","Wrong format"))</f>
        <v/>
      </c>
      <c r="AM506" s="28">
        <f>IF(NOT(COUNTA(A506:AE506)&gt;0),"",IF(AS506&lt;&gt;"","✖ "&amp;LEFT(AS506,LEN(AS506)-2),IF(AR506&gt;0,"✔ Ready — client + "&amp;AR506&amp;" service(s)","✔ Ready — client only")))</f>
        <v/>
      </c>
      <c r="AN506" s="29">
        <f>UPPER(SUBSTITUTE(TRIM(F506)," ",""))</f>
        <v/>
      </c>
      <c r="AO506" s="29">
        <f>UPPER(SUBSTITUTE(TRIM(E506)," ",""))</f>
        <v/>
      </c>
      <c r="AP506" s="29">
        <f>IF(D506&lt;&gt;"",D506,IFERROR(VLOOKUP(MID(AG506,4,1),Lists!$E$2:$F$8,2,FALSE),""))</f>
        <v/>
      </c>
      <c r="AQ506" s="29">
        <f>IFERROR(VLOOKUP(AP506,Lists!$A$2:$C$12,3,FALSE),"")</f>
        <v/>
      </c>
      <c r="AR506" s="29">
        <f>COUNTIF(W506:AC506,"Yes")</f>
        <v/>
      </c>
      <c r="AS506" s="29">
        <f>IF(TRIM(B506)="","Legal name missing; ","")&amp;IF(AND(AJ506&lt;&gt;"",AJ506&lt;&gt;"OK"),"GSTIN: "&amp;AJ506&amp;"; ","")&amp;IF(AND(AK506&lt;&gt;"",AK506&lt;&gt;"OK"),"PAN wrong format; ","")&amp;IF(AND(AO506&lt;&gt;"",LEN(AN506)=15,MID(AN506,3,10)&lt;&gt;AO506),"PAN does not match GSTIN; ","")&amp;IF(AND(AL506&lt;&gt;"",AL506&lt;&gt;"OK"),"TAN wrong format; ","")&amp;IF(AG506="","PAN missing; ","")&amp;IF(AP506="","Entity type missing; ","")&amp;IF(AND(AN506&lt;&gt;"",COUNTIF($AN$6:$AN$1005,AN506)&gt;1),"GSTIN repeated in this sheet; ","")&amp;IF(AND(AG506&lt;&gt;"",COUNTIF($AG$6:$AG$1005,AG506)&gt;1),"PAN repeated in this sheet (same client? put extra GSTINs in Other GSTINs); ","")&amp;IF(AND(AR506&gt;0,V506=""),"Financial year missing; ","")&amp;IF(AND(AR506=0,V506&lt;&gt;""),"Financial year given but no service is Yes; ","")&amp;IF(AND(W506="Yes",AN506=""),"GST needs a GSTIN; ","")&amp;IF(AND(W506="Yes",X506=""),"GST return frequency missing; ","")&amp;IF(AND(Y506="Yes",TRIM(H506)=""),"TDS needs a TAN; ","")&amp;IF(AND(AA506="Yes",AQ506&lt;&gt;"",AQ506&lt;&gt;"company",AQ506&lt;&gt;"llp"),"ROC is only for a company / LLP; ","")&amp;IF(AND(AA506="Yes",OR(AQ506="company",AQ506="llp"),TRIM(I506)=""),"ROC needs the CIN / LLPIN; ","")</f>
        <v/>
      </c>
    </row>
    <row r="507">
      <c r="A507" s="30" t="n"/>
      <c r="B507" s="31" t="n"/>
      <c r="C507" s="31" t="n"/>
      <c r="D507" s="31" t="n"/>
      <c r="E507" s="30" t="n"/>
      <c r="F507" s="30" t="n"/>
      <c r="G507" s="30" t="n"/>
      <c r="H507" s="30" t="n"/>
      <c r="I507" s="30" t="n"/>
      <c r="J507" s="32" t="n"/>
      <c r="K507" s="31" t="n"/>
      <c r="L507" s="30" t="n"/>
      <c r="M507" s="31" t="n"/>
      <c r="N507" s="31" t="n"/>
      <c r="O507" s="31" t="n"/>
      <c r="P507" s="30" t="n"/>
      <c r="Q507" s="31" t="n"/>
      <c r="R507" s="31" t="n"/>
      <c r="S507" s="31" t="n"/>
      <c r="T507" s="31" t="n"/>
      <c r="U507" s="30" t="n"/>
      <c r="V507" s="31" t="n"/>
      <c r="W507" s="31" t="n"/>
      <c r="X507" s="31" t="n"/>
      <c r="Y507" s="31" t="n"/>
      <c r="Z507" s="31" t="n"/>
      <c r="AA507" s="31" t="n"/>
      <c r="AB507" s="31" t="n"/>
      <c r="AC507" s="31" t="n"/>
      <c r="AD507" s="31" t="n"/>
      <c r="AE507" s="31" t="n"/>
      <c r="AF507" s="27">
        <f>IF(NOT(COUNTA(A507:AE507)&gt;0),"",IF(A507="","New client","Update"))</f>
        <v/>
      </c>
      <c r="AG507" s="27">
        <f>IF(AO507&lt;&gt;"",AO507,IF(LEN(AN507)=15,MID(AN507,3,10),""))</f>
        <v/>
      </c>
      <c r="AH507" s="27">
        <f>IF(AP507="","",AP507&amp;IF(D507="","  (guessed from PAN)",""))</f>
        <v/>
      </c>
      <c r="AI507" s="27">
        <f>IF(AN507="","",IFERROR(INDEX(Lists!$L$2:$L$38,MATCH(LEFT(AN507,2),Lists!$K$2:$K$38,0)),"Unknown code"))</f>
        <v/>
      </c>
      <c r="AJ507" s="27">
        <f>IF(AN507="","",IFERROR(IF(NOT(AND(LEN(AN507)=15,ISNUMBER(MATCH(LEFT(AN507,2),Lists!$K$2:$K$38,0)),SUMPRODUCT(--ISERROR(FIND(MID(MID(AN507,3,10),{1,2,3,4,5,10},1),"ABCDEFGHIJKLMNOPQRSTUVWXYZ")))=0,SUMPRODUCT(--ISERROR(FIND(MID(MID(AN507,3,10),{6,7,8,9},1),"0123456789")))=0,ISNUMBER(FIND(MID(AN507,13,1),"123456789ABCDEFGHIJKLMNOPQRSTUVWXYZ")),MID(AN507,14,1)="Z")),"Wrong format",IF(MID("0123456789ABCDEFGHIJKLMNOPQRSTUVWXYZ",MOD(36-MOD(SUMPRODUCT(INT((FIND(MID(AN507,{1,2,3,4,5,6,7,8,9,10,11,12,13,14},1),"0123456789ABCDEFGHIJKLMNOPQRSTUVWXYZ")-1)*{1,2,1,2,1,2,1,2,1,2,1,2,1,2}/36)+MOD((FIND(MID(AN507,{1,2,3,4,5,6,7,8,9,10,11,12,13,14},1),"0123456789ABCDEFGHIJKLMNOPQRSTUVWXYZ")-1)*{1,2,1,2,1,2,1,2,1,2,1,2,1,2},36)),36),36)+1,1)=MID(AN507,15,1),"OK","Typo? check digit wrong")),"Wrong format"))</f>
        <v/>
      </c>
      <c r="AK507" s="27">
        <f>IF(AO507="","",IF(AND(LEN(AO507)=10,SUMPRODUCT(--ISERROR(FIND(MID(AO507,{1,2,3,4,5,10},1),"ABCDEFGHIJKLMNOPQRSTUVWXYZ")))=0,SUMPRODUCT(--ISERROR(FIND(MID(AO507,{6,7,8,9},1),"0123456789")))=0),"OK","Wrong format"))</f>
        <v/>
      </c>
      <c r="AL507" s="27">
        <f>IF(TRIM(H507)="","",IF(AND(LEN(UPPER(TRIM(H507)))=10,SUMPRODUCT(--ISERROR(FIND(MID(UPPER(TRIM(H507)),{1,2,3,4,10},1),"ABCDEFGHIJKLMNOPQRSTUVWXYZ")))=0,SUMPRODUCT(--ISERROR(FIND(MID(UPPER(TRIM(H507)),{5,6,7,8,9},1),"0123456789")))=0),"OK","Wrong format"))</f>
        <v/>
      </c>
      <c r="AM507" s="28">
        <f>IF(NOT(COUNTA(A507:AE507)&gt;0),"",IF(AS507&lt;&gt;"","✖ "&amp;LEFT(AS507,LEN(AS507)-2),IF(AR507&gt;0,"✔ Ready — client + "&amp;AR507&amp;" service(s)","✔ Ready — client only")))</f>
        <v/>
      </c>
      <c r="AN507" s="29">
        <f>UPPER(SUBSTITUTE(TRIM(F507)," ",""))</f>
        <v/>
      </c>
      <c r="AO507" s="29">
        <f>UPPER(SUBSTITUTE(TRIM(E507)," ",""))</f>
        <v/>
      </c>
      <c r="AP507" s="29">
        <f>IF(D507&lt;&gt;"",D507,IFERROR(VLOOKUP(MID(AG507,4,1),Lists!$E$2:$F$8,2,FALSE),""))</f>
        <v/>
      </c>
      <c r="AQ507" s="29">
        <f>IFERROR(VLOOKUP(AP507,Lists!$A$2:$C$12,3,FALSE),"")</f>
        <v/>
      </c>
      <c r="AR507" s="29">
        <f>COUNTIF(W507:AC507,"Yes")</f>
        <v/>
      </c>
      <c r="AS507" s="29">
        <f>IF(TRIM(B507)="","Legal name missing; ","")&amp;IF(AND(AJ507&lt;&gt;"",AJ507&lt;&gt;"OK"),"GSTIN: "&amp;AJ507&amp;"; ","")&amp;IF(AND(AK507&lt;&gt;"",AK507&lt;&gt;"OK"),"PAN wrong format; ","")&amp;IF(AND(AO507&lt;&gt;"",LEN(AN507)=15,MID(AN507,3,10)&lt;&gt;AO507),"PAN does not match GSTIN; ","")&amp;IF(AND(AL507&lt;&gt;"",AL507&lt;&gt;"OK"),"TAN wrong format; ","")&amp;IF(AG507="","PAN missing; ","")&amp;IF(AP507="","Entity type missing; ","")&amp;IF(AND(AN507&lt;&gt;"",COUNTIF($AN$6:$AN$1005,AN507)&gt;1),"GSTIN repeated in this sheet; ","")&amp;IF(AND(AG507&lt;&gt;"",COUNTIF($AG$6:$AG$1005,AG507)&gt;1),"PAN repeated in this sheet (same client? put extra GSTINs in Other GSTINs); ","")&amp;IF(AND(AR507&gt;0,V507=""),"Financial year missing; ","")&amp;IF(AND(AR507=0,V507&lt;&gt;""),"Financial year given but no service is Yes; ","")&amp;IF(AND(W507="Yes",AN507=""),"GST needs a GSTIN; ","")&amp;IF(AND(W507="Yes",X507=""),"GST return frequency missing; ","")&amp;IF(AND(Y507="Yes",TRIM(H507)=""),"TDS needs a TAN; ","")&amp;IF(AND(AA507="Yes",AQ507&lt;&gt;"",AQ507&lt;&gt;"company",AQ507&lt;&gt;"llp"),"ROC is only for a company / LLP; ","")&amp;IF(AND(AA507="Yes",OR(AQ507="company",AQ507="llp"),TRIM(I507)=""),"ROC needs the CIN / LLPIN; ","")</f>
        <v/>
      </c>
    </row>
    <row r="508">
      <c r="A508" s="30" t="n"/>
      <c r="B508" s="31" t="n"/>
      <c r="C508" s="31" t="n"/>
      <c r="D508" s="31" t="n"/>
      <c r="E508" s="30" t="n"/>
      <c r="F508" s="30" t="n"/>
      <c r="G508" s="30" t="n"/>
      <c r="H508" s="30" t="n"/>
      <c r="I508" s="30" t="n"/>
      <c r="J508" s="32" t="n"/>
      <c r="K508" s="31" t="n"/>
      <c r="L508" s="30" t="n"/>
      <c r="M508" s="31" t="n"/>
      <c r="N508" s="31" t="n"/>
      <c r="O508" s="31" t="n"/>
      <c r="P508" s="30" t="n"/>
      <c r="Q508" s="31" t="n"/>
      <c r="R508" s="31" t="n"/>
      <c r="S508" s="31" t="n"/>
      <c r="T508" s="31" t="n"/>
      <c r="U508" s="30" t="n"/>
      <c r="V508" s="31" t="n"/>
      <c r="W508" s="31" t="n"/>
      <c r="X508" s="31" t="n"/>
      <c r="Y508" s="31" t="n"/>
      <c r="Z508" s="31" t="n"/>
      <c r="AA508" s="31" t="n"/>
      <c r="AB508" s="31" t="n"/>
      <c r="AC508" s="31" t="n"/>
      <c r="AD508" s="31" t="n"/>
      <c r="AE508" s="31" t="n"/>
      <c r="AF508" s="27">
        <f>IF(NOT(COUNTA(A508:AE508)&gt;0),"",IF(A508="","New client","Update"))</f>
        <v/>
      </c>
      <c r="AG508" s="27">
        <f>IF(AO508&lt;&gt;"",AO508,IF(LEN(AN508)=15,MID(AN508,3,10),""))</f>
        <v/>
      </c>
      <c r="AH508" s="27">
        <f>IF(AP508="","",AP508&amp;IF(D508="","  (guessed from PAN)",""))</f>
        <v/>
      </c>
      <c r="AI508" s="27">
        <f>IF(AN508="","",IFERROR(INDEX(Lists!$L$2:$L$38,MATCH(LEFT(AN508,2),Lists!$K$2:$K$38,0)),"Unknown code"))</f>
        <v/>
      </c>
      <c r="AJ508" s="27">
        <f>IF(AN508="","",IFERROR(IF(NOT(AND(LEN(AN508)=15,ISNUMBER(MATCH(LEFT(AN508,2),Lists!$K$2:$K$38,0)),SUMPRODUCT(--ISERROR(FIND(MID(MID(AN508,3,10),{1,2,3,4,5,10},1),"ABCDEFGHIJKLMNOPQRSTUVWXYZ")))=0,SUMPRODUCT(--ISERROR(FIND(MID(MID(AN508,3,10),{6,7,8,9},1),"0123456789")))=0,ISNUMBER(FIND(MID(AN508,13,1),"123456789ABCDEFGHIJKLMNOPQRSTUVWXYZ")),MID(AN508,14,1)="Z")),"Wrong format",IF(MID("0123456789ABCDEFGHIJKLMNOPQRSTUVWXYZ",MOD(36-MOD(SUMPRODUCT(INT((FIND(MID(AN508,{1,2,3,4,5,6,7,8,9,10,11,12,13,14},1),"0123456789ABCDEFGHIJKLMNOPQRSTUVWXYZ")-1)*{1,2,1,2,1,2,1,2,1,2,1,2,1,2}/36)+MOD((FIND(MID(AN508,{1,2,3,4,5,6,7,8,9,10,11,12,13,14},1),"0123456789ABCDEFGHIJKLMNOPQRSTUVWXYZ")-1)*{1,2,1,2,1,2,1,2,1,2,1,2,1,2},36)),36),36)+1,1)=MID(AN508,15,1),"OK","Typo? check digit wrong")),"Wrong format"))</f>
        <v/>
      </c>
      <c r="AK508" s="27">
        <f>IF(AO508="","",IF(AND(LEN(AO508)=10,SUMPRODUCT(--ISERROR(FIND(MID(AO508,{1,2,3,4,5,10},1),"ABCDEFGHIJKLMNOPQRSTUVWXYZ")))=0,SUMPRODUCT(--ISERROR(FIND(MID(AO508,{6,7,8,9},1),"0123456789")))=0),"OK","Wrong format"))</f>
        <v/>
      </c>
      <c r="AL508" s="27">
        <f>IF(TRIM(H508)="","",IF(AND(LEN(UPPER(TRIM(H508)))=10,SUMPRODUCT(--ISERROR(FIND(MID(UPPER(TRIM(H508)),{1,2,3,4,10},1),"ABCDEFGHIJKLMNOPQRSTUVWXYZ")))=0,SUMPRODUCT(--ISERROR(FIND(MID(UPPER(TRIM(H508)),{5,6,7,8,9},1),"0123456789")))=0),"OK","Wrong format"))</f>
        <v/>
      </c>
      <c r="AM508" s="28">
        <f>IF(NOT(COUNTA(A508:AE508)&gt;0),"",IF(AS508&lt;&gt;"","✖ "&amp;LEFT(AS508,LEN(AS508)-2),IF(AR508&gt;0,"✔ Ready — client + "&amp;AR508&amp;" service(s)","✔ Ready — client only")))</f>
        <v/>
      </c>
      <c r="AN508" s="29">
        <f>UPPER(SUBSTITUTE(TRIM(F508)," ",""))</f>
        <v/>
      </c>
      <c r="AO508" s="29">
        <f>UPPER(SUBSTITUTE(TRIM(E508)," ",""))</f>
        <v/>
      </c>
      <c r="AP508" s="29">
        <f>IF(D508&lt;&gt;"",D508,IFERROR(VLOOKUP(MID(AG508,4,1),Lists!$E$2:$F$8,2,FALSE),""))</f>
        <v/>
      </c>
      <c r="AQ508" s="29">
        <f>IFERROR(VLOOKUP(AP508,Lists!$A$2:$C$12,3,FALSE),"")</f>
        <v/>
      </c>
      <c r="AR508" s="29">
        <f>COUNTIF(W508:AC508,"Yes")</f>
        <v/>
      </c>
      <c r="AS508" s="29">
        <f>IF(TRIM(B508)="","Legal name missing; ","")&amp;IF(AND(AJ508&lt;&gt;"",AJ508&lt;&gt;"OK"),"GSTIN: "&amp;AJ508&amp;"; ","")&amp;IF(AND(AK508&lt;&gt;"",AK508&lt;&gt;"OK"),"PAN wrong format; ","")&amp;IF(AND(AO508&lt;&gt;"",LEN(AN508)=15,MID(AN508,3,10)&lt;&gt;AO508),"PAN does not match GSTIN; ","")&amp;IF(AND(AL508&lt;&gt;"",AL508&lt;&gt;"OK"),"TAN wrong format; ","")&amp;IF(AG508="","PAN missing; ","")&amp;IF(AP508="","Entity type missing; ","")&amp;IF(AND(AN508&lt;&gt;"",COUNTIF($AN$6:$AN$1005,AN508)&gt;1),"GSTIN repeated in this sheet; ","")&amp;IF(AND(AG508&lt;&gt;"",COUNTIF($AG$6:$AG$1005,AG508)&gt;1),"PAN repeated in this sheet (same client? put extra GSTINs in Other GSTINs); ","")&amp;IF(AND(AR508&gt;0,V508=""),"Financial year missing; ","")&amp;IF(AND(AR508=0,V508&lt;&gt;""),"Financial year given but no service is Yes; ","")&amp;IF(AND(W508="Yes",AN508=""),"GST needs a GSTIN; ","")&amp;IF(AND(W508="Yes",X508=""),"GST return frequency missing; ","")&amp;IF(AND(Y508="Yes",TRIM(H508)=""),"TDS needs a TAN; ","")&amp;IF(AND(AA508="Yes",AQ508&lt;&gt;"",AQ508&lt;&gt;"company",AQ508&lt;&gt;"llp"),"ROC is only for a company / LLP; ","")&amp;IF(AND(AA508="Yes",OR(AQ508="company",AQ508="llp"),TRIM(I508)=""),"ROC needs the CIN / LLPIN; ","")</f>
        <v/>
      </c>
    </row>
    <row r="509">
      <c r="A509" s="30" t="n"/>
      <c r="B509" s="31" t="n"/>
      <c r="C509" s="31" t="n"/>
      <c r="D509" s="31" t="n"/>
      <c r="E509" s="30" t="n"/>
      <c r="F509" s="30" t="n"/>
      <c r="G509" s="30" t="n"/>
      <c r="H509" s="30" t="n"/>
      <c r="I509" s="30" t="n"/>
      <c r="J509" s="32" t="n"/>
      <c r="K509" s="31" t="n"/>
      <c r="L509" s="30" t="n"/>
      <c r="M509" s="31" t="n"/>
      <c r="N509" s="31" t="n"/>
      <c r="O509" s="31" t="n"/>
      <c r="P509" s="30" t="n"/>
      <c r="Q509" s="31" t="n"/>
      <c r="R509" s="31" t="n"/>
      <c r="S509" s="31" t="n"/>
      <c r="T509" s="31" t="n"/>
      <c r="U509" s="30" t="n"/>
      <c r="V509" s="31" t="n"/>
      <c r="W509" s="31" t="n"/>
      <c r="X509" s="31" t="n"/>
      <c r="Y509" s="31" t="n"/>
      <c r="Z509" s="31" t="n"/>
      <c r="AA509" s="31" t="n"/>
      <c r="AB509" s="31" t="n"/>
      <c r="AC509" s="31" t="n"/>
      <c r="AD509" s="31" t="n"/>
      <c r="AE509" s="31" t="n"/>
      <c r="AF509" s="27">
        <f>IF(NOT(COUNTA(A509:AE509)&gt;0),"",IF(A509="","New client","Update"))</f>
        <v/>
      </c>
      <c r="AG509" s="27">
        <f>IF(AO509&lt;&gt;"",AO509,IF(LEN(AN509)=15,MID(AN509,3,10),""))</f>
        <v/>
      </c>
      <c r="AH509" s="27">
        <f>IF(AP509="","",AP509&amp;IF(D509="","  (guessed from PAN)",""))</f>
        <v/>
      </c>
      <c r="AI509" s="27">
        <f>IF(AN509="","",IFERROR(INDEX(Lists!$L$2:$L$38,MATCH(LEFT(AN509,2),Lists!$K$2:$K$38,0)),"Unknown code"))</f>
        <v/>
      </c>
      <c r="AJ509" s="27">
        <f>IF(AN509="","",IFERROR(IF(NOT(AND(LEN(AN509)=15,ISNUMBER(MATCH(LEFT(AN509,2),Lists!$K$2:$K$38,0)),SUMPRODUCT(--ISERROR(FIND(MID(MID(AN509,3,10),{1,2,3,4,5,10},1),"ABCDEFGHIJKLMNOPQRSTUVWXYZ")))=0,SUMPRODUCT(--ISERROR(FIND(MID(MID(AN509,3,10),{6,7,8,9},1),"0123456789")))=0,ISNUMBER(FIND(MID(AN509,13,1),"123456789ABCDEFGHIJKLMNOPQRSTUVWXYZ")),MID(AN509,14,1)="Z")),"Wrong format",IF(MID("0123456789ABCDEFGHIJKLMNOPQRSTUVWXYZ",MOD(36-MOD(SUMPRODUCT(INT((FIND(MID(AN509,{1,2,3,4,5,6,7,8,9,10,11,12,13,14},1),"0123456789ABCDEFGHIJKLMNOPQRSTUVWXYZ")-1)*{1,2,1,2,1,2,1,2,1,2,1,2,1,2}/36)+MOD((FIND(MID(AN509,{1,2,3,4,5,6,7,8,9,10,11,12,13,14},1),"0123456789ABCDEFGHIJKLMNOPQRSTUVWXYZ")-1)*{1,2,1,2,1,2,1,2,1,2,1,2,1,2},36)),36),36)+1,1)=MID(AN509,15,1),"OK","Typo? check digit wrong")),"Wrong format"))</f>
        <v/>
      </c>
      <c r="AK509" s="27">
        <f>IF(AO509="","",IF(AND(LEN(AO509)=10,SUMPRODUCT(--ISERROR(FIND(MID(AO509,{1,2,3,4,5,10},1),"ABCDEFGHIJKLMNOPQRSTUVWXYZ")))=0,SUMPRODUCT(--ISERROR(FIND(MID(AO509,{6,7,8,9},1),"0123456789")))=0),"OK","Wrong format"))</f>
        <v/>
      </c>
      <c r="AL509" s="27">
        <f>IF(TRIM(H509)="","",IF(AND(LEN(UPPER(TRIM(H509)))=10,SUMPRODUCT(--ISERROR(FIND(MID(UPPER(TRIM(H509)),{1,2,3,4,10},1),"ABCDEFGHIJKLMNOPQRSTUVWXYZ")))=0,SUMPRODUCT(--ISERROR(FIND(MID(UPPER(TRIM(H509)),{5,6,7,8,9},1),"0123456789")))=0),"OK","Wrong format"))</f>
        <v/>
      </c>
      <c r="AM509" s="28">
        <f>IF(NOT(COUNTA(A509:AE509)&gt;0),"",IF(AS509&lt;&gt;"","✖ "&amp;LEFT(AS509,LEN(AS509)-2),IF(AR509&gt;0,"✔ Ready — client + "&amp;AR509&amp;" service(s)","✔ Ready — client only")))</f>
        <v/>
      </c>
      <c r="AN509" s="29">
        <f>UPPER(SUBSTITUTE(TRIM(F509)," ",""))</f>
        <v/>
      </c>
      <c r="AO509" s="29">
        <f>UPPER(SUBSTITUTE(TRIM(E509)," ",""))</f>
        <v/>
      </c>
      <c r="AP509" s="29">
        <f>IF(D509&lt;&gt;"",D509,IFERROR(VLOOKUP(MID(AG509,4,1),Lists!$E$2:$F$8,2,FALSE),""))</f>
        <v/>
      </c>
      <c r="AQ509" s="29">
        <f>IFERROR(VLOOKUP(AP509,Lists!$A$2:$C$12,3,FALSE),"")</f>
        <v/>
      </c>
      <c r="AR509" s="29">
        <f>COUNTIF(W509:AC509,"Yes")</f>
        <v/>
      </c>
      <c r="AS509" s="29">
        <f>IF(TRIM(B509)="","Legal name missing; ","")&amp;IF(AND(AJ509&lt;&gt;"",AJ509&lt;&gt;"OK"),"GSTIN: "&amp;AJ509&amp;"; ","")&amp;IF(AND(AK509&lt;&gt;"",AK509&lt;&gt;"OK"),"PAN wrong format; ","")&amp;IF(AND(AO509&lt;&gt;"",LEN(AN509)=15,MID(AN509,3,10)&lt;&gt;AO509),"PAN does not match GSTIN; ","")&amp;IF(AND(AL509&lt;&gt;"",AL509&lt;&gt;"OK"),"TAN wrong format; ","")&amp;IF(AG509="","PAN missing; ","")&amp;IF(AP509="","Entity type missing; ","")&amp;IF(AND(AN509&lt;&gt;"",COUNTIF($AN$6:$AN$1005,AN509)&gt;1),"GSTIN repeated in this sheet; ","")&amp;IF(AND(AG509&lt;&gt;"",COUNTIF($AG$6:$AG$1005,AG509)&gt;1),"PAN repeated in this sheet (same client? put extra GSTINs in Other GSTINs); ","")&amp;IF(AND(AR509&gt;0,V509=""),"Financial year missing; ","")&amp;IF(AND(AR509=0,V509&lt;&gt;""),"Financial year given but no service is Yes; ","")&amp;IF(AND(W509="Yes",AN509=""),"GST needs a GSTIN; ","")&amp;IF(AND(W509="Yes",X509=""),"GST return frequency missing; ","")&amp;IF(AND(Y509="Yes",TRIM(H509)=""),"TDS needs a TAN; ","")&amp;IF(AND(AA509="Yes",AQ509&lt;&gt;"",AQ509&lt;&gt;"company",AQ509&lt;&gt;"llp"),"ROC is only for a company / LLP; ","")&amp;IF(AND(AA509="Yes",OR(AQ509="company",AQ509="llp"),TRIM(I509)=""),"ROC needs the CIN / LLPIN; ","")</f>
        <v/>
      </c>
    </row>
    <row r="510">
      <c r="A510" s="30" t="n"/>
      <c r="B510" s="31" t="n"/>
      <c r="C510" s="31" t="n"/>
      <c r="D510" s="31" t="n"/>
      <c r="E510" s="30" t="n"/>
      <c r="F510" s="30" t="n"/>
      <c r="G510" s="30" t="n"/>
      <c r="H510" s="30" t="n"/>
      <c r="I510" s="30" t="n"/>
      <c r="J510" s="32" t="n"/>
      <c r="K510" s="31" t="n"/>
      <c r="L510" s="30" t="n"/>
      <c r="M510" s="31" t="n"/>
      <c r="N510" s="31" t="n"/>
      <c r="O510" s="31" t="n"/>
      <c r="P510" s="30" t="n"/>
      <c r="Q510" s="31" t="n"/>
      <c r="R510" s="31" t="n"/>
      <c r="S510" s="31" t="n"/>
      <c r="T510" s="31" t="n"/>
      <c r="U510" s="30" t="n"/>
      <c r="V510" s="31" t="n"/>
      <c r="W510" s="31" t="n"/>
      <c r="X510" s="31" t="n"/>
      <c r="Y510" s="31" t="n"/>
      <c r="Z510" s="31" t="n"/>
      <c r="AA510" s="31" t="n"/>
      <c r="AB510" s="31" t="n"/>
      <c r="AC510" s="31" t="n"/>
      <c r="AD510" s="31" t="n"/>
      <c r="AE510" s="31" t="n"/>
      <c r="AF510" s="27">
        <f>IF(NOT(COUNTA(A510:AE510)&gt;0),"",IF(A510="","New client","Update"))</f>
        <v/>
      </c>
      <c r="AG510" s="27">
        <f>IF(AO510&lt;&gt;"",AO510,IF(LEN(AN510)=15,MID(AN510,3,10),""))</f>
        <v/>
      </c>
      <c r="AH510" s="27">
        <f>IF(AP510="","",AP510&amp;IF(D510="","  (guessed from PAN)",""))</f>
        <v/>
      </c>
      <c r="AI510" s="27">
        <f>IF(AN510="","",IFERROR(INDEX(Lists!$L$2:$L$38,MATCH(LEFT(AN510,2),Lists!$K$2:$K$38,0)),"Unknown code"))</f>
        <v/>
      </c>
      <c r="AJ510" s="27">
        <f>IF(AN510="","",IFERROR(IF(NOT(AND(LEN(AN510)=15,ISNUMBER(MATCH(LEFT(AN510,2),Lists!$K$2:$K$38,0)),SUMPRODUCT(--ISERROR(FIND(MID(MID(AN510,3,10),{1,2,3,4,5,10},1),"ABCDEFGHIJKLMNOPQRSTUVWXYZ")))=0,SUMPRODUCT(--ISERROR(FIND(MID(MID(AN510,3,10),{6,7,8,9},1),"0123456789")))=0,ISNUMBER(FIND(MID(AN510,13,1),"123456789ABCDEFGHIJKLMNOPQRSTUVWXYZ")),MID(AN510,14,1)="Z")),"Wrong format",IF(MID("0123456789ABCDEFGHIJKLMNOPQRSTUVWXYZ",MOD(36-MOD(SUMPRODUCT(INT((FIND(MID(AN510,{1,2,3,4,5,6,7,8,9,10,11,12,13,14},1),"0123456789ABCDEFGHIJKLMNOPQRSTUVWXYZ")-1)*{1,2,1,2,1,2,1,2,1,2,1,2,1,2}/36)+MOD((FIND(MID(AN510,{1,2,3,4,5,6,7,8,9,10,11,12,13,14},1),"0123456789ABCDEFGHIJKLMNOPQRSTUVWXYZ")-1)*{1,2,1,2,1,2,1,2,1,2,1,2,1,2},36)),36),36)+1,1)=MID(AN510,15,1),"OK","Typo? check digit wrong")),"Wrong format"))</f>
        <v/>
      </c>
      <c r="AK510" s="27">
        <f>IF(AO510="","",IF(AND(LEN(AO510)=10,SUMPRODUCT(--ISERROR(FIND(MID(AO510,{1,2,3,4,5,10},1),"ABCDEFGHIJKLMNOPQRSTUVWXYZ")))=0,SUMPRODUCT(--ISERROR(FIND(MID(AO510,{6,7,8,9},1),"0123456789")))=0),"OK","Wrong format"))</f>
        <v/>
      </c>
      <c r="AL510" s="27">
        <f>IF(TRIM(H510)="","",IF(AND(LEN(UPPER(TRIM(H510)))=10,SUMPRODUCT(--ISERROR(FIND(MID(UPPER(TRIM(H510)),{1,2,3,4,10},1),"ABCDEFGHIJKLMNOPQRSTUVWXYZ")))=0,SUMPRODUCT(--ISERROR(FIND(MID(UPPER(TRIM(H510)),{5,6,7,8,9},1),"0123456789")))=0),"OK","Wrong format"))</f>
        <v/>
      </c>
      <c r="AM510" s="28">
        <f>IF(NOT(COUNTA(A510:AE510)&gt;0),"",IF(AS510&lt;&gt;"","✖ "&amp;LEFT(AS510,LEN(AS510)-2),IF(AR510&gt;0,"✔ Ready — client + "&amp;AR510&amp;" service(s)","✔ Ready — client only")))</f>
        <v/>
      </c>
      <c r="AN510" s="29">
        <f>UPPER(SUBSTITUTE(TRIM(F510)," ",""))</f>
        <v/>
      </c>
      <c r="AO510" s="29">
        <f>UPPER(SUBSTITUTE(TRIM(E510)," ",""))</f>
        <v/>
      </c>
      <c r="AP510" s="29">
        <f>IF(D510&lt;&gt;"",D510,IFERROR(VLOOKUP(MID(AG510,4,1),Lists!$E$2:$F$8,2,FALSE),""))</f>
        <v/>
      </c>
      <c r="AQ510" s="29">
        <f>IFERROR(VLOOKUP(AP510,Lists!$A$2:$C$12,3,FALSE),"")</f>
        <v/>
      </c>
      <c r="AR510" s="29">
        <f>COUNTIF(W510:AC510,"Yes")</f>
        <v/>
      </c>
      <c r="AS510" s="29">
        <f>IF(TRIM(B510)="","Legal name missing; ","")&amp;IF(AND(AJ510&lt;&gt;"",AJ510&lt;&gt;"OK"),"GSTIN: "&amp;AJ510&amp;"; ","")&amp;IF(AND(AK510&lt;&gt;"",AK510&lt;&gt;"OK"),"PAN wrong format; ","")&amp;IF(AND(AO510&lt;&gt;"",LEN(AN510)=15,MID(AN510,3,10)&lt;&gt;AO510),"PAN does not match GSTIN; ","")&amp;IF(AND(AL510&lt;&gt;"",AL510&lt;&gt;"OK"),"TAN wrong format; ","")&amp;IF(AG510="","PAN missing; ","")&amp;IF(AP510="","Entity type missing; ","")&amp;IF(AND(AN510&lt;&gt;"",COUNTIF($AN$6:$AN$1005,AN510)&gt;1),"GSTIN repeated in this sheet; ","")&amp;IF(AND(AG510&lt;&gt;"",COUNTIF($AG$6:$AG$1005,AG510)&gt;1),"PAN repeated in this sheet (same client? put extra GSTINs in Other GSTINs); ","")&amp;IF(AND(AR510&gt;0,V510=""),"Financial year missing; ","")&amp;IF(AND(AR510=0,V510&lt;&gt;""),"Financial year given but no service is Yes; ","")&amp;IF(AND(W510="Yes",AN510=""),"GST needs a GSTIN; ","")&amp;IF(AND(W510="Yes",X510=""),"GST return frequency missing; ","")&amp;IF(AND(Y510="Yes",TRIM(H510)=""),"TDS needs a TAN; ","")&amp;IF(AND(AA510="Yes",AQ510&lt;&gt;"",AQ510&lt;&gt;"company",AQ510&lt;&gt;"llp"),"ROC is only for a company / LLP; ","")&amp;IF(AND(AA510="Yes",OR(AQ510="company",AQ510="llp"),TRIM(I510)=""),"ROC needs the CIN / LLPIN; ","")</f>
        <v/>
      </c>
    </row>
    <row r="511">
      <c r="A511" s="30" t="n"/>
      <c r="B511" s="31" t="n"/>
      <c r="C511" s="31" t="n"/>
      <c r="D511" s="31" t="n"/>
      <c r="E511" s="30" t="n"/>
      <c r="F511" s="30" t="n"/>
      <c r="G511" s="30" t="n"/>
      <c r="H511" s="30" t="n"/>
      <c r="I511" s="30" t="n"/>
      <c r="J511" s="32" t="n"/>
      <c r="K511" s="31" t="n"/>
      <c r="L511" s="30" t="n"/>
      <c r="M511" s="31" t="n"/>
      <c r="N511" s="31" t="n"/>
      <c r="O511" s="31" t="n"/>
      <c r="P511" s="30" t="n"/>
      <c r="Q511" s="31" t="n"/>
      <c r="R511" s="31" t="n"/>
      <c r="S511" s="31" t="n"/>
      <c r="T511" s="31" t="n"/>
      <c r="U511" s="30" t="n"/>
      <c r="V511" s="31" t="n"/>
      <c r="W511" s="31" t="n"/>
      <c r="X511" s="31" t="n"/>
      <c r="Y511" s="31" t="n"/>
      <c r="Z511" s="31" t="n"/>
      <c r="AA511" s="31" t="n"/>
      <c r="AB511" s="31" t="n"/>
      <c r="AC511" s="31" t="n"/>
      <c r="AD511" s="31" t="n"/>
      <c r="AE511" s="31" t="n"/>
      <c r="AF511" s="27">
        <f>IF(NOT(COUNTA(A511:AE511)&gt;0),"",IF(A511="","New client","Update"))</f>
        <v/>
      </c>
      <c r="AG511" s="27">
        <f>IF(AO511&lt;&gt;"",AO511,IF(LEN(AN511)=15,MID(AN511,3,10),""))</f>
        <v/>
      </c>
      <c r="AH511" s="27">
        <f>IF(AP511="","",AP511&amp;IF(D511="","  (guessed from PAN)",""))</f>
        <v/>
      </c>
      <c r="AI511" s="27">
        <f>IF(AN511="","",IFERROR(INDEX(Lists!$L$2:$L$38,MATCH(LEFT(AN511,2),Lists!$K$2:$K$38,0)),"Unknown code"))</f>
        <v/>
      </c>
      <c r="AJ511" s="27">
        <f>IF(AN511="","",IFERROR(IF(NOT(AND(LEN(AN511)=15,ISNUMBER(MATCH(LEFT(AN511,2),Lists!$K$2:$K$38,0)),SUMPRODUCT(--ISERROR(FIND(MID(MID(AN511,3,10),{1,2,3,4,5,10},1),"ABCDEFGHIJKLMNOPQRSTUVWXYZ")))=0,SUMPRODUCT(--ISERROR(FIND(MID(MID(AN511,3,10),{6,7,8,9},1),"0123456789")))=0,ISNUMBER(FIND(MID(AN511,13,1),"123456789ABCDEFGHIJKLMNOPQRSTUVWXYZ")),MID(AN511,14,1)="Z")),"Wrong format",IF(MID("0123456789ABCDEFGHIJKLMNOPQRSTUVWXYZ",MOD(36-MOD(SUMPRODUCT(INT((FIND(MID(AN511,{1,2,3,4,5,6,7,8,9,10,11,12,13,14},1),"0123456789ABCDEFGHIJKLMNOPQRSTUVWXYZ")-1)*{1,2,1,2,1,2,1,2,1,2,1,2,1,2}/36)+MOD((FIND(MID(AN511,{1,2,3,4,5,6,7,8,9,10,11,12,13,14},1),"0123456789ABCDEFGHIJKLMNOPQRSTUVWXYZ")-1)*{1,2,1,2,1,2,1,2,1,2,1,2,1,2},36)),36),36)+1,1)=MID(AN511,15,1),"OK","Typo? check digit wrong")),"Wrong format"))</f>
        <v/>
      </c>
      <c r="AK511" s="27">
        <f>IF(AO511="","",IF(AND(LEN(AO511)=10,SUMPRODUCT(--ISERROR(FIND(MID(AO511,{1,2,3,4,5,10},1),"ABCDEFGHIJKLMNOPQRSTUVWXYZ")))=0,SUMPRODUCT(--ISERROR(FIND(MID(AO511,{6,7,8,9},1),"0123456789")))=0),"OK","Wrong format"))</f>
        <v/>
      </c>
      <c r="AL511" s="27">
        <f>IF(TRIM(H511)="","",IF(AND(LEN(UPPER(TRIM(H511)))=10,SUMPRODUCT(--ISERROR(FIND(MID(UPPER(TRIM(H511)),{1,2,3,4,10},1),"ABCDEFGHIJKLMNOPQRSTUVWXYZ")))=0,SUMPRODUCT(--ISERROR(FIND(MID(UPPER(TRIM(H511)),{5,6,7,8,9},1),"0123456789")))=0),"OK","Wrong format"))</f>
        <v/>
      </c>
      <c r="AM511" s="28">
        <f>IF(NOT(COUNTA(A511:AE511)&gt;0),"",IF(AS511&lt;&gt;"","✖ "&amp;LEFT(AS511,LEN(AS511)-2),IF(AR511&gt;0,"✔ Ready — client + "&amp;AR511&amp;" service(s)","✔ Ready — client only")))</f>
        <v/>
      </c>
      <c r="AN511" s="29">
        <f>UPPER(SUBSTITUTE(TRIM(F511)," ",""))</f>
        <v/>
      </c>
      <c r="AO511" s="29">
        <f>UPPER(SUBSTITUTE(TRIM(E511)," ",""))</f>
        <v/>
      </c>
      <c r="AP511" s="29">
        <f>IF(D511&lt;&gt;"",D511,IFERROR(VLOOKUP(MID(AG511,4,1),Lists!$E$2:$F$8,2,FALSE),""))</f>
        <v/>
      </c>
      <c r="AQ511" s="29">
        <f>IFERROR(VLOOKUP(AP511,Lists!$A$2:$C$12,3,FALSE),"")</f>
        <v/>
      </c>
      <c r="AR511" s="29">
        <f>COUNTIF(W511:AC511,"Yes")</f>
        <v/>
      </c>
      <c r="AS511" s="29">
        <f>IF(TRIM(B511)="","Legal name missing; ","")&amp;IF(AND(AJ511&lt;&gt;"",AJ511&lt;&gt;"OK"),"GSTIN: "&amp;AJ511&amp;"; ","")&amp;IF(AND(AK511&lt;&gt;"",AK511&lt;&gt;"OK"),"PAN wrong format; ","")&amp;IF(AND(AO511&lt;&gt;"",LEN(AN511)=15,MID(AN511,3,10)&lt;&gt;AO511),"PAN does not match GSTIN; ","")&amp;IF(AND(AL511&lt;&gt;"",AL511&lt;&gt;"OK"),"TAN wrong format; ","")&amp;IF(AG511="","PAN missing; ","")&amp;IF(AP511="","Entity type missing; ","")&amp;IF(AND(AN511&lt;&gt;"",COUNTIF($AN$6:$AN$1005,AN511)&gt;1),"GSTIN repeated in this sheet; ","")&amp;IF(AND(AG511&lt;&gt;"",COUNTIF($AG$6:$AG$1005,AG511)&gt;1),"PAN repeated in this sheet (same client? put extra GSTINs in Other GSTINs); ","")&amp;IF(AND(AR511&gt;0,V511=""),"Financial year missing; ","")&amp;IF(AND(AR511=0,V511&lt;&gt;""),"Financial year given but no service is Yes; ","")&amp;IF(AND(W511="Yes",AN511=""),"GST needs a GSTIN; ","")&amp;IF(AND(W511="Yes",X511=""),"GST return frequency missing; ","")&amp;IF(AND(Y511="Yes",TRIM(H511)=""),"TDS needs a TAN; ","")&amp;IF(AND(AA511="Yes",AQ511&lt;&gt;"",AQ511&lt;&gt;"company",AQ511&lt;&gt;"llp"),"ROC is only for a company / LLP; ","")&amp;IF(AND(AA511="Yes",OR(AQ511="company",AQ511="llp"),TRIM(I511)=""),"ROC needs the CIN / LLPIN; ","")</f>
        <v/>
      </c>
    </row>
    <row r="512">
      <c r="A512" s="30" t="n"/>
      <c r="B512" s="31" t="n"/>
      <c r="C512" s="31" t="n"/>
      <c r="D512" s="31" t="n"/>
      <c r="E512" s="30" t="n"/>
      <c r="F512" s="30" t="n"/>
      <c r="G512" s="30" t="n"/>
      <c r="H512" s="30" t="n"/>
      <c r="I512" s="30" t="n"/>
      <c r="J512" s="32" t="n"/>
      <c r="K512" s="31" t="n"/>
      <c r="L512" s="30" t="n"/>
      <c r="M512" s="31" t="n"/>
      <c r="N512" s="31" t="n"/>
      <c r="O512" s="31" t="n"/>
      <c r="P512" s="30" t="n"/>
      <c r="Q512" s="31" t="n"/>
      <c r="R512" s="31" t="n"/>
      <c r="S512" s="31" t="n"/>
      <c r="T512" s="31" t="n"/>
      <c r="U512" s="30" t="n"/>
      <c r="V512" s="31" t="n"/>
      <c r="W512" s="31" t="n"/>
      <c r="X512" s="31" t="n"/>
      <c r="Y512" s="31" t="n"/>
      <c r="Z512" s="31" t="n"/>
      <c r="AA512" s="31" t="n"/>
      <c r="AB512" s="31" t="n"/>
      <c r="AC512" s="31" t="n"/>
      <c r="AD512" s="31" t="n"/>
      <c r="AE512" s="31" t="n"/>
      <c r="AF512" s="27">
        <f>IF(NOT(COUNTA(A512:AE512)&gt;0),"",IF(A512="","New client","Update"))</f>
        <v/>
      </c>
      <c r="AG512" s="27">
        <f>IF(AO512&lt;&gt;"",AO512,IF(LEN(AN512)=15,MID(AN512,3,10),""))</f>
        <v/>
      </c>
      <c r="AH512" s="27">
        <f>IF(AP512="","",AP512&amp;IF(D512="","  (guessed from PAN)",""))</f>
        <v/>
      </c>
      <c r="AI512" s="27">
        <f>IF(AN512="","",IFERROR(INDEX(Lists!$L$2:$L$38,MATCH(LEFT(AN512,2),Lists!$K$2:$K$38,0)),"Unknown code"))</f>
        <v/>
      </c>
      <c r="AJ512" s="27">
        <f>IF(AN512="","",IFERROR(IF(NOT(AND(LEN(AN512)=15,ISNUMBER(MATCH(LEFT(AN512,2),Lists!$K$2:$K$38,0)),SUMPRODUCT(--ISERROR(FIND(MID(MID(AN512,3,10),{1,2,3,4,5,10},1),"ABCDEFGHIJKLMNOPQRSTUVWXYZ")))=0,SUMPRODUCT(--ISERROR(FIND(MID(MID(AN512,3,10),{6,7,8,9},1),"0123456789")))=0,ISNUMBER(FIND(MID(AN512,13,1),"123456789ABCDEFGHIJKLMNOPQRSTUVWXYZ")),MID(AN512,14,1)="Z")),"Wrong format",IF(MID("0123456789ABCDEFGHIJKLMNOPQRSTUVWXYZ",MOD(36-MOD(SUMPRODUCT(INT((FIND(MID(AN512,{1,2,3,4,5,6,7,8,9,10,11,12,13,14},1),"0123456789ABCDEFGHIJKLMNOPQRSTUVWXYZ")-1)*{1,2,1,2,1,2,1,2,1,2,1,2,1,2}/36)+MOD((FIND(MID(AN512,{1,2,3,4,5,6,7,8,9,10,11,12,13,14},1),"0123456789ABCDEFGHIJKLMNOPQRSTUVWXYZ")-1)*{1,2,1,2,1,2,1,2,1,2,1,2,1,2},36)),36),36)+1,1)=MID(AN512,15,1),"OK","Typo? check digit wrong")),"Wrong format"))</f>
        <v/>
      </c>
      <c r="AK512" s="27">
        <f>IF(AO512="","",IF(AND(LEN(AO512)=10,SUMPRODUCT(--ISERROR(FIND(MID(AO512,{1,2,3,4,5,10},1),"ABCDEFGHIJKLMNOPQRSTUVWXYZ")))=0,SUMPRODUCT(--ISERROR(FIND(MID(AO512,{6,7,8,9},1),"0123456789")))=0),"OK","Wrong format"))</f>
        <v/>
      </c>
      <c r="AL512" s="27">
        <f>IF(TRIM(H512)="","",IF(AND(LEN(UPPER(TRIM(H512)))=10,SUMPRODUCT(--ISERROR(FIND(MID(UPPER(TRIM(H512)),{1,2,3,4,10},1),"ABCDEFGHIJKLMNOPQRSTUVWXYZ")))=0,SUMPRODUCT(--ISERROR(FIND(MID(UPPER(TRIM(H512)),{5,6,7,8,9},1),"0123456789")))=0),"OK","Wrong format"))</f>
        <v/>
      </c>
      <c r="AM512" s="28">
        <f>IF(NOT(COUNTA(A512:AE512)&gt;0),"",IF(AS512&lt;&gt;"","✖ "&amp;LEFT(AS512,LEN(AS512)-2),IF(AR512&gt;0,"✔ Ready — client + "&amp;AR512&amp;" service(s)","✔ Ready — client only")))</f>
        <v/>
      </c>
      <c r="AN512" s="29">
        <f>UPPER(SUBSTITUTE(TRIM(F512)," ",""))</f>
        <v/>
      </c>
      <c r="AO512" s="29">
        <f>UPPER(SUBSTITUTE(TRIM(E512)," ",""))</f>
        <v/>
      </c>
      <c r="AP512" s="29">
        <f>IF(D512&lt;&gt;"",D512,IFERROR(VLOOKUP(MID(AG512,4,1),Lists!$E$2:$F$8,2,FALSE),""))</f>
        <v/>
      </c>
      <c r="AQ512" s="29">
        <f>IFERROR(VLOOKUP(AP512,Lists!$A$2:$C$12,3,FALSE),"")</f>
        <v/>
      </c>
      <c r="AR512" s="29">
        <f>COUNTIF(W512:AC512,"Yes")</f>
        <v/>
      </c>
      <c r="AS512" s="29">
        <f>IF(TRIM(B512)="","Legal name missing; ","")&amp;IF(AND(AJ512&lt;&gt;"",AJ512&lt;&gt;"OK"),"GSTIN: "&amp;AJ512&amp;"; ","")&amp;IF(AND(AK512&lt;&gt;"",AK512&lt;&gt;"OK"),"PAN wrong format; ","")&amp;IF(AND(AO512&lt;&gt;"",LEN(AN512)=15,MID(AN512,3,10)&lt;&gt;AO512),"PAN does not match GSTIN; ","")&amp;IF(AND(AL512&lt;&gt;"",AL512&lt;&gt;"OK"),"TAN wrong format; ","")&amp;IF(AG512="","PAN missing; ","")&amp;IF(AP512="","Entity type missing; ","")&amp;IF(AND(AN512&lt;&gt;"",COUNTIF($AN$6:$AN$1005,AN512)&gt;1),"GSTIN repeated in this sheet; ","")&amp;IF(AND(AG512&lt;&gt;"",COUNTIF($AG$6:$AG$1005,AG512)&gt;1),"PAN repeated in this sheet (same client? put extra GSTINs in Other GSTINs); ","")&amp;IF(AND(AR512&gt;0,V512=""),"Financial year missing; ","")&amp;IF(AND(AR512=0,V512&lt;&gt;""),"Financial year given but no service is Yes; ","")&amp;IF(AND(W512="Yes",AN512=""),"GST needs a GSTIN; ","")&amp;IF(AND(W512="Yes",X512=""),"GST return frequency missing; ","")&amp;IF(AND(Y512="Yes",TRIM(H512)=""),"TDS needs a TAN; ","")&amp;IF(AND(AA512="Yes",AQ512&lt;&gt;"",AQ512&lt;&gt;"company",AQ512&lt;&gt;"llp"),"ROC is only for a company / LLP; ","")&amp;IF(AND(AA512="Yes",OR(AQ512="company",AQ512="llp"),TRIM(I512)=""),"ROC needs the CIN / LLPIN; ","")</f>
        <v/>
      </c>
    </row>
    <row r="513">
      <c r="A513" s="30" t="n"/>
      <c r="B513" s="31" t="n"/>
      <c r="C513" s="31" t="n"/>
      <c r="D513" s="31" t="n"/>
      <c r="E513" s="30" t="n"/>
      <c r="F513" s="30" t="n"/>
      <c r="G513" s="30" t="n"/>
      <c r="H513" s="30" t="n"/>
      <c r="I513" s="30" t="n"/>
      <c r="J513" s="32" t="n"/>
      <c r="K513" s="31" t="n"/>
      <c r="L513" s="30" t="n"/>
      <c r="M513" s="31" t="n"/>
      <c r="N513" s="31" t="n"/>
      <c r="O513" s="31" t="n"/>
      <c r="P513" s="30" t="n"/>
      <c r="Q513" s="31" t="n"/>
      <c r="R513" s="31" t="n"/>
      <c r="S513" s="31" t="n"/>
      <c r="T513" s="31" t="n"/>
      <c r="U513" s="30" t="n"/>
      <c r="V513" s="31" t="n"/>
      <c r="W513" s="31" t="n"/>
      <c r="X513" s="31" t="n"/>
      <c r="Y513" s="31" t="n"/>
      <c r="Z513" s="31" t="n"/>
      <c r="AA513" s="31" t="n"/>
      <c r="AB513" s="31" t="n"/>
      <c r="AC513" s="31" t="n"/>
      <c r="AD513" s="31" t="n"/>
      <c r="AE513" s="31" t="n"/>
      <c r="AF513" s="27">
        <f>IF(NOT(COUNTA(A513:AE513)&gt;0),"",IF(A513="","New client","Update"))</f>
        <v/>
      </c>
      <c r="AG513" s="27">
        <f>IF(AO513&lt;&gt;"",AO513,IF(LEN(AN513)=15,MID(AN513,3,10),""))</f>
        <v/>
      </c>
      <c r="AH513" s="27">
        <f>IF(AP513="","",AP513&amp;IF(D513="","  (guessed from PAN)",""))</f>
        <v/>
      </c>
      <c r="AI513" s="27">
        <f>IF(AN513="","",IFERROR(INDEX(Lists!$L$2:$L$38,MATCH(LEFT(AN513,2),Lists!$K$2:$K$38,0)),"Unknown code"))</f>
        <v/>
      </c>
      <c r="AJ513" s="27">
        <f>IF(AN513="","",IFERROR(IF(NOT(AND(LEN(AN513)=15,ISNUMBER(MATCH(LEFT(AN513,2),Lists!$K$2:$K$38,0)),SUMPRODUCT(--ISERROR(FIND(MID(MID(AN513,3,10),{1,2,3,4,5,10},1),"ABCDEFGHIJKLMNOPQRSTUVWXYZ")))=0,SUMPRODUCT(--ISERROR(FIND(MID(MID(AN513,3,10),{6,7,8,9},1),"0123456789")))=0,ISNUMBER(FIND(MID(AN513,13,1),"123456789ABCDEFGHIJKLMNOPQRSTUVWXYZ")),MID(AN513,14,1)="Z")),"Wrong format",IF(MID("0123456789ABCDEFGHIJKLMNOPQRSTUVWXYZ",MOD(36-MOD(SUMPRODUCT(INT((FIND(MID(AN513,{1,2,3,4,5,6,7,8,9,10,11,12,13,14},1),"0123456789ABCDEFGHIJKLMNOPQRSTUVWXYZ")-1)*{1,2,1,2,1,2,1,2,1,2,1,2,1,2}/36)+MOD((FIND(MID(AN513,{1,2,3,4,5,6,7,8,9,10,11,12,13,14},1),"0123456789ABCDEFGHIJKLMNOPQRSTUVWXYZ")-1)*{1,2,1,2,1,2,1,2,1,2,1,2,1,2},36)),36),36)+1,1)=MID(AN513,15,1),"OK","Typo? check digit wrong")),"Wrong format"))</f>
        <v/>
      </c>
      <c r="AK513" s="27">
        <f>IF(AO513="","",IF(AND(LEN(AO513)=10,SUMPRODUCT(--ISERROR(FIND(MID(AO513,{1,2,3,4,5,10},1),"ABCDEFGHIJKLMNOPQRSTUVWXYZ")))=0,SUMPRODUCT(--ISERROR(FIND(MID(AO513,{6,7,8,9},1),"0123456789")))=0),"OK","Wrong format"))</f>
        <v/>
      </c>
      <c r="AL513" s="27">
        <f>IF(TRIM(H513)="","",IF(AND(LEN(UPPER(TRIM(H513)))=10,SUMPRODUCT(--ISERROR(FIND(MID(UPPER(TRIM(H513)),{1,2,3,4,10},1),"ABCDEFGHIJKLMNOPQRSTUVWXYZ")))=0,SUMPRODUCT(--ISERROR(FIND(MID(UPPER(TRIM(H513)),{5,6,7,8,9},1),"0123456789")))=0),"OK","Wrong format"))</f>
        <v/>
      </c>
      <c r="AM513" s="28">
        <f>IF(NOT(COUNTA(A513:AE513)&gt;0),"",IF(AS513&lt;&gt;"","✖ "&amp;LEFT(AS513,LEN(AS513)-2),IF(AR513&gt;0,"✔ Ready — client + "&amp;AR513&amp;" service(s)","✔ Ready — client only")))</f>
        <v/>
      </c>
      <c r="AN513" s="29">
        <f>UPPER(SUBSTITUTE(TRIM(F513)," ",""))</f>
        <v/>
      </c>
      <c r="AO513" s="29">
        <f>UPPER(SUBSTITUTE(TRIM(E513)," ",""))</f>
        <v/>
      </c>
      <c r="AP513" s="29">
        <f>IF(D513&lt;&gt;"",D513,IFERROR(VLOOKUP(MID(AG513,4,1),Lists!$E$2:$F$8,2,FALSE),""))</f>
        <v/>
      </c>
      <c r="AQ513" s="29">
        <f>IFERROR(VLOOKUP(AP513,Lists!$A$2:$C$12,3,FALSE),"")</f>
        <v/>
      </c>
      <c r="AR513" s="29">
        <f>COUNTIF(W513:AC513,"Yes")</f>
        <v/>
      </c>
      <c r="AS513" s="29">
        <f>IF(TRIM(B513)="","Legal name missing; ","")&amp;IF(AND(AJ513&lt;&gt;"",AJ513&lt;&gt;"OK"),"GSTIN: "&amp;AJ513&amp;"; ","")&amp;IF(AND(AK513&lt;&gt;"",AK513&lt;&gt;"OK"),"PAN wrong format; ","")&amp;IF(AND(AO513&lt;&gt;"",LEN(AN513)=15,MID(AN513,3,10)&lt;&gt;AO513),"PAN does not match GSTIN; ","")&amp;IF(AND(AL513&lt;&gt;"",AL513&lt;&gt;"OK"),"TAN wrong format; ","")&amp;IF(AG513="","PAN missing; ","")&amp;IF(AP513="","Entity type missing; ","")&amp;IF(AND(AN513&lt;&gt;"",COUNTIF($AN$6:$AN$1005,AN513)&gt;1),"GSTIN repeated in this sheet; ","")&amp;IF(AND(AG513&lt;&gt;"",COUNTIF($AG$6:$AG$1005,AG513)&gt;1),"PAN repeated in this sheet (same client? put extra GSTINs in Other GSTINs); ","")&amp;IF(AND(AR513&gt;0,V513=""),"Financial year missing; ","")&amp;IF(AND(AR513=0,V513&lt;&gt;""),"Financial year given but no service is Yes; ","")&amp;IF(AND(W513="Yes",AN513=""),"GST needs a GSTIN; ","")&amp;IF(AND(W513="Yes",X513=""),"GST return frequency missing; ","")&amp;IF(AND(Y513="Yes",TRIM(H513)=""),"TDS needs a TAN; ","")&amp;IF(AND(AA513="Yes",AQ513&lt;&gt;"",AQ513&lt;&gt;"company",AQ513&lt;&gt;"llp"),"ROC is only for a company / LLP; ","")&amp;IF(AND(AA513="Yes",OR(AQ513="company",AQ513="llp"),TRIM(I513)=""),"ROC needs the CIN / LLPIN; ","")</f>
        <v/>
      </c>
    </row>
    <row r="514">
      <c r="A514" s="30" t="n"/>
      <c r="B514" s="31" t="n"/>
      <c r="C514" s="31" t="n"/>
      <c r="D514" s="31" t="n"/>
      <c r="E514" s="30" t="n"/>
      <c r="F514" s="30" t="n"/>
      <c r="G514" s="30" t="n"/>
      <c r="H514" s="30" t="n"/>
      <c r="I514" s="30" t="n"/>
      <c r="J514" s="32" t="n"/>
      <c r="K514" s="31" t="n"/>
      <c r="L514" s="30" t="n"/>
      <c r="M514" s="31" t="n"/>
      <c r="N514" s="31" t="n"/>
      <c r="O514" s="31" t="n"/>
      <c r="P514" s="30" t="n"/>
      <c r="Q514" s="31" t="n"/>
      <c r="R514" s="31" t="n"/>
      <c r="S514" s="31" t="n"/>
      <c r="T514" s="31" t="n"/>
      <c r="U514" s="30" t="n"/>
      <c r="V514" s="31" t="n"/>
      <c r="W514" s="31" t="n"/>
      <c r="X514" s="31" t="n"/>
      <c r="Y514" s="31" t="n"/>
      <c r="Z514" s="31" t="n"/>
      <c r="AA514" s="31" t="n"/>
      <c r="AB514" s="31" t="n"/>
      <c r="AC514" s="31" t="n"/>
      <c r="AD514" s="31" t="n"/>
      <c r="AE514" s="31" t="n"/>
      <c r="AF514" s="27">
        <f>IF(NOT(COUNTA(A514:AE514)&gt;0),"",IF(A514="","New client","Update"))</f>
        <v/>
      </c>
      <c r="AG514" s="27">
        <f>IF(AO514&lt;&gt;"",AO514,IF(LEN(AN514)=15,MID(AN514,3,10),""))</f>
        <v/>
      </c>
      <c r="AH514" s="27">
        <f>IF(AP514="","",AP514&amp;IF(D514="","  (guessed from PAN)",""))</f>
        <v/>
      </c>
      <c r="AI514" s="27">
        <f>IF(AN514="","",IFERROR(INDEX(Lists!$L$2:$L$38,MATCH(LEFT(AN514,2),Lists!$K$2:$K$38,0)),"Unknown code"))</f>
        <v/>
      </c>
      <c r="AJ514" s="27">
        <f>IF(AN514="","",IFERROR(IF(NOT(AND(LEN(AN514)=15,ISNUMBER(MATCH(LEFT(AN514,2),Lists!$K$2:$K$38,0)),SUMPRODUCT(--ISERROR(FIND(MID(MID(AN514,3,10),{1,2,3,4,5,10},1),"ABCDEFGHIJKLMNOPQRSTUVWXYZ")))=0,SUMPRODUCT(--ISERROR(FIND(MID(MID(AN514,3,10),{6,7,8,9},1),"0123456789")))=0,ISNUMBER(FIND(MID(AN514,13,1),"123456789ABCDEFGHIJKLMNOPQRSTUVWXYZ")),MID(AN514,14,1)="Z")),"Wrong format",IF(MID("0123456789ABCDEFGHIJKLMNOPQRSTUVWXYZ",MOD(36-MOD(SUMPRODUCT(INT((FIND(MID(AN514,{1,2,3,4,5,6,7,8,9,10,11,12,13,14},1),"0123456789ABCDEFGHIJKLMNOPQRSTUVWXYZ")-1)*{1,2,1,2,1,2,1,2,1,2,1,2,1,2}/36)+MOD((FIND(MID(AN514,{1,2,3,4,5,6,7,8,9,10,11,12,13,14},1),"0123456789ABCDEFGHIJKLMNOPQRSTUVWXYZ")-1)*{1,2,1,2,1,2,1,2,1,2,1,2,1,2},36)),36),36)+1,1)=MID(AN514,15,1),"OK","Typo? check digit wrong")),"Wrong format"))</f>
        <v/>
      </c>
      <c r="AK514" s="27">
        <f>IF(AO514="","",IF(AND(LEN(AO514)=10,SUMPRODUCT(--ISERROR(FIND(MID(AO514,{1,2,3,4,5,10},1),"ABCDEFGHIJKLMNOPQRSTUVWXYZ")))=0,SUMPRODUCT(--ISERROR(FIND(MID(AO514,{6,7,8,9},1),"0123456789")))=0),"OK","Wrong format"))</f>
        <v/>
      </c>
      <c r="AL514" s="27">
        <f>IF(TRIM(H514)="","",IF(AND(LEN(UPPER(TRIM(H514)))=10,SUMPRODUCT(--ISERROR(FIND(MID(UPPER(TRIM(H514)),{1,2,3,4,10},1),"ABCDEFGHIJKLMNOPQRSTUVWXYZ")))=0,SUMPRODUCT(--ISERROR(FIND(MID(UPPER(TRIM(H514)),{5,6,7,8,9},1),"0123456789")))=0),"OK","Wrong format"))</f>
        <v/>
      </c>
      <c r="AM514" s="28">
        <f>IF(NOT(COUNTA(A514:AE514)&gt;0),"",IF(AS514&lt;&gt;"","✖ "&amp;LEFT(AS514,LEN(AS514)-2),IF(AR514&gt;0,"✔ Ready — client + "&amp;AR514&amp;" service(s)","✔ Ready — client only")))</f>
        <v/>
      </c>
      <c r="AN514" s="29">
        <f>UPPER(SUBSTITUTE(TRIM(F514)," ",""))</f>
        <v/>
      </c>
      <c r="AO514" s="29">
        <f>UPPER(SUBSTITUTE(TRIM(E514)," ",""))</f>
        <v/>
      </c>
      <c r="AP514" s="29">
        <f>IF(D514&lt;&gt;"",D514,IFERROR(VLOOKUP(MID(AG514,4,1),Lists!$E$2:$F$8,2,FALSE),""))</f>
        <v/>
      </c>
      <c r="AQ514" s="29">
        <f>IFERROR(VLOOKUP(AP514,Lists!$A$2:$C$12,3,FALSE),"")</f>
        <v/>
      </c>
      <c r="AR514" s="29">
        <f>COUNTIF(W514:AC514,"Yes")</f>
        <v/>
      </c>
      <c r="AS514" s="29">
        <f>IF(TRIM(B514)="","Legal name missing; ","")&amp;IF(AND(AJ514&lt;&gt;"",AJ514&lt;&gt;"OK"),"GSTIN: "&amp;AJ514&amp;"; ","")&amp;IF(AND(AK514&lt;&gt;"",AK514&lt;&gt;"OK"),"PAN wrong format; ","")&amp;IF(AND(AO514&lt;&gt;"",LEN(AN514)=15,MID(AN514,3,10)&lt;&gt;AO514),"PAN does not match GSTIN; ","")&amp;IF(AND(AL514&lt;&gt;"",AL514&lt;&gt;"OK"),"TAN wrong format; ","")&amp;IF(AG514="","PAN missing; ","")&amp;IF(AP514="","Entity type missing; ","")&amp;IF(AND(AN514&lt;&gt;"",COUNTIF($AN$6:$AN$1005,AN514)&gt;1),"GSTIN repeated in this sheet; ","")&amp;IF(AND(AG514&lt;&gt;"",COUNTIF($AG$6:$AG$1005,AG514)&gt;1),"PAN repeated in this sheet (same client? put extra GSTINs in Other GSTINs); ","")&amp;IF(AND(AR514&gt;0,V514=""),"Financial year missing; ","")&amp;IF(AND(AR514=0,V514&lt;&gt;""),"Financial year given but no service is Yes; ","")&amp;IF(AND(W514="Yes",AN514=""),"GST needs a GSTIN; ","")&amp;IF(AND(W514="Yes",X514=""),"GST return frequency missing; ","")&amp;IF(AND(Y514="Yes",TRIM(H514)=""),"TDS needs a TAN; ","")&amp;IF(AND(AA514="Yes",AQ514&lt;&gt;"",AQ514&lt;&gt;"company",AQ514&lt;&gt;"llp"),"ROC is only for a company / LLP; ","")&amp;IF(AND(AA514="Yes",OR(AQ514="company",AQ514="llp"),TRIM(I514)=""),"ROC needs the CIN / LLPIN; ","")</f>
        <v/>
      </c>
    </row>
    <row r="515">
      <c r="A515" s="30" t="n"/>
      <c r="B515" s="31" t="n"/>
      <c r="C515" s="31" t="n"/>
      <c r="D515" s="31" t="n"/>
      <c r="E515" s="30" t="n"/>
      <c r="F515" s="30" t="n"/>
      <c r="G515" s="30" t="n"/>
      <c r="H515" s="30" t="n"/>
      <c r="I515" s="30" t="n"/>
      <c r="J515" s="32" t="n"/>
      <c r="K515" s="31" t="n"/>
      <c r="L515" s="30" t="n"/>
      <c r="M515" s="31" t="n"/>
      <c r="N515" s="31" t="n"/>
      <c r="O515" s="31" t="n"/>
      <c r="P515" s="30" t="n"/>
      <c r="Q515" s="31" t="n"/>
      <c r="R515" s="31" t="n"/>
      <c r="S515" s="31" t="n"/>
      <c r="T515" s="31" t="n"/>
      <c r="U515" s="30" t="n"/>
      <c r="V515" s="31" t="n"/>
      <c r="W515" s="31" t="n"/>
      <c r="X515" s="31" t="n"/>
      <c r="Y515" s="31" t="n"/>
      <c r="Z515" s="31" t="n"/>
      <c r="AA515" s="31" t="n"/>
      <c r="AB515" s="31" t="n"/>
      <c r="AC515" s="31" t="n"/>
      <c r="AD515" s="31" t="n"/>
      <c r="AE515" s="31" t="n"/>
      <c r="AF515" s="27">
        <f>IF(NOT(COUNTA(A515:AE515)&gt;0),"",IF(A515="","New client","Update"))</f>
        <v/>
      </c>
      <c r="AG515" s="27">
        <f>IF(AO515&lt;&gt;"",AO515,IF(LEN(AN515)=15,MID(AN515,3,10),""))</f>
        <v/>
      </c>
      <c r="AH515" s="27">
        <f>IF(AP515="","",AP515&amp;IF(D515="","  (guessed from PAN)",""))</f>
        <v/>
      </c>
      <c r="AI515" s="27">
        <f>IF(AN515="","",IFERROR(INDEX(Lists!$L$2:$L$38,MATCH(LEFT(AN515,2),Lists!$K$2:$K$38,0)),"Unknown code"))</f>
        <v/>
      </c>
      <c r="AJ515" s="27">
        <f>IF(AN515="","",IFERROR(IF(NOT(AND(LEN(AN515)=15,ISNUMBER(MATCH(LEFT(AN515,2),Lists!$K$2:$K$38,0)),SUMPRODUCT(--ISERROR(FIND(MID(MID(AN515,3,10),{1,2,3,4,5,10},1),"ABCDEFGHIJKLMNOPQRSTUVWXYZ")))=0,SUMPRODUCT(--ISERROR(FIND(MID(MID(AN515,3,10),{6,7,8,9},1),"0123456789")))=0,ISNUMBER(FIND(MID(AN515,13,1),"123456789ABCDEFGHIJKLMNOPQRSTUVWXYZ")),MID(AN515,14,1)="Z")),"Wrong format",IF(MID("0123456789ABCDEFGHIJKLMNOPQRSTUVWXYZ",MOD(36-MOD(SUMPRODUCT(INT((FIND(MID(AN515,{1,2,3,4,5,6,7,8,9,10,11,12,13,14},1),"0123456789ABCDEFGHIJKLMNOPQRSTUVWXYZ")-1)*{1,2,1,2,1,2,1,2,1,2,1,2,1,2}/36)+MOD((FIND(MID(AN515,{1,2,3,4,5,6,7,8,9,10,11,12,13,14},1),"0123456789ABCDEFGHIJKLMNOPQRSTUVWXYZ")-1)*{1,2,1,2,1,2,1,2,1,2,1,2,1,2},36)),36),36)+1,1)=MID(AN515,15,1),"OK","Typo? check digit wrong")),"Wrong format"))</f>
        <v/>
      </c>
      <c r="AK515" s="27">
        <f>IF(AO515="","",IF(AND(LEN(AO515)=10,SUMPRODUCT(--ISERROR(FIND(MID(AO515,{1,2,3,4,5,10},1),"ABCDEFGHIJKLMNOPQRSTUVWXYZ")))=0,SUMPRODUCT(--ISERROR(FIND(MID(AO515,{6,7,8,9},1),"0123456789")))=0),"OK","Wrong format"))</f>
        <v/>
      </c>
      <c r="AL515" s="27">
        <f>IF(TRIM(H515)="","",IF(AND(LEN(UPPER(TRIM(H515)))=10,SUMPRODUCT(--ISERROR(FIND(MID(UPPER(TRIM(H515)),{1,2,3,4,10},1),"ABCDEFGHIJKLMNOPQRSTUVWXYZ")))=0,SUMPRODUCT(--ISERROR(FIND(MID(UPPER(TRIM(H515)),{5,6,7,8,9},1),"0123456789")))=0),"OK","Wrong format"))</f>
        <v/>
      </c>
      <c r="AM515" s="28">
        <f>IF(NOT(COUNTA(A515:AE515)&gt;0),"",IF(AS515&lt;&gt;"","✖ "&amp;LEFT(AS515,LEN(AS515)-2),IF(AR515&gt;0,"✔ Ready — client + "&amp;AR515&amp;" service(s)","✔ Ready — client only")))</f>
        <v/>
      </c>
      <c r="AN515" s="29">
        <f>UPPER(SUBSTITUTE(TRIM(F515)," ",""))</f>
        <v/>
      </c>
      <c r="AO515" s="29">
        <f>UPPER(SUBSTITUTE(TRIM(E515)," ",""))</f>
        <v/>
      </c>
      <c r="AP515" s="29">
        <f>IF(D515&lt;&gt;"",D515,IFERROR(VLOOKUP(MID(AG515,4,1),Lists!$E$2:$F$8,2,FALSE),""))</f>
        <v/>
      </c>
      <c r="AQ515" s="29">
        <f>IFERROR(VLOOKUP(AP515,Lists!$A$2:$C$12,3,FALSE),"")</f>
        <v/>
      </c>
      <c r="AR515" s="29">
        <f>COUNTIF(W515:AC515,"Yes")</f>
        <v/>
      </c>
      <c r="AS515" s="29">
        <f>IF(TRIM(B515)="","Legal name missing; ","")&amp;IF(AND(AJ515&lt;&gt;"",AJ515&lt;&gt;"OK"),"GSTIN: "&amp;AJ515&amp;"; ","")&amp;IF(AND(AK515&lt;&gt;"",AK515&lt;&gt;"OK"),"PAN wrong format; ","")&amp;IF(AND(AO515&lt;&gt;"",LEN(AN515)=15,MID(AN515,3,10)&lt;&gt;AO515),"PAN does not match GSTIN; ","")&amp;IF(AND(AL515&lt;&gt;"",AL515&lt;&gt;"OK"),"TAN wrong format; ","")&amp;IF(AG515="","PAN missing; ","")&amp;IF(AP515="","Entity type missing; ","")&amp;IF(AND(AN515&lt;&gt;"",COUNTIF($AN$6:$AN$1005,AN515)&gt;1),"GSTIN repeated in this sheet; ","")&amp;IF(AND(AG515&lt;&gt;"",COUNTIF($AG$6:$AG$1005,AG515)&gt;1),"PAN repeated in this sheet (same client? put extra GSTINs in Other GSTINs); ","")&amp;IF(AND(AR515&gt;0,V515=""),"Financial year missing; ","")&amp;IF(AND(AR515=0,V515&lt;&gt;""),"Financial year given but no service is Yes; ","")&amp;IF(AND(W515="Yes",AN515=""),"GST needs a GSTIN; ","")&amp;IF(AND(W515="Yes",X515=""),"GST return frequency missing; ","")&amp;IF(AND(Y515="Yes",TRIM(H515)=""),"TDS needs a TAN; ","")&amp;IF(AND(AA515="Yes",AQ515&lt;&gt;"",AQ515&lt;&gt;"company",AQ515&lt;&gt;"llp"),"ROC is only for a company / LLP; ","")&amp;IF(AND(AA515="Yes",OR(AQ515="company",AQ515="llp"),TRIM(I515)=""),"ROC needs the CIN / LLPIN; ","")</f>
        <v/>
      </c>
    </row>
    <row r="516">
      <c r="A516" s="30" t="n"/>
      <c r="B516" s="31" t="n"/>
      <c r="C516" s="31" t="n"/>
      <c r="D516" s="31" t="n"/>
      <c r="E516" s="30" t="n"/>
      <c r="F516" s="30" t="n"/>
      <c r="G516" s="30" t="n"/>
      <c r="H516" s="30" t="n"/>
      <c r="I516" s="30" t="n"/>
      <c r="J516" s="32" t="n"/>
      <c r="K516" s="31" t="n"/>
      <c r="L516" s="30" t="n"/>
      <c r="M516" s="31" t="n"/>
      <c r="N516" s="31" t="n"/>
      <c r="O516" s="31" t="n"/>
      <c r="P516" s="30" t="n"/>
      <c r="Q516" s="31" t="n"/>
      <c r="R516" s="31" t="n"/>
      <c r="S516" s="31" t="n"/>
      <c r="T516" s="31" t="n"/>
      <c r="U516" s="30" t="n"/>
      <c r="V516" s="31" t="n"/>
      <c r="W516" s="31" t="n"/>
      <c r="X516" s="31" t="n"/>
      <c r="Y516" s="31" t="n"/>
      <c r="Z516" s="31" t="n"/>
      <c r="AA516" s="31" t="n"/>
      <c r="AB516" s="31" t="n"/>
      <c r="AC516" s="31" t="n"/>
      <c r="AD516" s="31" t="n"/>
      <c r="AE516" s="31" t="n"/>
      <c r="AF516" s="27">
        <f>IF(NOT(COUNTA(A516:AE516)&gt;0),"",IF(A516="","New client","Update"))</f>
        <v/>
      </c>
      <c r="AG516" s="27">
        <f>IF(AO516&lt;&gt;"",AO516,IF(LEN(AN516)=15,MID(AN516,3,10),""))</f>
        <v/>
      </c>
      <c r="AH516" s="27">
        <f>IF(AP516="","",AP516&amp;IF(D516="","  (guessed from PAN)",""))</f>
        <v/>
      </c>
      <c r="AI516" s="27">
        <f>IF(AN516="","",IFERROR(INDEX(Lists!$L$2:$L$38,MATCH(LEFT(AN516,2),Lists!$K$2:$K$38,0)),"Unknown code"))</f>
        <v/>
      </c>
      <c r="AJ516" s="27">
        <f>IF(AN516="","",IFERROR(IF(NOT(AND(LEN(AN516)=15,ISNUMBER(MATCH(LEFT(AN516,2),Lists!$K$2:$K$38,0)),SUMPRODUCT(--ISERROR(FIND(MID(MID(AN516,3,10),{1,2,3,4,5,10},1),"ABCDEFGHIJKLMNOPQRSTUVWXYZ")))=0,SUMPRODUCT(--ISERROR(FIND(MID(MID(AN516,3,10),{6,7,8,9},1),"0123456789")))=0,ISNUMBER(FIND(MID(AN516,13,1),"123456789ABCDEFGHIJKLMNOPQRSTUVWXYZ")),MID(AN516,14,1)="Z")),"Wrong format",IF(MID("0123456789ABCDEFGHIJKLMNOPQRSTUVWXYZ",MOD(36-MOD(SUMPRODUCT(INT((FIND(MID(AN516,{1,2,3,4,5,6,7,8,9,10,11,12,13,14},1),"0123456789ABCDEFGHIJKLMNOPQRSTUVWXYZ")-1)*{1,2,1,2,1,2,1,2,1,2,1,2,1,2}/36)+MOD((FIND(MID(AN516,{1,2,3,4,5,6,7,8,9,10,11,12,13,14},1),"0123456789ABCDEFGHIJKLMNOPQRSTUVWXYZ")-1)*{1,2,1,2,1,2,1,2,1,2,1,2,1,2},36)),36),36)+1,1)=MID(AN516,15,1),"OK","Typo? check digit wrong")),"Wrong format"))</f>
        <v/>
      </c>
      <c r="AK516" s="27">
        <f>IF(AO516="","",IF(AND(LEN(AO516)=10,SUMPRODUCT(--ISERROR(FIND(MID(AO516,{1,2,3,4,5,10},1),"ABCDEFGHIJKLMNOPQRSTUVWXYZ")))=0,SUMPRODUCT(--ISERROR(FIND(MID(AO516,{6,7,8,9},1),"0123456789")))=0),"OK","Wrong format"))</f>
        <v/>
      </c>
      <c r="AL516" s="27">
        <f>IF(TRIM(H516)="","",IF(AND(LEN(UPPER(TRIM(H516)))=10,SUMPRODUCT(--ISERROR(FIND(MID(UPPER(TRIM(H516)),{1,2,3,4,10},1),"ABCDEFGHIJKLMNOPQRSTUVWXYZ")))=0,SUMPRODUCT(--ISERROR(FIND(MID(UPPER(TRIM(H516)),{5,6,7,8,9},1),"0123456789")))=0),"OK","Wrong format"))</f>
        <v/>
      </c>
      <c r="AM516" s="28">
        <f>IF(NOT(COUNTA(A516:AE516)&gt;0),"",IF(AS516&lt;&gt;"","✖ "&amp;LEFT(AS516,LEN(AS516)-2),IF(AR516&gt;0,"✔ Ready — client + "&amp;AR516&amp;" service(s)","✔ Ready — client only")))</f>
        <v/>
      </c>
      <c r="AN516" s="29">
        <f>UPPER(SUBSTITUTE(TRIM(F516)," ",""))</f>
        <v/>
      </c>
      <c r="AO516" s="29">
        <f>UPPER(SUBSTITUTE(TRIM(E516)," ",""))</f>
        <v/>
      </c>
      <c r="AP516" s="29">
        <f>IF(D516&lt;&gt;"",D516,IFERROR(VLOOKUP(MID(AG516,4,1),Lists!$E$2:$F$8,2,FALSE),""))</f>
        <v/>
      </c>
      <c r="AQ516" s="29">
        <f>IFERROR(VLOOKUP(AP516,Lists!$A$2:$C$12,3,FALSE),"")</f>
        <v/>
      </c>
      <c r="AR516" s="29">
        <f>COUNTIF(W516:AC516,"Yes")</f>
        <v/>
      </c>
      <c r="AS516" s="29">
        <f>IF(TRIM(B516)="","Legal name missing; ","")&amp;IF(AND(AJ516&lt;&gt;"",AJ516&lt;&gt;"OK"),"GSTIN: "&amp;AJ516&amp;"; ","")&amp;IF(AND(AK516&lt;&gt;"",AK516&lt;&gt;"OK"),"PAN wrong format; ","")&amp;IF(AND(AO516&lt;&gt;"",LEN(AN516)=15,MID(AN516,3,10)&lt;&gt;AO516),"PAN does not match GSTIN; ","")&amp;IF(AND(AL516&lt;&gt;"",AL516&lt;&gt;"OK"),"TAN wrong format; ","")&amp;IF(AG516="","PAN missing; ","")&amp;IF(AP516="","Entity type missing; ","")&amp;IF(AND(AN516&lt;&gt;"",COUNTIF($AN$6:$AN$1005,AN516)&gt;1),"GSTIN repeated in this sheet; ","")&amp;IF(AND(AG516&lt;&gt;"",COUNTIF($AG$6:$AG$1005,AG516)&gt;1),"PAN repeated in this sheet (same client? put extra GSTINs in Other GSTINs); ","")&amp;IF(AND(AR516&gt;0,V516=""),"Financial year missing; ","")&amp;IF(AND(AR516=0,V516&lt;&gt;""),"Financial year given but no service is Yes; ","")&amp;IF(AND(W516="Yes",AN516=""),"GST needs a GSTIN; ","")&amp;IF(AND(W516="Yes",X516=""),"GST return frequency missing; ","")&amp;IF(AND(Y516="Yes",TRIM(H516)=""),"TDS needs a TAN; ","")&amp;IF(AND(AA516="Yes",AQ516&lt;&gt;"",AQ516&lt;&gt;"company",AQ516&lt;&gt;"llp"),"ROC is only for a company / LLP; ","")&amp;IF(AND(AA516="Yes",OR(AQ516="company",AQ516="llp"),TRIM(I516)=""),"ROC needs the CIN / LLPIN; ","")</f>
        <v/>
      </c>
    </row>
    <row r="517">
      <c r="A517" s="30" t="n"/>
      <c r="B517" s="31" t="n"/>
      <c r="C517" s="31" t="n"/>
      <c r="D517" s="31" t="n"/>
      <c r="E517" s="30" t="n"/>
      <c r="F517" s="30" t="n"/>
      <c r="G517" s="30" t="n"/>
      <c r="H517" s="30" t="n"/>
      <c r="I517" s="30" t="n"/>
      <c r="J517" s="32" t="n"/>
      <c r="K517" s="31" t="n"/>
      <c r="L517" s="30" t="n"/>
      <c r="M517" s="31" t="n"/>
      <c r="N517" s="31" t="n"/>
      <c r="O517" s="31" t="n"/>
      <c r="P517" s="30" t="n"/>
      <c r="Q517" s="31" t="n"/>
      <c r="R517" s="31" t="n"/>
      <c r="S517" s="31" t="n"/>
      <c r="T517" s="31" t="n"/>
      <c r="U517" s="30" t="n"/>
      <c r="V517" s="31" t="n"/>
      <c r="W517" s="31" t="n"/>
      <c r="X517" s="31" t="n"/>
      <c r="Y517" s="31" t="n"/>
      <c r="Z517" s="31" t="n"/>
      <c r="AA517" s="31" t="n"/>
      <c r="AB517" s="31" t="n"/>
      <c r="AC517" s="31" t="n"/>
      <c r="AD517" s="31" t="n"/>
      <c r="AE517" s="31" t="n"/>
      <c r="AF517" s="27">
        <f>IF(NOT(COUNTA(A517:AE517)&gt;0),"",IF(A517="","New client","Update"))</f>
        <v/>
      </c>
      <c r="AG517" s="27">
        <f>IF(AO517&lt;&gt;"",AO517,IF(LEN(AN517)=15,MID(AN517,3,10),""))</f>
        <v/>
      </c>
      <c r="AH517" s="27">
        <f>IF(AP517="","",AP517&amp;IF(D517="","  (guessed from PAN)",""))</f>
        <v/>
      </c>
      <c r="AI517" s="27">
        <f>IF(AN517="","",IFERROR(INDEX(Lists!$L$2:$L$38,MATCH(LEFT(AN517,2),Lists!$K$2:$K$38,0)),"Unknown code"))</f>
        <v/>
      </c>
      <c r="AJ517" s="27">
        <f>IF(AN517="","",IFERROR(IF(NOT(AND(LEN(AN517)=15,ISNUMBER(MATCH(LEFT(AN517,2),Lists!$K$2:$K$38,0)),SUMPRODUCT(--ISERROR(FIND(MID(MID(AN517,3,10),{1,2,3,4,5,10},1),"ABCDEFGHIJKLMNOPQRSTUVWXYZ")))=0,SUMPRODUCT(--ISERROR(FIND(MID(MID(AN517,3,10),{6,7,8,9},1),"0123456789")))=0,ISNUMBER(FIND(MID(AN517,13,1),"123456789ABCDEFGHIJKLMNOPQRSTUVWXYZ")),MID(AN517,14,1)="Z")),"Wrong format",IF(MID("0123456789ABCDEFGHIJKLMNOPQRSTUVWXYZ",MOD(36-MOD(SUMPRODUCT(INT((FIND(MID(AN517,{1,2,3,4,5,6,7,8,9,10,11,12,13,14},1),"0123456789ABCDEFGHIJKLMNOPQRSTUVWXYZ")-1)*{1,2,1,2,1,2,1,2,1,2,1,2,1,2}/36)+MOD((FIND(MID(AN517,{1,2,3,4,5,6,7,8,9,10,11,12,13,14},1),"0123456789ABCDEFGHIJKLMNOPQRSTUVWXYZ")-1)*{1,2,1,2,1,2,1,2,1,2,1,2,1,2},36)),36),36)+1,1)=MID(AN517,15,1),"OK","Typo? check digit wrong")),"Wrong format"))</f>
        <v/>
      </c>
      <c r="AK517" s="27">
        <f>IF(AO517="","",IF(AND(LEN(AO517)=10,SUMPRODUCT(--ISERROR(FIND(MID(AO517,{1,2,3,4,5,10},1),"ABCDEFGHIJKLMNOPQRSTUVWXYZ")))=0,SUMPRODUCT(--ISERROR(FIND(MID(AO517,{6,7,8,9},1),"0123456789")))=0),"OK","Wrong format"))</f>
        <v/>
      </c>
      <c r="AL517" s="27">
        <f>IF(TRIM(H517)="","",IF(AND(LEN(UPPER(TRIM(H517)))=10,SUMPRODUCT(--ISERROR(FIND(MID(UPPER(TRIM(H517)),{1,2,3,4,10},1),"ABCDEFGHIJKLMNOPQRSTUVWXYZ")))=0,SUMPRODUCT(--ISERROR(FIND(MID(UPPER(TRIM(H517)),{5,6,7,8,9},1),"0123456789")))=0),"OK","Wrong format"))</f>
        <v/>
      </c>
      <c r="AM517" s="28">
        <f>IF(NOT(COUNTA(A517:AE517)&gt;0),"",IF(AS517&lt;&gt;"","✖ "&amp;LEFT(AS517,LEN(AS517)-2),IF(AR517&gt;0,"✔ Ready — client + "&amp;AR517&amp;" service(s)","✔ Ready — client only")))</f>
        <v/>
      </c>
      <c r="AN517" s="29">
        <f>UPPER(SUBSTITUTE(TRIM(F517)," ",""))</f>
        <v/>
      </c>
      <c r="AO517" s="29">
        <f>UPPER(SUBSTITUTE(TRIM(E517)," ",""))</f>
        <v/>
      </c>
      <c r="AP517" s="29">
        <f>IF(D517&lt;&gt;"",D517,IFERROR(VLOOKUP(MID(AG517,4,1),Lists!$E$2:$F$8,2,FALSE),""))</f>
        <v/>
      </c>
      <c r="AQ517" s="29">
        <f>IFERROR(VLOOKUP(AP517,Lists!$A$2:$C$12,3,FALSE),"")</f>
        <v/>
      </c>
      <c r="AR517" s="29">
        <f>COUNTIF(W517:AC517,"Yes")</f>
        <v/>
      </c>
      <c r="AS517" s="29">
        <f>IF(TRIM(B517)="","Legal name missing; ","")&amp;IF(AND(AJ517&lt;&gt;"",AJ517&lt;&gt;"OK"),"GSTIN: "&amp;AJ517&amp;"; ","")&amp;IF(AND(AK517&lt;&gt;"",AK517&lt;&gt;"OK"),"PAN wrong format; ","")&amp;IF(AND(AO517&lt;&gt;"",LEN(AN517)=15,MID(AN517,3,10)&lt;&gt;AO517),"PAN does not match GSTIN; ","")&amp;IF(AND(AL517&lt;&gt;"",AL517&lt;&gt;"OK"),"TAN wrong format; ","")&amp;IF(AG517="","PAN missing; ","")&amp;IF(AP517="","Entity type missing; ","")&amp;IF(AND(AN517&lt;&gt;"",COUNTIF($AN$6:$AN$1005,AN517)&gt;1),"GSTIN repeated in this sheet; ","")&amp;IF(AND(AG517&lt;&gt;"",COUNTIF($AG$6:$AG$1005,AG517)&gt;1),"PAN repeated in this sheet (same client? put extra GSTINs in Other GSTINs); ","")&amp;IF(AND(AR517&gt;0,V517=""),"Financial year missing; ","")&amp;IF(AND(AR517=0,V517&lt;&gt;""),"Financial year given but no service is Yes; ","")&amp;IF(AND(W517="Yes",AN517=""),"GST needs a GSTIN; ","")&amp;IF(AND(W517="Yes",X517=""),"GST return frequency missing; ","")&amp;IF(AND(Y517="Yes",TRIM(H517)=""),"TDS needs a TAN; ","")&amp;IF(AND(AA517="Yes",AQ517&lt;&gt;"",AQ517&lt;&gt;"company",AQ517&lt;&gt;"llp"),"ROC is only for a company / LLP; ","")&amp;IF(AND(AA517="Yes",OR(AQ517="company",AQ517="llp"),TRIM(I517)=""),"ROC needs the CIN / LLPIN; ","")</f>
        <v/>
      </c>
    </row>
    <row r="518">
      <c r="A518" s="30" t="n"/>
      <c r="B518" s="31" t="n"/>
      <c r="C518" s="31" t="n"/>
      <c r="D518" s="31" t="n"/>
      <c r="E518" s="30" t="n"/>
      <c r="F518" s="30" t="n"/>
      <c r="G518" s="30" t="n"/>
      <c r="H518" s="30" t="n"/>
      <c r="I518" s="30" t="n"/>
      <c r="J518" s="32" t="n"/>
      <c r="K518" s="31" t="n"/>
      <c r="L518" s="30" t="n"/>
      <c r="M518" s="31" t="n"/>
      <c r="N518" s="31" t="n"/>
      <c r="O518" s="31" t="n"/>
      <c r="P518" s="30" t="n"/>
      <c r="Q518" s="31" t="n"/>
      <c r="R518" s="31" t="n"/>
      <c r="S518" s="31" t="n"/>
      <c r="T518" s="31" t="n"/>
      <c r="U518" s="30" t="n"/>
      <c r="V518" s="31" t="n"/>
      <c r="W518" s="31" t="n"/>
      <c r="X518" s="31" t="n"/>
      <c r="Y518" s="31" t="n"/>
      <c r="Z518" s="31" t="n"/>
      <c r="AA518" s="31" t="n"/>
      <c r="AB518" s="31" t="n"/>
      <c r="AC518" s="31" t="n"/>
      <c r="AD518" s="31" t="n"/>
      <c r="AE518" s="31" t="n"/>
      <c r="AF518" s="27">
        <f>IF(NOT(COUNTA(A518:AE518)&gt;0),"",IF(A518="","New client","Update"))</f>
        <v/>
      </c>
      <c r="AG518" s="27">
        <f>IF(AO518&lt;&gt;"",AO518,IF(LEN(AN518)=15,MID(AN518,3,10),""))</f>
        <v/>
      </c>
      <c r="AH518" s="27">
        <f>IF(AP518="","",AP518&amp;IF(D518="","  (guessed from PAN)",""))</f>
        <v/>
      </c>
      <c r="AI518" s="27">
        <f>IF(AN518="","",IFERROR(INDEX(Lists!$L$2:$L$38,MATCH(LEFT(AN518,2),Lists!$K$2:$K$38,0)),"Unknown code"))</f>
        <v/>
      </c>
      <c r="AJ518" s="27">
        <f>IF(AN518="","",IFERROR(IF(NOT(AND(LEN(AN518)=15,ISNUMBER(MATCH(LEFT(AN518,2),Lists!$K$2:$K$38,0)),SUMPRODUCT(--ISERROR(FIND(MID(MID(AN518,3,10),{1,2,3,4,5,10},1),"ABCDEFGHIJKLMNOPQRSTUVWXYZ")))=0,SUMPRODUCT(--ISERROR(FIND(MID(MID(AN518,3,10),{6,7,8,9},1),"0123456789")))=0,ISNUMBER(FIND(MID(AN518,13,1),"123456789ABCDEFGHIJKLMNOPQRSTUVWXYZ")),MID(AN518,14,1)="Z")),"Wrong format",IF(MID("0123456789ABCDEFGHIJKLMNOPQRSTUVWXYZ",MOD(36-MOD(SUMPRODUCT(INT((FIND(MID(AN518,{1,2,3,4,5,6,7,8,9,10,11,12,13,14},1),"0123456789ABCDEFGHIJKLMNOPQRSTUVWXYZ")-1)*{1,2,1,2,1,2,1,2,1,2,1,2,1,2}/36)+MOD((FIND(MID(AN518,{1,2,3,4,5,6,7,8,9,10,11,12,13,14},1),"0123456789ABCDEFGHIJKLMNOPQRSTUVWXYZ")-1)*{1,2,1,2,1,2,1,2,1,2,1,2,1,2},36)),36),36)+1,1)=MID(AN518,15,1),"OK","Typo? check digit wrong")),"Wrong format"))</f>
        <v/>
      </c>
      <c r="AK518" s="27">
        <f>IF(AO518="","",IF(AND(LEN(AO518)=10,SUMPRODUCT(--ISERROR(FIND(MID(AO518,{1,2,3,4,5,10},1),"ABCDEFGHIJKLMNOPQRSTUVWXYZ")))=0,SUMPRODUCT(--ISERROR(FIND(MID(AO518,{6,7,8,9},1),"0123456789")))=0),"OK","Wrong format"))</f>
        <v/>
      </c>
      <c r="AL518" s="27">
        <f>IF(TRIM(H518)="","",IF(AND(LEN(UPPER(TRIM(H518)))=10,SUMPRODUCT(--ISERROR(FIND(MID(UPPER(TRIM(H518)),{1,2,3,4,10},1),"ABCDEFGHIJKLMNOPQRSTUVWXYZ")))=0,SUMPRODUCT(--ISERROR(FIND(MID(UPPER(TRIM(H518)),{5,6,7,8,9},1),"0123456789")))=0),"OK","Wrong format"))</f>
        <v/>
      </c>
      <c r="AM518" s="28">
        <f>IF(NOT(COUNTA(A518:AE518)&gt;0),"",IF(AS518&lt;&gt;"","✖ "&amp;LEFT(AS518,LEN(AS518)-2),IF(AR518&gt;0,"✔ Ready — client + "&amp;AR518&amp;" service(s)","✔ Ready — client only")))</f>
        <v/>
      </c>
      <c r="AN518" s="29">
        <f>UPPER(SUBSTITUTE(TRIM(F518)," ",""))</f>
        <v/>
      </c>
      <c r="AO518" s="29">
        <f>UPPER(SUBSTITUTE(TRIM(E518)," ",""))</f>
        <v/>
      </c>
      <c r="AP518" s="29">
        <f>IF(D518&lt;&gt;"",D518,IFERROR(VLOOKUP(MID(AG518,4,1),Lists!$E$2:$F$8,2,FALSE),""))</f>
        <v/>
      </c>
      <c r="AQ518" s="29">
        <f>IFERROR(VLOOKUP(AP518,Lists!$A$2:$C$12,3,FALSE),"")</f>
        <v/>
      </c>
      <c r="AR518" s="29">
        <f>COUNTIF(W518:AC518,"Yes")</f>
        <v/>
      </c>
      <c r="AS518" s="29">
        <f>IF(TRIM(B518)="","Legal name missing; ","")&amp;IF(AND(AJ518&lt;&gt;"",AJ518&lt;&gt;"OK"),"GSTIN: "&amp;AJ518&amp;"; ","")&amp;IF(AND(AK518&lt;&gt;"",AK518&lt;&gt;"OK"),"PAN wrong format; ","")&amp;IF(AND(AO518&lt;&gt;"",LEN(AN518)=15,MID(AN518,3,10)&lt;&gt;AO518),"PAN does not match GSTIN; ","")&amp;IF(AND(AL518&lt;&gt;"",AL518&lt;&gt;"OK"),"TAN wrong format; ","")&amp;IF(AG518="","PAN missing; ","")&amp;IF(AP518="","Entity type missing; ","")&amp;IF(AND(AN518&lt;&gt;"",COUNTIF($AN$6:$AN$1005,AN518)&gt;1),"GSTIN repeated in this sheet; ","")&amp;IF(AND(AG518&lt;&gt;"",COUNTIF($AG$6:$AG$1005,AG518)&gt;1),"PAN repeated in this sheet (same client? put extra GSTINs in Other GSTINs); ","")&amp;IF(AND(AR518&gt;0,V518=""),"Financial year missing; ","")&amp;IF(AND(AR518=0,V518&lt;&gt;""),"Financial year given but no service is Yes; ","")&amp;IF(AND(W518="Yes",AN518=""),"GST needs a GSTIN; ","")&amp;IF(AND(W518="Yes",X518=""),"GST return frequency missing; ","")&amp;IF(AND(Y518="Yes",TRIM(H518)=""),"TDS needs a TAN; ","")&amp;IF(AND(AA518="Yes",AQ518&lt;&gt;"",AQ518&lt;&gt;"company",AQ518&lt;&gt;"llp"),"ROC is only for a company / LLP; ","")&amp;IF(AND(AA518="Yes",OR(AQ518="company",AQ518="llp"),TRIM(I518)=""),"ROC needs the CIN / LLPIN; ","")</f>
        <v/>
      </c>
    </row>
    <row r="519">
      <c r="A519" s="30" t="n"/>
      <c r="B519" s="31" t="n"/>
      <c r="C519" s="31" t="n"/>
      <c r="D519" s="31" t="n"/>
      <c r="E519" s="30" t="n"/>
      <c r="F519" s="30" t="n"/>
      <c r="G519" s="30" t="n"/>
      <c r="H519" s="30" t="n"/>
      <c r="I519" s="30" t="n"/>
      <c r="J519" s="32" t="n"/>
      <c r="K519" s="31" t="n"/>
      <c r="L519" s="30" t="n"/>
      <c r="M519" s="31" t="n"/>
      <c r="N519" s="31" t="n"/>
      <c r="O519" s="31" t="n"/>
      <c r="P519" s="30" t="n"/>
      <c r="Q519" s="31" t="n"/>
      <c r="R519" s="31" t="n"/>
      <c r="S519" s="31" t="n"/>
      <c r="T519" s="31" t="n"/>
      <c r="U519" s="30" t="n"/>
      <c r="V519" s="31" t="n"/>
      <c r="W519" s="31" t="n"/>
      <c r="X519" s="31" t="n"/>
      <c r="Y519" s="31" t="n"/>
      <c r="Z519" s="31" t="n"/>
      <c r="AA519" s="31" t="n"/>
      <c r="AB519" s="31" t="n"/>
      <c r="AC519" s="31" t="n"/>
      <c r="AD519" s="31" t="n"/>
      <c r="AE519" s="31" t="n"/>
      <c r="AF519" s="27">
        <f>IF(NOT(COUNTA(A519:AE519)&gt;0),"",IF(A519="","New client","Update"))</f>
        <v/>
      </c>
      <c r="AG519" s="27">
        <f>IF(AO519&lt;&gt;"",AO519,IF(LEN(AN519)=15,MID(AN519,3,10),""))</f>
        <v/>
      </c>
      <c r="AH519" s="27">
        <f>IF(AP519="","",AP519&amp;IF(D519="","  (guessed from PAN)",""))</f>
        <v/>
      </c>
      <c r="AI519" s="27">
        <f>IF(AN519="","",IFERROR(INDEX(Lists!$L$2:$L$38,MATCH(LEFT(AN519,2),Lists!$K$2:$K$38,0)),"Unknown code"))</f>
        <v/>
      </c>
      <c r="AJ519" s="27">
        <f>IF(AN519="","",IFERROR(IF(NOT(AND(LEN(AN519)=15,ISNUMBER(MATCH(LEFT(AN519,2),Lists!$K$2:$K$38,0)),SUMPRODUCT(--ISERROR(FIND(MID(MID(AN519,3,10),{1,2,3,4,5,10},1),"ABCDEFGHIJKLMNOPQRSTUVWXYZ")))=0,SUMPRODUCT(--ISERROR(FIND(MID(MID(AN519,3,10),{6,7,8,9},1),"0123456789")))=0,ISNUMBER(FIND(MID(AN519,13,1),"123456789ABCDEFGHIJKLMNOPQRSTUVWXYZ")),MID(AN519,14,1)="Z")),"Wrong format",IF(MID("0123456789ABCDEFGHIJKLMNOPQRSTUVWXYZ",MOD(36-MOD(SUMPRODUCT(INT((FIND(MID(AN519,{1,2,3,4,5,6,7,8,9,10,11,12,13,14},1),"0123456789ABCDEFGHIJKLMNOPQRSTUVWXYZ")-1)*{1,2,1,2,1,2,1,2,1,2,1,2,1,2}/36)+MOD((FIND(MID(AN519,{1,2,3,4,5,6,7,8,9,10,11,12,13,14},1),"0123456789ABCDEFGHIJKLMNOPQRSTUVWXYZ")-1)*{1,2,1,2,1,2,1,2,1,2,1,2,1,2},36)),36),36)+1,1)=MID(AN519,15,1),"OK","Typo? check digit wrong")),"Wrong format"))</f>
        <v/>
      </c>
      <c r="AK519" s="27">
        <f>IF(AO519="","",IF(AND(LEN(AO519)=10,SUMPRODUCT(--ISERROR(FIND(MID(AO519,{1,2,3,4,5,10},1),"ABCDEFGHIJKLMNOPQRSTUVWXYZ")))=0,SUMPRODUCT(--ISERROR(FIND(MID(AO519,{6,7,8,9},1),"0123456789")))=0),"OK","Wrong format"))</f>
        <v/>
      </c>
      <c r="AL519" s="27">
        <f>IF(TRIM(H519)="","",IF(AND(LEN(UPPER(TRIM(H519)))=10,SUMPRODUCT(--ISERROR(FIND(MID(UPPER(TRIM(H519)),{1,2,3,4,10},1),"ABCDEFGHIJKLMNOPQRSTUVWXYZ")))=0,SUMPRODUCT(--ISERROR(FIND(MID(UPPER(TRIM(H519)),{5,6,7,8,9},1),"0123456789")))=0),"OK","Wrong format"))</f>
        <v/>
      </c>
      <c r="AM519" s="28">
        <f>IF(NOT(COUNTA(A519:AE519)&gt;0),"",IF(AS519&lt;&gt;"","✖ "&amp;LEFT(AS519,LEN(AS519)-2),IF(AR519&gt;0,"✔ Ready — client + "&amp;AR519&amp;" service(s)","✔ Ready — client only")))</f>
        <v/>
      </c>
      <c r="AN519" s="29">
        <f>UPPER(SUBSTITUTE(TRIM(F519)," ",""))</f>
        <v/>
      </c>
      <c r="AO519" s="29">
        <f>UPPER(SUBSTITUTE(TRIM(E519)," ",""))</f>
        <v/>
      </c>
      <c r="AP519" s="29">
        <f>IF(D519&lt;&gt;"",D519,IFERROR(VLOOKUP(MID(AG519,4,1),Lists!$E$2:$F$8,2,FALSE),""))</f>
        <v/>
      </c>
      <c r="AQ519" s="29">
        <f>IFERROR(VLOOKUP(AP519,Lists!$A$2:$C$12,3,FALSE),"")</f>
        <v/>
      </c>
      <c r="AR519" s="29">
        <f>COUNTIF(W519:AC519,"Yes")</f>
        <v/>
      </c>
      <c r="AS519" s="29">
        <f>IF(TRIM(B519)="","Legal name missing; ","")&amp;IF(AND(AJ519&lt;&gt;"",AJ519&lt;&gt;"OK"),"GSTIN: "&amp;AJ519&amp;"; ","")&amp;IF(AND(AK519&lt;&gt;"",AK519&lt;&gt;"OK"),"PAN wrong format; ","")&amp;IF(AND(AO519&lt;&gt;"",LEN(AN519)=15,MID(AN519,3,10)&lt;&gt;AO519),"PAN does not match GSTIN; ","")&amp;IF(AND(AL519&lt;&gt;"",AL519&lt;&gt;"OK"),"TAN wrong format; ","")&amp;IF(AG519="","PAN missing; ","")&amp;IF(AP519="","Entity type missing; ","")&amp;IF(AND(AN519&lt;&gt;"",COUNTIF($AN$6:$AN$1005,AN519)&gt;1),"GSTIN repeated in this sheet; ","")&amp;IF(AND(AG519&lt;&gt;"",COUNTIF($AG$6:$AG$1005,AG519)&gt;1),"PAN repeated in this sheet (same client? put extra GSTINs in Other GSTINs); ","")&amp;IF(AND(AR519&gt;0,V519=""),"Financial year missing; ","")&amp;IF(AND(AR519=0,V519&lt;&gt;""),"Financial year given but no service is Yes; ","")&amp;IF(AND(W519="Yes",AN519=""),"GST needs a GSTIN; ","")&amp;IF(AND(W519="Yes",X519=""),"GST return frequency missing; ","")&amp;IF(AND(Y519="Yes",TRIM(H519)=""),"TDS needs a TAN; ","")&amp;IF(AND(AA519="Yes",AQ519&lt;&gt;"",AQ519&lt;&gt;"company",AQ519&lt;&gt;"llp"),"ROC is only for a company / LLP; ","")&amp;IF(AND(AA519="Yes",OR(AQ519="company",AQ519="llp"),TRIM(I519)=""),"ROC needs the CIN / LLPIN; ","")</f>
        <v/>
      </c>
    </row>
    <row r="520">
      <c r="A520" s="30" t="n"/>
      <c r="B520" s="31" t="n"/>
      <c r="C520" s="31" t="n"/>
      <c r="D520" s="31" t="n"/>
      <c r="E520" s="30" t="n"/>
      <c r="F520" s="30" t="n"/>
      <c r="G520" s="30" t="n"/>
      <c r="H520" s="30" t="n"/>
      <c r="I520" s="30" t="n"/>
      <c r="J520" s="32" t="n"/>
      <c r="K520" s="31" t="n"/>
      <c r="L520" s="30" t="n"/>
      <c r="M520" s="31" t="n"/>
      <c r="N520" s="31" t="n"/>
      <c r="O520" s="31" t="n"/>
      <c r="P520" s="30" t="n"/>
      <c r="Q520" s="31" t="n"/>
      <c r="R520" s="31" t="n"/>
      <c r="S520" s="31" t="n"/>
      <c r="T520" s="31" t="n"/>
      <c r="U520" s="30" t="n"/>
      <c r="V520" s="31" t="n"/>
      <c r="W520" s="31" t="n"/>
      <c r="X520" s="31" t="n"/>
      <c r="Y520" s="31" t="n"/>
      <c r="Z520" s="31" t="n"/>
      <c r="AA520" s="31" t="n"/>
      <c r="AB520" s="31" t="n"/>
      <c r="AC520" s="31" t="n"/>
      <c r="AD520" s="31" t="n"/>
      <c r="AE520" s="31" t="n"/>
      <c r="AF520" s="27">
        <f>IF(NOT(COUNTA(A520:AE520)&gt;0),"",IF(A520="","New client","Update"))</f>
        <v/>
      </c>
      <c r="AG520" s="27">
        <f>IF(AO520&lt;&gt;"",AO520,IF(LEN(AN520)=15,MID(AN520,3,10),""))</f>
        <v/>
      </c>
      <c r="AH520" s="27">
        <f>IF(AP520="","",AP520&amp;IF(D520="","  (guessed from PAN)",""))</f>
        <v/>
      </c>
      <c r="AI520" s="27">
        <f>IF(AN520="","",IFERROR(INDEX(Lists!$L$2:$L$38,MATCH(LEFT(AN520,2),Lists!$K$2:$K$38,0)),"Unknown code"))</f>
        <v/>
      </c>
      <c r="AJ520" s="27">
        <f>IF(AN520="","",IFERROR(IF(NOT(AND(LEN(AN520)=15,ISNUMBER(MATCH(LEFT(AN520,2),Lists!$K$2:$K$38,0)),SUMPRODUCT(--ISERROR(FIND(MID(MID(AN520,3,10),{1,2,3,4,5,10},1),"ABCDEFGHIJKLMNOPQRSTUVWXYZ")))=0,SUMPRODUCT(--ISERROR(FIND(MID(MID(AN520,3,10),{6,7,8,9},1),"0123456789")))=0,ISNUMBER(FIND(MID(AN520,13,1),"123456789ABCDEFGHIJKLMNOPQRSTUVWXYZ")),MID(AN520,14,1)="Z")),"Wrong format",IF(MID("0123456789ABCDEFGHIJKLMNOPQRSTUVWXYZ",MOD(36-MOD(SUMPRODUCT(INT((FIND(MID(AN520,{1,2,3,4,5,6,7,8,9,10,11,12,13,14},1),"0123456789ABCDEFGHIJKLMNOPQRSTUVWXYZ")-1)*{1,2,1,2,1,2,1,2,1,2,1,2,1,2}/36)+MOD((FIND(MID(AN520,{1,2,3,4,5,6,7,8,9,10,11,12,13,14},1),"0123456789ABCDEFGHIJKLMNOPQRSTUVWXYZ")-1)*{1,2,1,2,1,2,1,2,1,2,1,2,1,2},36)),36),36)+1,1)=MID(AN520,15,1),"OK","Typo? check digit wrong")),"Wrong format"))</f>
        <v/>
      </c>
      <c r="AK520" s="27">
        <f>IF(AO520="","",IF(AND(LEN(AO520)=10,SUMPRODUCT(--ISERROR(FIND(MID(AO520,{1,2,3,4,5,10},1),"ABCDEFGHIJKLMNOPQRSTUVWXYZ")))=0,SUMPRODUCT(--ISERROR(FIND(MID(AO520,{6,7,8,9},1),"0123456789")))=0),"OK","Wrong format"))</f>
        <v/>
      </c>
      <c r="AL520" s="27">
        <f>IF(TRIM(H520)="","",IF(AND(LEN(UPPER(TRIM(H520)))=10,SUMPRODUCT(--ISERROR(FIND(MID(UPPER(TRIM(H520)),{1,2,3,4,10},1),"ABCDEFGHIJKLMNOPQRSTUVWXYZ")))=0,SUMPRODUCT(--ISERROR(FIND(MID(UPPER(TRIM(H520)),{5,6,7,8,9},1),"0123456789")))=0),"OK","Wrong format"))</f>
        <v/>
      </c>
      <c r="AM520" s="28">
        <f>IF(NOT(COUNTA(A520:AE520)&gt;0),"",IF(AS520&lt;&gt;"","✖ "&amp;LEFT(AS520,LEN(AS520)-2),IF(AR520&gt;0,"✔ Ready — client + "&amp;AR520&amp;" service(s)","✔ Ready — client only")))</f>
        <v/>
      </c>
      <c r="AN520" s="29">
        <f>UPPER(SUBSTITUTE(TRIM(F520)," ",""))</f>
        <v/>
      </c>
      <c r="AO520" s="29">
        <f>UPPER(SUBSTITUTE(TRIM(E520)," ",""))</f>
        <v/>
      </c>
      <c r="AP520" s="29">
        <f>IF(D520&lt;&gt;"",D520,IFERROR(VLOOKUP(MID(AG520,4,1),Lists!$E$2:$F$8,2,FALSE),""))</f>
        <v/>
      </c>
      <c r="AQ520" s="29">
        <f>IFERROR(VLOOKUP(AP520,Lists!$A$2:$C$12,3,FALSE),"")</f>
        <v/>
      </c>
      <c r="AR520" s="29">
        <f>COUNTIF(W520:AC520,"Yes")</f>
        <v/>
      </c>
      <c r="AS520" s="29">
        <f>IF(TRIM(B520)="","Legal name missing; ","")&amp;IF(AND(AJ520&lt;&gt;"",AJ520&lt;&gt;"OK"),"GSTIN: "&amp;AJ520&amp;"; ","")&amp;IF(AND(AK520&lt;&gt;"",AK520&lt;&gt;"OK"),"PAN wrong format; ","")&amp;IF(AND(AO520&lt;&gt;"",LEN(AN520)=15,MID(AN520,3,10)&lt;&gt;AO520),"PAN does not match GSTIN; ","")&amp;IF(AND(AL520&lt;&gt;"",AL520&lt;&gt;"OK"),"TAN wrong format; ","")&amp;IF(AG520="","PAN missing; ","")&amp;IF(AP520="","Entity type missing; ","")&amp;IF(AND(AN520&lt;&gt;"",COUNTIF($AN$6:$AN$1005,AN520)&gt;1),"GSTIN repeated in this sheet; ","")&amp;IF(AND(AG520&lt;&gt;"",COUNTIF($AG$6:$AG$1005,AG520)&gt;1),"PAN repeated in this sheet (same client? put extra GSTINs in Other GSTINs); ","")&amp;IF(AND(AR520&gt;0,V520=""),"Financial year missing; ","")&amp;IF(AND(AR520=0,V520&lt;&gt;""),"Financial year given but no service is Yes; ","")&amp;IF(AND(W520="Yes",AN520=""),"GST needs a GSTIN; ","")&amp;IF(AND(W520="Yes",X520=""),"GST return frequency missing; ","")&amp;IF(AND(Y520="Yes",TRIM(H520)=""),"TDS needs a TAN; ","")&amp;IF(AND(AA520="Yes",AQ520&lt;&gt;"",AQ520&lt;&gt;"company",AQ520&lt;&gt;"llp"),"ROC is only for a company / LLP; ","")&amp;IF(AND(AA520="Yes",OR(AQ520="company",AQ520="llp"),TRIM(I520)=""),"ROC needs the CIN / LLPIN; ","")</f>
        <v/>
      </c>
    </row>
    <row r="521">
      <c r="A521" s="30" t="n"/>
      <c r="B521" s="31" t="n"/>
      <c r="C521" s="31" t="n"/>
      <c r="D521" s="31" t="n"/>
      <c r="E521" s="30" t="n"/>
      <c r="F521" s="30" t="n"/>
      <c r="G521" s="30" t="n"/>
      <c r="H521" s="30" t="n"/>
      <c r="I521" s="30" t="n"/>
      <c r="J521" s="32" t="n"/>
      <c r="K521" s="31" t="n"/>
      <c r="L521" s="30" t="n"/>
      <c r="M521" s="31" t="n"/>
      <c r="N521" s="31" t="n"/>
      <c r="O521" s="31" t="n"/>
      <c r="P521" s="30" t="n"/>
      <c r="Q521" s="31" t="n"/>
      <c r="R521" s="31" t="n"/>
      <c r="S521" s="31" t="n"/>
      <c r="T521" s="31" t="n"/>
      <c r="U521" s="30" t="n"/>
      <c r="V521" s="31" t="n"/>
      <c r="W521" s="31" t="n"/>
      <c r="X521" s="31" t="n"/>
      <c r="Y521" s="31" t="n"/>
      <c r="Z521" s="31" t="n"/>
      <c r="AA521" s="31" t="n"/>
      <c r="AB521" s="31" t="n"/>
      <c r="AC521" s="31" t="n"/>
      <c r="AD521" s="31" t="n"/>
      <c r="AE521" s="31" t="n"/>
      <c r="AF521" s="27">
        <f>IF(NOT(COUNTA(A521:AE521)&gt;0),"",IF(A521="","New client","Update"))</f>
        <v/>
      </c>
      <c r="AG521" s="27">
        <f>IF(AO521&lt;&gt;"",AO521,IF(LEN(AN521)=15,MID(AN521,3,10),""))</f>
        <v/>
      </c>
      <c r="AH521" s="27">
        <f>IF(AP521="","",AP521&amp;IF(D521="","  (guessed from PAN)",""))</f>
        <v/>
      </c>
      <c r="AI521" s="27">
        <f>IF(AN521="","",IFERROR(INDEX(Lists!$L$2:$L$38,MATCH(LEFT(AN521,2),Lists!$K$2:$K$38,0)),"Unknown code"))</f>
        <v/>
      </c>
      <c r="AJ521" s="27">
        <f>IF(AN521="","",IFERROR(IF(NOT(AND(LEN(AN521)=15,ISNUMBER(MATCH(LEFT(AN521,2),Lists!$K$2:$K$38,0)),SUMPRODUCT(--ISERROR(FIND(MID(MID(AN521,3,10),{1,2,3,4,5,10},1),"ABCDEFGHIJKLMNOPQRSTUVWXYZ")))=0,SUMPRODUCT(--ISERROR(FIND(MID(MID(AN521,3,10),{6,7,8,9},1),"0123456789")))=0,ISNUMBER(FIND(MID(AN521,13,1),"123456789ABCDEFGHIJKLMNOPQRSTUVWXYZ")),MID(AN521,14,1)="Z")),"Wrong format",IF(MID("0123456789ABCDEFGHIJKLMNOPQRSTUVWXYZ",MOD(36-MOD(SUMPRODUCT(INT((FIND(MID(AN521,{1,2,3,4,5,6,7,8,9,10,11,12,13,14},1),"0123456789ABCDEFGHIJKLMNOPQRSTUVWXYZ")-1)*{1,2,1,2,1,2,1,2,1,2,1,2,1,2}/36)+MOD((FIND(MID(AN521,{1,2,3,4,5,6,7,8,9,10,11,12,13,14},1),"0123456789ABCDEFGHIJKLMNOPQRSTUVWXYZ")-1)*{1,2,1,2,1,2,1,2,1,2,1,2,1,2},36)),36),36)+1,1)=MID(AN521,15,1),"OK","Typo? check digit wrong")),"Wrong format"))</f>
        <v/>
      </c>
      <c r="AK521" s="27">
        <f>IF(AO521="","",IF(AND(LEN(AO521)=10,SUMPRODUCT(--ISERROR(FIND(MID(AO521,{1,2,3,4,5,10},1),"ABCDEFGHIJKLMNOPQRSTUVWXYZ")))=0,SUMPRODUCT(--ISERROR(FIND(MID(AO521,{6,7,8,9},1),"0123456789")))=0),"OK","Wrong format"))</f>
        <v/>
      </c>
      <c r="AL521" s="27">
        <f>IF(TRIM(H521)="","",IF(AND(LEN(UPPER(TRIM(H521)))=10,SUMPRODUCT(--ISERROR(FIND(MID(UPPER(TRIM(H521)),{1,2,3,4,10},1),"ABCDEFGHIJKLMNOPQRSTUVWXYZ")))=0,SUMPRODUCT(--ISERROR(FIND(MID(UPPER(TRIM(H521)),{5,6,7,8,9},1),"0123456789")))=0),"OK","Wrong format"))</f>
        <v/>
      </c>
      <c r="AM521" s="28">
        <f>IF(NOT(COUNTA(A521:AE521)&gt;0),"",IF(AS521&lt;&gt;"","✖ "&amp;LEFT(AS521,LEN(AS521)-2),IF(AR521&gt;0,"✔ Ready — client + "&amp;AR521&amp;" service(s)","✔ Ready — client only")))</f>
        <v/>
      </c>
      <c r="AN521" s="29">
        <f>UPPER(SUBSTITUTE(TRIM(F521)," ",""))</f>
        <v/>
      </c>
      <c r="AO521" s="29">
        <f>UPPER(SUBSTITUTE(TRIM(E521)," ",""))</f>
        <v/>
      </c>
      <c r="AP521" s="29">
        <f>IF(D521&lt;&gt;"",D521,IFERROR(VLOOKUP(MID(AG521,4,1),Lists!$E$2:$F$8,2,FALSE),""))</f>
        <v/>
      </c>
      <c r="AQ521" s="29">
        <f>IFERROR(VLOOKUP(AP521,Lists!$A$2:$C$12,3,FALSE),"")</f>
        <v/>
      </c>
      <c r="AR521" s="29">
        <f>COUNTIF(W521:AC521,"Yes")</f>
        <v/>
      </c>
      <c r="AS521" s="29">
        <f>IF(TRIM(B521)="","Legal name missing; ","")&amp;IF(AND(AJ521&lt;&gt;"",AJ521&lt;&gt;"OK"),"GSTIN: "&amp;AJ521&amp;"; ","")&amp;IF(AND(AK521&lt;&gt;"",AK521&lt;&gt;"OK"),"PAN wrong format; ","")&amp;IF(AND(AO521&lt;&gt;"",LEN(AN521)=15,MID(AN521,3,10)&lt;&gt;AO521),"PAN does not match GSTIN; ","")&amp;IF(AND(AL521&lt;&gt;"",AL521&lt;&gt;"OK"),"TAN wrong format; ","")&amp;IF(AG521="","PAN missing; ","")&amp;IF(AP521="","Entity type missing; ","")&amp;IF(AND(AN521&lt;&gt;"",COUNTIF($AN$6:$AN$1005,AN521)&gt;1),"GSTIN repeated in this sheet; ","")&amp;IF(AND(AG521&lt;&gt;"",COUNTIF($AG$6:$AG$1005,AG521)&gt;1),"PAN repeated in this sheet (same client? put extra GSTINs in Other GSTINs); ","")&amp;IF(AND(AR521&gt;0,V521=""),"Financial year missing; ","")&amp;IF(AND(AR521=0,V521&lt;&gt;""),"Financial year given but no service is Yes; ","")&amp;IF(AND(W521="Yes",AN521=""),"GST needs a GSTIN; ","")&amp;IF(AND(W521="Yes",X521=""),"GST return frequency missing; ","")&amp;IF(AND(Y521="Yes",TRIM(H521)=""),"TDS needs a TAN; ","")&amp;IF(AND(AA521="Yes",AQ521&lt;&gt;"",AQ521&lt;&gt;"company",AQ521&lt;&gt;"llp"),"ROC is only for a company / LLP; ","")&amp;IF(AND(AA521="Yes",OR(AQ521="company",AQ521="llp"),TRIM(I521)=""),"ROC needs the CIN / LLPIN; ","")</f>
        <v/>
      </c>
    </row>
    <row r="522">
      <c r="A522" s="30" t="n"/>
      <c r="B522" s="31" t="n"/>
      <c r="C522" s="31" t="n"/>
      <c r="D522" s="31" t="n"/>
      <c r="E522" s="30" t="n"/>
      <c r="F522" s="30" t="n"/>
      <c r="G522" s="30" t="n"/>
      <c r="H522" s="30" t="n"/>
      <c r="I522" s="30" t="n"/>
      <c r="J522" s="32" t="n"/>
      <c r="K522" s="31" t="n"/>
      <c r="L522" s="30" t="n"/>
      <c r="M522" s="31" t="n"/>
      <c r="N522" s="31" t="n"/>
      <c r="O522" s="31" t="n"/>
      <c r="P522" s="30" t="n"/>
      <c r="Q522" s="31" t="n"/>
      <c r="R522" s="31" t="n"/>
      <c r="S522" s="31" t="n"/>
      <c r="T522" s="31" t="n"/>
      <c r="U522" s="30" t="n"/>
      <c r="V522" s="31" t="n"/>
      <c r="W522" s="31" t="n"/>
      <c r="X522" s="31" t="n"/>
      <c r="Y522" s="31" t="n"/>
      <c r="Z522" s="31" t="n"/>
      <c r="AA522" s="31" t="n"/>
      <c r="AB522" s="31" t="n"/>
      <c r="AC522" s="31" t="n"/>
      <c r="AD522" s="31" t="n"/>
      <c r="AE522" s="31" t="n"/>
      <c r="AF522" s="27">
        <f>IF(NOT(COUNTA(A522:AE522)&gt;0),"",IF(A522="","New client","Update"))</f>
        <v/>
      </c>
      <c r="AG522" s="27">
        <f>IF(AO522&lt;&gt;"",AO522,IF(LEN(AN522)=15,MID(AN522,3,10),""))</f>
        <v/>
      </c>
      <c r="AH522" s="27">
        <f>IF(AP522="","",AP522&amp;IF(D522="","  (guessed from PAN)",""))</f>
        <v/>
      </c>
      <c r="AI522" s="27">
        <f>IF(AN522="","",IFERROR(INDEX(Lists!$L$2:$L$38,MATCH(LEFT(AN522,2),Lists!$K$2:$K$38,0)),"Unknown code"))</f>
        <v/>
      </c>
      <c r="AJ522" s="27">
        <f>IF(AN522="","",IFERROR(IF(NOT(AND(LEN(AN522)=15,ISNUMBER(MATCH(LEFT(AN522,2),Lists!$K$2:$K$38,0)),SUMPRODUCT(--ISERROR(FIND(MID(MID(AN522,3,10),{1,2,3,4,5,10},1),"ABCDEFGHIJKLMNOPQRSTUVWXYZ")))=0,SUMPRODUCT(--ISERROR(FIND(MID(MID(AN522,3,10),{6,7,8,9},1),"0123456789")))=0,ISNUMBER(FIND(MID(AN522,13,1),"123456789ABCDEFGHIJKLMNOPQRSTUVWXYZ")),MID(AN522,14,1)="Z")),"Wrong format",IF(MID("0123456789ABCDEFGHIJKLMNOPQRSTUVWXYZ",MOD(36-MOD(SUMPRODUCT(INT((FIND(MID(AN522,{1,2,3,4,5,6,7,8,9,10,11,12,13,14},1),"0123456789ABCDEFGHIJKLMNOPQRSTUVWXYZ")-1)*{1,2,1,2,1,2,1,2,1,2,1,2,1,2}/36)+MOD((FIND(MID(AN522,{1,2,3,4,5,6,7,8,9,10,11,12,13,14},1),"0123456789ABCDEFGHIJKLMNOPQRSTUVWXYZ")-1)*{1,2,1,2,1,2,1,2,1,2,1,2,1,2},36)),36),36)+1,1)=MID(AN522,15,1),"OK","Typo? check digit wrong")),"Wrong format"))</f>
        <v/>
      </c>
      <c r="AK522" s="27">
        <f>IF(AO522="","",IF(AND(LEN(AO522)=10,SUMPRODUCT(--ISERROR(FIND(MID(AO522,{1,2,3,4,5,10},1),"ABCDEFGHIJKLMNOPQRSTUVWXYZ")))=0,SUMPRODUCT(--ISERROR(FIND(MID(AO522,{6,7,8,9},1),"0123456789")))=0),"OK","Wrong format"))</f>
        <v/>
      </c>
      <c r="AL522" s="27">
        <f>IF(TRIM(H522)="","",IF(AND(LEN(UPPER(TRIM(H522)))=10,SUMPRODUCT(--ISERROR(FIND(MID(UPPER(TRIM(H522)),{1,2,3,4,10},1),"ABCDEFGHIJKLMNOPQRSTUVWXYZ")))=0,SUMPRODUCT(--ISERROR(FIND(MID(UPPER(TRIM(H522)),{5,6,7,8,9},1),"0123456789")))=0),"OK","Wrong format"))</f>
        <v/>
      </c>
      <c r="AM522" s="28">
        <f>IF(NOT(COUNTA(A522:AE522)&gt;0),"",IF(AS522&lt;&gt;"","✖ "&amp;LEFT(AS522,LEN(AS522)-2),IF(AR522&gt;0,"✔ Ready — client + "&amp;AR522&amp;" service(s)","✔ Ready — client only")))</f>
        <v/>
      </c>
      <c r="AN522" s="29">
        <f>UPPER(SUBSTITUTE(TRIM(F522)," ",""))</f>
        <v/>
      </c>
      <c r="AO522" s="29">
        <f>UPPER(SUBSTITUTE(TRIM(E522)," ",""))</f>
        <v/>
      </c>
      <c r="AP522" s="29">
        <f>IF(D522&lt;&gt;"",D522,IFERROR(VLOOKUP(MID(AG522,4,1),Lists!$E$2:$F$8,2,FALSE),""))</f>
        <v/>
      </c>
      <c r="AQ522" s="29">
        <f>IFERROR(VLOOKUP(AP522,Lists!$A$2:$C$12,3,FALSE),"")</f>
        <v/>
      </c>
      <c r="AR522" s="29">
        <f>COUNTIF(W522:AC522,"Yes")</f>
        <v/>
      </c>
      <c r="AS522" s="29">
        <f>IF(TRIM(B522)="","Legal name missing; ","")&amp;IF(AND(AJ522&lt;&gt;"",AJ522&lt;&gt;"OK"),"GSTIN: "&amp;AJ522&amp;"; ","")&amp;IF(AND(AK522&lt;&gt;"",AK522&lt;&gt;"OK"),"PAN wrong format; ","")&amp;IF(AND(AO522&lt;&gt;"",LEN(AN522)=15,MID(AN522,3,10)&lt;&gt;AO522),"PAN does not match GSTIN; ","")&amp;IF(AND(AL522&lt;&gt;"",AL522&lt;&gt;"OK"),"TAN wrong format; ","")&amp;IF(AG522="","PAN missing; ","")&amp;IF(AP522="","Entity type missing; ","")&amp;IF(AND(AN522&lt;&gt;"",COUNTIF($AN$6:$AN$1005,AN522)&gt;1),"GSTIN repeated in this sheet; ","")&amp;IF(AND(AG522&lt;&gt;"",COUNTIF($AG$6:$AG$1005,AG522)&gt;1),"PAN repeated in this sheet (same client? put extra GSTINs in Other GSTINs); ","")&amp;IF(AND(AR522&gt;0,V522=""),"Financial year missing; ","")&amp;IF(AND(AR522=0,V522&lt;&gt;""),"Financial year given but no service is Yes; ","")&amp;IF(AND(W522="Yes",AN522=""),"GST needs a GSTIN; ","")&amp;IF(AND(W522="Yes",X522=""),"GST return frequency missing; ","")&amp;IF(AND(Y522="Yes",TRIM(H522)=""),"TDS needs a TAN; ","")&amp;IF(AND(AA522="Yes",AQ522&lt;&gt;"",AQ522&lt;&gt;"company",AQ522&lt;&gt;"llp"),"ROC is only for a company / LLP; ","")&amp;IF(AND(AA522="Yes",OR(AQ522="company",AQ522="llp"),TRIM(I522)=""),"ROC needs the CIN / LLPIN; ","")</f>
        <v/>
      </c>
    </row>
    <row r="523">
      <c r="A523" s="30" t="n"/>
      <c r="B523" s="31" t="n"/>
      <c r="C523" s="31" t="n"/>
      <c r="D523" s="31" t="n"/>
      <c r="E523" s="30" t="n"/>
      <c r="F523" s="30" t="n"/>
      <c r="G523" s="30" t="n"/>
      <c r="H523" s="30" t="n"/>
      <c r="I523" s="30" t="n"/>
      <c r="J523" s="32" t="n"/>
      <c r="K523" s="31" t="n"/>
      <c r="L523" s="30" t="n"/>
      <c r="M523" s="31" t="n"/>
      <c r="N523" s="31" t="n"/>
      <c r="O523" s="31" t="n"/>
      <c r="P523" s="30" t="n"/>
      <c r="Q523" s="31" t="n"/>
      <c r="R523" s="31" t="n"/>
      <c r="S523" s="31" t="n"/>
      <c r="T523" s="31" t="n"/>
      <c r="U523" s="30" t="n"/>
      <c r="V523" s="31" t="n"/>
      <c r="W523" s="31" t="n"/>
      <c r="X523" s="31" t="n"/>
      <c r="Y523" s="31" t="n"/>
      <c r="Z523" s="31" t="n"/>
      <c r="AA523" s="31" t="n"/>
      <c r="AB523" s="31" t="n"/>
      <c r="AC523" s="31" t="n"/>
      <c r="AD523" s="31" t="n"/>
      <c r="AE523" s="31" t="n"/>
      <c r="AF523" s="27">
        <f>IF(NOT(COUNTA(A523:AE523)&gt;0),"",IF(A523="","New client","Update"))</f>
        <v/>
      </c>
      <c r="AG523" s="27">
        <f>IF(AO523&lt;&gt;"",AO523,IF(LEN(AN523)=15,MID(AN523,3,10),""))</f>
        <v/>
      </c>
      <c r="AH523" s="27">
        <f>IF(AP523="","",AP523&amp;IF(D523="","  (guessed from PAN)",""))</f>
        <v/>
      </c>
      <c r="AI523" s="27">
        <f>IF(AN523="","",IFERROR(INDEX(Lists!$L$2:$L$38,MATCH(LEFT(AN523,2),Lists!$K$2:$K$38,0)),"Unknown code"))</f>
        <v/>
      </c>
      <c r="AJ523" s="27">
        <f>IF(AN523="","",IFERROR(IF(NOT(AND(LEN(AN523)=15,ISNUMBER(MATCH(LEFT(AN523,2),Lists!$K$2:$K$38,0)),SUMPRODUCT(--ISERROR(FIND(MID(MID(AN523,3,10),{1,2,3,4,5,10},1),"ABCDEFGHIJKLMNOPQRSTUVWXYZ")))=0,SUMPRODUCT(--ISERROR(FIND(MID(MID(AN523,3,10),{6,7,8,9},1),"0123456789")))=0,ISNUMBER(FIND(MID(AN523,13,1),"123456789ABCDEFGHIJKLMNOPQRSTUVWXYZ")),MID(AN523,14,1)="Z")),"Wrong format",IF(MID("0123456789ABCDEFGHIJKLMNOPQRSTUVWXYZ",MOD(36-MOD(SUMPRODUCT(INT((FIND(MID(AN523,{1,2,3,4,5,6,7,8,9,10,11,12,13,14},1),"0123456789ABCDEFGHIJKLMNOPQRSTUVWXYZ")-1)*{1,2,1,2,1,2,1,2,1,2,1,2,1,2}/36)+MOD((FIND(MID(AN523,{1,2,3,4,5,6,7,8,9,10,11,12,13,14},1),"0123456789ABCDEFGHIJKLMNOPQRSTUVWXYZ")-1)*{1,2,1,2,1,2,1,2,1,2,1,2,1,2},36)),36),36)+1,1)=MID(AN523,15,1),"OK","Typo? check digit wrong")),"Wrong format"))</f>
        <v/>
      </c>
      <c r="AK523" s="27">
        <f>IF(AO523="","",IF(AND(LEN(AO523)=10,SUMPRODUCT(--ISERROR(FIND(MID(AO523,{1,2,3,4,5,10},1),"ABCDEFGHIJKLMNOPQRSTUVWXYZ")))=0,SUMPRODUCT(--ISERROR(FIND(MID(AO523,{6,7,8,9},1),"0123456789")))=0),"OK","Wrong format"))</f>
        <v/>
      </c>
      <c r="AL523" s="27">
        <f>IF(TRIM(H523)="","",IF(AND(LEN(UPPER(TRIM(H523)))=10,SUMPRODUCT(--ISERROR(FIND(MID(UPPER(TRIM(H523)),{1,2,3,4,10},1),"ABCDEFGHIJKLMNOPQRSTUVWXYZ")))=0,SUMPRODUCT(--ISERROR(FIND(MID(UPPER(TRIM(H523)),{5,6,7,8,9},1),"0123456789")))=0),"OK","Wrong format"))</f>
        <v/>
      </c>
      <c r="AM523" s="28">
        <f>IF(NOT(COUNTA(A523:AE523)&gt;0),"",IF(AS523&lt;&gt;"","✖ "&amp;LEFT(AS523,LEN(AS523)-2),IF(AR523&gt;0,"✔ Ready — client + "&amp;AR523&amp;" service(s)","✔ Ready — client only")))</f>
        <v/>
      </c>
      <c r="AN523" s="29">
        <f>UPPER(SUBSTITUTE(TRIM(F523)," ",""))</f>
        <v/>
      </c>
      <c r="AO523" s="29">
        <f>UPPER(SUBSTITUTE(TRIM(E523)," ",""))</f>
        <v/>
      </c>
      <c r="AP523" s="29">
        <f>IF(D523&lt;&gt;"",D523,IFERROR(VLOOKUP(MID(AG523,4,1),Lists!$E$2:$F$8,2,FALSE),""))</f>
        <v/>
      </c>
      <c r="AQ523" s="29">
        <f>IFERROR(VLOOKUP(AP523,Lists!$A$2:$C$12,3,FALSE),"")</f>
        <v/>
      </c>
      <c r="AR523" s="29">
        <f>COUNTIF(W523:AC523,"Yes")</f>
        <v/>
      </c>
      <c r="AS523" s="29">
        <f>IF(TRIM(B523)="","Legal name missing; ","")&amp;IF(AND(AJ523&lt;&gt;"",AJ523&lt;&gt;"OK"),"GSTIN: "&amp;AJ523&amp;"; ","")&amp;IF(AND(AK523&lt;&gt;"",AK523&lt;&gt;"OK"),"PAN wrong format; ","")&amp;IF(AND(AO523&lt;&gt;"",LEN(AN523)=15,MID(AN523,3,10)&lt;&gt;AO523),"PAN does not match GSTIN; ","")&amp;IF(AND(AL523&lt;&gt;"",AL523&lt;&gt;"OK"),"TAN wrong format; ","")&amp;IF(AG523="","PAN missing; ","")&amp;IF(AP523="","Entity type missing; ","")&amp;IF(AND(AN523&lt;&gt;"",COUNTIF($AN$6:$AN$1005,AN523)&gt;1),"GSTIN repeated in this sheet; ","")&amp;IF(AND(AG523&lt;&gt;"",COUNTIF($AG$6:$AG$1005,AG523)&gt;1),"PAN repeated in this sheet (same client? put extra GSTINs in Other GSTINs); ","")&amp;IF(AND(AR523&gt;0,V523=""),"Financial year missing; ","")&amp;IF(AND(AR523=0,V523&lt;&gt;""),"Financial year given but no service is Yes; ","")&amp;IF(AND(W523="Yes",AN523=""),"GST needs a GSTIN; ","")&amp;IF(AND(W523="Yes",X523=""),"GST return frequency missing; ","")&amp;IF(AND(Y523="Yes",TRIM(H523)=""),"TDS needs a TAN; ","")&amp;IF(AND(AA523="Yes",AQ523&lt;&gt;"",AQ523&lt;&gt;"company",AQ523&lt;&gt;"llp"),"ROC is only for a company / LLP; ","")&amp;IF(AND(AA523="Yes",OR(AQ523="company",AQ523="llp"),TRIM(I523)=""),"ROC needs the CIN / LLPIN; ","")</f>
        <v/>
      </c>
    </row>
    <row r="524">
      <c r="A524" s="30" t="n"/>
      <c r="B524" s="31" t="n"/>
      <c r="C524" s="31" t="n"/>
      <c r="D524" s="31" t="n"/>
      <c r="E524" s="30" t="n"/>
      <c r="F524" s="30" t="n"/>
      <c r="G524" s="30" t="n"/>
      <c r="H524" s="30" t="n"/>
      <c r="I524" s="30" t="n"/>
      <c r="J524" s="32" t="n"/>
      <c r="K524" s="31" t="n"/>
      <c r="L524" s="30" t="n"/>
      <c r="M524" s="31" t="n"/>
      <c r="N524" s="31" t="n"/>
      <c r="O524" s="31" t="n"/>
      <c r="P524" s="30" t="n"/>
      <c r="Q524" s="31" t="n"/>
      <c r="R524" s="31" t="n"/>
      <c r="S524" s="31" t="n"/>
      <c r="T524" s="31" t="n"/>
      <c r="U524" s="30" t="n"/>
      <c r="V524" s="31" t="n"/>
      <c r="W524" s="31" t="n"/>
      <c r="X524" s="31" t="n"/>
      <c r="Y524" s="31" t="n"/>
      <c r="Z524" s="31" t="n"/>
      <c r="AA524" s="31" t="n"/>
      <c r="AB524" s="31" t="n"/>
      <c r="AC524" s="31" t="n"/>
      <c r="AD524" s="31" t="n"/>
      <c r="AE524" s="31" t="n"/>
      <c r="AF524" s="27">
        <f>IF(NOT(COUNTA(A524:AE524)&gt;0),"",IF(A524="","New client","Update"))</f>
        <v/>
      </c>
      <c r="AG524" s="27">
        <f>IF(AO524&lt;&gt;"",AO524,IF(LEN(AN524)=15,MID(AN524,3,10),""))</f>
        <v/>
      </c>
      <c r="AH524" s="27">
        <f>IF(AP524="","",AP524&amp;IF(D524="","  (guessed from PAN)",""))</f>
        <v/>
      </c>
      <c r="AI524" s="27">
        <f>IF(AN524="","",IFERROR(INDEX(Lists!$L$2:$L$38,MATCH(LEFT(AN524,2),Lists!$K$2:$K$38,0)),"Unknown code"))</f>
        <v/>
      </c>
      <c r="AJ524" s="27">
        <f>IF(AN524="","",IFERROR(IF(NOT(AND(LEN(AN524)=15,ISNUMBER(MATCH(LEFT(AN524,2),Lists!$K$2:$K$38,0)),SUMPRODUCT(--ISERROR(FIND(MID(MID(AN524,3,10),{1,2,3,4,5,10},1),"ABCDEFGHIJKLMNOPQRSTUVWXYZ")))=0,SUMPRODUCT(--ISERROR(FIND(MID(MID(AN524,3,10),{6,7,8,9},1),"0123456789")))=0,ISNUMBER(FIND(MID(AN524,13,1),"123456789ABCDEFGHIJKLMNOPQRSTUVWXYZ")),MID(AN524,14,1)="Z")),"Wrong format",IF(MID("0123456789ABCDEFGHIJKLMNOPQRSTUVWXYZ",MOD(36-MOD(SUMPRODUCT(INT((FIND(MID(AN524,{1,2,3,4,5,6,7,8,9,10,11,12,13,14},1),"0123456789ABCDEFGHIJKLMNOPQRSTUVWXYZ")-1)*{1,2,1,2,1,2,1,2,1,2,1,2,1,2}/36)+MOD((FIND(MID(AN524,{1,2,3,4,5,6,7,8,9,10,11,12,13,14},1),"0123456789ABCDEFGHIJKLMNOPQRSTUVWXYZ")-1)*{1,2,1,2,1,2,1,2,1,2,1,2,1,2},36)),36),36)+1,1)=MID(AN524,15,1),"OK","Typo? check digit wrong")),"Wrong format"))</f>
        <v/>
      </c>
      <c r="AK524" s="27">
        <f>IF(AO524="","",IF(AND(LEN(AO524)=10,SUMPRODUCT(--ISERROR(FIND(MID(AO524,{1,2,3,4,5,10},1),"ABCDEFGHIJKLMNOPQRSTUVWXYZ")))=0,SUMPRODUCT(--ISERROR(FIND(MID(AO524,{6,7,8,9},1),"0123456789")))=0),"OK","Wrong format"))</f>
        <v/>
      </c>
      <c r="AL524" s="27">
        <f>IF(TRIM(H524)="","",IF(AND(LEN(UPPER(TRIM(H524)))=10,SUMPRODUCT(--ISERROR(FIND(MID(UPPER(TRIM(H524)),{1,2,3,4,10},1),"ABCDEFGHIJKLMNOPQRSTUVWXYZ")))=0,SUMPRODUCT(--ISERROR(FIND(MID(UPPER(TRIM(H524)),{5,6,7,8,9},1),"0123456789")))=0),"OK","Wrong format"))</f>
        <v/>
      </c>
      <c r="AM524" s="28">
        <f>IF(NOT(COUNTA(A524:AE524)&gt;0),"",IF(AS524&lt;&gt;"","✖ "&amp;LEFT(AS524,LEN(AS524)-2),IF(AR524&gt;0,"✔ Ready — client + "&amp;AR524&amp;" service(s)","✔ Ready — client only")))</f>
        <v/>
      </c>
      <c r="AN524" s="29">
        <f>UPPER(SUBSTITUTE(TRIM(F524)," ",""))</f>
        <v/>
      </c>
      <c r="AO524" s="29">
        <f>UPPER(SUBSTITUTE(TRIM(E524)," ",""))</f>
        <v/>
      </c>
      <c r="AP524" s="29">
        <f>IF(D524&lt;&gt;"",D524,IFERROR(VLOOKUP(MID(AG524,4,1),Lists!$E$2:$F$8,2,FALSE),""))</f>
        <v/>
      </c>
      <c r="AQ524" s="29">
        <f>IFERROR(VLOOKUP(AP524,Lists!$A$2:$C$12,3,FALSE),"")</f>
        <v/>
      </c>
      <c r="AR524" s="29">
        <f>COUNTIF(W524:AC524,"Yes")</f>
        <v/>
      </c>
      <c r="AS524" s="29">
        <f>IF(TRIM(B524)="","Legal name missing; ","")&amp;IF(AND(AJ524&lt;&gt;"",AJ524&lt;&gt;"OK"),"GSTIN: "&amp;AJ524&amp;"; ","")&amp;IF(AND(AK524&lt;&gt;"",AK524&lt;&gt;"OK"),"PAN wrong format; ","")&amp;IF(AND(AO524&lt;&gt;"",LEN(AN524)=15,MID(AN524,3,10)&lt;&gt;AO524),"PAN does not match GSTIN; ","")&amp;IF(AND(AL524&lt;&gt;"",AL524&lt;&gt;"OK"),"TAN wrong format; ","")&amp;IF(AG524="","PAN missing; ","")&amp;IF(AP524="","Entity type missing; ","")&amp;IF(AND(AN524&lt;&gt;"",COUNTIF($AN$6:$AN$1005,AN524)&gt;1),"GSTIN repeated in this sheet; ","")&amp;IF(AND(AG524&lt;&gt;"",COUNTIF($AG$6:$AG$1005,AG524)&gt;1),"PAN repeated in this sheet (same client? put extra GSTINs in Other GSTINs); ","")&amp;IF(AND(AR524&gt;0,V524=""),"Financial year missing; ","")&amp;IF(AND(AR524=0,V524&lt;&gt;""),"Financial year given but no service is Yes; ","")&amp;IF(AND(W524="Yes",AN524=""),"GST needs a GSTIN; ","")&amp;IF(AND(W524="Yes",X524=""),"GST return frequency missing; ","")&amp;IF(AND(Y524="Yes",TRIM(H524)=""),"TDS needs a TAN; ","")&amp;IF(AND(AA524="Yes",AQ524&lt;&gt;"",AQ524&lt;&gt;"company",AQ524&lt;&gt;"llp"),"ROC is only for a company / LLP; ","")&amp;IF(AND(AA524="Yes",OR(AQ524="company",AQ524="llp"),TRIM(I524)=""),"ROC needs the CIN / LLPIN; ","")</f>
        <v/>
      </c>
    </row>
    <row r="525">
      <c r="A525" s="30" t="n"/>
      <c r="B525" s="31" t="n"/>
      <c r="C525" s="31" t="n"/>
      <c r="D525" s="31" t="n"/>
      <c r="E525" s="30" t="n"/>
      <c r="F525" s="30" t="n"/>
      <c r="G525" s="30" t="n"/>
      <c r="H525" s="30" t="n"/>
      <c r="I525" s="30" t="n"/>
      <c r="J525" s="32" t="n"/>
      <c r="K525" s="31" t="n"/>
      <c r="L525" s="30" t="n"/>
      <c r="M525" s="31" t="n"/>
      <c r="N525" s="31" t="n"/>
      <c r="O525" s="31" t="n"/>
      <c r="P525" s="30" t="n"/>
      <c r="Q525" s="31" t="n"/>
      <c r="R525" s="31" t="n"/>
      <c r="S525" s="31" t="n"/>
      <c r="T525" s="31" t="n"/>
      <c r="U525" s="30" t="n"/>
      <c r="V525" s="31" t="n"/>
      <c r="W525" s="31" t="n"/>
      <c r="X525" s="31" t="n"/>
      <c r="Y525" s="31" t="n"/>
      <c r="Z525" s="31" t="n"/>
      <c r="AA525" s="31" t="n"/>
      <c r="AB525" s="31" t="n"/>
      <c r="AC525" s="31" t="n"/>
      <c r="AD525" s="31" t="n"/>
      <c r="AE525" s="31" t="n"/>
      <c r="AF525" s="27">
        <f>IF(NOT(COUNTA(A525:AE525)&gt;0),"",IF(A525="","New client","Update"))</f>
        <v/>
      </c>
      <c r="AG525" s="27">
        <f>IF(AO525&lt;&gt;"",AO525,IF(LEN(AN525)=15,MID(AN525,3,10),""))</f>
        <v/>
      </c>
      <c r="AH525" s="27">
        <f>IF(AP525="","",AP525&amp;IF(D525="","  (guessed from PAN)",""))</f>
        <v/>
      </c>
      <c r="AI525" s="27">
        <f>IF(AN525="","",IFERROR(INDEX(Lists!$L$2:$L$38,MATCH(LEFT(AN525,2),Lists!$K$2:$K$38,0)),"Unknown code"))</f>
        <v/>
      </c>
      <c r="AJ525" s="27">
        <f>IF(AN525="","",IFERROR(IF(NOT(AND(LEN(AN525)=15,ISNUMBER(MATCH(LEFT(AN525,2),Lists!$K$2:$K$38,0)),SUMPRODUCT(--ISERROR(FIND(MID(MID(AN525,3,10),{1,2,3,4,5,10},1),"ABCDEFGHIJKLMNOPQRSTUVWXYZ")))=0,SUMPRODUCT(--ISERROR(FIND(MID(MID(AN525,3,10),{6,7,8,9},1),"0123456789")))=0,ISNUMBER(FIND(MID(AN525,13,1),"123456789ABCDEFGHIJKLMNOPQRSTUVWXYZ")),MID(AN525,14,1)="Z")),"Wrong format",IF(MID("0123456789ABCDEFGHIJKLMNOPQRSTUVWXYZ",MOD(36-MOD(SUMPRODUCT(INT((FIND(MID(AN525,{1,2,3,4,5,6,7,8,9,10,11,12,13,14},1),"0123456789ABCDEFGHIJKLMNOPQRSTUVWXYZ")-1)*{1,2,1,2,1,2,1,2,1,2,1,2,1,2}/36)+MOD((FIND(MID(AN525,{1,2,3,4,5,6,7,8,9,10,11,12,13,14},1),"0123456789ABCDEFGHIJKLMNOPQRSTUVWXYZ")-1)*{1,2,1,2,1,2,1,2,1,2,1,2,1,2},36)),36),36)+1,1)=MID(AN525,15,1),"OK","Typo? check digit wrong")),"Wrong format"))</f>
        <v/>
      </c>
      <c r="AK525" s="27">
        <f>IF(AO525="","",IF(AND(LEN(AO525)=10,SUMPRODUCT(--ISERROR(FIND(MID(AO525,{1,2,3,4,5,10},1),"ABCDEFGHIJKLMNOPQRSTUVWXYZ")))=0,SUMPRODUCT(--ISERROR(FIND(MID(AO525,{6,7,8,9},1),"0123456789")))=0),"OK","Wrong format"))</f>
        <v/>
      </c>
      <c r="AL525" s="27">
        <f>IF(TRIM(H525)="","",IF(AND(LEN(UPPER(TRIM(H525)))=10,SUMPRODUCT(--ISERROR(FIND(MID(UPPER(TRIM(H525)),{1,2,3,4,10},1),"ABCDEFGHIJKLMNOPQRSTUVWXYZ")))=0,SUMPRODUCT(--ISERROR(FIND(MID(UPPER(TRIM(H525)),{5,6,7,8,9},1),"0123456789")))=0),"OK","Wrong format"))</f>
        <v/>
      </c>
      <c r="AM525" s="28">
        <f>IF(NOT(COUNTA(A525:AE525)&gt;0),"",IF(AS525&lt;&gt;"","✖ "&amp;LEFT(AS525,LEN(AS525)-2),IF(AR525&gt;0,"✔ Ready — client + "&amp;AR525&amp;" service(s)","✔ Ready — client only")))</f>
        <v/>
      </c>
      <c r="AN525" s="29">
        <f>UPPER(SUBSTITUTE(TRIM(F525)," ",""))</f>
        <v/>
      </c>
      <c r="AO525" s="29">
        <f>UPPER(SUBSTITUTE(TRIM(E525)," ",""))</f>
        <v/>
      </c>
      <c r="AP525" s="29">
        <f>IF(D525&lt;&gt;"",D525,IFERROR(VLOOKUP(MID(AG525,4,1),Lists!$E$2:$F$8,2,FALSE),""))</f>
        <v/>
      </c>
      <c r="AQ525" s="29">
        <f>IFERROR(VLOOKUP(AP525,Lists!$A$2:$C$12,3,FALSE),"")</f>
        <v/>
      </c>
      <c r="AR525" s="29">
        <f>COUNTIF(W525:AC525,"Yes")</f>
        <v/>
      </c>
      <c r="AS525" s="29">
        <f>IF(TRIM(B525)="","Legal name missing; ","")&amp;IF(AND(AJ525&lt;&gt;"",AJ525&lt;&gt;"OK"),"GSTIN: "&amp;AJ525&amp;"; ","")&amp;IF(AND(AK525&lt;&gt;"",AK525&lt;&gt;"OK"),"PAN wrong format; ","")&amp;IF(AND(AO525&lt;&gt;"",LEN(AN525)=15,MID(AN525,3,10)&lt;&gt;AO525),"PAN does not match GSTIN; ","")&amp;IF(AND(AL525&lt;&gt;"",AL525&lt;&gt;"OK"),"TAN wrong format; ","")&amp;IF(AG525="","PAN missing; ","")&amp;IF(AP525="","Entity type missing; ","")&amp;IF(AND(AN525&lt;&gt;"",COUNTIF($AN$6:$AN$1005,AN525)&gt;1),"GSTIN repeated in this sheet; ","")&amp;IF(AND(AG525&lt;&gt;"",COUNTIF($AG$6:$AG$1005,AG525)&gt;1),"PAN repeated in this sheet (same client? put extra GSTINs in Other GSTINs); ","")&amp;IF(AND(AR525&gt;0,V525=""),"Financial year missing; ","")&amp;IF(AND(AR525=0,V525&lt;&gt;""),"Financial year given but no service is Yes; ","")&amp;IF(AND(W525="Yes",AN525=""),"GST needs a GSTIN; ","")&amp;IF(AND(W525="Yes",X525=""),"GST return frequency missing; ","")&amp;IF(AND(Y525="Yes",TRIM(H525)=""),"TDS needs a TAN; ","")&amp;IF(AND(AA525="Yes",AQ525&lt;&gt;"",AQ525&lt;&gt;"company",AQ525&lt;&gt;"llp"),"ROC is only for a company / LLP; ","")&amp;IF(AND(AA525="Yes",OR(AQ525="company",AQ525="llp"),TRIM(I525)=""),"ROC needs the CIN / LLPIN; ","")</f>
        <v/>
      </c>
    </row>
    <row r="526">
      <c r="A526" s="30" t="n"/>
      <c r="B526" s="31" t="n"/>
      <c r="C526" s="31" t="n"/>
      <c r="D526" s="31" t="n"/>
      <c r="E526" s="30" t="n"/>
      <c r="F526" s="30" t="n"/>
      <c r="G526" s="30" t="n"/>
      <c r="H526" s="30" t="n"/>
      <c r="I526" s="30" t="n"/>
      <c r="J526" s="32" t="n"/>
      <c r="K526" s="31" t="n"/>
      <c r="L526" s="30" t="n"/>
      <c r="M526" s="31" t="n"/>
      <c r="N526" s="31" t="n"/>
      <c r="O526" s="31" t="n"/>
      <c r="P526" s="30" t="n"/>
      <c r="Q526" s="31" t="n"/>
      <c r="R526" s="31" t="n"/>
      <c r="S526" s="31" t="n"/>
      <c r="T526" s="31" t="n"/>
      <c r="U526" s="30" t="n"/>
      <c r="V526" s="31" t="n"/>
      <c r="W526" s="31" t="n"/>
      <c r="X526" s="31" t="n"/>
      <c r="Y526" s="31" t="n"/>
      <c r="Z526" s="31" t="n"/>
      <c r="AA526" s="31" t="n"/>
      <c r="AB526" s="31" t="n"/>
      <c r="AC526" s="31" t="n"/>
      <c r="AD526" s="31" t="n"/>
      <c r="AE526" s="31" t="n"/>
      <c r="AF526" s="27">
        <f>IF(NOT(COUNTA(A526:AE526)&gt;0),"",IF(A526="","New client","Update"))</f>
        <v/>
      </c>
      <c r="AG526" s="27">
        <f>IF(AO526&lt;&gt;"",AO526,IF(LEN(AN526)=15,MID(AN526,3,10),""))</f>
        <v/>
      </c>
      <c r="AH526" s="27">
        <f>IF(AP526="","",AP526&amp;IF(D526="","  (guessed from PAN)",""))</f>
        <v/>
      </c>
      <c r="AI526" s="27">
        <f>IF(AN526="","",IFERROR(INDEX(Lists!$L$2:$L$38,MATCH(LEFT(AN526,2),Lists!$K$2:$K$38,0)),"Unknown code"))</f>
        <v/>
      </c>
      <c r="AJ526" s="27">
        <f>IF(AN526="","",IFERROR(IF(NOT(AND(LEN(AN526)=15,ISNUMBER(MATCH(LEFT(AN526,2),Lists!$K$2:$K$38,0)),SUMPRODUCT(--ISERROR(FIND(MID(MID(AN526,3,10),{1,2,3,4,5,10},1),"ABCDEFGHIJKLMNOPQRSTUVWXYZ")))=0,SUMPRODUCT(--ISERROR(FIND(MID(MID(AN526,3,10),{6,7,8,9},1),"0123456789")))=0,ISNUMBER(FIND(MID(AN526,13,1),"123456789ABCDEFGHIJKLMNOPQRSTUVWXYZ")),MID(AN526,14,1)="Z")),"Wrong format",IF(MID("0123456789ABCDEFGHIJKLMNOPQRSTUVWXYZ",MOD(36-MOD(SUMPRODUCT(INT((FIND(MID(AN526,{1,2,3,4,5,6,7,8,9,10,11,12,13,14},1),"0123456789ABCDEFGHIJKLMNOPQRSTUVWXYZ")-1)*{1,2,1,2,1,2,1,2,1,2,1,2,1,2}/36)+MOD((FIND(MID(AN526,{1,2,3,4,5,6,7,8,9,10,11,12,13,14},1),"0123456789ABCDEFGHIJKLMNOPQRSTUVWXYZ")-1)*{1,2,1,2,1,2,1,2,1,2,1,2,1,2},36)),36),36)+1,1)=MID(AN526,15,1),"OK","Typo? check digit wrong")),"Wrong format"))</f>
        <v/>
      </c>
      <c r="AK526" s="27">
        <f>IF(AO526="","",IF(AND(LEN(AO526)=10,SUMPRODUCT(--ISERROR(FIND(MID(AO526,{1,2,3,4,5,10},1),"ABCDEFGHIJKLMNOPQRSTUVWXYZ")))=0,SUMPRODUCT(--ISERROR(FIND(MID(AO526,{6,7,8,9},1),"0123456789")))=0),"OK","Wrong format"))</f>
        <v/>
      </c>
      <c r="AL526" s="27">
        <f>IF(TRIM(H526)="","",IF(AND(LEN(UPPER(TRIM(H526)))=10,SUMPRODUCT(--ISERROR(FIND(MID(UPPER(TRIM(H526)),{1,2,3,4,10},1),"ABCDEFGHIJKLMNOPQRSTUVWXYZ")))=0,SUMPRODUCT(--ISERROR(FIND(MID(UPPER(TRIM(H526)),{5,6,7,8,9},1),"0123456789")))=0),"OK","Wrong format"))</f>
        <v/>
      </c>
      <c r="AM526" s="28">
        <f>IF(NOT(COUNTA(A526:AE526)&gt;0),"",IF(AS526&lt;&gt;"","✖ "&amp;LEFT(AS526,LEN(AS526)-2),IF(AR526&gt;0,"✔ Ready — client + "&amp;AR526&amp;" service(s)","✔ Ready — client only")))</f>
        <v/>
      </c>
      <c r="AN526" s="29">
        <f>UPPER(SUBSTITUTE(TRIM(F526)," ",""))</f>
        <v/>
      </c>
      <c r="AO526" s="29">
        <f>UPPER(SUBSTITUTE(TRIM(E526)," ",""))</f>
        <v/>
      </c>
      <c r="AP526" s="29">
        <f>IF(D526&lt;&gt;"",D526,IFERROR(VLOOKUP(MID(AG526,4,1),Lists!$E$2:$F$8,2,FALSE),""))</f>
        <v/>
      </c>
      <c r="AQ526" s="29">
        <f>IFERROR(VLOOKUP(AP526,Lists!$A$2:$C$12,3,FALSE),"")</f>
        <v/>
      </c>
      <c r="AR526" s="29">
        <f>COUNTIF(W526:AC526,"Yes")</f>
        <v/>
      </c>
      <c r="AS526" s="29">
        <f>IF(TRIM(B526)="","Legal name missing; ","")&amp;IF(AND(AJ526&lt;&gt;"",AJ526&lt;&gt;"OK"),"GSTIN: "&amp;AJ526&amp;"; ","")&amp;IF(AND(AK526&lt;&gt;"",AK526&lt;&gt;"OK"),"PAN wrong format; ","")&amp;IF(AND(AO526&lt;&gt;"",LEN(AN526)=15,MID(AN526,3,10)&lt;&gt;AO526),"PAN does not match GSTIN; ","")&amp;IF(AND(AL526&lt;&gt;"",AL526&lt;&gt;"OK"),"TAN wrong format; ","")&amp;IF(AG526="","PAN missing; ","")&amp;IF(AP526="","Entity type missing; ","")&amp;IF(AND(AN526&lt;&gt;"",COUNTIF($AN$6:$AN$1005,AN526)&gt;1),"GSTIN repeated in this sheet; ","")&amp;IF(AND(AG526&lt;&gt;"",COUNTIF($AG$6:$AG$1005,AG526)&gt;1),"PAN repeated in this sheet (same client? put extra GSTINs in Other GSTINs); ","")&amp;IF(AND(AR526&gt;0,V526=""),"Financial year missing; ","")&amp;IF(AND(AR526=0,V526&lt;&gt;""),"Financial year given but no service is Yes; ","")&amp;IF(AND(W526="Yes",AN526=""),"GST needs a GSTIN; ","")&amp;IF(AND(W526="Yes",X526=""),"GST return frequency missing; ","")&amp;IF(AND(Y526="Yes",TRIM(H526)=""),"TDS needs a TAN; ","")&amp;IF(AND(AA526="Yes",AQ526&lt;&gt;"",AQ526&lt;&gt;"company",AQ526&lt;&gt;"llp"),"ROC is only for a company / LLP; ","")&amp;IF(AND(AA526="Yes",OR(AQ526="company",AQ526="llp"),TRIM(I526)=""),"ROC needs the CIN / LLPIN; ","")</f>
        <v/>
      </c>
    </row>
    <row r="527">
      <c r="A527" s="30" t="n"/>
      <c r="B527" s="31" t="n"/>
      <c r="C527" s="31" t="n"/>
      <c r="D527" s="31" t="n"/>
      <c r="E527" s="30" t="n"/>
      <c r="F527" s="30" t="n"/>
      <c r="G527" s="30" t="n"/>
      <c r="H527" s="30" t="n"/>
      <c r="I527" s="30" t="n"/>
      <c r="J527" s="32" t="n"/>
      <c r="K527" s="31" t="n"/>
      <c r="L527" s="30" t="n"/>
      <c r="M527" s="31" t="n"/>
      <c r="N527" s="31" t="n"/>
      <c r="O527" s="31" t="n"/>
      <c r="P527" s="30" t="n"/>
      <c r="Q527" s="31" t="n"/>
      <c r="R527" s="31" t="n"/>
      <c r="S527" s="31" t="n"/>
      <c r="T527" s="31" t="n"/>
      <c r="U527" s="30" t="n"/>
      <c r="V527" s="31" t="n"/>
      <c r="W527" s="31" t="n"/>
      <c r="X527" s="31" t="n"/>
      <c r="Y527" s="31" t="n"/>
      <c r="Z527" s="31" t="n"/>
      <c r="AA527" s="31" t="n"/>
      <c r="AB527" s="31" t="n"/>
      <c r="AC527" s="31" t="n"/>
      <c r="AD527" s="31" t="n"/>
      <c r="AE527" s="31" t="n"/>
      <c r="AF527" s="27">
        <f>IF(NOT(COUNTA(A527:AE527)&gt;0),"",IF(A527="","New client","Update"))</f>
        <v/>
      </c>
      <c r="AG527" s="27">
        <f>IF(AO527&lt;&gt;"",AO527,IF(LEN(AN527)=15,MID(AN527,3,10),""))</f>
        <v/>
      </c>
      <c r="AH527" s="27">
        <f>IF(AP527="","",AP527&amp;IF(D527="","  (guessed from PAN)",""))</f>
        <v/>
      </c>
      <c r="AI527" s="27">
        <f>IF(AN527="","",IFERROR(INDEX(Lists!$L$2:$L$38,MATCH(LEFT(AN527,2),Lists!$K$2:$K$38,0)),"Unknown code"))</f>
        <v/>
      </c>
      <c r="AJ527" s="27">
        <f>IF(AN527="","",IFERROR(IF(NOT(AND(LEN(AN527)=15,ISNUMBER(MATCH(LEFT(AN527,2),Lists!$K$2:$K$38,0)),SUMPRODUCT(--ISERROR(FIND(MID(MID(AN527,3,10),{1,2,3,4,5,10},1),"ABCDEFGHIJKLMNOPQRSTUVWXYZ")))=0,SUMPRODUCT(--ISERROR(FIND(MID(MID(AN527,3,10),{6,7,8,9},1),"0123456789")))=0,ISNUMBER(FIND(MID(AN527,13,1),"123456789ABCDEFGHIJKLMNOPQRSTUVWXYZ")),MID(AN527,14,1)="Z")),"Wrong format",IF(MID("0123456789ABCDEFGHIJKLMNOPQRSTUVWXYZ",MOD(36-MOD(SUMPRODUCT(INT((FIND(MID(AN527,{1,2,3,4,5,6,7,8,9,10,11,12,13,14},1),"0123456789ABCDEFGHIJKLMNOPQRSTUVWXYZ")-1)*{1,2,1,2,1,2,1,2,1,2,1,2,1,2}/36)+MOD((FIND(MID(AN527,{1,2,3,4,5,6,7,8,9,10,11,12,13,14},1),"0123456789ABCDEFGHIJKLMNOPQRSTUVWXYZ")-1)*{1,2,1,2,1,2,1,2,1,2,1,2,1,2},36)),36),36)+1,1)=MID(AN527,15,1),"OK","Typo? check digit wrong")),"Wrong format"))</f>
        <v/>
      </c>
      <c r="AK527" s="27">
        <f>IF(AO527="","",IF(AND(LEN(AO527)=10,SUMPRODUCT(--ISERROR(FIND(MID(AO527,{1,2,3,4,5,10},1),"ABCDEFGHIJKLMNOPQRSTUVWXYZ")))=0,SUMPRODUCT(--ISERROR(FIND(MID(AO527,{6,7,8,9},1),"0123456789")))=0),"OK","Wrong format"))</f>
        <v/>
      </c>
      <c r="AL527" s="27">
        <f>IF(TRIM(H527)="","",IF(AND(LEN(UPPER(TRIM(H527)))=10,SUMPRODUCT(--ISERROR(FIND(MID(UPPER(TRIM(H527)),{1,2,3,4,10},1),"ABCDEFGHIJKLMNOPQRSTUVWXYZ")))=0,SUMPRODUCT(--ISERROR(FIND(MID(UPPER(TRIM(H527)),{5,6,7,8,9},1),"0123456789")))=0),"OK","Wrong format"))</f>
        <v/>
      </c>
      <c r="AM527" s="28">
        <f>IF(NOT(COUNTA(A527:AE527)&gt;0),"",IF(AS527&lt;&gt;"","✖ "&amp;LEFT(AS527,LEN(AS527)-2),IF(AR527&gt;0,"✔ Ready — client + "&amp;AR527&amp;" service(s)","✔ Ready — client only")))</f>
        <v/>
      </c>
      <c r="AN527" s="29">
        <f>UPPER(SUBSTITUTE(TRIM(F527)," ",""))</f>
        <v/>
      </c>
      <c r="AO527" s="29">
        <f>UPPER(SUBSTITUTE(TRIM(E527)," ",""))</f>
        <v/>
      </c>
      <c r="AP527" s="29">
        <f>IF(D527&lt;&gt;"",D527,IFERROR(VLOOKUP(MID(AG527,4,1),Lists!$E$2:$F$8,2,FALSE),""))</f>
        <v/>
      </c>
      <c r="AQ527" s="29">
        <f>IFERROR(VLOOKUP(AP527,Lists!$A$2:$C$12,3,FALSE),"")</f>
        <v/>
      </c>
      <c r="AR527" s="29">
        <f>COUNTIF(W527:AC527,"Yes")</f>
        <v/>
      </c>
      <c r="AS527" s="29">
        <f>IF(TRIM(B527)="","Legal name missing; ","")&amp;IF(AND(AJ527&lt;&gt;"",AJ527&lt;&gt;"OK"),"GSTIN: "&amp;AJ527&amp;"; ","")&amp;IF(AND(AK527&lt;&gt;"",AK527&lt;&gt;"OK"),"PAN wrong format; ","")&amp;IF(AND(AO527&lt;&gt;"",LEN(AN527)=15,MID(AN527,3,10)&lt;&gt;AO527),"PAN does not match GSTIN; ","")&amp;IF(AND(AL527&lt;&gt;"",AL527&lt;&gt;"OK"),"TAN wrong format; ","")&amp;IF(AG527="","PAN missing; ","")&amp;IF(AP527="","Entity type missing; ","")&amp;IF(AND(AN527&lt;&gt;"",COUNTIF($AN$6:$AN$1005,AN527)&gt;1),"GSTIN repeated in this sheet; ","")&amp;IF(AND(AG527&lt;&gt;"",COUNTIF($AG$6:$AG$1005,AG527)&gt;1),"PAN repeated in this sheet (same client? put extra GSTINs in Other GSTINs); ","")&amp;IF(AND(AR527&gt;0,V527=""),"Financial year missing; ","")&amp;IF(AND(AR527=0,V527&lt;&gt;""),"Financial year given but no service is Yes; ","")&amp;IF(AND(W527="Yes",AN527=""),"GST needs a GSTIN; ","")&amp;IF(AND(W527="Yes",X527=""),"GST return frequency missing; ","")&amp;IF(AND(Y527="Yes",TRIM(H527)=""),"TDS needs a TAN; ","")&amp;IF(AND(AA527="Yes",AQ527&lt;&gt;"",AQ527&lt;&gt;"company",AQ527&lt;&gt;"llp"),"ROC is only for a company / LLP; ","")&amp;IF(AND(AA527="Yes",OR(AQ527="company",AQ527="llp"),TRIM(I527)=""),"ROC needs the CIN / LLPIN; ","")</f>
        <v/>
      </c>
    </row>
    <row r="528">
      <c r="A528" s="30" t="n"/>
      <c r="B528" s="31" t="n"/>
      <c r="C528" s="31" t="n"/>
      <c r="D528" s="31" t="n"/>
      <c r="E528" s="30" t="n"/>
      <c r="F528" s="30" t="n"/>
      <c r="G528" s="30" t="n"/>
      <c r="H528" s="30" t="n"/>
      <c r="I528" s="30" t="n"/>
      <c r="J528" s="32" t="n"/>
      <c r="K528" s="31" t="n"/>
      <c r="L528" s="30" t="n"/>
      <c r="M528" s="31" t="n"/>
      <c r="N528" s="31" t="n"/>
      <c r="O528" s="31" t="n"/>
      <c r="P528" s="30" t="n"/>
      <c r="Q528" s="31" t="n"/>
      <c r="R528" s="31" t="n"/>
      <c r="S528" s="31" t="n"/>
      <c r="T528" s="31" t="n"/>
      <c r="U528" s="30" t="n"/>
      <c r="V528" s="31" t="n"/>
      <c r="W528" s="31" t="n"/>
      <c r="X528" s="31" t="n"/>
      <c r="Y528" s="31" t="n"/>
      <c r="Z528" s="31" t="n"/>
      <c r="AA528" s="31" t="n"/>
      <c r="AB528" s="31" t="n"/>
      <c r="AC528" s="31" t="n"/>
      <c r="AD528" s="31" t="n"/>
      <c r="AE528" s="31" t="n"/>
      <c r="AF528" s="27">
        <f>IF(NOT(COUNTA(A528:AE528)&gt;0),"",IF(A528="","New client","Update"))</f>
        <v/>
      </c>
      <c r="AG528" s="27">
        <f>IF(AO528&lt;&gt;"",AO528,IF(LEN(AN528)=15,MID(AN528,3,10),""))</f>
        <v/>
      </c>
      <c r="AH528" s="27">
        <f>IF(AP528="","",AP528&amp;IF(D528="","  (guessed from PAN)",""))</f>
        <v/>
      </c>
      <c r="AI528" s="27">
        <f>IF(AN528="","",IFERROR(INDEX(Lists!$L$2:$L$38,MATCH(LEFT(AN528,2),Lists!$K$2:$K$38,0)),"Unknown code"))</f>
        <v/>
      </c>
      <c r="AJ528" s="27">
        <f>IF(AN528="","",IFERROR(IF(NOT(AND(LEN(AN528)=15,ISNUMBER(MATCH(LEFT(AN528,2),Lists!$K$2:$K$38,0)),SUMPRODUCT(--ISERROR(FIND(MID(MID(AN528,3,10),{1,2,3,4,5,10},1),"ABCDEFGHIJKLMNOPQRSTUVWXYZ")))=0,SUMPRODUCT(--ISERROR(FIND(MID(MID(AN528,3,10),{6,7,8,9},1),"0123456789")))=0,ISNUMBER(FIND(MID(AN528,13,1),"123456789ABCDEFGHIJKLMNOPQRSTUVWXYZ")),MID(AN528,14,1)="Z")),"Wrong format",IF(MID("0123456789ABCDEFGHIJKLMNOPQRSTUVWXYZ",MOD(36-MOD(SUMPRODUCT(INT((FIND(MID(AN528,{1,2,3,4,5,6,7,8,9,10,11,12,13,14},1),"0123456789ABCDEFGHIJKLMNOPQRSTUVWXYZ")-1)*{1,2,1,2,1,2,1,2,1,2,1,2,1,2}/36)+MOD((FIND(MID(AN528,{1,2,3,4,5,6,7,8,9,10,11,12,13,14},1),"0123456789ABCDEFGHIJKLMNOPQRSTUVWXYZ")-1)*{1,2,1,2,1,2,1,2,1,2,1,2,1,2},36)),36),36)+1,1)=MID(AN528,15,1),"OK","Typo? check digit wrong")),"Wrong format"))</f>
        <v/>
      </c>
      <c r="AK528" s="27">
        <f>IF(AO528="","",IF(AND(LEN(AO528)=10,SUMPRODUCT(--ISERROR(FIND(MID(AO528,{1,2,3,4,5,10},1),"ABCDEFGHIJKLMNOPQRSTUVWXYZ")))=0,SUMPRODUCT(--ISERROR(FIND(MID(AO528,{6,7,8,9},1),"0123456789")))=0),"OK","Wrong format"))</f>
        <v/>
      </c>
      <c r="AL528" s="27">
        <f>IF(TRIM(H528)="","",IF(AND(LEN(UPPER(TRIM(H528)))=10,SUMPRODUCT(--ISERROR(FIND(MID(UPPER(TRIM(H528)),{1,2,3,4,10},1),"ABCDEFGHIJKLMNOPQRSTUVWXYZ")))=0,SUMPRODUCT(--ISERROR(FIND(MID(UPPER(TRIM(H528)),{5,6,7,8,9},1),"0123456789")))=0),"OK","Wrong format"))</f>
        <v/>
      </c>
      <c r="AM528" s="28">
        <f>IF(NOT(COUNTA(A528:AE528)&gt;0),"",IF(AS528&lt;&gt;"","✖ "&amp;LEFT(AS528,LEN(AS528)-2),IF(AR528&gt;0,"✔ Ready — client + "&amp;AR528&amp;" service(s)","✔ Ready — client only")))</f>
        <v/>
      </c>
      <c r="AN528" s="29">
        <f>UPPER(SUBSTITUTE(TRIM(F528)," ",""))</f>
        <v/>
      </c>
      <c r="AO528" s="29">
        <f>UPPER(SUBSTITUTE(TRIM(E528)," ",""))</f>
        <v/>
      </c>
      <c r="AP528" s="29">
        <f>IF(D528&lt;&gt;"",D528,IFERROR(VLOOKUP(MID(AG528,4,1),Lists!$E$2:$F$8,2,FALSE),""))</f>
        <v/>
      </c>
      <c r="AQ528" s="29">
        <f>IFERROR(VLOOKUP(AP528,Lists!$A$2:$C$12,3,FALSE),"")</f>
        <v/>
      </c>
      <c r="AR528" s="29">
        <f>COUNTIF(W528:AC528,"Yes")</f>
        <v/>
      </c>
      <c r="AS528" s="29">
        <f>IF(TRIM(B528)="","Legal name missing; ","")&amp;IF(AND(AJ528&lt;&gt;"",AJ528&lt;&gt;"OK"),"GSTIN: "&amp;AJ528&amp;"; ","")&amp;IF(AND(AK528&lt;&gt;"",AK528&lt;&gt;"OK"),"PAN wrong format; ","")&amp;IF(AND(AO528&lt;&gt;"",LEN(AN528)=15,MID(AN528,3,10)&lt;&gt;AO528),"PAN does not match GSTIN; ","")&amp;IF(AND(AL528&lt;&gt;"",AL528&lt;&gt;"OK"),"TAN wrong format; ","")&amp;IF(AG528="","PAN missing; ","")&amp;IF(AP528="","Entity type missing; ","")&amp;IF(AND(AN528&lt;&gt;"",COUNTIF($AN$6:$AN$1005,AN528)&gt;1),"GSTIN repeated in this sheet; ","")&amp;IF(AND(AG528&lt;&gt;"",COUNTIF($AG$6:$AG$1005,AG528)&gt;1),"PAN repeated in this sheet (same client? put extra GSTINs in Other GSTINs); ","")&amp;IF(AND(AR528&gt;0,V528=""),"Financial year missing; ","")&amp;IF(AND(AR528=0,V528&lt;&gt;""),"Financial year given but no service is Yes; ","")&amp;IF(AND(W528="Yes",AN528=""),"GST needs a GSTIN; ","")&amp;IF(AND(W528="Yes",X528=""),"GST return frequency missing; ","")&amp;IF(AND(Y528="Yes",TRIM(H528)=""),"TDS needs a TAN; ","")&amp;IF(AND(AA528="Yes",AQ528&lt;&gt;"",AQ528&lt;&gt;"company",AQ528&lt;&gt;"llp"),"ROC is only for a company / LLP; ","")&amp;IF(AND(AA528="Yes",OR(AQ528="company",AQ528="llp"),TRIM(I528)=""),"ROC needs the CIN / LLPIN; ","")</f>
        <v/>
      </c>
    </row>
    <row r="529">
      <c r="A529" s="30" t="n"/>
      <c r="B529" s="31" t="n"/>
      <c r="C529" s="31" t="n"/>
      <c r="D529" s="31" t="n"/>
      <c r="E529" s="30" t="n"/>
      <c r="F529" s="30" t="n"/>
      <c r="G529" s="30" t="n"/>
      <c r="H529" s="30" t="n"/>
      <c r="I529" s="30" t="n"/>
      <c r="J529" s="32" t="n"/>
      <c r="K529" s="31" t="n"/>
      <c r="L529" s="30" t="n"/>
      <c r="M529" s="31" t="n"/>
      <c r="N529" s="31" t="n"/>
      <c r="O529" s="31" t="n"/>
      <c r="P529" s="30" t="n"/>
      <c r="Q529" s="31" t="n"/>
      <c r="R529" s="31" t="n"/>
      <c r="S529" s="31" t="n"/>
      <c r="T529" s="31" t="n"/>
      <c r="U529" s="30" t="n"/>
      <c r="V529" s="31" t="n"/>
      <c r="W529" s="31" t="n"/>
      <c r="X529" s="31" t="n"/>
      <c r="Y529" s="31" t="n"/>
      <c r="Z529" s="31" t="n"/>
      <c r="AA529" s="31" t="n"/>
      <c r="AB529" s="31" t="n"/>
      <c r="AC529" s="31" t="n"/>
      <c r="AD529" s="31" t="n"/>
      <c r="AE529" s="31" t="n"/>
      <c r="AF529" s="27">
        <f>IF(NOT(COUNTA(A529:AE529)&gt;0),"",IF(A529="","New client","Update"))</f>
        <v/>
      </c>
      <c r="AG529" s="27">
        <f>IF(AO529&lt;&gt;"",AO529,IF(LEN(AN529)=15,MID(AN529,3,10),""))</f>
        <v/>
      </c>
      <c r="AH529" s="27">
        <f>IF(AP529="","",AP529&amp;IF(D529="","  (guessed from PAN)",""))</f>
        <v/>
      </c>
      <c r="AI529" s="27">
        <f>IF(AN529="","",IFERROR(INDEX(Lists!$L$2:$L$38,MATCH(LEFT(AN529,2),Lists!$K$2:$K$38,0)),"Unknown code"))</f>
        <v/>
      </c>
      <c r="AJ529" s="27">
        <f>IF(AN529="","",IFERROR(IF(NOT(AND(LEN(AN529)=15,ISNUMBER(MATCH(LEFT(AN529,2),Lists!$K$2:$K$38,0)),SUMPRODUCT(--ISERROR(FIND(MID(MID(AN529,3,10),{1,2,3,4,5,10},1),"ABCDEFGHIJKLMNOPQRSTUVWXYZ")))=0,SUMPRODUCT(--ISERROR(FIND(MID(MID(AN529,3,10),{6,7,8,9},1),"0123456789")))=0,ISNUMBER(FIND(MID(AN529,13,1),"123456789ABCDEFGHIJKLMNOPQRSTUVWXYZ")),MID(AN529,14,1)="Z")),"Wrong format",IF(MID("0123456789ABCDEFGHIJKLMNOPQRSTUVWXYZ",MOD(36-MOD(SUMPRODUCT(INT((FIND(MID(AN529,{1,2,3,4,5,6,7,8,9,10,11,12,13,14},1),"0123456789ABCDEFGHIJKLMNOPQRSTUVWXYZ")-1)*{1,2,1,2,1,2,1,2,1,2,1,2,1,2}/36)+MOD((FIND(MID(AN529,{1,2,3,4,5,6,7,8,9,10,11,12,13,14},1),"0123456789ABCDEFGHIJKLMNOPQRSTUVWXYZ")-1)*{1,2,1,2,1,2,1,2,1,2,1,2,1,2},36)),36),36)+1,1)=MID(AN529,15,1),"OK","Typo? check digit wrong")),"Wrong format"))</f>
        <v/>
      </c>
      <c r="AK529" s="27">
        <f>IF(AO529="","",IF(AND(LEN(AO529)=10,SUMPRODUCT(--ISERROR(FIND(MID(AO529,{1,2,3,4,5,10},1),"ABCDEFGHIJKLMNOPQRSTUVWXYZ")))=0,SUMPRODUCT(--ISERROR(FIND(MID(AO529,{6,7,8,9},1),"0123456789")))=0),"OK","Wrong format"))</f>
        <v/>
      </c>
      <c r="AL529" s="27">
        <f>IF(TRIM(H529)="","",IF(AND(LEN(UPPER(TRIM(H529)))=10,SUMPRODUCT(--ISERROR(FIND(MID(UPPER(TRIM(H529)),{1,2,3,4,10},1),"ABCDEFGHIJKLMNOPQRSTUVWXYZ")))=0,SUMPRODUCT(--ISERROR(FIND(MID(UPPER(TRIM(H529)),{5,6,7,8,9},1),"0123456789")))=0),"OK","Wrong format"))</f>
        <v/>
      </c>
      <c r="AM529" s="28">
        <f>IF(NOT(COUNTA(A529:AE529)&gt;0),"",IF(AS529&lt;&gt;"","✖ "&amp;LEFT(AS529,LEN(AS529)-2),IF(AR529&gt;0,"✔ Ready — client + "&amp;AR529&amp;" service(s)","✔ Ready — client only")))</f>
        <v/>
      </c>
      <c r="AN529" s="29">
        <f>UPPER(SUBSTITUTE(TRIM(F529)," ",""))</f>
        <v/>
      </c>
      <c r="AO529" s="29">
        <f>UPPER(SUBSTITUTE(TRIM(E529)," ",""))</f>
        <v/>
      </c>
      <c r="AP529" s="29">
        <f>IF(D529&lt;&gt;"",D529,IFERROR(VLOOKUP(MID(AG529,4,1),Lists!$E$2:$F$8,2,FALSE),""))</f>
        <v/>
      </c>
      <c r="AQ529" s="29">
        <f>IFERROR(VLOOKUP(AP529,Lists!$A$2:$C$12,3,FALSE),"")</f>
        <v/>
      </c>
      <c r="AR529" s="29">
        <f>COUNTIF(W529:AC529,"Yes")</f>
        <v/>
      </c>
      <c r="AS529" s="29">
        <f>IF(TRIM(B529)="","Legal name missing; ","")&amp;IF(AND(AJ529&lt;&gt;"",AJ529&lt;&gt;"OK"),"GSTIN: "&amp;AJ529&amp;"; ","")&amp;IF(AND(AK529&lt;&gt;"",AK529&lt;&gt;"OK"),"PAN wrong format; ","")&amp;IF(AND(AO529&lt;&gt;"",LEN(AN529)=15,MID(AN529,3,10)&lt;&gt;AO529),"PAN does not match GSTIN; ","")&amp;IF(AND(AL529&lt;&gt;"",AL529&lt;&gt;"OK"),"TAN wrong format; ","")&amp;IF(AG529="","PAN missing; ","")&amp;IF(AP529="","Entity type missing; ","")&amp;IF(AND(AN529&lt;&gt;"",COUNTIF($AN$6:$AN$1005,AN529)&gt;1),"GSTIN repeated in this sheet; ","")&amp;IF(AND(AG529&lt;&gt;"",COUNTIF($AG$6:$AG$1005,AG529)&gt;1),"PAN repeated in this sheet (same client? put extra GSTINs in Other GSTINs); ","")&amp;IF(AND(AR529&gt;0,V529=""),"Financial year missing; ","")&amp;IF(AND(AR529=0,V529&lt;&gt;""),"Financial year given but no service is Yes; ","")&amp;IF(AND(W529="Yes",AN529=""),"GST needs a GSTIN; ","")&amp;IF(AND(W529="Yes",X529=""),"GST return frequency missing; ","")&amp;IF(AND(Y529="Yes",TRIM(H529)=""),"TDS needs a TAN; ","")&amp;IF(AND(AA529="Yes",AQ529&lt;&gt;"",AQ529&lt;&gt;"company",AQ529&lt;&gt;"llp"),"ROC is only for a company / LLP; ","")&amp;IF(AND(AA529="Yes",OR(AQ529="company",AQ529="llp"),TRIM(I529)=""),"ROC needs the CIN / LLPIN; ","")</f>
        <v/>
      </c>
    </row>
    <row r="530">
      <c r="A530" s="30" t="n"/>
      <c r="B530" s="31" t="n"/>
      <c r="C530" s="31" t="n"/>
      <c r="D530" s="31" t="n"/>
      <c r="E530" s="30" t="n"/>
      <c r="F530" s="30" t="n"/>
      <c r="G530" s="30" t="n"/>
      <c r="H530" s="30" t="n"/>
      <c r="I530" s="30" t="n"/>
      <c r="J530" s="32" t="n"/>
      <c r="K530" s="31" t="n"/>
      <c r="L530" s="30" t="n"/>
      <c r="M530" s="31" t="n"/>
      <c r="N530" s="31" t="n"/>
      <c r="O530" s="31" t="n"/>
      <c r="P530" s="30" t="n"/>
      <c r="Q530" s="31" t="n"/>
      <c r="R530" s="31" t="n"/>
      <c r="S530" s="31" t="n"/>
      <c r="T530" s="31" t="n"/>
      <c r="U530" s="30" t="n"/>
      <c r="V530" s="31" t="n"/>
      <c r="W530" s="31" t="n"/>
      <c r="X530" s="31" t="n"/>
      <c r="Y530" s="31" t="n"/>
      <c r="Z530" s="31" t="n"/>
      <c r="AA530" s="31" t="n"/>
      <c r="AB530" s="31" t="n"/>
      <c r="AC530" s="31" t="n"/>
      <c r="AD530" s="31" t="n"/>
      <c r="AE530" s="31" t="n"/>
      <c r="AF530" s="27">
        <f>IF(NOT(COUNTA(A530:AE530)&gt;0),"",IF(A530="","New client","Update"))</f>
        <v/>
      </c>
      <c r="AG530" s="27">
        <f>IF(AO530&lt;&gt;"",AO530,IF(LEN(AN530)=15,MID(AN530,3,10),""))</f>
        <v/>
      </c>
      <c r="AH530" s="27">
        <f>IF(AP530="","",AP530&amp;IF(D530="","  (guessed from PAN)",""))</f>
        <v/>
      </c>
      <c r="AI530" s="27">
        <f>IF(AN530="","",IFERROR(INDEX(Lists!$L$2:$L$38,MATCH(LEFT(AN530,2),Lists!$K$2:$K$38,0)),"Unknown code"))</f>
        <v/>
      </c>
      <c r="AJ530" s="27">
        <f>IF(AN530="","",IFERROR(IF(NOT(AND(LEN(AN530)=15,ISNUMBER(MATCH(LEFT(AN530,2),Lists!$K$2:$K$38,0)),SUMPRODUCT(--ISERROR(FIND(MID(MID(AN530,3,10),{1,2,3,4,5,10},1),"ABCDEFGHIJKLMNOPQRSTUVWXYZ")))=0,SUMPRODUCT(--ISERROR(FIND(MID(MID(AN530,3,10),{6,7,8,9},1),"0123456789")))=0,ISNUMBER(FIND(MID(AN530,13,1),"123456789ABCDEFGHIJKLMNOPQRSTUVWXYZ")),MID(AN530,14,1)="Z")),"Wrong format",IF(MID("0123456789ABCDEFGHIJKLMNOPQRSTUVWXYZ",MOD(36-MOD(SUMPRODUCT(INT((FIND(MID(AN530,{1,2,3,4,5,6,7,8,9,10,11,12,13,14},1),"0123456789ABCDEFGHIJKLMNOPQRSTUVWXYZ")-1)*{1,2,1,2,1,2,1,2,1,2,1,2,1,2}/36)+MOD((FIND(MID(AN530,{1,2,3,4,5,6,7,8,9,10,11,12,13,14},1),"0123456789ABCDEFGHIJKLMNOPQRSTUVWXYZ")-1)*{1,2,1,2,1,2,1,2,1,2,1,2,1,2},36)),36),36)+1,1)=MID(AN530,15,1),"OK","Typo? check digit wrong")),"Wrong format"))</f>
        <v/>
      </c>
      <c r="AK530" s="27">
        <f>IF(AO530="","",IF(AND(LEN(AO530)=10,SUMPRODUCT(--ISERROR(FIND(MID(AO530,{1,2,3,4,5,10},1),"ABCDEFGHIJKLMNOPQRSTUVWXYZ")))=0,SUMPRODUCT(--ISERROR(FIND(MID(AO530,{6,7,8,9},1),"0123456789")))=0),"OK","Wrong format"))</f>
        <v/>
      </c>
      <c r="AL530" s="27">
        <f>IF(TRIM(H530)="","",IF(AND(LEN(UPPER(TRIM(H530)))=10,SUMPRODUCT(--ISERROR(FIND(MID(UPPER(TRIM(H530)),{1,2,3,4,10},1),"ABCDEFGHIJKLMNOPQRSTUVWXYZ")))=0,SUMPRODUCT(--ISERROR(FIND(MID(UPPER(TRIM(H530)),{5,6,7,8,9},1),"0123456789")))=0),"OK","Wrong format"))</f>
        <v/>
      </c>
      <c r="AM530" s="28">
        <f>IF(NOT(COUNTA(A530:AE530)&gt;0),"",IF(AS530&lt;&gt;"","✖ "&amp;LEFT(AS530,LEN(AS530)-2),IF(AR530&gt;0,"✔ Ready — client + "&amp;AR530&amp;" service(s)","✔ Ready — client only")))</f>
        <v/>
      </c>
      <c r="AN530" s="29">
        <f>UPPER(SUBSTITUTE(TRIM(F530)," ",""))</f>
        <v/>
      </c>
      <c r="AO530" s="29">
        <f>UPPER(SUBSTITUTE(TRIM(E530)," ",""))</f>
        <v/>
      </c>
      <c r="AP530" s="29">
        <f>IF(D530&lt;&gt;"",D530,IFERROR(VLOOKUP(MID(AG530,4,1),Lists!$E$2:$F$8,2,FALSE),""))</f>
        <v/>
      </c>
      <c r="AQ530" s="29">
        <f>IFERROR(VLOOKUP(AP530,Lists!$A$2:$C$12,3,FALSE),"")</f>
        <v/>
      </c>
      <c r="AR530" s="29">
        <f>COUNTIF(W530:AC530,"Yes")</f>
        <v/>
      </c>
      <c r="AS530" s="29">
        <f>IF(TRIM(B530)="","Legal name missing; ","")&amp;IF(AND(AJ530&lt;&gt;"",AJ530&lt;&gt;"OK"),"GSTIN: "&amp;AJ530&amp;"; ","")&amp;IF(AND(AK530&lt;&gt;"",AK530&lt;&gt;"OK"),"PAN wrong format; ","")&amp;IF(AND(AO530&lt;&gt;"",LEN(AN530)=15,MID(AN530,3,10)&lt;&gt;AO530),"PAN does not match GSTIN; ","")&amp;IF(AND(AL530&lt;&gt;"",AL530&lt;&gt;"OK"),"TAN wrong format; ","")&amp;IF(AG530="","PAN missing; ","")&amp;IF(AP530="","Entity type missing; ","")&amp;IF(AND(AN530&lt;&gt;"",COUNTIF($AN$6:$AN$1005,AN530)&gt;1),"GSTIN repeated in this sheet; ","")&amp;IF(AND(AG530&lt;&gt;"",COUNTIF($AG$6:$AG$1005,AG530)&gt;1),"PAN repeated in this sheet (same client? put extra GSTINs in Other GSTINs); ","")&amp;IF(AND(AR530&gt;0,V530=""),"Financial year missing; ","")&amp;IF(AND(AR530=0,V530&lt;&gt;""),"Financial year given but no service is Yes; ","")&amp;IF(AND(W530="Yes",AN530=""),"GST needs a GSTIN; ","")&amp;IF(AND(W530="Yes",X530=""),"GST return frequency missing; ","")&amp;IF(AND(Y530="Yes",TRIM(H530)=""),"TDS needs a TAN; ","")&amp;IF(AND(AA530="Yes",AQ530&lt;&gt;"",AQ530&lt;&gt;"company",AQ530&lt;&gt;"llp"),"ROC is only for a company / LLP; ","")&amp;IF(AND(AA530="Yes",OR(AQ530="company",AQ530="llp"),TRIM(I530)=""),"ROC needs the CIN / LLPIN; ","")</f>
        <v/>
      </c>
    </row>
    <row r="531">
      <c r="A531" s="30" t="n"/>
      <c r="B531" s="31" t="n"/>
      <c r="C531" s="31" t="n"/>
      <c r="D531" s="31" t="n"/>
      <c r="E531" s="30" t="n"/>
      <c r="F531" s="30" t="n"/>
      <c r="G531" s="30" t="n"/>
      <c r="H531" s="30" t="n"/>
      <c r="I531" s="30" t="n"/>
      <c r="J531" s="32" t="n"/>
      <c r="K531" s="31" t="n"/>
      <c r="L531" s="30" t="n"/>
      <c r="M531" s="31" t="n"/>
      <c r="N531" s="31" t="n"/>
      <c r="O531" s="31" t="n"/>
      <c r="P531" s="30" t="n"/>
      <c r="Q531" s="31" t="n"/>
      <c r="R531" s="31" t="n"/>
      <c r="S531" s="31" t="n"/>
      <c r="T531" s="31" t="n"/>
      <c r="U531" s="30" t="n"/>
      <c r="V531" s="31" t="n"/>
      <c r="W531" s="31" t="n"/>
      <c r="X531" s="31" t="n"/>
      <c r="Y531" s="31" t="n"/>
      <c r="Z531" s="31" t="n"/>
      <c r="AA531" s="31" t="n"/>
      <c r="AB531" s="31" t="n"/>
      <c r="AC531" s="31" t="n"/>
      <c r="AD531" s="31" t="n"/>
      <c r="AE531" s="31" t="n"/>
      <c r="AF531" s="27">
        <f>IF(NOT(COUNTA(A531:AE531)&gt;0),"",IF(A531="","New client","Update"))</f>
        <v/>
      </c>
      <c r="AG531" s="27">
        <f>IF(AO531&lt;&gt;"",AO531,IF(LEN(AN531)=15,MID(AN531,3,10),""))</f>
        <v/>
      </c>
      <c r="AH531" s="27">
        <f>IF(AP531="","",AP531&amp;IF(D531="","  (guessed from PAN)",""))</f>
        <v/>
      </c>
      <c r="AI531" s="27">
        <f>IF(AN531="","",IFERROR(INDEX(Lists!$L$2:$L$38,MATCH(LEFT(AN531,2),Lists!$K$2:$K$38,0)),"Unknown code"))</f>
        <v/>
      </c>
      <c r="AJ531" s="27">
        <f>IF(AN531="","",IFERROR(IF(NOT(AND(LEN(AN531)=15,ISNUMBER(MATCH(LEFT(AN531,2),Lists!$K$2:$K$38,0)),SUMPRODUCT(--ISERROR(FIND(MID(MID(AN531,3,10),{1,2,3,4,5,10},1),"ABCDEFGHIJKLMNOPQRSTUVWXYZ")))=0,SUMPRODUCT(--ISERROR(FIND(MID(MID(AN531,3,10),{6,7,8,9},1),"0123456789")))=0,ISNUMBER(FIND(MID(AN531,13,1),"123456789ABCDEFGHIJKLMNOPQRSTUVWXYZ")),MID(AN531,14,1)="Z")),"Wrong format",IF(MID("0123456789ABCDEFGHIJKLMNOPQRSTUVWXYZ",MOD(36-MOD(SUMPRODUCT(INT((FIND(MID(AN531,{1,2,3,4,5,6,7,8,9,10,11,12,13,14},1),"0123456789ABCDEFGHIJKLMNOPQRSTUVWXYZ")-1)*{1,2,1,2,1,2,1,2,1,2,1,2,1,2}/36)+MOD((FIND(MID(AN531,{1,2,3,4,5,6,7,8,9,10,11,12,13,14},1),"0123456789ABCDEFGHIJKLMNOPQRSTUVWXYZ")-1)*{1,2,1,2,1,2,1,2,1,2,1,2,1,2},36)),36),36)+1,1)=MID(AN531,15,1),"OK","Typo? check digit wrong")),"Wrong format"))</f>
        <v/>
      </c>
      <c r="AK531" s="27">
        <f>IF(AO531="","",IF(AND(LEN(AO531)=10,SUMPRODUCT(--ISERROR(FIND(MID(AO531,{1,2,3,4,5,10},1),"ABCDEFGHIJKLMNOPQRSTUVWXYZ")))=0,SUMPRODUCT(--ISERROR(FIND(MID(AO531,{6,7,8,9},1),"0123456789")))=0),"OK","Wrong format"))</f>
        <v/>
      </c>
      <c r="AL531" s="27">
        <f>IF(TRIM(H531)="","",IF(AND(LEN(UPPER(TRIM(H531)))=10,SUMPRODUCT(--ISERROR(FIND(MID(UPPER(TRIM(H531)),{1,2,3,4,10},1),"ABCDEFGHIJKLMNOPQRSTUVWXYZ")))=0,SUMPRODUCT(--ISERROR(FIND(MID(UPPER(TRIM(H531)),{5,6,7,8,9},1),"0123456789")))=0),"OK","Wrong format"))</f>
        <v/>
      </c>
      <c r="AM531" s="28">
        <f>IF(NOT(COUNTA(A531:AE531)&gt;0),"",IF(AS531&lt;&gt;"","✖ "&amp;LEFT(AS531,LEN(AS531)-2),IF(AR531&gt;0,"✔ Ready — client + "&amp;AR531&amp;" service(s)","✔ Ready — client only")))</f>
        <v/>
      </c>
      <c r="AN531" s="29">
        <f>UPPER(SUBSTITUTE(TRIM(F531)," ",""))</f>
        <v/>
      </c>
      <c r="AO531" s="29">
        <f>UPPER(SUBSTITUTE(TRIM(E531)," ",""))</f>
        <v/>
      </c>
      <c r="AP531" s="29">
        <f>IF(D531&lt;&gt;"",D531,IFERROR(VLOOKUP(MID(AG531,4,1),Lists!$E$2:$F$8,2,FALSE),""))</f>
        <v/>
      </c>
      <c r="AQ531" s="29">
        <f>IFERROR(VLOOKUP(AP531,Lists!$A$2:$C$12,3,FALSE),"")</f>
        <v/>
      </c>
      <c r="AR531" s="29">
        <f>COUNTIF(W531:AC531,"Yes")</f>
        <v/>
      </c>
      <c r="AS531" s="29">
        <f>IF(TRIM(B531)="","Legal name missing; ","")&amp;IF(AND(AJ531&lt;&gt;"",AJ531&lt;&gt;"OK"),"GSTIN: "&amp;AJ531&amp;"; ","")&amp;IF(AND(AK531&lt;&gt;"",AK531&lt;&gt;"OK"),"PAN wrong format; ","")&amp;IF(AND(AO531&lt;&gt;"",LEN(AN531)=15,MID(AN531,3,10)&lt;&gt;AO531),"PAN does not match GSTIN; ","")&amp;IF(AND(AL531&lt;&gt;"",AL531&lt;&gt;"OK"),"TAN wrong format; ","")&amp;IF(AG531="","PAN missing; ","")&amp;IF(AP531="","Entity type missing; ","")&amp;IF(AND(AN531&lt;&gt;"",COUNTIF($AN$6:$AN$1005,AN531)&gt;1),"GSTIN repeated in this sheet; ","")&amp;IF(AND(AG531&lt;&gt;"",COUNTIF($AG$6:$AG$1005,AG531)&gt;1),"PAN repeated in this sheet (same client? put extra GSTINs in Other GSTINs); ","")&amp;IF(AND(AR531&gt;0,V531=""),"Financial year missing; ","")&amp;IF(AND(AR531=0,V531&lt;&gt;""),"Financial year given but no service is Yes; ","")&amp;IF(AND(W531="Yes",AN531=""),"GST needs a GSTIN; ","")&amp;IF(AND(W531="Yes",X531=""),"GST return frequency missing; ","")&amp;IF(AND(Y531="Yes",TRIM(H531)=""),"TDS needs a TAN; ","")&amp;IF(AND(AA531="Yes",AQ531&lt;&gt;"",AQ531&lt;&gt;"company",AQ531&lt;&gt;"llp"),"ROC is only for a company / LLP; ","")&amp;IF(AND(AA531="Yes",OR(AQ531="company",AQ531="llp"),TRIM(I531)=""),"ROC needs the CIN / LLPIN; ","")</f>
        <v/>
      </c>
    </row>
    <row r="532">
      <c r="A532" s="30" t="n"/>
      <c r="B532" s="31" t="n"/>
      <c r="C532" s="31" t="n"/>
      <c r="D532" s="31" t="n"/>
      <c r="E532" s="30" t="n"/>
      <c r="F532" s="30" t="n"/>
      <c r="G532" s="30" t="n"/>
      <c r="H532" s="30" t="n"/>
      <c r="I532" s="30" t="n"/>
      <c r="J532" s="32" t="n"/>
      <c r="K532" s="31" t="n"/>
      <c r="L532" s="30" t="n"/>
      <c r="M532" s="31" t="n"/>
      <c r="N532" s="31" t="n"/>
      <c r="O532" s="31" t="n"/>
      <c r="P532" s="30" t="n"/>
      <c r="Q532" s="31" t="n"/>
      <c r="R532" s="31" t="n"/>
      <c r="S532" s="31" t="n"/>
      <c r="T532" s="31" t="n"/>
      <c r="U532" s="30" t="n"/>
      <c r="V532" s="31" t="n"/>
      <c r="W532" s="31" t="n"/>
      <c r="X532" s="31" t="n"/>
      <c r="Y532" s="31" t="n"/>
      <c r="Z532" s="31" t="n"/>
      <c r="AA532" s="31" t="n"/>
      <c r="AB532" s="31" t="n"/>
      <c r="AC532" s="31" t="n"/>
      <c r="AD532" s="31" t="n"/>
      <c r="AE532" s="31" t="n"/>
      <c r="AF532" s="27">
        <f>IF(NOT(COUNTA(A532:AE532)&gt;0),"",IF(A532="","New client","Update"))</f>
        <v/>
      </c>
      <c r="AG532" s="27">
        <f>IF(AO532&lt;&gt;"",AO532,IF(LEN(AN532)=15,MID(AN532,3,10),""))</f>
        <v/>
      </c>
      <c r="AH532" s="27">
        <f>IF(AP532="","",AP532&amp;IF(D532="","  (guessed from PAN)",""))</f>
        <v/>
      </c>
      <c r="AI532" s="27">
        <f>IF(AN532="","",IFERROR(INDEX(Lists!$L$2:$L$38,MATCH(LEFT(AN532,2),Lists!$K$2:$K$38,0)),"Unknown code"))</f>
        <v/>
      </c>
      <c r="AJ532" s="27">
        <f>IF(AN532="","",IFERROR(IF(NOT(AND(LEN(AN532)=15,ISNUMBER(MATCH(LEFT(AN532,2),Lists!$K$2:$K$38,0)),SUMPRODUCT(--ISERROR(FIND(MID(MID(AN532,3,10),{1,2,3,4,5,10},1),"ABCDEFGHIJKLMNOPQRSTUVWXYZ")))=0,SUMPRODUCT(--ISERROR(FIND(MID(MID(AN532,3,10),{6,7,8,9},1),"0123456789")))=0,ISNUMBER(FIND(MID(AN532,13,1),"123456789ABCDEFGHIJKLMNOPQRSTUVWXYZ")),MID(AN532,14,1)="Z")),"Wrong format",IF(MID("0123456789ABCDEFGHIJKLMNOPQRSTUVWXYZ",MOD(36-MOD(SUMPRODUCT(INT((FIND(MID(AN532,{1,2,3,4,5,6,7,8,9,10,11,12,13,14},1),"0123456789ABCDEFGHIJKLMNOPQRSTUVWXYZ")-1)*{1,2,1,2,1,2,1,2,1,2,1,2,1,2}/36)+MOD((FIND(MID(AN532,{1,2,3,4,5,6,7,8,9,10,11,12,13,14},1),"0123456789ABCDEFGHIJKLMNOPQRSTUVWXYZ")-1)*{1,2,1,2,1,2,1,2,1,2,1,2,1,2},36)),36),36)+1,1)=MID(AN532,15,1),"OK","Typo? check digit wrong")),"Wrong format"))</f>
        <v/>
      </c>
      <c r="AK532" s="27">
        <f>IF(AO532="","",IF(AND(LEN(AO532)=10,SUMPRODUCT(--ISERROR(FIND(MID(AO532,{1,2,3,4,5,10},1),"ABCDEFGHIJKLMNOPQRSTUVWXYZ")))=0,SUMPRODUCT(--ISERROR(FIND(MID(AO532,{6,7,8,9},1),"0123456789")))=0),"OK","Wrong format"))</f>
        <v/>
      </c>
      <c r="AL532" s="27">
        <f>IF(TRIM(H532)="","",IF(AND(LEN(UPPER(TRIM(H532)))=10,SUMPRODUCT(--ISERROR(FIND(MID(UPPER(TRIM(H532)),{1,2,3,4,10},1),"ABCDEFGHIJKLMNOPQRSTUVWXYZ")))=0,SUMPRODUCT(--ISERROR(FIND(MID(UPPER(TRIM(H532)),{5,6,7,8,9},1),"0123456789")))=0),"OK","Wrong format"))</f>
        <v/>
      </c>
      <c r="AM532" s="28">
        <f>IF(NOT(COUNTA(A532:AE532)&gt;0),"",IF(AS532&lt;&gt;"","✖ "&amp;LEFT(AS532,LEN(AS532)-2),IF(AR532&gt;0,"✔ Ready — client + "&amp;AR532&amp;" service(s)","✔ Ready — client only")))</f>
        <v/>
      </c>
      <c r="AN532" s="29">
        <f>UPPER(SUBSTITUTE(TRIM(F532)," ",""))</f>
        <v/>
      </c>
      <c r="AO532" s="29">
        <f>UPPER(SUBSTITUTE(TRIM(E532)," ",""))</f>
        <v/>
      </c>
      <c r="AP532" s="29">
        <f>IF(D532&lt;&gt;"",D532,IFERROR(VLOOKUP(MID(AG532,4,1),Lists!$E$2:$F$8,2,FALSE),""))</f>
        <v/>
      </c>
      <c r="AQ532" s="29">
        <f>IFERROR(VLOOKUP(AP532,Lists!$A$2:$C$12,3,FALSE),"")</f>
        <v/>
      </c>
      <c r="AR532" s="29">
        <f>COUNTIF(W532:AC532,"Yes")</f>
        <v/>
      </c>
      <c r="AS532" s="29">
        <f>IF(TRIM(B532)="","Legal name missing; ","")&amp;IF(AND(AJ532&lt;&gt;"",AJ532&lt;&gt;"OK"),"GSTIN: "&amp;AJ532&amp;"; ","")&amp;IF(AND(AK532&lt;&gt;"",AK532&lt;&gt;"OK"),"PAN wrong format; ","")&amp;IF(AND(AO532&lt;&gt;"",LEN(AN532)=15,MID(AN532,3,10)&lt;&gt;AO532),"PAN does not match GSTIN; ","")&amp;IF(AND(AL532&lt;&gt;"",AL532&lt;&gt;"OK"),"TAN wrong format; ","")&amp;IF(AG532="","PAN missing; ","")&amp;IF(AP532="","Entity type missing; ","")&amp;IF(AND(AN532&lt;&gt;"",COUNTIF($AN$6:$AN$1005,AN532)&gt;1),"GSTIN repeated in this sheet; ","")&amp;IF(AND(AG532&lt;&gt;"",COUNTIF($AG$6:$AG$1005,AG532)&gt;1),"PAN repeated in this sheet (same client? put extra GSTINs in Other GSTINs); ","")&amp;IF(AND(AR532&gt;0,V532=""),"Financial year missing; ","")&amp;IF(AND(AR532=0,V532&lt;&gt;""),"Financial year given but no service is Yes; ","")&amp;IF(AND(W532="Yes",AN532=""),"GST needs a GSTIN; ","")&amp;IF(AND(W532="Yes",X532=""),"GST return frequency missing; ","")&amp;IF(AND(Y532="Yes",TRIM(H532)=""),"TDS needs a TAN; ","")&amp;IF(AND(AA532="Yes",AQ532&lt;&gt;"",AQ532&lt;&gt;"company",AQ532&lt;&gt;"llp"),"ROC is only for a company / LLP; ","")&amp;IF(AND(AA532="Yes",OR(AQ532="company",AQ532="llp"),TRIM(I532)=""),"ROC needs the CIN / LLPIN; ","")</f>
        <v/>
      </c>
    </row>
    <row r="533">
      <c r="A533" s="30" t="n"/>
      <c r="B533" s="31" t="n"/>
      <c r="C533" s="31" t="n"/>
      <c r="D533" s="31" t="n"/>
      <c r="E533" s="30" t="n"/>
      <c r="F533" s="30" t="n"/>
      <c r="G533" s="30" t="n"/>
      <c r="H533" s="30" t="n"/>
      <c r="I533" s="30" t="n"/>
      <c r="J533" s="32" t="n"/>
      <c r="K533" s="31" t="n"/>
      <c r="L533" s="30" t="n"/>
      <c r="M533" s="31" t="n"/>
      <c r="N533" s="31" t="n"/>
      <c r="O533" s="31" t="n"/>
      <c r="P533" s="30" t="n"/>
      <c r="Q533" s="31" t="n"/>
      <c r="R533" s="31" t="n"/>
      <c r="S533" s="31" t="n"/>
      <c r="T533" s="31" t="n"/>
      <c r="U533" s="30" t="n"/>
      <c r="V533" s="31" t="n"/>
      <c r="W533" s="31" t="n"/>
      <c r="X533" s="31" t="n"/>
      <c r="Y533" s="31" t="n"/>
      <c r="Z533" s="31" t="n"/>
      <c r="AA533" s="31" t="n"/>
      <c r="AB533" s="31" t="n"/>
      <c r="AC533" s="31" t="n"/>
      <c r="AD533" s="31" t="n"/>
      <c r="AE533" s="31" t="n"/>
      <c r="AF533" s="27">
        <f>IF(NOT(COUNTA(A533:AE533)&gt;0),"",IF(A533="","New client","Update"))</f>
        <v/>
      </c>
      <c r="AG533" s="27">
        <f>IF(AO533&lt;&gt;"",AO533,IF(LEN(AN533)=15,MID(AN533,3,10),""))</f>
        <v/>
      </c>
      <c r="AH533" s="27">
        <f>IF(AP533="","",AP533&amp;IF(D533="","  (guessed from PAN)",""))</f>
        <v/>
      </c>
      <c r="AI533" s="27">
        <f>IF(AN533="","",IFERROR(INDEX(Lists!$L$2:$L$38,MATCH(LEFT(AN533,2),Lists!$K$2:$K$38,0)),"Unknown code"))</f>
        <v/>
      </c>
      <c r="AJ533" s="27">
        <f>IF(AN533="","",IFERROR(IF(NOT(AND(LEN(AN533)=15,ISNUMBER(MATCH(LEFT(AN533,2),Lists!$K$2:$K$38,0)),SUMPRODUCT(--ISERROR(FIND(MID(MID(AN533,3,10),{1,2,3,4,5,10},1),"ABCDEFGHIJKLMNOPQRSTUVWXYZ")))=0,SUMPRODUCT(--ISERROR(FIND(MID(MID(AN533,3,10),{6,7,8,9},1),"0123456789")))=0,ISNUMBER(FIND(MID(AN533,13,1),"123456789ABCDEFGHIJKLMNOPQRSTUVWXYZ")),MID(AN533,14,1)="Z")),"Wrong format",IF(MID("0123456789ABCDEFGHIJKLMNOPQRSTUVWXYZ",MOD(36-MOD(SUMPRODUCT(INT((FIND(MID(AN533,{1,2,3,4,5,6,7,8,9,10,11,12,13,14},1),"0123456789ABCDEFGHIJKLMNOPQRSTUVWXYZ")-1)*{1,2,1,2,1,2,1,2,1,2,1,2,1,2}/36)+MOD((FIND(MID(AN533,{1,2,3,4,5,6,7,8,9,10,11,12,13,14},1),"0123456789ABCDEFGHIJKLMNOPQRSTUVWXYZ")-1)*{1,2,1,2,1,2,1,2,1,2,1,2,1,2},36)),36),36)+1,1)=MID(AN533,15,1),"OK","Typo? check digit wrong")),"Wrong format"))</f>
        <v/>
      </c>
      <c r="AK533" s="27">
        <f>IF(AO533="","",IF(AND(LEN(AO533)=10,SUMPRODUCT(--ISERROR(FIND(MID(AO533,{1,2,3,4,5,10},1),"ABCDEFGHIJKLMNOPQRSTUVWXYZ")))=0,SUMPRODUCT(--ISERROR(FIND(MID(AO533,{6,7,8,9},1),"0123456789")))=0),"OK","Wrong format"))</f>
        <v/>
      </c>
      <c r="AL533" s="27">
        <f>IF(TRIM(H533)="","",IF(AND(LEN(UPPER(TRIM(H533)))=10,SUMPRODUCT(--ISERROR(FIND(MID(UPPER(TRIM(H533)),{1,2,3,4,10},1),"ABCDEFGHIJKLMNOPQRSTUVWXYZ")))=0,SUMPRODUCT(--ISERROR(FIND(MID(UPPER(TRIM(H533)),{5,6,7,8,9},1),"0123456789")))=0),"OK","Wrong format"))</f>
        <v/>
      </c>
      <c r="AM533" s="28">
        <f>IF(NOT(COUNTA(A533:AE533)&gt;0),"",IF(AS533&lt;&gt;"","✖ "&amp;LEFT(AS533,LEN(AS533)-2),IF(AR533&gt;0,"✔ Ready — client + "&amp;AR533&amp;" service(s)","✔ Ready — client only")))</f>
        <v/>
      </c>
      <c r="AN533" s="29">
        <f>UPPER(SUBSTITUTE(TRIM(F533)," ",""))</f>
        <v/>
      </c>
      <c r="AO533" s="29">
        <f>UPPER(SUBSTITUTE(TRIM(E533)," ",""))</f>
        <v/>
      </c>
      <c r="AP533" s="29">
        <f>IF(D533&lt;&gt;"",D533,IFERROR(VLOOKUP(MID(AG533,4,1),Lists!$E$2:$F$8,2,FALSE),""))</f>
        <v/>
      </c>
      <c r="AQ533" s="29">
        <f>IFERROR(VLOOKUP(AP533,Lists!$A$2:$C$12,3,FALSE),"")</f>
        <v/>
      </c>
      <c r="AR533" s="29">
        <f>COUNTIF(W533:AC533,"Yes")</f>
        <v/>
      </c>
      <c r="AS533" s="29">
        <f>IF(TRIM(B533)="","Legal name missing; ","")&amp;IF(AND(AJ533&lt;&gt;"",AJ533&lt;&gt;"OK"),"GSTIN: "&amp;AJ533&amp;"; ","")&amp;IF(AND(AK533&lt;&gt;"",AK533&lt;&gt;"OK"),"PAN wrong format; ","")&amp;IF(AND(AO533&lt;&gt;"",LEN(AN533)=15,MID(AN533,3,10)&lt;&gt;AO533),"PAN does not match GSTIN; ","")&amp;IF(AND(AL533&lt;&gt;"",AL533&lt;&gt;"OK"),"TAN wrong format; ","")&amp;IF(AG533="","PAN missing; ","")&amp;IF(AP533="","Entity type missing; ","")&amp;IF(AND(AN533&lt;&gt;"",COUNTIF($AN$6:$AN$1005,AN533)&gt;1),"GSTIN repeated in this sheet; ","")&amp;IF(AND(AG533&lt;&gt;"",COUNTIF($AG$6:$AG$1005,AG533)&gt;1),"PAN repeated in this sheet (same client? put extra GSTINs in Other GSTINs); ","")&amp;IF(AND(AR533&gt;0,V533=""),"Financial year missing; ","")&amp;IF(AND(AR533=0,V533&lt;&gt;""),"Financial year given but no service is Yes; ","")&amp;IF(AND(W533="Yes",AN533=""),"GST needs a GSTIN; ","")&amp;IF(AND(W533="Yes",X533=""),"GST return frequency missing; ","")&amp;IF(AND(Y533="Yes",TRIM(H533)=""),"TDS needs a TAN; ","")&amp;IF(AND(AA533="Yes",AQ533&lt;&gt;"",AQ533&lt;&gt;"company",AQ533&lt;&gt;"llp"),"ROC is only for a company / LLP; ","")&amp;IF(AND(AA533="Yes",OR(AQ533="company",AQ533="llp"),TRIM(I533)=""),"ROC needs the CIN / LLPIN; ","")</f>
        <v/>
      </c>
    </row>
    <row r="534">
      <c r="A534" s="30" t="n"/>
      <c r="B534" s="31" t="n"/>
      <c r="C534" s="31" t="n"/>
      <c r="D534" s="31" t="n"/>
      <c r="E534" s="30" t="n"/>
      <c r="F534" s="30" t="n"/>
      <c r="G534" s="30" t="n"/>
      <c r="H534" s="30" t="n"/>
      <c r="I534" s="30" t="n"/>
      <c r="J534" s="32" t="n"/>
      <c r="K534" s="31" t="n"/>
      <c r="L534" s="30" t="n"/>
      <c r="M534" s="31" t="n"/>
      <c r="N534" s="31" t="n"/>
      <c r="O534" s="31" t="n"/>
      <c r="P534" s="30" t="n"/>
      <c r="Q534" s="31" t="n"/>
      <c r="R534" s="31" t="n"/>
      <c r="S534" s="31" t="n"/>
      <c r="T534" s="31" t="n"/>
      <c r="U534" s="30" t="n"/>
      <c r="V534" s="31" t="n"/>
      <c r="W534" s="31" t="n"/>
      <c r="X534" s="31" t="n"/>
      <c r="Y534" s="31" t="n"/>
      <c r="Z534" s="31" t="n"/>
      <c r="AA534" s="31" t="n"/>
      <c r="AB534" s="31" t="n"/>
      <c r="AC534" s="31" t="n"/>
      <c r="AD534" s="31" t="n"/>
      <c r="AE534" s="31" t="n"/>
      <c r="AF534" s="27">
        <f>IF(NOT(COUNTA(A534:AE534)&gt;0),"",IF(A534="","New client","Update"))</f>
        <v/>
      </c>
      <c r="AG534" s="27">
        <f>IF(AO534&lt;&gt;"",AO534,IF(LEN(AN534)=15,MID(AN534,3,10),""))</f>
        <v/>
      </c>
      <c r="AH534" s="27">
        <f>IF(AP534="","",AP534&amp;IF(D534="","  (guessed from PAN)",""))</f>
        <v/>
      </c>
      <c r="AI534" s="27">
        <f>IF(AN534="","",IFERROR(INDEX(Lists!$L$2:$L$38,MATCH(LEFT(AN534,2),Lists!$K$2:$K$38,0)),"Unknown code"))</f>
        <v/>
      </c>
      <c r="AJ534" s="27">
        <f>IF(AN534="","",IFERROR(IF(NOT(AND(LEN(AN534)=15,ISNUMBER(MATCH(LEFT(AN534,2),Lists!$K$2:$K$38,0)),SUMPRODUCT(--ISERROR(FIND(MID(MID(AN534,3,10),{1,2,3,4,5,10},1),"ABCDEFGHIJKLMNOPQRSTUVWXYZ")))=0,SUMPRODUCT(--ISERROR(FIND(MID(MID(AN534,3,10),{6,7,8,9},1),"0123456789")))=0,ISNUMBER(FIND(MID(AN534,13,1),"123456789ABCDEFGHIJKLMNOPQRSTUVWXYZ")),MID(AN534,14,1)="Z")),"Wrong format",IF(MID("0123456789ABCDEFGHIJKLMNOPQRSTUVWXYZ",MOD(36-MOD(SUMPRODUCT(INT((FIND(MID(AN534,{1,2,3,4,5,6,7,8,9,10,11,12,13,14},1),"0123456789ABCDEFGHIJKLMNOPQRSTUVWXYZ")-1)*{1,2,1,2,1,2,1,2,1,2,1,2,1,2}/36)+MOD((FIND(MID(AN534,{1,2,3,4,5,6,7,8,9,10,11,12,13,14},1),"0123456789ABCDEFGHIJKLMNOPQRSTUVWXYZ")-1)*{1,2,1,2,1,2,1,2,1,2,1,2,1,2},36)),36),36)+1,1)=MID(AN534,15,1),"OK","Typo? check digit wrong")),"Wrong format"))</f>
        <v/>
      </c>
      <c r="AK534" s="27">
        <f>IF(AO534="","",IF(AND(LEN(AO534)=10,SUMPRODUCT(--ISERROR(FIND(MID(AO534,{1,2,3,4,5,10},1),"ABCDEFGHIJKLMNOPQRSTUVWXYZ")))=0,SUMPRODUCT(--ISERROR(FIND(MID(AO534,{6,7,8,9},1),"0123456789")))=0),"OK","Wrong format"))</f>
        <v/>
      </c>
      <c r="AL534" s="27">
        <f>IF(TRIM(H534)="","",IF(AND(LEN(UPPER(TRIM(H534)))=10,SUMPRODUCT(--ISERROR(FIND(MID(UPPER(TRIM(H534)),{1,2,3,4,10},1),"ABCDEFGHIJKLMNOPQRSTUVWXYZ")))=0,SUMPRODUCT(--ISERROR(FIND(MID(UPPER(TRIM(H534)),{5,6,7,8,9},1),"0123456789")))=0),"OK","Wrong format"))</f>
        <v/>
      </c>
      <c r="AM534" s="28">
        <f>IF(NOT(COUNTA(A534:AE534)&gt;0),"",IF(AS534&lt;&gt;"","✖ "&amp;LEFT(AS534,LEN(AS534)-2),IF(AR534&gt;0,"✔ Ready — client + "&amp;AR534&amp;" service(s)","✔ Ready — client only")))</f>
        <v/>
      </c>
      <c r="AN534" s="29">
        <f>UPPER(SUBSTITUTE(TRIM(F534)," ",""))</f>
        <v/>
      </c>
      <c r="AO534" s="29">
        <f>UPPER(SUBSTITUTE(TRIM(E534)," ",""))</f>
        <v/>
      </c>
      <c r="AP534" s="29">
        <f>IF(D534&lt;&gt;"",D534,IFERROR(VLOOKUP(MID(AG534,4,1),Lists!$E$2:$F$8,2,FALSE),""))</f>
        <v/>
      </c>
      <c r="AQ534" s="29">
        <f>IFERROR(VLOOKUP(AP534,Lists!$A$2:$C$12,3,FALSE),"")</f>
        <v/>
      </c>
      <c r="AR534" s="29">
        <f>COUNTIF(W534:AC534,"Yes")</f>
        <v/>
      </c>
      <c r="AS534" s="29">
        <f>IF(TRIM(B534)="","Legal name missing; ","")&amp;IF(AND(AJ534&lt;&gt;"",AJ534&lt;&gt;"OK"),"GSTIN: "&amp;AJ534&amp;"; ","")&amp;IF(AND(AK534&lt;&gt;"",AK534&lt;&gt;"OK"),"PAN wrong format; ","")&amp;IF(AND(AO534&lt;&gt;"",LEN(AN534)=15,MID(AN534,3,10)&lt;&gt;AO534),"PAN does not match GSTIN; ","")&amp;IF(AND(AL534&lt;&gt;"",AL534&lt;&gt;"OK"),"TAN wrong format; ","")&amp;IF(AG534="","PAN missing; ","")&amp;IF(AP534="","Entity type missing; ","")&amp;IF(AND(AN534&lt;&gt;"",COUNTIF($AN$6:$AN$1005,AN534)&gt;1),"GSTIN repeated in this sheet; ","")&amp;IF(AND(AG534&lt;&gt;"",COUNTIF($AG$6:$AG$1005,AG534)&gt;1),"PAN repeated in this sheet (same client? put extra GSTINs in Other GSTINs); ","")&amp;IF(AND(AR534&gt;0,V534=""),"Financial year missing; ","")&amp;IF(AND(AR534=0,V534&lt;&gt;""),"Financial year given but no service is Yes; ","")&amp;IF(AND(W534="Yes",AN534=""),"GST needs a GSTIN; ","")&amp;IF(AND(W534="Yes",X534=""),"GST return frequency missing; ","")&amp;IF(AND(Y534="Yes",TRIM(H534)=""),"TDS needs a TAN; ","")&amp;IF(AND(AA534="Yes",AQ534&lt;&gt;"",AQ534&lt;&gt;"company",AQ534&lt;&gt;"llp"),"ROC is only for a company / LLP; ","")&amp;IF(AND(AA534="Yes",OR(AQ534="company",AQ534="llp"),TRIM(I534)=""),"ROC needs the CIN / LLPIN; ","")</f>
        <v/>
      </c>
    </row>
    <row r="535">
      <c r="A535" s="30" t="n"/>
      <c r="B535" s="31" t="n"/>
      <c r="C535" s="31" t="n"/>
      <c r="D535" s="31" t="n"/>
      <c r="E535" s="30" t="n"/>
      <c r="F535" s="30" t="n"/>
      <c r="G535" s="30" t="n"/>
      <c r="H535" s="30" t="n"/>
      <c r="I535" s="30" t="n"/>
      <c r="J535" s="32" t="n"/>
      <c r="K535" s="31" t="n"/>
      <c r="L535" s="30" t="n"/>
      <c r="M535" s="31" t="n"/>
      <c r="N535" s="31" t="n"/>
      <c r="O535" s="31" t="n"/>
      <c r="P535" s="30" t="n"/>
      <c r="Q535" s="31" t="n"/>
      <c r="R535" s="31" t="n"/>
      <c r="S535" s="31" t="n"/>
      <c r="T535" s="31" t="n"/>
      <c r="U535" s="30" t="n"/>
      <c r="V535" s="31" t="n"/>
      <c r="W535" s="31" t="n"/>
      <c r="X535" s="31" t="n"/>
      <c r="Y535" s="31" t="n"/>
      <c r="Z535" s="31" t="n"/>
      <c r="AA535" s="31" t="n"/>
      <c r="AB535" s="31" t="n"/>
      <c r="AC535" s="31" t="n"/>
      <c r="AD535" s="31" t="n"/>
      <c r="AE535" s="31" t="n"/>
      <c r="AF535" s="27">
        <f>IF(NOT(COUNTA(A535:AE535)&gt;0),"",IF(A535="","New client","Update"))</f>
        <v/>
      </c>
      <c r="AG535" s="27">
        <f>IF(AO535&lt;&gt;"",AO535,IF(LEN(AN535)=15,MID(AN535,3,10),""))</f>
        <v/>
      </c>
      <c r="AH535" s="27">
        <f>IF(AP535="","",AP535&amp;IF(D535="","  (guessed from PAN)",""))</f>
        <v/>
      </c>
      <c r="AI535" s="27">
        <f>IF(AN535="","",IFERROR(INDEX(Lists!$L$2:$L$38,MATCH(LEFT(AN535,2),Lists!$K$2:$K$38,0)),"Unknown code"))</f>
        <v/>
      </c>
      <c r="AJ535" s="27">
        <f>IF(AN535="","",IFERROR(IF(NOT(AND(LEN(AN535)=15,ISNUMBER(MATCH(LEFT(AN535,2),Lists!$K$2:$K$38,0)),SUMPRODUCT(--ISERROR(FIND(MID(MID(AN535,3,10),{1,2,3,4,5,10},1),"ABCDEFGHIJKLMNOPQRSTUVWXYZ")))=0,SUMPRODUCT(--ISERROR(FIND(MID(MID(AN535,3,10),{6,7,8,9},1),"0123456789")))=0,ISNUMBER(FIND(MID(AN535,13,1),"123456789ABCDEFGHIJKLMNOPQRSTUVWXYZ")),MID(AN535,14,1)="Z")),"Wrong format",IF(MID("0123456789ABCDEFGHIJKLMNOPQRSTUVWXYZ",MOD(36-MOD(SUMPRODUCT(INT((FIND(MID(AN535,{1,2,3,4,5,6,7,8,9,10,11,12,13,14},1),"0123456789ABCDEFGHIJKLMNOPQRSTUVWXYZ")-1)*{1,2,1,2,1,2,1,2,1,2,1,2,1,2}/36)+MOD((FIND(MID(AN535,{1,2,3,4,5,6,7,8,9,10,11,12,13,14},1),"0123456789ABCDEFGHIJKLMNOPQRSTUVWXYZ")-1)*{1,2,1,2,1,2,1,2,1,2,1,2,1,2},36)),36),36)+1,1)=MID(AN535,15,1),"OK","Typo? check digit wrong")),"Wrong format"))</f>
        <v/>
      </c>
      <c r="AK535" s="27">
        <f>IF(AO535="","",IF(AND(LEN(AO535)=10,SUMPRODUCT(--ISERROR(FIND(MID(AO535,{1,2,3,4,5,10},1),"ABCDEFGHIJKLMNOPQRSTUVWXYZ")))=0,SUMPRODUCT(--ISERROR(FIND(MID(AO535,{6,7,8,9},1),"0123456789")))=0),"OK","Wrong format"))</f>
        <v/>
      </c>
      <c r="AL535" s="27">
        <f>IF(TRIM(H535)="","",IF(AND(LEN(UPPER(TRIM(H535)))=10,SUMPRODUCT(--ISERROR(FIND(MID(UPPER(TRIM(H535)),{1,2,3,4,10},1),"ABCDEFGHIJKLMNOPQRSTUVWXYZ")))=0,SUMPRODUCT(--ISERROR(FIND(MID(UPPER(TRIM(H535)),{5,6,7,8,9},1),"0123456789")))=0),"OK","Wrong format"))</f>
        <v/>
      </c>
      <c r="AM535" s="28">
        <f>IF(NOT(COUNTA(A535:AE535)&gt;0),"",IF(AS535&lt;&gt;"","✖ "&amp;LEFT(AS535,LEN(AS535)-2),IF(AR535&gt;0,"✔ Ready — client + "&amp;AR535&amp;" service(s)","✔ Ready — client only")))</f>
        <v/>
      </c>
      <c r="AN535" s="29">
        <f>UPPER(SUBSTITUTE(TRIM(F535)," ",""))</f>
        <v/>
      </c>
      <c r="AO535" s="29">
        <f>UPPER(SUBSTITUTE(TRIM(E535)," ",""))</f>
        <v/>
      </c>
      <c r="AP535" s="29">
        <f>IF(D535&lt;&gt;"",D535,IFERROR(VLOOKUP(MID(AG535,4,1),Lists!$E$2:$F$8,2,FALSE),""))</f>
        <v/>
      </c>
      <c r="AQ535" s="29">
        <f>IFERROR(VLOOKUP(AP535,Lists!$A$2:$C$12,3,FALSE),"")</f>
        <v/>
      </c>
      <c r="AR535" s="29">
        <f>COUNTIF(W535:AC535,"Yes")</f>
        <v/>
      </c>
      <c r="AS535" s="29">
        <f>IF(TRIM(B535)="","Legal name missing; ","")&amp;IF(AND(AJ535&lt;&gt;"",AJ535&lt;&gt;"OK"),"GSTIN: "&amp;AJ535&amp;"; ","")&amp;IF(AND(AK535&lt;&gt;"",AK535&lt;&gt;"OK"),"PAN wrong format; ","")&amp;IF(AND(AO535&lt;&gt;"",LEN(AN535)=15,MID(AN535,3,10)&lt;&gt;AO535),"PAN does not match GSTIN; ","")&amp;IF(AND(AL535&lt;&gt;"",AL535&lt;&gt;"OK"),"TAN wrong format; ","")&amp;IF(AG535="","PAN missing; ","")&amp;IF(AP535="","Entity type missing; ","")&amp;IF(AND(AN535&lt;&gt;"",COUNTIF($AN$6:$AN$1005,AN535)&gt;1),"GSTIN repeated in this sheet; ","")&amp;IF(AND(AG535&lt;&gt;"",COUNTIF($AG$6:$AG$1005,AG535)&gt;1),"PAN repeated in this sheet (same client? put extra GSTINs in Other GSTINs); ","")&amp;IF(AND(AR535&gt;0,V535=""),"Financial year missing; ","")&amp;IF(AND(AR535=0,V535&lt;&gt;""),"Financial year given but no service is Yes; ","")&amp;IF(AND(W535="Yes",AN535=""),"GST needs a GSTIN; ","")&amp;IF(AND(W535="Yes",X535=""),"GST return frequency missing; ","")&amp;IF(AND(Y535="Yes",TRIM(H535)=""),"TDS needs a TAN; ","")&amp;IF(AND(AA535="Yes",AQ535&lt;&gt;"",AQ535&lt;&gt;"company",AQ535&lt;&gt;"llp"),"ROC is only for a company / LLP; ","")&amp;IF(AND(AA535="Yes",OR(AQ535="company",AQ535="llp"),TRIM(I535)=""),"ROC needs the CIN / LLPIN; ","")</f>
        <v/>
      </c>
    </row>
    <row r="536">
      <c r="A536" s="30" t="n"/>
      <c r="B536" s="31" t="n"/>
      <c r="C536" s="31" t="n"/>
      <c r="D536" s="31" t="n"/>
      <c r="E536" s="30" t="n"/>
      <c r="F536" s="30" t="n"/>
      <c r="G536" s="30" t="n"/>
      <c r="H536" s="30" t="n"/>
      <c r="I536" s="30" t="n"/>
      <c r="J536" s="32" t="n"/>
      <c r="K536" s="31" t="n"/>
      <c r="L536" s="30" t="n"/>
      <c r="M536" s="31" t="n"/>
      <c r="N536" s="31" t="n"/>
      <c r="O536" s="31" t="n"/>
      <c r="P536" s="30" t="n"/>
      <c r="Q536" s="31" t="n"/>
      <c r="R536" s="31" t="n"/>
      <c r="S536" s="31" t="n"/>
      <c r="T536" s="31" t="n"/>
      <c r="U536" s="30" t="n"/>
      <c r="V536" s="31" t="n"/>
      <c r="W536" s="31" t="n"/>
      <c r="X536" s="31" t="n"/>
      <c r="Y536" s="31" t="n"/>
      <c r="Z536" s="31" t="n"/>
      <c r="AA536" s="31" t="n"/>
      <c r="AB536" s="31" t="n"/>
      <c r="AC536" s="31" t="n"/>
      <c r="AD536" s="31" t="n"/>
      <c r="AE536" s="31" t="n"/>
      <c r="AF536" s="27">
        <f>IF(NOT(COUNTA(A536:AE536)&gt;0),"",IF(A536="","New client","Update"))</f>
        <v/>
      </c>
      <c r="AG536" s="27">
        <f>IF(AO536&lt;&gt;"",AO536,IF(LEN(AN536)=15,MID(AN536,3,10),""))</f>
        <v/>
      </c>
      <c r="AH536" s="27">
        <f>IF(AP536="","",AP536&amp;IF(D536="","  (guessed from PAN)",""))</f>
        <v/>
      </c>
      <c r="AI536" s="27">
        <f>IF(AN536="","",IFERROR(INDEX(Lists!$L$2:$L$38,MATCH(LEFT(AN536,2),Lists!$K$2:$K$38,0)),"Unknown code"))</f>
        <v/>
      </c>
      <c r="AJ536" s="27">
        <f>IF(AN536="","",IFERROR(IF(NOT(AND(LEN(AN536)=15,ISNUMBER(MATCH(LEFT(AN536,2),Lists!$K$2:$K$38,0)),SUMPRODUCT(--ISERROR(FIND(MID(MID(AN536,3,10),{1,2,3,4,5,10},1),"ABCDEFGHIJKLMNOPQRSTUVWXYZ")))=0,SUMPRODUCT(--ISERROR(FIND(MID(MID(AN536,3,10),{6,7,8,9},1),"0123456789")))=0,ISNUMBER(FIND(MID(AN536,13,1),"123456789ABCDEFGHIJKLMNOPQRSTUVWXYZ")),MID(AN536,14,1)="Z")),"Wrong format",IF(MID("0123456789ABCDEFGHIJKLMNOPQRSTUVWXYZ",MOD(36-MOD(SUMPRODUCT(INT((FIND(MID(AN536,{1,2,3,4,5,6,7,8,9,10,11,12,13,14},1),"0123456789ABCDEFGHIJKLMNOPQRSTUVWXYZ")-1)*{1,2,1,2,1,2,1,2,1,2,1,2,1,2}/36)+MOD((FIND(MID(AN536,{1,2,3,4,5,6,7,8,9,10,11,12,13,14},1),"0123456789ABCDEFGHIJKLMNOPQRSTUVWXYZ")-1)*{1,2,1,2,1,2,1,2,1,2,1,2,1,2},36)),36),36)+1,1)=MID(AN536,15,1),"OK","Typo? check digit wrong")),"Wrong format"))</f>
        <v/>
      </c>
      <c r="AK536" s="27">
        <f>IF(AO536="","",IF(AND(LEN(AO536)=10,SUMPRODUCT(--ISERROR(FIND(MID(AO536,{1,2,3,4,5,10},1),"ABCDEFGHIJKLMNOPQRSTUVWXYZ")))=0,SUMPRODUCT(--ISERROR(FIND(MID(AO536,{6,7,8,9},1),"0123456789")))=0),"OK","Wrong format"))</f>
        <v/>
      </c>
      <c r="AL536" s="27">
        <f>IF(TRIM(H536)="","",IF(AND(LEN(UPPER(TRIM(H536)))=10,SUMPRODUCT(--ISERROR(FIND(MID(UPPER(TRIM(H536)),{1,2,3,4,10},1),"ABCDEFGHIJKLMNOPQRSTUVWXYZ")))=0,SUMPRODUCT(--ISERROR(FIND(MID(UPPER(TRIM(H536)),{5,6,7,8,9},1),"0123456789")))=0),"OK","Wrong format"))</f>
        <v/>
      </c>
      <c r="AM536" s="28">
        <f>IF(NOT(COUNTA(A536:AE536)&gt;0),"",IF(AS536&lt;&gt;"","✖ "&amp;LEFT(AS536,LEN(AS536)-2),IF(AR536&gt;0,"✔ Ready — client + "&amp;AR536&amp;" service(s)","✔ Ready — client only")))</f>
        <v/>
      </c>
      <c r="AN536" s="29">
        <f>UPPER(SUBSTITUTE(TRIM(F536)," ",""))</f>
        <v/>
      </c>
      <c r="AO536" s="29">
        <f>UPPER(SUBSTITUTE(TRIM(E536)," ",""))</f>
        <v/>
      </c>
      <c r="AP536" s="29">
        <f>IF(D536&lt;&gt;"",D536,IFERROR(VLOOKUP(MID(AG536,4,1),Lists!$E$2:$F$8,2,FALSE),""))</f>
        <v/>
      </c>
      <c r="AQ536" s="29">
        <f>IFERROR(VLOOKUP(AP536,Lists!$A$2:$C$12,3,FALSE),"")</f>
        <v/>
      </c>
      <c r="AR536" s="29">
        <f>COUNTIF(W536:AC536,"Yes")</f>
        <v/>
      </c>
      <c r="AS536" s="29">
        <f>IF(TRIM(B536)="","Legal name missing; ","")&amp;IF(AND(AJ536&lt;&gt;"",AJ536&lt;&gt;"OK"),"GSTIN: "&amp;AJ536&amp;"; ","")&amp;IF(AND(AK536&lt;&gt;"",AK536&lt;&gt;"OK"),"PAN wrong format; ","")&amp;IF(AND(AO536&lt;&gt;"",LEN(AN536)=15,MID(AN536,3,10)&lt;&gt;AO536),"PAN does not match GSTIN; ","")&amp;IF(AND(AL536&lt;&gt;"",AL536&lt;&gt;"OK"),"TAN wrong format; ","")&amp;IF(AG536="","PAN missing; ","")&amp;IF(AP536="","Entity type missing; ","")&amp;IF(AND(AN536&lt;&gt;"",COUNTIF($AN$6:$AN$1005,AN536)&gt;1),"GSTIN repeated in this sheet; ","")&amp;IF(AND(AG536&lt;&gt;"",COUNTIF($AG$6:$AG$1005,AG536)&gt;1),"PAN repeated in this sheet (same client? put extra GSTINs in Other GSTINs); ","")&amp;IF(AND(AR536&gt;0,V536=""),"Financial year missing; ","")&amp;IF(AND(AR536=0,V536&lt;&gt;""),"Financial year given but no service is Yes; ","")&amp;IF(AND(W536="Yes",AN536=""),"GST needs a GSTIN; ","")&amp;IF(AND(W536="Yes",X536=""),"GST return frequency missing; ","")&amp;IF(AND(Y536="Yes",TRIM(H536)=""),"TDS needs a TAN; ","")&amp;IF(AND(AA536="Yes",AQ536&lt;&gt;"",AQ536&lt;&gt;"company",AQ536&lt;&gt;"llp"),"ROC is only for a company / LLP; ","")&amp;IF(AND(AA536="Yes",OR(AQ536="company",AQ536="llp"),TRIM(I536)=""),"ROC needs the CIN / LLPIN; ","")</f>
        <v/>
      </c>
    </row>
    <row r="537">
      <c r="A537" s="30" t="n"/>
      <c r="B537" s="31" t="n"/>
      <c r="C537" s="31" t="n"/>
      <c r="D537" s="31" t="n"/>
      <c r="E537" s="30" t="n"/>
      <c r="F537" s="30" t="n"/>
      <c r="G537" s="30" t="n"/>
      <c r="H537" s="30" t="n"/>
      <c r="I537" s="30" t="n"/>
      <c r="J537" s="32" t="n"/>
      <c r="K537" s="31" t="n"/>
      <c r="L537" s="30" t="n"/>
      <c r="M537" s="31" t="n"/>
      <c r="N537" s="31" t="n"/>
      <c r="O537" s="31" t="n"/>
      <c r="P537" s="30" t="n"/>
      <c r="Q537" s="31" t="n"/>
      <c r="R537" s="31" t="n"/>
      <c r="S537" s="31" t="n"/>
      <c r="T537" s="31" t="n"/>
      <c r="U537" s="30" t="n"/>
      <c r="V537" s="31" t="n"/>
      <c r="W537" s="31" t="n"/>
      <c r="X537" s="31" t="n"/>
      <c r="Y537" s="31" t="n"/>
      <c r="Z537" s="31" t="n"/>
      <c r="AA537" s="31" t="n"/>
      <c r="AB537" s="31" t="n"/>
      <c r="AC537" s="31" t="n"/>
      <c r="AD537" s="31" t="n"/>
      <c r="AE537" s="31" t="n"/>
      <c r="AF537" s="27">
        <f>IF(NOT(COUNTA(A537:AE537)&gt;0),"",IF(A537="","New client","Update"))</f>
        <v/>
      </c>
      <c r="AG537" s="27">
        <f>IF(AO537&lt;&gt;"",AO537,IF(LEN(AN537)=15,MID(AN537,3,10),""))</f>
        <v/>
      </c>
      <c r="AH537" s="27">
        <f>IF(AP537="","",AP537&amp;IF(D537="","  (guessed from PAN)",""))</f>
        <v/>
      </c>
      <c r="AI537" s="27">
        <f>IF(AN537="","",IFERROR(INDEX(Lists!$L$2:$L$38,MATCH(LEFT(AN537,2),Lists!$K$2:$K$38,0)),"Unknown code"))</f>
        <v/>
      </c>
      <c r="AJ537" s="27">
        <f>IF(AN537="","",IFERROR(IF(NOT(AND(LEN(AN537)=15,ISNUMBER(MATCH(LEFT(AN537,2),Lists!$K$2:$K$38,0)),SUMPRODUCT(--ISERROR(FIND(MID(MID(AN537,3,10),{1,2,3,4,5,10},1),"ABCDEFGHIJKLMNOPQRSTUVWXYZ")))=0,SUMPRODUCT(--ISERROR(FIND(MID(MID(AN537,3,10),{6,7,8,9},1),"0123456789")))=0,ISNUMBER(FIND(MID(AN537,13,1),"123456789ABCDEFGHIJKLMNOPQRSTUVWXYZ")),MID(AN537,14,1)="Z")),"Wrong format",IF(MID("0123456789ABCDEFGHIJKLMNOPQRSTUVWXYZ",MOD(36-MOD(SUMPRODUCT(INT((FIND(MID(AN537,{1,2,3,4,5,6,7,8,9,10,11,12,13,14},1),"0123456789ABCDEFGHIJKLMNOPQRSTUVWXYZ")-1)*{1,2,1,2,1,2,1,2,1,2,1,2,1,2}/36)+MOD((FIND(MID(AN537,{1,2,3,4,5,6,7,8,9,10,11,12,13,14},1),"0123456789ABCDEFGHIJKLMNOPQRSTUVWXYZ")-1)*{1,2,1,2,1,2,1,2,1,2,1,2,1,2},36)),36),36)+1,1)=MID(AN537,15,1),"OK","Typo? check digit wrong")),"Wrong format"))</f>
        <v/>
      </c>
      <c r="AK537" s="27">
        <f>IF(AO537="","",IF(AND(LEN(AO537)=10,SUMPRODUCT(--ISERROR(FIND(MID(AO537,{1,2,3,4,5,10},1),"ABCDEFGHIJKLMNOPQRSTUVWXYZ")))=0,SUMPRODUCT(--ISERROR(FIND(MID(AO537,{6,7,8,9},1),"0123456789")))=0),"OK","Wrong format"))</f>
        <v/>
      </c>
      <c r="AL537" s="27">
        <f>IF(TRIM(H537)="","",IF(AND(LEN(UPPER(TRIM(H537)))=10,SUMPRODUCT(--ISERROR(FIND(MID(UPPER(TRIM(H537)),{1,2,3,4,10},1),"ABCDEFGHIJKLMNOPQRSTUVWXYZ")))=0,SUMPRODUCT(--ISERROR(FIND(MID(UPPER(TRIM(H537)),{5,6,7,8,9},1),"0123456789")))=0),"OK","Wrong format"))</f>
        <v/>
      </c>
      <c r="AM537" s="28">
        <f>IF(NOT(COUNTA(A537:AE537)&gt;0),"",IF(AS537&lt;&gt;"","✖ "&amp;LEFT(AS537,LEN(AS537)-2),IF(AR537&gt;0,"✔ Ready — client + "&amp;AR537&amp;" service(s)","✔ Ready — client only")))</f>
        <v/>
      </c>
      <c r="AN537" s="29">
        <f>UPPER(SUBSTITUTE(TRIM(F537)," ",""))</f>
        <v/>
      </c>
      <c r="AO537" s="29">
        <f>UPPER(SUBSTITUTE(TRIM(E537)," ",""))</f>
        <v/>
      </c>
      <c r="AP537" s="29">
        <f>IF(D537&lt;&gt;"",D537,IFERROR(VLOOKUP(MID(AG537,4,1),Lists!$E$2:$F$8,2,FALSE),""))</f>
        <v/>
      </c>
      <c r="AQ537" s="29">
        <f>IFERROR(VLOOKUP(AP537,Lists!$A$2:$C$12,3,FALSE),"")</f>
        <v/>
      </c>
      <c r="AR537" s="29">
        <f>COUNTIF(W537:AC537,"Yes")</f>
        <v/>
      </c>
      <c r="AS537" s="29">
        <f>IF(TRIM(B537)="","Legal name missing; ","")&amp;IF(AND(AJ537&lt;&gt;"",AJ537&lt;&gt;"OK"),"GSTIN: "&amp;AJ537&amp;"; ","")&amp;IF(AND(AK537&lt;&gt;"",AK537&lt;&gt;"OK"),"PAN wrong format; ","")&amp;IF(AND(AO537&lt;&gt;"",LEN(AN537)=15,MID(AN537,3,10)&lt;&gt;AO537),"PAN does not match GSTIN; ","")&amp;IF(AND(AL537&lt;&gt;"",AL537&lt;&gt;"OK"),"TAN wrong format; ","")&amp;IF(AG537="","PAN missing; ","")&amp;IF(AP537="","Entity type missing; ","")&amp;IF(AND(AN537&lt;&gt;"",COUNTIF($AN$6:$AN$1005,AN537)&gt;1),"GSTIN repeated in this sheet; ","")&amp;IF(AND(AG537&lt;&gt;"",COUNTIF($AG$6:$AG$1005,AG537)&gt;1),"PAN repeated in this sheet (same client? put extra GSTINs in Other GSTINs); ","")&amp;IF(AND(AR537&gt;0,V537=""),"Financial year missing; ","")&amp;IF(AND(AR537=0,V537&lt;&gt;""),"Financial year given but no service is Yes; ","")&amp;IF(AND(W537="Yes",AN537=""),"GST needs a GSTIN; ","")&amp;IF(AND(W537="Yes",X537=""),"GST return frequency missing; ","")&amp;IF(AND(Y537="Yes",TRIM(H537)=""),"TDS needs a TAN; ","")&amp;IF(AND(AA537="Yes",AQ537&lt;&gt;"",AQ537&lt;&gt;"company",AQ537&lt;&gt;"llp"),"ROC is only for a company / LLP; ","")&amp;IF(AND(AA537="Yes",OR(AQ537="company",AQ537="llp"),TRIM(I537)=""),"ROC needs the CIN / LLPIN; ","")</f>
        <v/>
      </c>
    </row>
    <row r="538">
      <c r="A538" s="30" t="n"/>
      <c r="B538" s="31" t="n"/>
      <c r="C538" s="31" t="n"/>
      <c r="D538" s="31" t="n"/>
      <c r="E538" s="30" t="n"/>
      <c r="F538" s="30" t="n"/>
      <c r="G538" s="30" t="n"/>
      <c r="H538" s="30" t="n"/>
      <c r="I538" s="30" t="n"/>
      <c r="J538" s="32" t="n"/>
      <c r="K538" s="31" t="n"/>
      <c r="L538" s="30" t="n"/>
      <c r="M538" s="31" t="n"/>
      <c r="N538" s="31" t="n"/>
      <c r="O538" s="31" t="n"/>
      <c r="P538" s="30" t="n"/>
      <c r="Q538" s="31" t="n"/>
      <c r="R538" s="31" t="n"/>
      <c r="S538" s="31" t="n"/>
      <c r="T538" s="31" t="n"/>
      <c r="U538" s="30" t="n"/>
      <c r="V538" s="31" t="n"/>
      <c r="W538" s="31" t="n"/>
      <c r="X538" s="31" t="n"/>
      <c r="Y538" s="31" t="n"/>
      <c r="Z538" s="31" t="n"/>
      <c r="AA538" s="31" t="n"/>
      <c r="AB538" s="31" t="n"/>
      <c r="AC538" s="31" t="n"/>
      <c r="AD538" s="31" t="n"/>
      <c r="AE538" s="31" t="n"/>
      <c r="AF538" s="27">
        <f>IF(NOT(COUNTA(A538:AE538)&gt;0),"",IF(A538="","New client","Update"))</f>
        <v/>
      </c>
      <c r="AG538" s="27">
        <f>IF(AO538&lt;&gt;"",AO538,IF(LEN(AN538)=15,MID(AN538,3,10),""))</f>
        <v/>
      </c>
      <c r="AH538" s="27">
        <f>IF(AP538="","",AP538&amp;IF(D538="","  (guessed from PAN)",""))</f>
        <v/>
      </c>
      <c r="AI538" s="27">
        <f>IF(AN538="","",IFERROR(INDEX(Lists!$L$2:$L$38,MATCH(LEFT(AN538,2),Lists!$K$2:$K$38,0)),"Unknown code"))</f>
        <v/>
      </c>
      <c r="AJ538" s="27">
        <f>IF(AN538="","",IFERROR(IF(NOT(AND(LEN(AN538)=15,ISNUMBER(MATCH(LEFT(AN538,2),Lists!$K$2:$K$38,0)),SUMPRODUCT(--ISERROR(FIND(MID(MID(AN538,3,10),{1,2,3,4,5,10},1),"ABCDEFGHIJKLMNOPQRSTUVWXYZ")))=0,SUMPRODUCT(--ISERROR(FIND(MID(MID(AN538,3,10),{6,7,8,9},1),"0123456789")))=0,ISNUMBER(FIND(MID(AN538,13,1),"123456789ABCDEFGHIJKLMNOPQRSTUVWXYZ")),MID(AN538,14,1)="Z")),"Wrong format",IF(MID("0123456789ABCDEFGHIJKLMNOPQRSTUVWXYZ",MOD(36-MOD(SUMPRODUCT(INT((FIND(MID(AN538,{1,2,3,4,5,6,7,8,9,10,11,12,13,14},1),"0123456789ABCDEFGHIJKLMNOPQRSTUVWXYZ")-1)*{1,2,1,2,1,2,1,2,1,2,1,2,1,2}/36)+MOD((FIND(MID(AN538,{1,2,3,4,5,6,7,8,9,10,11,12,13,14},1),"0123456789ABCDEFGHIJKLMNOPQRSTUVWXYZ")-1)*{1,2,1,2,1,2,1,2,1,2,1,2,1,2},36)),36),36)+1,1)=MID(AN538,15,1),"OK","Typo? check digit wrong")),"Wrong format"))</f>
        <v/>
      </c>
      <c r="AK538" s="27">
        <f>IF(AO538="","",IF(AND(LEN(AO538)=10,SUMPRODUCT(--ISERROR(FIND(MID(AO538,{1,2,3,4,5,10},1),"ABCDEFGHIJKLMNOPQRSTUVWXYZ")))=0,SUMPRODUCT(--ISERROR(FIND(MID(AO538,{6,7,8,9},1),"0123456789")))=0),"OK","Wrong format"))</f>
        <v/>
      </c>
      <c r="AL538" s="27">
        <f>IF(TRIM(H538)="","",IF(AND(LEN(UPPER(TRIM(H538)))=10,SUMPRODUCT(--ISERROR(FIND(MID(UPPER(TRIM(H538)),{1,2,3,4,10},1),"ABCDEFGHIJKLMNOPQRSTUVWXYZ")))=0,SUMPRODUCT(--ISERROR(FIND(MID(UPPER(TRIM(H538)),{5,6,7,8,9},1),"0123456789")))=0),"OK","Wrong format"))</f>
        <v/>
      </c>
      <c r="AM538" s="28">
        <f>IF(NOT(COUNTA(A538:AE538)&gt;0),"",IF(AS538&lt;&gt;"","✖ "&amp;LEFT(AS538,LEN(AS538)-2),IF(AR538&gt;0,"✔ Ready — client + "&amp;AR538&amp;" service(s)","✔ Ready — client only")))</f>
        <v/>
      </c>
      <c r="AN538" s="29">
        <f>UPPER(SUBSTITUTE(TRIM(F538)," ",""))</f>
        <v/>
      </c>
      <c r="AO538" s="29">
        <f>UPPER(SUBSTITUTE(TRIM(E538)," ",""))</f>
        <v/>
      </c>
      <c r="AP538" s="29">
        <f>IF(D538&lt;&gt;"",D538,IFERROR(VLOOKUP(MID(AG538,4,1),Lists!$E$2:$F$8,2,FALSE),""))</f>
        <v/>
      </c>
      <c r="AQ538" s="29">
        <f>IFERROR(VLOOKUP(AP538,Lists!$A$2:$C$12,3,FALSE),"")</f>
        <v/>
      </c>
      <c r="AR538" s="29">
        <f>COUNTIF(W538:AC538,"Yes")</f>
        <v/>
      </c>
      <c r="AS538" s="29">
        <f>IF(TRIM(B538)="","Legal name missing; ","")&amp;IF(AND(AJ538&lt;&gt;"",AJ538&lt;&gt;"OK"),"GSTIN: "&amp;AJ538&amp;"; ","")&amp;IF(AND(AK538&lt;&gt;"",AK538&lt;&gt;"OK"),"PAN wrong format; ","")&amp;IF(AND(AO538&lt;&gt;"",LEN(AN538)=15,MID(AN538,3,10)&lt;&gt;AO538),"PAN does not match GSTIN; ","")&amp;IF(AND(AL538&lt;&gt;"",AL538&lt;&gt;"OK"),"TAN wrong format; ","")&amp;IF(AG538="","PAN missing; ","")&amp;IF(AP538="","Entity type missing; ","")&amp;IF(AND(AN538&lt;&gt;"",COUNTIF($AN$6:$AN$1005,AN538)&gt;1),"GSTIN repeated in this sheet; ","")&amp;IF(AND(AG538&lt;&gt;"",COUNTIF($AG$6:$AG$1005,AG538)&gt;1),"PAN repeated in this sheet (same client? put extra GSTINs in Other GSTINs); ","")&amp;IF(AND(AR538&gt;0,V538=""),"Financial year missing; ","")&amp;IF(AND(AR538=0,V538&lt;&gt;""),"Financial year given but no service is Yes; ","")&amp;IF(AND(W538="Yes",AN538=""),"GST needs a GSTIN; ","")&amp;IF(AND(W538="Yes",X538=""),"GST return frequency missing; ","")&amp;IF(AND(Y538="Yes",TRIM(H538)=""),"TDS needs a TAN; ","")&amp;IF(AND(AA538="Yes",AQ538&lt;&gt;"",AQ538&lt;&gt;"company",AQ538&lt;&gt;"llp"),"ROC is only for a company / LLP; ","")&amp;IF(AND(AA538="Yes",OR(AQ538="company",AQ538="llp"),TRIM(I538)=""),"ROC needs the CIN / LLPIN; ","")</f>
        <v/>
      </c>
    </row>
    <row r="539">
      <c r="A539" s="30" t="n"/>
      <c r="B539" s="31" t="n"/>
      <c r="C539" s="31" t="n"/>
      <c r="D539" s="31" t="n"/>
      <c r="E539" s="30" t="n"/>
      <c r="F539" s="30" t="n"/>
      <c r="G539" s="30" t="n"/>
      <c r="H539" s="30" t="n"/>
      <c r="I539" s="30" t="n"/>
      <c r="J539" s="32" t="n"/>
      <c r="K539" s="31" t="n"/>
      <c r="L539" s="30" t="n"/>
      <c r="M539" s="31" t="n"/>
      <c r="N539" s="31" t="n"/>
      <c r="O539" s="31" t="n"/>
      <c r="P539" s="30" t="n"/>
      <c r="Q539" s="31" t="n"/>
      <c r="R539" s="31" t="n"/>
      <c r="S539" s="31" t="n"/>
      <c r="T539" s="31" t="n"/>
      <c r="U539" s="30" t="n"/>
      <c r="V539" s="31" t="n"/>
      <c r="W539" s="31" t="n"/>
      <c r="X539" s="31" t="n"/>
      <c r="Y539" s="31" t="n"/>
      <c r="Z539" s="31" t="n"/>
      <c r="AA539" s="31" t="n"/>
      <c r="AB539" s="31" t="n"/>
      <c r="AC539" s="31" t="n"/>
      <c r="AD539" s="31" t="n"/>
      <c r="AE539" s="31" t="n"/>
      <c r="AF539" s="27">
        <f>IF(NOT(COUNTA(A539:AE539)&gt;0),"",IF(A539="","New client","Update"))</f>
        <v/>
      </c>
      <c r="AG539" s="27">
        <f>IF(AO539&lt;&gt;"",AO539,IF(LEN(AN539)=15,MID(AN539,3,10),""))</f>
        <v/>
      </c>
      <c r="AH539" s="27">
        <f>IF(AP539="","",AP539&amp;IF(D539="","  (guessed from PAN)",""))</f>
        <v/>
      </c>
      <c r="AI539" s="27">
        <f>IF(AN539="","",IFERROR(INDEX(Lists!$L$2:$L$38,MATCH(LEFT(AN539,2),Lists!$K$2:$K$38,0)),"Unknown code"))</f>
        <v/>
      </c>
      <c r="AJ539" s="27">
        <f>IF(AN539="","",IFERROR(IF(NOT(AND(LEN(AN539)=15,ISNUMBER(MATCH(LEFT(AN539,2),Lists!$K$2:$K$38,0)),SUMPRODUCT(--ISERROR(FIND(MID(MID(AN539,3,10),{1,2,3,4,5,10},1),"ABCDEFGHIJKLMNOPQRSTUVWXYZ")))=0,SUMPRODUCT(--ISERROR(FIND(MID(MID(AN539,3,10),{6,7,8,9},1),"0123456789")))=0,ISNUMBER(FIND(MID(AN539,13,1),"123456789ABCDEFGHIJKLMNOPQRSTUVWXYZ")),MID(AN539,14,1)="Z")),"Wrong format",IF(MID("0123456789ABCDEFGHIJKLMNOPQRSTUVWXYZ",MOD(36-MOD(SUMPRODUCT(INT((FIND(MID(AN539,{1,2,3,4,5,6,7,8,9,10,11,12,13,14},1),"0123456789ABCDEFGHIJKLMNOPQRSTUVWXYZ")-1)*{1,2,1,2,1,2,1,2,1,2,1,2,1,2}/36)+MOD((FIND(MID(AN539,{1,2,3,4,5,6,7,8,9,10,11,12,13,14},1),"0123456789ABCDEFGHIJKLMNOPQRSTUVWXYZ")-1)*{1,2,1,2,1,2,1,2,1,2,1,2,1,2},36)),36),36)+1,1)=MID(AN539,15,1),"OK","Typo? check digit wrong")),"Wrong format"))</f>
        <v/>
      </c>
      <c r="AK539" s="27">
        <f>IF(AO539="","",IF(AND(LEN(AO539)=10,SUMPRODUCT(--ISERROR(FIND(MID(AO539,{1,2,3,4,5,10},1),"ABCDEFGHIJKLMNOPQRSTUVWXYZ")))=0,SUMPRODUCT(--ISERROR(FIND(MID(AO539,{6,7,8,9},1),"0123456789")))=0),"OK","Wrong format"))</f>
        <v/>
      </c>
      <c r="AL539" s="27">
        <f>IF(TRIM(H539)="","",IF(AND(LEN(UPPER(TRIM(H539)))=10,SUMPRODUCT(--ISERROR(FIND(MID(UPPER(TRIM(H539)),{1,2,3,4,10},1),"ABCDEFGHIJKLMNOPQRSTUVWXYZ")))=0,SUMPRODUCT(--ISERROR(FIND(MID(UPPER(TRIM(H539)),{5,6,7,8,9},1),"0123456789")))=0),"OK","Wrong format"))</f>
        <v/>
      </c>
      <c r="AM539" s="28">
        <f>IF(NOT(COUNTA(A539:AE539)&gt;0),"",IF(AS539&lt;&gt;"","✖ "&amp;LEFT(AS539,LEN(AS539)-2),IF(AR539&gt;0,"✔ Ready — client + "&amp;AR539&amp;" service(s)","✔ Ready — client only")))</f>
        <v/>
      </c>
      <c r="AN539" s="29">
        <f>UPPER(SUBSTITUTE(TRIM(F539)," ",""))</f>
        <v/>
      </c>
      <c r="AO539" s="29">
        <f>UPPER(SUBSTITUTE(TRIM(E539)," ",""))</f>
        <v/>
      </c>
      <c r="AP539" s="29">
        <f>IF(D539&lt;&gt;"",D539,IFERROR(VLOOKUP(MID(AG539,4,1),Lists!$E$2:$F$8,2,FALSE),""))</f>
        <v/>
      </c>
      <c r="AQ539" s="29">
        <f>IFERROR(VLOOKUP(AP539,Lists!$A$2:$C$12,3,FALSE),"")</f>
        <v/>
      </c>
      <c r="AR539" s="29">
        <f>COUNTIF(W539:AC539,"Yes")</f>
        <v/>
      </c>
      <c r="AS539" s="29">
        <f>IF(TRIM(B539)="","Legal name missing; ","")&amp;IF(AND(AJ539&lt;&gt;"",AJ539&lt;&gt;"OK"),"GSTIN: "&amp;AJ539&amp;"; ","")&amp;IF(AND(AK539&lt;&gt;"",AK539&lt;&gt;"OK"),"PAN wrong format; ","")&amp;IF(AND(AO539&lt;&gt;"",LEN(AN539)=15,MID(AN539,3,10)&lt;&gt;AO539),"PAN does not match GSTIN; ","")&amp;IF(AND(AL539&lt;&gt;"",AL539&lt;&gt;"OK"),"TAN wrong format; ","")&amp;IF(AG539="","PAN missing; ","")&amp;IF(AP539="","Entity type missing; ","")&amp;IF(AND(AN539&lt;&gt;"",COUNTIF($AN$6:$AN$1005,AN539)&gt;1),"GSTIN repeated in this sheet; ","")&amp;IF(AND(AG539&lt;&gt;"",COUNTIF($AG$6:$AG$1005,AG539)&gt;1),"PAN repeated in this sheet (same client? put extra GSTINs in Other GSTINs); ","")&amp;IF(AND(AR539&gt;0,V539=""),"Financial year missing; ","")&amp;IF(AND(AR539=0,V539&lt;&gt;""),"Financial year given but no service is Yes; ","")&amp;IF(AND(W539="Yes",AN539=""),"GST needs a GSTIN; ","")&amp;IF(AND(W539="Yes",X539=""),"GST return frequency missing; ","")&amp;IF(AND(Y539="Yes",TRIM(H539)=""),"TDS needs a TAN; ","")&amp;IF(AND(AA539="Yes",AQ539&lt;&gt;"",AQ539&lt;&gt;"company",AQ539&lt;&gt;"llp"),"ROC is only for a company / LLP; ","")&amp;IF(AND(AA539="Yes",OR(AQ539="company",AQ539="llp"),TRIM(I539)=""),"ROC needs the CIN / LLPIN; ","")</f>
        <v/>
      </c>
    </row>
    <row r="540">
      <c r="A540" s="30" t="n"/>
      <c r="B540" s="31" t="n"/>
      <c r="C540" s="31" t="n"/>
      <c r="D540" s="31" t="n"/>
      <c r="E540" s="30" t="n"/>
      <c r="F540" s="30" t="n"/>
      <c r="G540" s="30" t="n"/>
      <c r="H540" s="30" t="n"/>
      <c r="I540" s="30" t="n"/>
      <c r="J540" s="32" t="n"/>
      <c r="K540" s="31" t="n"/>
      <c r="L540" s="30" t="n"/>
      <c r="M540" s="31" t="n"/>
      <c r="N540" s="31" t="n"/>
      <c r="O540" s="31" t="n"/>
      <c r="P540" s="30" t="n"/>
      <c r="Q540" s="31" t="n"/>
      <c r="R540" s="31" t="n"/>
      <c r="S540" s="31" t="n"/>
      <c r="T540" s="31" t="n"/>
      <c r="U540" s="30" t="n"/>
      <c r="V540" s="31" t="n"/>
      <c r="W540" s="31" t="n"/>
      <c r="X540" s="31" t="n"/>
      <c r="Y540" s="31" t="n"/>
      <c r="Z540" s="31" t="n"/>
      <c r="AA540" s="31" t="n"/>
      <c r="AB540" s="31" t="n"/>
      <c r="AC540" s="31" t="n"/>
      <c r="AD540" s="31" t="n"/>
      <c r="AE540" s="31" t="n"/>
      <c r="AF540" s="27">
        <f>IF(NOT(COUNTA(A540:AE540)&gt;0),"",IF(A540="","New client","Update"))</f>
        <v/>
      </c>
      <c r="AG540" s="27">
        <f>IF(AO540&lt;&gt;"",AO540,IF(LEN(AN540)=15,MID(AN540,3,10),""))</f>
        <v/>
      </c>
      <c r="AH540" s="27">
        <f>IF(AP540="","",AP540&amp;IF(D540="","  (guessed from PAN)",""))</f>
        <v/>
      </c>
      <c r="AI540" s="27">
        <f>IF(AN540="","",IFERROR(INDEX(Lists!$L$2:$L$38,MATCH(LEFT(AN540,2),Lists!$K$2:$K$38,0)),"Unknown code"))</f>
        <v/>
      </c>
      <c r="AJ540" s="27">
        <f>IF(AN540="","",IFERROR(IF(NOT(AND(LEN(AN540)=15,ISNUMBER(MATCH(LEFT(AN540,2),Lists!$K$2:$K$38,0)),SUMPRODUCT(--ISERROR(FIND(MID(MID(AN540,3,10),{1,2,3,4,5,10},1),"ABCDEFGHIJKLMNOPQRSTUVWXYZ")))=0,SUMPRODUCT(--ISERROR(FIND(MID(MID(AN540,3,10),{6,7,8,9},1),"0123456789")))=0,ISNUMBER(FIND(MID(AN540,13,1),"123456789ABCDEFGHIJKLMNOPQRSTUVWXYZ")),MID(AN540,14,1)="Z")),"Wrong format",IF(MID("0123456789ABCDEFGHIJKLMNOPQRSTUVWXYZ",MOD(36-MOD(SUMPRODUCT(INT((FIND(MID(AN540,{1,2,3,4,5,6,7,8,9,10,11,12,13,14},1),"0123456789ABCDEFGHIJKLMNOPQRSTUVWXYZ")-1)*{1,2,1,2,1,2,1,2,1,2,1,2,1,2}/36)+MOD((FIND(MID(AN540,{1,2,3,4,5,6,7,8,9,10,11,12,13,14},1),"0123456789ABCDEFGHIJKLMNOPQRSTUVWXYZ")-1)*{1,2,1,2,1,2,1,2,1,2,1,2,1,2},36)),36),36)+1,1)=MID(AN540,15,1),"OK","Typo? check digit wrong")),"Wrong format"))</f>
        <v/>
      </c>
      <c r="AK540" s="27">
        <f>IF(AO540="","",IF(AND(LEN(AO540)=10,SUMPRODUCT(--ISERROR(FIND(MID(AO540,{1,2,3,4,5,10},1),"ABCDEFGHIJKLMNOPQRSTUVWXYZ")))=0,SUMPRODUCT(--ISERROR(FIND(MID(AO540,{6,7,8,9},1),"0123456789")))=0),"OK","Wrong format"))</f>
        <v/>
      </c>
      <c r="AL540" s="27">
        <f>IF(TRIM(H540)="","",IF(AND(LEN(UPPER(TRIM(H540)))=10,SUMPRODUCT(--ISERROR(FIND(MID(UPPER(TRIM(H540)),{1,2,3,4,10},1),"ABCDEFGHIJKLMNOPQRSTUVWXYZ")))=0,SUMPRODUCT(--ISERROR(FIND(MID(UPPER(TRIM(H540)),{5,6,7,8,9},1),"0123456789")))=0),"OK","Wrong format"))</f>
        <v/>
      </c>
      <c r="AM540" s="28">
        <f>IF(NOT(COUNTA(A540:AE540)&gt;0),"",IF(AS540&lt;&gt;"","✖ "&amp;LEFT(AS540,LEN(AS540)-2),IF(AR540&gt;0,"✔ Ready — client + "&amp;AR540&amp;" service(s)","✔ Ready — client only")))</f>
        <v/>
      </c>
      <c r="AN540" s="29">
        <f>UPPER(SUBSTITUTE(TRIM(F540)," ",""))</f>
        <v/>
      </c>
      <c r="AO540" s="29">
        <f>UPPER(SUBSTITUTE(TRIM(E540)," ",""))</f>
        <v/>
      </c>
      <c r="AP540" s="29">
        <f>IF(D540&lt;&gt;"",D540,IFERROR(VLOOKUP(MID(AG540,4,1),Lists!$E$2:$F$8,2,FALSE),""))</f>
        <v/>
      </c>
      <c r="AQ540" s="29">
        <f>IFERROR(VLOOKUP(AP540,Lists!$A$2:$C$12,3,FALSE),"")</f>
        <v/>
      </c>
      <c r="AR540" s="29">
        <f>COUNTIF(W540:AC540,"Yes")</f>
        <v/>
      </c>
      <c r="AS540" s="29">
        <f>IF(TRIM(B540)="","Legal name missing; ","")&amp;IF(AND(AJ540&lt;&gt;"",AJ540&lt;&gt;"OK"),"GSTIN: "&amp;AJ540&amp;"; ","")&amp;IF(AND(AK540&lt;&gt;"",AK540&lt;&gt;"OK"),"PAN wrong format; ","")&amp;IF(AND(AO540&lt;&gt;"",LEN(AN540)=15,MID(AN540,3,10)&lt;&gt;AO540),"PAN does not match GSTIN; ","")&amp;IF(AND(AL540&lt;&gt;"",AL540&lt;&gt;"OK"),"TAN wrong format; ","")&amp;IF(AG540="","PAN missing; ","")&amp;IF(AP540="","Entity type missing; ","")&amp;IF(AND(AN540&lt;&gt;"",COUNTIF($AN$6:$AN$1005,AN540)&gt;1),"GSTIN repeated in this sheet; ","")&amp;IF(AND(AG540&lt;&gt;"",COUNTIF($AG$6:$AG$1005,AG540)&gt;1),"PAN repeated in this sheet (same client? put extra GSTINs in Other GSTINs); ","")&amp;IF(AND(AR540&gt;0,V540=""),"Financial year missing; ","")&amp;IF(AND(AR540=0,V540&lt;&gt;""),"Financial year given but no service is Yes; ","")&amp;IF(AND(W540="Yes",AN540=""),"GST needs a GSTIN; ","")&amp;IF(AND(W540="Yes",X540=""),"GST return frequency missing; ","")&amp;IF(AND(Y540="Yes",TRIM(H540)=""),"TDS needs a TAN; ","")&amp;IF(AND(AA540="Yes",AQ540&lt;&gt;"",AQ540&lt;&gt;"company",AQ540&lt;&gt;"llp"),"ROC is only for a company / LLP; ","")&amp;IF(AND(AA540="Yes",OR(AQ540="company",AQ540="llp"),TRIM(I540)=""),"ROC needs the CIN / LLPIN; ","")</f>
        <v/>
      </c>
    </row>
    <row r="541">
      <c r="A541" s="30" t="n"/>
      <c r="B541" s="31" t="n"/>
      <c r="C541" s="31" t="n"/>
      <c r="D541" s="31" t="n"/>
      <c r="E541" s="30" t="n"/>
      <c r="F541" s="30" t="n"/>
      <c r="G541" s="30" t="n"/>
      <c r="H541" s="30" t="n"/>
      <c r="I541" s="30" t="n"/>
      <c r="J541" s="32" t="n"/>
      <c r="K541" s="31" t="n"/>
      <c r="L541" s="30" t="n"/>
      <c r="M541" s="31" t="n"/>
      <c r="N541" s="31" t="n"/>
      <c r="O541" s="31" t="n"/>
      <c r="P541" s="30" t="n"/>
      <c r="Q541" s="31" t="n"/>
      <c r="R541" s="31" t="n"/>
      <c r="S541" s="31" t="n"/>
      <c r="T541" s="31" t="n"/>
      <c r="U541" s="30" t="n"/>
      <c r="V541" s="31" t="n"/>
      <c r="W541" s="31" t="n"/>
      <c r="X541" s="31" t="n"/>
      <c r="Y541" s="31" t="n"/>
      <c r="Z541" s="31" t="n"/>
      <c r="AA541" s="31" t="n"/>
      <c r="AB541" s="31" t="n"/>
      <c r="AC541" s="31" t="n"/>
      <c r="AD541" s="31" t="n"/>
      <c r="AE541" s="31" t="n"/>
      <c r="AF541" s="27">
        <f>IF(NOT(COUNTA(A541:AE541)&gt;0),"",IF(A541="","New client","Update"))</f>
        <v/>
      </c>
      <c r="AG541" s="27">
        <f>IF(AO541&lt;&gt;"",AO541,IF(LEN(AN541)=15,MID(AN541,3,10),""))</f>
        <v/>
      </c>
      <c r="AH541" s="27">
        <f>IF(AP541="","",AP541&amp;IF(D541="","  (guessed from PAN)",""))</f>
        <v/>
      </c>
      <c r="AI541" s="27">
        <f>IF(AN541="","",IFERROR(INDEX(Lists!$L$2:$L$38,MATCH(LEFT(AN541,2),Lists!$K$2:$K$38,0)),"Unknown code"))</f>
        <v/>
      </c>
      <c r="AJ541" s="27">
        <f>IF(AN541="","",IFERROR(IF(NOT(AND(LEN(AN541)=15,ISNUMBER(MATCH(LEFT(AN541,2),Lists!$K$2:$K$38,0)),SUMPRODUCT(--ISERROR(FIND(MID(MID(AN541,3,10),{1,2,3,4,5,10},1),"ABCDEFGHIJKLMNOPQRSTUVWXYZ")))=0,SUMPRODUCT(--ISERROR(FIND(MID(MID(AN541,3,10),{6,7,8,9},1),"0123456789")))=0,ISNUMBER(FIND(MID(AN541,13,1),"123456789ABCDEFGHIJKLMNOPQRSTUVWXYZ")),MID(AN541,14,1)="Z")),"Wrong format",IF(MID("0123456789ABCDEFGHIJKLMNOPQRSTUVWXYZ",MOD(36-MOD(SUMPRODUCT(INT((FIND(MID(AN541,{1,2,3,4,5,6,7,8,9,10,11,12,13,14},1),"0123456789ABCDEFGHIJKLMNOPQRSTUVWXYZ")-1)*{1,2,1,2,1,2,1,2,1,2,1,2,1,2}/36)+MOD((FIND(MID(AN541,{1,2,3,4,5,6,7,8,9,10,11,12,13,14},1),"0123456789ABCDEFGHIJKLMNOPQRSTUVWXYZ")-1)*{1,2,1,2,1,2,1,2,1,2,1,2,1,2},36)),36),36)+1,1)=MID(AN541,15,1),"OK","Typo? check digit wrong")),"Wrong format"))</f>
        <v/>
      </c>
      <c r="AK541" s="27">
        <f>IF(AO541="","",IF(AND(LEN(AO541)=10,SUMPRODUCT(--ISERROR(FIND(MID(AO541,{1,2,3,4,5,10},1),"ABCDEFGHIJKLMNOPQRSTUVWXYZ")))=0,SUMPRODUCT(--ISERROR(FIND(MID(AO541,{6,7,8,9},1),"0123456789")))=0),"OK","Wrong format"))</f>
        <v/>
      </c>
      <c r="AL541" s="27">
        <f>IF(TRIM(H541)="","",IF(AND(LEN(UPPER(TRIM(H541)))=10,SUMPRODUCT(--ISERROR(FIND(MID(UPPER(TRIM(H541)),{1,2,3,4,10},1),"ABCDEFGHIJKLMNOPQRSTUVWXYZ")))=0,SUMPRODUCT(--ISERROR(FIND(MID(UPPER(TRIM(H541)),{5,6,7,8,9},1),"0123456789")))=0),"OK","Wrong format"))</f>
        <v/>
      </c>
      <c r="AM541" s="28">
        <f>IF(NOT(COUNTA(A541:AE541)&gt;0),"",IF(AS541&lt;&gt;"","✖ "&amp;LEFT(AS541,LEN(AS541)-2),IF(AR541&gt;0,"✔ Ready — client + "&amp;AR541&amp;" service(s)","✔ Ready — client only")))</f>
        <v/>
      </c>
      <c r="AN541" s="29">
        <f>UPPER(SUBSTITUTE(TRIM(F541)," ",""))</f>
        <v/>
      </c>
      <c r="AO541" s="29">
        <f>UPPER(SUBSTITUTE(TRIM(E541)," ",""))</f>
        <v/>
      </c>
      <c r="AP541" s="29">
        <f>IF(D541&lt;&gt;"",D541,IFERROR(VLOOKUP(MID(AG541,4,1),Lists!$E$2:$F$8,2,FALSE),""))</f>
        <v/>
      </c>
      <c r="AQ541" s="29">
        <f>IFERROR(VLOOKUP(AP541,Lists!$A$2:$C$12,3,FALSE),"")</f>
        <v/>
      </c>
      <c r="AR541" s="29">
        <f>COUNTIF(W541:AC541,"Yes")</f>
        <v/>
      </c>
      <c r="AS541" s="29">
        <f>IF(TRIM(B541)="","Legal name missing; ","")&amp;IF(AND(AJ541&lt;&gt;"",AJ541&lt;&gt;"OK"),"GSTIN: "&amp;AJ541&amp;"; ","")&amp;IF(AND(AK541&lt;&gt;"",AK541&lt;&gt;"OK"),"PAN wrong format; ","")&amp;IF(AND(AO541&lt;&gt;"",LEN(AN541)=15,MID(AN541,3,10)&lt;&gt;AO541),"PAN does not match GSTIN; ","")&amp;IF(AND(AL541&lt;&gt;"",AL541&lt;&gt;"OK"),"TAN wrong format; ","")&amp;IF(AG541="","PAN missing; ","")&amp;IF(AP541="","Entity type missing; ","")&amp;IF(AND(AN541&lt;&gt;"",COUNTIF($AN$6:$AN$1005,AN541)&gt;1),"GSTIN repeated in this sheet; ","")&amp;IF(AND(AG541&lt;&gt;"",COUNTIF($AG$6:$AG$1005,AG541)&gt;1),"PAN repeated in this sheet (same client? put extra GSTINs in Other GSTINs); ","")&amp;IF(AND(AR541&gt;0,V541=""),"Financial year missing; ","")&amp;IF(AND(AR541=0,V541&lt;&gt;""),"Financial year given but no service is Yes; ","")&amp;IF(AND(W541="Yes",AN541=""),"GST needs a GSTIN; ","")&amp;IF(AND(W541="Yes",X541=""),"GST return frequency missing; ","")&amp;IF(AND(Y541="Yes",TRIM(H541)=""),"TDS needs a TAN; ","")&amp;IF(AND(AA541="Yes",AQ541&lt;&gt;"",AQ541&lt;&gt;"company",AQ541&lt;&gt;"llp"),"ROC is only for a company / LLP; ","")&amp;IF(AND(AA541="Yes",OR(AQ541="company",AQ541="llp"),TRIM(I541)=""),"ROC needs the CIN / LLPIN; ","")</f>
        <v/>
      </c>
    </row>
    <row r="542">
      <c r="A542" s="30" t="n"/>
      <c r="B542" s="31" t="n"/>
      <c r="C542" s="31" t="n"/>
      <c r="D542" s="31" t="n"/>
      <c r="E542" s="30" t="n"/>
      <c r="F542" s="30" t="n"/>
      <c r="G542" s="30" t="n"/>
      <c r="H542" s="30" t="n"/>
      <c r="I542" s="30" t="n"/>
      <c r="J542" s="32" t="n"/>
      <c r="K542" s="31" t="n"/>
      <c r="L542" s="30" t="n"/>
      <c r="M542" s="31" t="n"/>
      <c r="N542" s="31" t="n"/>
      <c r="O542" s="31" t="n"/>
      <c r="P542" s="30" t="n"/>
      <c r="Q542" s="31" t="n"/>
      <c r="R542" s="31" t="n"/>
      <c r="S542" s="31" t="n"/>
      <c r="T542" s="31" t="n"/>
      <c r="U542" s="30" t="n"/>
      <c r="V542" s="31" t="n"/>
      <c r="W542" s="31" t="n"/>
      <c r="X542" s="31" t="n"/>
      <c r="Y542" s="31" t="n"/>
      <c r="Z542" s="31" t="n"/>
      <c r="AA542" s="31" t="n"/>
      <c r="AB542" s="31" t="n"/>
      <c r="AC542" s="31" t="n"/>
      <c r="AD542" s="31" t="n"/>
      <c r="AE542" s="31" t="n"/>
      <c r="AF542" s="27">
        <f>IF(NOT(COUNTA(A542:AE542)&gt;0),"",IF(A542="","New client","Update"))</f>
        <v/>
      </c>
      <c r="AG542" s="27">
        <f>IF(AO542&lt;&gt;"",AO542,IF(LEN(AN542)=15,MID(AN542,3,10),""))</f>
        <v/>
      </c>
      <c r="AH542" s="27">
        <f>IF(AP542="","",AP542&amp;IF(D542="","  (guessed from PAN)",""))</f>
        <v/>
      </c>
      <c r="AI542" s="27">
        <f>IF(AN542="","",IFERROR(INDEX(Lists!$L$2:$L$38,MATCH(LEFT(AN542,2),Lists!$K$2:$K$38,0)),"Unknown code"))</f>
        <v/>
      </c>
      <c r="AJ542" s="27">
        <f>IF(AN542="","",IFERROR(IF(NOT(AND(LEN(AN542)=15,ISNUMBER(MATCH(LEFT(AN542,2),Lists!$K$2:$K$38,0)),SUMPRODUCT(--ISERROR(FIND(MID(MID(AN542,3,10),{1,2,3,4,5,10},1),"ABCDEFGHIJKLMNOPQRSTUVWXYZ")))=0,SUMPRODUCT(--ISERROR(FIND(MID(MID(AN542,3,10),{6,7,8,9},1),"0123456789")))=0,ISNUMBER(FIND(MID(AN542,13,1),"123456789ABCDEFGHIJKLMNOPQRSTUVWXYZ")),MID(AN542,14,1)="Z")),"Wrong format",IF(MID("0123456789ABCDEFGHIJKLMNOPQRSTUVWXYZ",MOD(36-MOD(SUMPRODUCT(INT((FIND(MID(AN542,{1,2,3,4,5,6,7,8,9,10,11,12,13,14},1),"0123456789ABCDEFGHIJKLMNOPQRSTUVWXYZ")-1)*{1,2,1,2,1,2,1,2,1,2,1,2,1,2}/36)+MOD((FIND(MID(AN542,{1,2,3,4,5,6,7,8,9,10,11,12,13,14},1),"0123456789ABCDEFGHIJKLMNOPQRSTUVWXYZ")-1)*{1,2,1,2,1,2,1,2,1,2,1,2,1,2},36)),36),36)+1,1)=MID(AN542,15,1),"OK","Typo? check digit wrong")),"Wrong format"))</f>
        <v/>
      </c>
      <c r="AK542" s="27">
        <f>IF(AO542="","",IF(AND(LEN(AO542)=10,SUMPRODUCT(--ISERROR(FIND(MID(AO542,{1,2,3,4,5,10},1),"ABCDEFGHIJKLMNOPQRSTUVWXYZ")))=0,SUMPRODUCT(--ISERROR(FIND(MID(AO542,{6,7,8,9},1),"0123456789")))=0),"OK","Wrong format"))</f>
        <v/>
      </c>
      <c r="AL542" s="27">
        <f>IF(TRIM(H542)="","",IF(AND(LEN(UPPER(TRIM(H542)))=10,SUMPRODUCT(--ISERROR(FIND(MID(UPPER(TRIM(H542)),{1,2,3,4,10},1),"ABCDEFGHIJKLMNOPQRSTUVWXYZ")))=0,SUMPRODUCT(--ISERROR(FIND(MID(UPPER(TRIM(H542)),{5,6,7,8,9},1),"0123456789")))=0),"OK","Wrong format"))</f>
        <v/>
      </c>
      <c r="AM542" s="28">
        <f>IF(NOT(COUNTA(A542:AE542)&gt;0),"",IF(AS542&lt;&gt;"","✖ "&amp;LEFT(AS542,LEN(AS542)-2),IF(AR542&gt;0,"✔ Ready — client + "&amp;AR542&amp;" service(s)","✔ Ready — client only")))</f>
        <v/>
      </c>
      <c r="AN542" s="29">
        <f>UPPER(SUBSTITUTE(TRIM(F542)," ",""))</f>
        <v/>
      </c>
      <c r="AO542" s="29">
        <f>UPPER(SUBSTITUTE(TRIM(E542)," ",""))</f>
        <v/>
      </c>
      <c r="AP542" s="29">
        <f>IF(D542&lt;&gt;"",D542,IFERROR(VLOOKUP(MID(AG542,4,1),Lists!$E$2:$F$8,2,FALSE),""))</f>
        <v/>
      </c>
      <c r="AQ542" s="29">
        <f>IFERROR(VLOOKUP(AP542,Lists!$A$2:$C$12,3,FALSE),"")</f>
        <v/>
      </c>
      <c r="AR542" s="29">
        <f>COUNTIF(W542:AC542,"Yes")</f>
        <v/>
      </c>
      <c r="AS542" s="29">
        <f>IF(TRIM(B542)="","Legal name missing; ","")&amp;IF(AND(AJ542&lt;&gt;"",AJ542&lt;&gt;"OK"),"GSTIN: "&amp;AJ542&amp;"; ","")&amp;IF(AND(AK542&lt;&gt;"",AK542&lt;&gt;"OK"),"PAN wrong format; ","")&amp;IF(AND(AO542&lt;&gt;"",LEN(AN542)=15,MID(AN542,3,10)&lt;&gt;AO542),"PAN does not match GSTIN; ","")&amp;IF(AND(AL542&lt;&gt;"",AL542&lt;&gt;"OK"),"TAN wrong format; ","")&amp;IF(AG542="","PAN missing; ","")&amp;IF(AP542="","Entity type missing; ","")&amp;IF(AND(AN542&lt;&gt;"",COUNTIF($AN$6:$AN$1005,AN542)&gt;1),"GSTIN repeated in this sheet; ","")&amp;IF(AND(AG542&lt;&gt;"",COUNTIF($AG$6:$AG$1005,AG542)&gt;1),"PAN repeated in this sheet (same client? put extra GSTINs in Other GSTINs); ","")&amp;IF(AND(AR542&gt;0,V542=""),"Financial year missing; ","")&amp;IF(AND(AR542=0,V542&lt;&gt;""),"Financial year given but no service is Yes; ","")&amp;IF(AND(W542="Yes",AN542=""),"GST needs a GSTIN; ","")&amp;IF(AND(W542="Yes",X542=""),"GST return frequency missing; ","")&amp;IF(AND(Y542="Yes",TRIM(H542)=""),"TDS needs a TAN; ","")&amp;IF(AND(AA542="Yes",AQ542&lt;&gt;"",AQ542&lt;&gt;"company",AQ542&lt;&gt;"llp"),"ROC is only for a company / LLP; ","")&amp;IF(AND(AA542="Yes",OR(AQ542="company",AQ542="llp"),TRIM(I542)=""),"ROC needs the CIN / LLPIN; ","")</f>
        <v/>
      </c>
    </row>
    <row r="543">
      <c r="A543" s="30" t="n"/>
      <c r="B543" s="31" t="n"/>
      <c r="C543" s="31" t="n"/>
      <c r="D543" s="31" t="n"/>
      <c r="E543" s="30" t="n"/>
      <c r="F543" s="30" t="n"/>
      <c r="G543" s="30" t="n"/>
      <c r="H543" s="30" t="n"/>
      <c r="I543" s="30" t="n"/>
      <c r="J543" s="32" t="n"/>
      <c r="K543" s="31" t="n"/>
      <c r="L543" s="30" t="n"/>
      <c r="M543" s="31" t="n"/>
      <c r="N543" s="31" t="n"/>
      <c r="O543" s="31" t="n"/>
      <c r="P543" s="30" t="n"/>
      <c r="Q543" s="31" t="n"/>
      <c r="R543" s="31" t="n"/>
      <c r="S543" s="31" t="n"/>
      <c r="T543" s="31" t="n"/>
      <c r="U543" s="30" t="n"/>
      <c r="V543" s="31" t="n"/>
      <c r="W543" s="31" t="n"/>
      <c r="X543" s="31" t="n"/>
      <c r="Y543" s="31" t="n"/>
      <c r="Z543" s="31" t="n"/>
      <c r="AA543" s="31" t="n"/>
      <c r="AB543" s="31" t="n"/>
      <c r="AC543" s="31" t="n"/>
      <c r="AD543" s="31" t="n"/>
      <c r="AE543" s="31" t="n"/>
      <c r="AF543" s="27">
        <f>IF(NOT(COUNTA(A543:AE543)&gt;0),"",IF(A543="","New client","Update"))</f>
        <v/>
      </c>
      <c r="AG543" s="27">
        <f>IF(AO543&lt;&gt;"",AO543,IF(LEN(AN543)=15,MID(AN543,3,10),""))</f>
        <v/>
      </c>
      <c r="AH543" s="27">
        <f>IF(AP543="","",AP543&amp;IF(D543="","  (guessed from PAN)",""))</f>
        <v/>
      </c>
      <c r="AI543" s="27">
        <f>IF(AN543="","",IFERROR(INDEX(Lists!$L$2:$L$38,MATCH(LEFT(AN543,2),Lists!$K$2:$K$38,0)),"Unknown code"))</f>
        <v/>
      </c>
      <c r="AJ543" s="27">
        <f>IF(AN543="","",IFERROR(IF(NOT(AND(LEN(AN543)=15,ISNUMBER(MATCH(LEFT(AN543,2),Lists!$K$2:$K$38,0)),SUMPRODUCT(--ISERROR(FIND(MID(MID(AN543,3,10),{1,2,3,4,5,10},1),"ABCDEFGHIJKLMNOPQRSTUVWXYZ")))=0,SUMPRODUCT(--ISERROR(FIND(MID(MID(AN543,3,10),{6,7,8,9},1),"0123456789")))=0,ISNUMBER(FIND(MID(AN543,13,1),"123456789ABCDEFGHIJKLMNOPQRSTUVWXYZ")),MID(AN543,14,1)="Z")),"Wrong format",IF(MID("0123456789ABCDEFGHIJKLMNOPQRSTUVWXYZ",MOD(36-MOD(SUMPRODUCT(INT((FIND(MID(AN543,{1,2,3,4,5,6,7,8,9,10,11,12,13,14},1),"0123456789ABCDEFGHIJKLMNOPQRSTUVWXYZ")-1)*{1,2,1,2,1,2,1,2,1,2,1,2,1,2}/36)+MOD((FIND(MID(AN543,{1,2,3,4,5,6,7,8,9,10,11,12,13,14},1),"0123456789ABCDEFGHIJKLMNOPQRSTUVWXYZ")-1)*{1,2,1,2,1,2,1,2,1,2,1,2,1,2},36)),36),36)+1,1)=MID(AN543,15,1),"OK","Typo? check digit wrong")),"Wrong format"))</f>
        <v/>
      </c>
      <c r="AK543" s="27">
        <f>IF(AO543="","",IF(AND(LEN(AO543)=10,SUMPRODUCT(--ISERROR(FIND(MID(AO543,{1,2,3,4,5,10},1),"ABCDEFGHIJKLMNOPQRSTUVWXYZ")))=0,SUMPRODUCT(--ISERROR(FIND(MID(AO543,{6,7,8,9},1),"0123456789")))=0),"OK","Wrong format"))</f>
        <v/>
      </c>
      <c r="AL543" s="27">
        <f>IF(TRIM(H543)="","",IF(AND(LEN(UPPER(TRIM(H543)))=10,SUMPRODUCT(--ISERROR(FIND(MID(UPPER(TRIM(H543)),{1,2,3,4,10},1),"ABCDEFGHIJKLMNOPQRSTUVWXYZ")))=0,SUMPRODUCT(--ISERROR(FIND(MID(UPPER(TRIM(H543)),{5,6,7,8,9},1),"0123456789")))=0),"OK","Wrong format"))</f>
        <v/>
      </c>
      <c r="AM543" s="28">
        <f>IF(NOT(COUNTA(A543:AE543)&gt;0),"",IF(AS543&lt;&gt;"","✖ "&amp;LEFT(AS543,LEN(AS543)-2),IF(AR543&gt;0,"✔ Ready — client + "&amp;AR543&amp;" service(s)","✔ Ready — client only")))</f>
        <v/>
      </c>
      <c r="AN543" s="29">
        <f>UPPER(SUBSTITUTE(TRIM(F543)," ",""))</f>
        <v/>
      </c>
      <c r="AO543" s="29">
        <f>UPPER(SUBSTITUTE(TRIM(E543)," ",""))</f>
        <v/>
      </c>
      <c r="AP543" s="29">
        <f>IF(D543&lt;&gt;"",D543,IFERROR(VLOOKUP(MID(AG543,4,1),Lists!$E$2:$F$8,2,FALSE),""))</f>
        <v/>
      </c>
      <c r="AQ543" s="29">
        <f>IFERROR(VLOOKUP(AP543,Lists!$A$2:$C$12,3,FALSE),"")</f>
        <v/>
      </c>
      <c r="AR543" s="29">
        <f>COUNTIF(W543:AC543,"Yes")</f>
        <v/>
      </c>
      <c r="AS543" s="29">
        <f>IF(TRIM(B543)="","Legal name missing; ","")&amp;IF(AND(AJ543&lt;&gt;"",AJ543&lt;&gt;"OK"),"GSTIN: "&amp;AJ543&amp;"; ","")&amp;IF(AND(AK543&lt;&gt;"",AK543&lt;&gt;"OK"),"PAN wrong format; ","")&amp;IF(AND(AO543&lt;&gt;"",LEN(AN543)=15,MID(AN543,3,10)&lt;&gt;AO543),"PAN does not match GSTIN; ","")&amp;IF(AND(AL543&lt;&gt;"",AL543&lt;&gt;"OK"),"TAN wrong format; ","")&amp;IF(AG543="","PAN missing; ","")&amp;IF(AP543="","Entity type missing; ","")&amp;IF(AND(AN543&lt;&gt;"",COUNTIF($AN$6:$AN$1005,AN543)&gt;1),"GSTIN repeated in this sheet; ","")&amp;IF(AND(AG543&lt;&gt;"",COUNTIF($AG$6:$AG$1005,AG543)&gt;1),"PAN repeated in this sheet (same client? put extra GSTINs in Other GSTINs); ","")&amp;IF(AND(AR543&gt;0,V543=""),"Financial year missing; ","")&amp;IF(AND(AR543=0,V543&lt;&gt;""),"Financial year given but no service is Yes; ","")&amp;IF(AND(W543="Yes",AN543=""),"GST needs a GSTIN; ","")&amp;IF(AND(W543="Yes",X543=""),"GST return frequency missing; ","")&amp;IF(AND(Y543="Yes",TRIM(H543)=""),"TDS needs a TAN; ","")&amp;IF(AND(AA543="Yes",AQ543&lt;&gt;"",AQ543&lt;&gt;"company",AQ543&lt;&gt;"llp"),"ROC is only for a company / LLP; ","")&amp;IF(AND(AA543="Yes",OR(AQ543="company",AQ543="llp"),TRIM(I543)=""),"ROC needs the CIN / LLPIN; ","")</f>
        <v/>
      </c>
    </row>
    <row r="544">
      <c r="A544" s="30" t="n"/>
      <c r="B544" s="31" t="n"/>
      <c r="C544" s="31" t="n"/>
      <c r="D544" s="31" t="n"/>
      <c r="E544" s="30" t="n"/>
      <c r="F544" s="30" t="n"/>
      <c r="G544" s="30" t="n"/>
      <c r="H544" s="30" t="n"/>
      <c r="I544" s="30" t="n"/>
      <c r="J544" s="32" t="n"/>
      <c r="K544" s="31" t="n"/>
      <c r="L544" s="30" t="n"/>
      <c r="M544" s="31" t="n"/>
      <c r="N544" s="31" t="n"/>
      <c r="O544" s="31" t="n"/>
      <c r="P544" s="30" t="n"/>
      <c r="Q544" s="31" t="n"/>
      <c r="R544" s="31" t="n"/>
      <c r="S544" s="31" t="n"/>
      <c r="T544" s="31" t="n"/>
      <c r="U544" s="30" t="n"/>
      <c r="V544" s="31" t="n"/>
      <c r="W544" s="31" t="n"/>
      <c r="X544" s="31" t="n"/>
      <c r="Y544" s="31" t="n"/>
      <c r="Z544" s="31" t="n"/>
      <c r="AA544" s="31" t="n"/>
      <c r="AB544" s="31" t="n"/>
      <c r="AC544" s="31" t="n"/>
      <c r="AD544" s="31" t="n"/>
      <c r="AE544" s="31" t="n"/>
      <c r="AF544" s="27">
        <f>IF(NOT(COUNTA(A544:AE544)&gt;0),"",IF(A544="","New client","Update"))</f>
        <v/>
      </c>
      <c r="AG544" s="27">
        <f>IF(AO544&lt;&gt;"",AO544,IF(LEN(AN544)=15,MID(AN544,3,10),""))</f>
        <v/>
      </c>
      <c r="AH544" s="27">
        <f>IF(AP544="","",AP544&amp;IF(D544="","  (guessed from PAN)",""))</f>
        <v/>
      </c>
      <c r="AI544" s="27">
        <f>IF(AN544="","",IFERROR(INDEX(Lists!$L$2:$L$38,MATCH(LEFT(AN544,2),Lists!$K$2:$K$38,0)),"Unknown code"))</f>
        <v/>
      </c>
      <c r="AJ544" s="27">
        <f>IF(AN544="","",IFERROR(IF(NOT(AND(LEN(AN544)=15,ISNUMBER(MATCH(LEFT(AN544,2),Lists!$K$2:$K$38,0)),SUMPRODUCT(--ISERROR(FIND(MID(MID(AN544,3,10),{1,2,3,4,5,10},1),"ABCDEFGHIJKLMNOPQRSTUVWXYZ")))=0,SUMPRODUCT(--ISERROR(FIND(MID(MID(AN544,3,10),{6,7,8,9},1),"0123456789")))=0,ISNUMBER(FIND(MID(AN544,13,1),"123456789ABCDEFGHIJKLMNOPQRSTUVWXYZ")),MID(AN544,14,1)="Z")),"Wrong format",IF(MID("0123456789ABCDEFGHIJKLMNOPQRSTUVWXYZ",MOD(36-MOD(SUMPRODUCT(INT((FIND(MID(AN544,{1,2,3,4,5,6,7,8,9,10,11,12,13,14},1),"0123456789ABCDEFGHIJKLMNOPQRSTUVWXYZ")-1)*{1,2,1,2,1,2,1,2,1,2,1,2,1,2}/36)+MOD((FIND(MID(AN544,{1,2,3,4,5,6,7,8,9,10,11,12,13,14},1),"0123456789ABCDEFGHIJKLMNOPQRSTUVWXYZ")-1)*{1,2,1,2,1,2,1,2,1,2,1,2,1,2},36)),36),36)+1,1)=MID(AN544,15,1),"OK","Typo? check digit wrong")),"Wrong format"))</f>
        <v/>
      </c>
      <c r="AK544" s="27">
        <f>IF(AO544="","",IF(AND(LEN(AO544)=10,SUMPRODUCT(--ISERROR(FIND(MID(AO544,{1,2,3,4,5,10},1),"ABCDEFGHIJKLMNOPQRSTUVWXYZ")))=0,SUMPRODUCT(--ISERROR(FIND(MID(AO544,{6,7,8,9},1),"0123456789")))=0),"OK","Wrong format"))</f>
        <v/>
      </c>
      <c r="AL544" s="27">
        <f>IF(TRIM(H544)="","",IF(AND(LEN(UPPER(TRIM(H544)))=10,SUMPRODUCT(--ISERROR(FIND(MID(UPPER(TRIM(H544)),{1,2,3,4,10},1),"ABCDEFGHIJKLMNOPQRSTUVWXYZ")))=0,SUMPRODUCT(--ISERROR(FIND(MID(UPPER(TRIM(H544)),{5,6,7,8,9},1),"0123456789")))=0),"OK","Wrong format"))</f>
        <v/>
      </c>
      <c r="AM544" s="28">
        <f>IF(NOT(COUNTA(A544:AE544)&gt;0),"",IF(AS544&lt;&gt;"","✖ "&amp;LEFT(AS544,LEN(AS544)-2),IF(AR544&gt;0,"✔ Ready — client + "&amp;AR544&amp;" service(s)","✔ Ready — client only")))</f>
        <v/>
      </c>
      <c r="AN544" s="29">
        <f>UPPER(SUBSTITUTE(TRIM(F544)," ",""))</f>
        <v/>
      </c>
      <c r="AO544" s="29">
        <f>UPPER(SUBSTITUTE(TRIM(E544)," ",""))</f>
        <v/>
      </c>
      <c r="AP544" s="29">
        <f>IF(D544&lt;&gt;"",D544,IFERROR(VLOOKUP(MID(AG544,4,1),Lists!$E$2:$F$8,2,FALSE),""))</f>
        <v/>
      </c>
      <c r="AQ544" s="29">
        <f>IFERROR(VLOOKUP(AP544,Lists!$A$2:$C$12,3,FALSE),"")</f>
        <v/>
      </c>
      <c r="AR544" s="29">
        <f>COUNTIF(W544:AC544,"Yes")</f>
        <v/>
      </c>
      <c r="AS544" s="29">
        <f>IF(TRIM(B544)="","Legal name missing; ","")&amp;IF(AND(AJ544&lt;&gt;"",AJ544&lt;&gt;"OK"),"GSTIN: "&amp;AJ544&amp;"; ","")&amp;IF(AND(AK544&lt;&gt;"",AK544&lt;&gt;"OK"),"PAN wrong format; ","")&amp;IF(AND(AO544&lt;&gt;"",LEN(AN544)=15,MID(AN544,3,10)&lt;&gt;AO544),"PAN does not match GSTIN; ","")&amp;IF(AND(AL544&lt;&gt;"",AL544&lt;&gt;"OK"),"TAN wrong format; ","")&amp;IF(AG544="","PAN missing; ","")&amp;IF(AP544="","Entity type missing; ","")&amp;IF(AND(AN544&lt;&gt;"",COUNTIF($AN$6:$AN$1005,AN544)&gt;1),"GSTIN repeated in this sheet; ","")&amp;IF(AND(AG544&lt;&gt;"",COUNTIF($AG$6:$AG$1005,AG544)&gt;1),"PAN repeated in this sheet (same client? put extra GSTINs in Other GSTINs); ","")&amp;IF(AND(AR544&gt;0,V544=""),"Financial year missing; ","")&amp;IF(AND(AR544=0,V544&lt;&gt;""),"Financial year given but no service is Yes; ","")&amp;IF(AND(W544="Yes",AN544=""),"GST needs a GSTIN; ","")&amp;IF(AND(W544="Yes",X544=""),"GST return frequency missing; ","")&amp;IF(AND(Y544="Yes",TRIM(H544)=""),"TDS needs a TAN; ","")&amp;IF(AND(AA544="Yes",AQ544&lt;&gt;"",AQ544&lt;&gt;"company",AQ544&lt;&gt;"llp"),"ROC is only for a company / LLP; ","")&amp;IF(AND(AA544="Yes",OR(AQ544="company",AQ544="llp"),TRIM(I544)=""),"ROC needs the CIN / LLPIN; ","")</f>
        <v/>
      </c>
    </row>
    <row r="545">
      <c r="A545" s="30" t="n"/>
      <c r="B545" s="31" t="n"/>
      <c r="C545" s="31" t="n"/>
      <c r="D545" s="31" t="n"/>
      <c r="E545" s="30" t="n"/>
      <c r="F545" s="30" t="n"/>
      <c r="G545" s="30" t="n"/>
      <c r="H545" s="30" t="n"/>
      <c r="I545" s="30" t="n"/>
      <c r="J545" s="32" t="n"/>
      <c r="K545" s="31" t="n"/>
      <c r="L545" s="30" t="n"/>
      <c r="M545" s="31" t="n"/>
      <c r="N545" s="31" t="n"/>
      <c r="O545" s="31" t="n"/>
      <c r="P545" s="30" t="n"/>
      <c r="Q545" s="31" t="n"/>
      <c r="R545" s="31" t="n"/>
      <c r="S545" s="31" t="n"/>
      <c r="T545" s="31" t="n"/>
      <c r="U545" s="30" t="n"/>
      <c r="V545" s="31" t="n"/>
      <c r="W545" s="31" t="n"/>
      <c r="X545" s="31" t="n"/>
      <c r="Y545" s="31" t="n"/>
      <c r="Z545" s="31" t="n"/>
      <c r="AA545" s="31" t="n"/>
      <c r="AB545" s="31" t="n"/>
      <c r="AC545" s="31" t="n"/>
      <c r="AD545" s="31" t="n"/>
      <c r="AE545" s="31" t="n"/>
      <c r="AF545" s="27">
        <f>IF(NOT(COUNTA(A545:AE545)&gt;0),"",IF(A545="","New client","Update"))</f>
        <v/>
      </c>
      <c r="AG545" s="27">
        <f>IF(AO545&lt;&gt;"",AO545,IF(LEN(AN545)=15,MID(AN545,3,10),""))</f>
        <v/>
      </c>
      <c r="AH545" s="27">
        <f>IF(AP545="","",AP545&amp;IF(D545="","  (guessed from PAN)",""))</f>
        <v/>
      </c>
      <c r="AI545" s="27">
        <f>IF(AN545="","",IFERROR(INDEX(Lists!$L$2:$L$38,MATCH(LEFT(AN545,2),Lists!$K$2:$K$38,0)),"Unknown code"))</f>
        <v/>
      </c>
      <c r="AJ545" s="27">
        <f>IF(AN545="","",IFERROR(IF(NOT(AND(LEN(AN545)=15,ISNUMBER(MATCH(LEFT(AN545,2),Lists!$K$2:$K$38,0)),SUMPRODUCT(--ISERROR(FIND(MID(MID(AN545,3,10),{1,2,3,4,5,10},1),"ABCDEFGHIJKLMNOPQRSTUVWXYZ")))=0,SUMPRODUCT(--ISERROR(FIND(MID(MID(AN545,3,10),{6,7,8,9},1),"0123456789")))=0,ISNUMBER(FIND(MID(AN545,13,1),"123456789ABCDEFGHIJKLMNOPQRSTUVWXYZ")),MID(AN545,14,1)="Z")),"Wrong format",IF(MID("0123456789ABCDEFGHIJKLMNOPQRSTUVWXYZ",MOD(36-MOD(SUMPRODUCT(INT((FIND(MID(AN545,{1,2,3,4,5,6,7,8,9,10,11,12,13,14},1),"0123456789ABCDEFGHIJKLMNOPQRSTUVWXYZ")-1)*{1,2,1,2,1,2,1,2,1,2,1,2,1,2}/36)+MOD((FIND(MID(AN545,{1,2,3,4,5,6,7,8,9,10,11,12,13,14},1),"0123456789ABCDEFGHIJKLMNOPQRSTUVWXYZ")-1)*{1,2,1,2,1,2,1,2,1,2,1,2,1,2},36)),36),36)+1,1)=MID(AN545,15,1),"OK","Typo? check digit wrong")),"Wrong format"))</f>
        <v/>
      </c>
      <c r="AK545" s="27">
        <f>IF(AO545="","",IF(AND(LEN(AO545)=10,SUMPRODUCT(--ISERROR(FIND(MID(AO545,{1,2,3,4,5,10},1),"ABCDEFGHIJKLMNOPQRSTUVWXYZ")))=0,SUMPRODUCT(--ISERROR(FIND(MID(AO545,{6,7,8,9},1),"0123456789")))=0),"OK","Wrong format"))</f>
        <v/>
      </c>
      <c r="AL545" s="27">
        <f>IF(TRIM(H545)="","",IF(AND(LEN(UPPER(TRIM(H545)))=10,SUMPRODUCT(--ISERROR(FIND(MID(UPPER(TRIM(H545)),{1,2,3,4,10},1),"ABCDEFGHIJKLMNOPQRSTUVWXYZ")))=0,SUMPRODUCT(--ISERROR(FIND(MID(UPPER(TRIM(H545)),{5,6,7,8,9},1),"0123456789")))=0),"OK","Wrong format"))</f>
        <v/>
      </c>
      <c r="AM545" s="28">
        <f>IF(NOT(COUNTA(A545:AE545)&gt;0),"",IF(AS545&lt;&gt;"","✖ "&amp;LEFT(AS545,LEN(AS545)-2),IF(AR545&gt;0,"✔ Ready — client + "&amp;AR545&amp;" service(s)","✔ Ready — client only")))</f>
        <v/>
      </c>
      <c r="AN545" s="29">
        <f>UPPER(SUBSTITUTE(TRIM(F545)," ",""))</f>
        <v/>
      </c>
      <c r="AO545" s="29">
        <f>UPPER(SUBSTITUTE(TRIM(E545)," ",""))</f>
        <v/>
      </c>
      <c r="AP545" s="29">
        <f>IF(D545&lt;&gt;"",D545,IFERROR(VLOOKUP(MID(AG545,4,1),Lists!$E$2:$F$8,2,FALSE),""))</f>
        <v/>
      </c>
      <c r="AQ545" s="29">
        <f>IFERROR(VLOOKUP(AP545,Lists!$A$2:$C$12,3,FALSE),"")</f>
        <v/>
      </c>
      <c r="AR545" s="29">
        <f>COUNTIF(W545:AC545,"Yes")</f>
        <v/>
      </c>
      <c r="AS545" s="29">
        <f>IF(TRIM(B545)="","Legal name missing; ","")&amp;IF(AND(AJ545&lt;&gt;"",AJ545&lt;&gt;"OK"),"GSTIN: "&amp;AJ545&amp;"; ","")&amp;IF(AND(AK545&lt;&gt;"",AK545&lt;&gt;"OK"),"PAN wrong format; ","")&amp;IF(AND(AO545&lt;&gt;"",LEN(AN545)=15,MID(AN545,3,10)&lt;&gt;AO545),"PAN does not match GSTIN; ","")&amp;IF(AND(AL545&lt;&gt;"",AL545&lt;&gt;"OK"),"TAN wrong format; ","")&amp;IF(AG545="","PAN missing; ","")&amp;IF(AP545="","Entity type missing; ","")&amp;IF(AND(AN545&lt;&gt;"",COUNTIF($AN$6:$AN$1005,AN545)&gt;1),"GSTIN repeated in this sheet; ","")&amp;IF(AND(AG545&lt;&gt;"",COUNTIF($AG$6:$AG$1005,AG545)&gt;1),"PAN repeated in this sheet (same client? put extra GSTINs in Other GSTINs); ","")&amp;IF(AND(AR545&gt;0,V545=""),"Financial year missing; ","")&amp;IF(AND(AR545=0,V545&lt;&gt;""),"Financial year given but no service is Yes; ","")&amp;IF(AND(W545="Yes",AN545=""),"GST needs a GSTIN; ","")&amp;IF(AND(W545="Yes",X545=""),"GST return frequency missing; ","")&amp;IF(AND(Y545="Yes",TRIM(H545)=""),"TDS needs a TAN; ","")&amp;IF(AND(AA545="Yes",AQ545&lt;&gt;"",AQ545&lt;&gt;"company",AQ545&lt;&gt;"llp"),"ROC is only for a company / LLP; ","")&amp;IF(AND(AA545="Yes",OR(AQ545="company",AQ545="llp"),TRIM(I545)=""),"ROC needs the CIN / LLPIN; ","")</f>
        <v/>
      </c>
    </row>
    <row r="546">
      <c r="A546" s="30" t="n"/>
      <c r="B546" s="31" t="n"/>
      <c r="C546" s="31" t="n"/>
      <c r="D546" s="31" t="n"/>
      <c r="E546" s="30" t="n"/>
      <c r="F546" s="30" t="n"/>
      <c r="G546" s="30" t="n"/>
      <c r="H546" s="30" t="n"/>
      <c r="I546" s="30" t="n"/>
      <c r="J546" s="32" t="n"/>
      <c r="K546" s="31" t="n"/>
      <c r="L546" s="30" t="n"/>
      <c r="M546" s="31" t="n"/>
      <c r="N546" s="31" t="n"/>
      <c r="O546" s="31" t="n"/>
      <c r="P546" s="30" t="n"/>
      <c r="Q546" s="31" t="n"/>
      <c r="R546" s="31" t="n"/>
      <c r="S546" s="31" t="n"/>
      <c r="T546" s="31" t="n"/>
      <c r="U546" s="30" t="n"/>
      <c r="V546" s="31" t="n"/>
      <c r="W546" s="31" t="n"/>
      <c r="X546" s="31" t="n"/>
      <c r="Y546" s="31" t="n"/>
      <c r="Z546" s="31" t="n"/>
      <c r="AA546" s="31" t="n"/>
      <c r="AB546" s="31" t="n"/>
      <c r="AC546" s="31" t="n"/>
      <c r="AD546" s="31" t="n"/>
      <c r="AE546" s="31" t="n"/>
      <c r="AF546" s="27">
        <f>IF(NOT(COUNTA(A546:AE546)&gt;0),"",IF(A546="","New client","Update"))</f>
        <v/>
      </c>
      <c r="AG546" s="27">
        <f>IF(AO546&lt;&gt;"",AO546,IF(LEN(AN546)=15,MID(AN546,3,10),""))</f>
        <v/>
      </c>
      <c r="AH546" s="27">
        <f>IF(AP546="","",AP546&amp;IF(D546="","  (guessed from PAN)",""))</f>
        <v/>
      </c>
      <c r="AI546" s="27">
        <f>IF(AN546="","",IFERROR(INDEX(Lists!$L$2:$L$38,MATCH(LEFT(AN546,2),Lists!$K$2:$K$38,0)),"Unknown code"))</f>
        <v/>
      </c>
      <c r="AJ546" s="27">
        <f>IF(AN546="","",IFERROR(IF(NOT(AND(LEN(AN546)=15,ISNUMBER(MATCH(LEFT(AN546,2),Lists!$K$2:$K$38,0)),SUMPRODUCT(--ISERROR(FIND(MID(MID(AN546,3,10),{1,2,3,4,5,10},1),"ABCDEFGHIJKLMNOPQRSTUVWXYZ")))=0,SUMPRODUCT(--ISERROR(FIND(MID(MID(AN546,3,10),{6,7,8,9},1),"0123456789")))=0,ISNUMBER(FIND(MID(AN546,13,1),"123456789ABCDEFGHIJKLMNOPQRSTUVWXYZ")),MID(AN546,14,1)="Z")),"Wrong format",IF(MID("0123456789ABCDEFGHIJKLMNOPQRSTUVWXYZ",MOD(36-MOD(SUMPRODUCT(INT((FIND(MID(AN546,{1,2,3,4,5,6,7,8,9,10,11,12,13,14},1),"0123456789ABCDEFGHIJKLMNOPQRSTUVWXYZ")-1)*{1,2,1,2,1,2,1,2,1,2,1,2,1,2}/36)+MOD((FIND(MID(AN546,{1,2,3,4,5,6,7,8,9,10,11,12,13,14},1),"0123456789ABCDEFGHIJKLMNOPQRSTUVWXYZ")-1)*{1,2,1,2,1,2,1,2,1,2,1,2,1,2},36)),36),36)+1,1)=MID(AN546,15,1),"OK","Typo? check digit wrong")),"Wrong format"))</f>
        <v/>
      </c>
      <c r="AK546" s="27">
        <f>IF(AO546="","",IF(AND(LEN(AO546)=10,SUMPRODUCT(--ISERROR(FIND(MID(AO546,{1,2,3,4,5,10},1),"ABCDEFGHIJKLMNOPQRSTUVWXYZ")))=0,SUMPRODUCT(--ISERROR(FIND(MID(AO546,{6,7,8,9},1),"0123456789")))=0),"OK","Wrong format"))</f>
        <v/>
      </c>
      <c r="AL546" s="27">
        <f>IF(TRIM(H546)="","",IF(AND(LEN(UPPER(TRIM(H546)))=10,SUMPRODUCT(--ISERROR(FIND(MID(UPPER(TRIM(H546)),{1,2,3,4,10},1),"ABCDEFGHIJKLMNOPQRSTUVWXYZ")))=0,SUMPRODUCT(--ISERROR(FIND(MID(UPPER(TRIM(H546)),{5,6,7,8,9},1),"0123456789")))=0),"OK","Wrong format"))</f>
        <v/>
      </c>
      <c r="AM546" s="28">
        <f>IF(NOT(COUNTA(A546:AE546)&gt;0),"",IF(AS546&lt;&gt;"","✖ "&amp;LEFT(AS546,LEN(AS546)-2),IF(AR546&gt;0,"✔ Ready — client + "&amp;AR546&amp;" service(s)","✔ Ready — client only")))</f>
        <v/>
      </c>
      <c r="AN546" s="29">
        <f>UPPER(SUBSTITUTE(TRIM(F546)," ",""))</f>
        <v/>
      </c>
      <c r="AO546" s="29">
        <f>UPPER(SUBSTITUTE(TRIM(E546)," ",""))</f>
        <v/>
      </c>
      <c r="AP546" s="29">
        <f>IF(D546&lt;&gt;"",D546,IFERROR(VLOOKUP(MID(AG546,4,1),Lists!$E$2:$F$8,2,FALSE),""))</f>
        <v/>
      </c>
      <c r="AQ546" s="29">
        <f>IFERROR(VLOOKUP(AP546,Lists!$A$2:$C$12,3,FALSE),"")</f>
        <v/>
      </c>
      <c r="AR546" s="29">
        <f>COUNTIF(W546:AC546,"Yes")</f>
        <v/>
      </c>
      <c r="AS546" s="29">
        <f>IF(TRIM(B546)="","Legal name missing; ","")&amp;IF(AND(AJ546&lt;&gt;"",AJ546&lt;&gt;"OK"),"GSTIN: "&amp;AJ546&amp;"; ","")&amp;IF(AND(AK546&lt;&gt;"",AK546&lt;&gt;"OK"),"PAN wrong format; ","")&amp;IF(AND(AO546&lt;&gt;"",LEN(AN546)=15,MID(AN546,3,10)&lt;&gt;AO546),"PAN does not match GSTIN; ","")&amp;IF(AND(AL546&lt;&gt;"",AL546&lt;&gt;"OK"),"TAN wrong format; ","")&amp;IF(AG546="","PAN missing; ","")&amp;IF(AP546="","Entity type missing; ","")&amp;IF(AND(AN546&lt;&gt;"",COUNTIF($AN$6:$AN$1005,AN546)&gt;1),"GSTIN repeated in this sheet; ","")&amp;IF(AND(AG546&lt;&gt;"",COUNTIF($AG$6:$AG$1005,AG546)&gt;1),"PAN repeated in this sheet (same client? put extra GSTINs in Other GSTINs); ","")&amp;IF(AND(AR546&gt;0,V546=""),"Financial year missing; ","")&amp;IF(AND(AR546=0,V546&lt;&gt;""),"Financial year given but no service is Yes; ","")&amp;IF(AND(W546="Yes",AN546=""),"GST needs a GSTIN; ","")&amp;IF(AND(W546="Yes",X546=""),"GST return frequency missing; ","")&amp;IF(AND(Y546="Yes",TRIM(H546)=""),"TDS needs a TAN; ","")&amp;IF(AND(AA546="Yes",AQ546&lt;&gt;"",AQ546&lt;&gt;"company",AQ546&lt;&gt;"llp"),"ROC is only for a company / LLP; ","")&amp;IF(AND(AA546="Yes",OR(AQ546="company",AQ546="llp"),TRIM(I546)=""),"ROC needs the CIN / LLPIN; ","")</f>
        <v/>
      </c>
    </row>
    <row r="547">
      <c r="A547" s="30" t="n"/>
      <c r="B547" s="31" t="n"/>
      <c r="C547" s="31" t="n"/>
      <c r="D547" s="31" t="n"/>
      <c r="E547" s="30" t="n"/>
      <c r="F547" s="30" t="n"/>
      <c r="G547" s="30" t="n"/>
      <c r="H547" s="30" t="n"/>
      <c r="I547" s="30" t="n"/>
      <c r="J547" s="32" t="n"/>
      <c r="K547" s="31" t="n"/>
      <c r="L547" s="30" t="n"/>
      <c r="M547" s="31" t="n"/>
      <c r="N547" s="31" t="n"/>
      <c r="O547" s="31" t="n"/>
      <c r="P547" s="30" t="n"/>
      <c r="Q547" s="31" t="n"/>
      <c r="R547" s="31" t="n"/>
      <c r="S547" s="31" t="n"/>
      <c r="T547" s="31" t="n"/>
      <c r="U547" s="30" t="n"/>
      <c r="V547" s="31" t="n"/>
      <c r="W547" s="31" t="n"/>
      <c r="X547" s="31" t="n"/>
      <c r="Y547" s="31" t="n"/>
      <c r="Z547" s="31" t="n"/>
      <c r="AA547" s="31" t="n"/>
      <c r="AB547" s="31" t="n"/>
      <c r="AC547" s="31" t="n"/>
      <c r="AD547" s="31" t="n"/>
      <c r="AE547" s="31" t="n"/>
      <c r="AF547" s="27">
        <f>IF(NOT(COUNTA(A547:AE547)&gt;0),"",IF(A547="","New client","Update"))</f>
        <v/>
      </c>
      <c r="AG547" s="27">
        <f>IF(AO547&lt;&gt;"",AO547,IF(LEN(AN547)=15,MID(AN547,3,10),""))</f>
        <v/>
      </c>
      <c r="AH547" s="27">
        <f>IF(AP547="","",AP547&amp;IF(D547="","  (guessed from PAN)",""))</f>
        <v/>
      </c>
      <c r="AI547" s="27">
        <f>IF(AN547="","",IFERROR(INDEX(Lists!$L$2:$L$38,MATCH(LEFT(AN547,2),Lists!$K$2:$K$38,0)),"Unknown code"))</f>
        <v/>
      </c>
      <c r="AJ547" s="27">
        <f>IF(AN547="","",IFERROR(IF(NOT(AND(LEN(AN547)=15,ISNUMBER(MATCH(LEFT(AN547,2),Lists!$K$2:$K$38,0)),SUMPRODUCT(--ISERROR(FIND(MID(MID(AN547,3,10),{1,2,3,4,5,10},1),"ABCDEFGHIJKLMNOPQRSTUVWXYZ")))=0,SUMPRODUCT(--ISERROR(FIND(MID(MID(AN547,3,10),{6,7,8,9},1),"0123456789")))=0,ISNUMBER(FIND(MID(AN547,13,1),"123456789ABCDEFGHIJKLMNOPQRSTUVWXYZ")),MID(AN547,14,1)="Z")),"Wrong format",IF(MID("0123456789ABCDEFGHIJKLMNOPQRSTUVWXYZ",MOD(36-MOD(SUMPRODUCT(INT((FIND(MID(AN547,{1,2,3,4,5,6,7,8,9,10,11,12,13,14},1),"0123456789ABCDEFGHIJKLMNOPQRSTUVWXYZ")-1)*{1,2,1,2,1,2,1,2,1,2,1,2,1,2}/36)+MOD((FIND(MID(AN547,{1,2,3,4,5,6,7,8,9,10,11,12,13,14},1),"0123456789ABCDEFGHIJKLMNOPQRSTUVWXYZ")-1)*{1,2,1,2,1,2,1,2,1,2,1,2,1,2},36)),36),36)+1,1)=MID(AN547,15,1),"OK","Typo? check digit wrong")),"Wrong format"))</f>
        <v/>
      </c>
      <c r="AK547" s="27">
        <f>IF(AO547="","",IF(AND(LEN(AO547)=10,SUMPRODUCT(--ISERROR(FIND(MID(AO547,{1,2,3,4,5,10},1),"ABCDEFGHIJKLMNOPQRSTUVWXYZ")))=0,SUMPRODUCT(--ISERROR(FIND(MID(AO547,{6,7,8,9},1),"0123456789")))=0),"OK","Wrong format"))</f>
        <v/>
      </c>
      <c r="AL547" s="27">
        <f>IF(TRIM(H547)="","",IF(AND(LEN(UPPER(TRIM(H547)))=10,SUMPRODUCT(--ISERROR(FIND(MID(UPPER(TRIM(H547)),{1,2,3,4,10},1),"ABCDEFGHIJKLMNOPQRSTUVWXYZ")))=0,SUMPRODUCT(--ISERROR(FIND(MID(UPPER(TRIM(H547)),{5,6,7,8,9},1),"0123456789")))=0),"OK","Wrong format"))</f>
        <v/>
      </c>
      <c r="AM547" s="28">
        <f>IF(NOT(COUNTA(A547:AE547)&gt;0),"",IF(AS547&lt;&gt;"","✖ "&amp;LEFT(AS547,LEN(AS547)-2),IF(AR547&gt;0,"✔ Ready — client + "&amp;AR547&amp;" service(s)","✔ Ready — client only")))</f>
        <v/>
      </c>
      <c r="AN547" s="29">
        <f>UPPER(SUBSTITUTE(TRIM(F547)," ",""))</f>
        <v/>
      </c>
      <c r="AO547" s="29">
        <f>UPPER(SUBSTITUTE(TRIM(E547)," ",""))</f>
        <v/>
      </c>
      <c r="AP547" s="29">
        <f>IF(D547&lt;&gt;"",D547,IFERROR(VLOOKUP(MID(AG547,4,1),Lists!$E$2:$F$8,2,FALSE),""))</f>
        <v/>
      </c>
      <c r="AQ547" s="29">
        <f>IFERROR(VLOOKUP(AP547,Lists!$A$2:$C$12,3,FALSE),"")</f>
        <v/>
      </c>
      <c r="AR547" s="29">
        <f>COUNTIF(W547:AC547,"Yes")</f>
        <v/>
      </c>
      <c r="AS547" s="29">
        <f>IF(TRIM(B547)="","Legal name missing; ","")&amp;IF(AND(AJ547&lt;&gt;"",AJ547&lt;&gt;"OK"),"GSTIN: "&amp;AJ547&amp;"; ","")&amp;IF(AND(AK547&lt;&gt;"",AK547&lt;&gt;"OK"),"PAN wrong format; ","")&amp;IF(AND(AO547&lt;&gt;"",LEN(AN547)=15,MID(AN547,3,10)&lt;&gt;AO547),"PAN does not match GSTIN; ","")&amp;IF(AND(AL547&lt;&gt;"",AL547&lt;&gt;"OK"),"TAN wrong format; ","")&amp;IF(AG547="","PAN missing; ","")&amp;IF(AP547="","Entity type missing; ","")&amp;IF(AND(AN547&lt;&gt;"",COUNTIF($AN$6:$AN$1005,AN547)&gt;1),"GSTIN repeated in this sheet; ","")&amp;IF(AND(AG547&lt;&gt;"",COUNTIF($AG$6:$AG$1005,AG547)&gt;1),"PAN repeated in this sheet (same client? put extra GSTINs in Other GSTINs); ","")&amp;IF(AND(AR547&gt;0,V547=""),"Financial year missing; ","")&amp;IF(AND(AR547=0,V547&lt;&gt;""),"Financial year given but no service is Yes; ","")&amp;IF(AND(W547="Yes",AN547=""),"GST needs a GSTIN; ","")&amp;IF(AND(W547="Yes",X547=""),"GST return frequency missing; ","")&amp;IF(AND(Y547="Yes",TRIM(H547)=""),"TDS needs a TAN; ","")&amp;IF(AND(AA547="Yes",AQ547&lt;&gt;"",AQ547&lt;&gt;"company",AQ547&lt;&gt;"llp"),"ROC is only for a company / LLP; ","")&amp;IF(AND(AA547="Yes",OR(AQ547="company",AQ547="llp"),TRIM(I547)=""),"ROC needs the CIN / LLPIN; ","")</f>
        <v/>
      </c>
    </row>
    <row r="548">
      <c r="A548" s="30" t="n"/>
      <c r="B548" s="31" t="n"/>
      <c r="C548" s="31" t="n"/>
      <c r="D548" s="31" t="n"/>
      <c r="E548" s="30" t="n"/>
      <c r="F548" s="30" t="n"/>
      <c r="G548" s="30" t="n"/>
      <c r="H548" s="30" t="n"/>
      <c r="I548" s="30" t="n"/>
      <c r="J548" s="32" t="n"/>
      <c r="K548" s="31" t="n"/>
      <c r="L548" s="30" t="n"/>
      <c r="M548" s="31" t="n"/>
      <c r="N548" s="31" t="n"/>
      <c r="O548" s="31" t="n"/>
      <c r="P548" s="30" t="n"/>
      <c r="Q548" s="31" t="n"/>
      <c r="R548" s="31" t="n"/>
      <c r="S548" s="31" t="n"/>
      <c r="T548" s="31" t="n"/>
      <c r="U548" s="30" t="n"/>
      <c r="V548" s="31" t="n"/>
      <c r="W548" s="31" t="n"/>
      <c r="X548" s="31" t="n"/>
      <c r="Y548" s="31" t="n"/>
      <c r="Z548" s="31" t="n"/>
      <c r="AA548" s="31" t="n"/>
      <c r="AB548" s="31" t="n"/>
      <c r="AC548" s="31" t="n"/>
      <c r="AD548" s="31" t="n"/>
      <c r="AE548" s="31" t="n"/>
      <c r="AF548" s="27">
        <f>IF(NOT(COUNTA(A548:AE548)&gt;0),"",IF(A548="","New client","Update"))</f>
        <v/>
      </c>
      <c r="AG548" s="27">
        <f>IF(AO548&lt;&gt;"",AO548,IF(LEN(AN548)=15,MID(AN548,3,10),""))</f>
        <v/>
      </c>
      <c r="AH548" s="27">
        <f>IF(AP548="","",AP548&amp;IF(D548="","  (guessed from PAN)",""))</f>
        <v/>
      </c>
      <c r="AI548" s="27">
        <f>IF(AN548="","",IFERROR(INDEX(Lists!$L$2:$L$38,MATCH(LEFT(AN548,2),Lists!$K$2:$K$38,0)),"Unknown code"))</f>
        <v/>
      </c>
      <c r="AJ548" s="27">
        <f>IF(AN548="","",IFERROR(IF(NOT(AND(LEN(AN548)=15,ISNUMBER(MATCH(LEFT(AN548,2),Lists!$K$2:$K$38,0)),SUMPRODUCT(--ISERROR(FIND(MID(MID(AN548,3,10),{1,2,3,4,5,10},1),"ABCDEFGHIJKLMNOPQRSTUVWXYZ")))=0,SUMPRODUCT(--ISERROR(FIND(MID(MID(AN548,3,10),{6,7,8,9},1),"0123456789")))=0,ISNUMBER(FIND(MID(AN548,13,1),"123456789ABCDEFGHIJKLMNOPQRSTUVWXYZ")),MID(AN548,14,1)="Z")),"Wrong format",IF(MID("0123456789ABCDEFGHIJKLMNOPQRSTUVWXYZ",MOD(36-MOD(SUMPRODUCT(INT((FIND(MID(AN548,{1,2,3,4,5,6,7,8,9,10,11,12,13,14},1),"0123456789ABCDEFGHIJKLMNOPQRSTUVWXYZ")-1)*{1,2,1,2,1,2,1,2,1,2,1,2,1,2}/36)+MOD((FIND(MID(AN548,{1,2,3,4,5,6,7,8,9,10,11,12,13,14},1),"0123456789ABCDEFGHIJKLMNOPQRSTUVWXYZ")-1)*{1,2,1,2,1,2,1,2,1,2,1,2,1,2},36)),36),36)+1,1)=MID(AN548,15,1),"OK","Typo? check digit wrong")),"Wrong format"))</f>
        <v/>
      </c>
      <c r="AK548" s="27">
        <f>IF(AO548="","",IF(AND(LEN(AO548)=10,SUMPRODUCT(--ISERROR(FIND(MID(AO548,{1,2,3,4,5,10},1),"ABCDEFGHIJKLMNOPQRSTUVWXYZ")))=0,SUMPRODUCT(--ISERROR(FIND(MID(AO548,{6,7,8,9},1),"0123456789")))=0),"OK","Wrong format"))</f>
        <v/>
      </c>
      <c r="AL548" s="27">
        <f>IF(TRIM(H548)="","",IF(AND(LEN(UPPER(TRIM(H548)))=10,SUMPRODUCT(--ISERROR(FIND(MID(UPPER(TRIM(H548)),{1,2,3,4,10},1),"ABCDEFGHIJKLMNOPQRSTUVWXYZ")))=0,SUMPRODUCT(--ISERROR(FIND(MID(UPPER(TRIM(H548)),{5,6,7,8,9},1),"0123456789")))=0),"OK","Wrong format"))</f>
        <v/>
      </c>
      <c r="AM548" s="28">
        <f>IF(NOT(COUNTA(A548:AE548)&gt;0),"",IF(AS548&lt;&gt;"","✖ "&amp;LEFT(AS548,LEN(AS548)-2),IF(AR548&gt;0,"✔ Ready — client + "&amp;AR548&amp;" service(s)","✔ Ready — client only")))</f>
        <v/>
      </c>
      <c r="AN548" s="29">
        <f>UPPER(SUBSTITUTE(TRIM(F548)," ",""))</f>
        <v/>
      </c>
      <c r="AO548" s="29">
        <f>UPPER(SUBSTITUTE(TRIM(E548)," ",""))</f>
        <v/>
      </c>
      <c r="AP548" s="29">
        <f>IF(D548&lt;&gt;"",D548,IFERROR(VLOOKUP(MID(AG548,4,1),Lists!$E$2:$F$8,2,FALSE),""))</f>
        <v/>
      </c>
      <c r="AQ548" s="29">
        <f>IFERROR(VLOOKUP(AP548,Lists!$A$2:$C$12,3,FALSE),"")</f>
        <v/>
      </c>
      <c r="AR548" s="29">
        <f>COUNTIF(W548:AC548,"Yes")</f>
        <v/>
      </c>
      <c r="AS548" s="29">
        <f>IF(TRIM(B548)="","Legal name missing; ","")&amp;IF(AND(AJ548&lt;&gt;"",AJ548&lt;&gt;"OK"),"GSTIN: "&amp;AJ548&amp;"; ","")&amp;IF(AND(AK548&lt;&gt;"",AK548&lt;&gt;"OK"),"PAN wrong format; ","")&amp;IF(AND(AO548&lt;&gt;"",LEN(AN548)=15,MID(AN548,3,10)&lt;&gt;AO548),"PAN does not match GSTIN; ","")&amp;IF(AND(AL548&lt;&gt;"",AL548&lt;&gt;"OK"),"TAN wrong format; ","")&amp;IF(AG548="","PAN missing; ","")&amp;IF(AP548="","Entity type missing; ","")&amp;IF(AND(AN548&lt;&gt;"",COUNTIF($AN$6:$AN$1005,AN548)&gt;1),"GSTIN repeated in this sheet; ","")&amp;IF(AND(AG548&lt;&gt;"",COUNTIF($AG$6:$AG$1005,AG548)&gt;1),"PAN repeated in this sheet (same client? put extra GSTINs in Other GSTINs); ","")&amp;IF(AND(AR548&gt;0,V548=""),"Financial year missing; ","")&amp;IF(AND(AR548=0,V548&lt;&gt;""),"Financial year given but no service is Yes; ","")&amp;IF(AND(W548="Yes",AN548=""),"GST needs a GSTIN; ","")&amp;IF(AND(W548="Yes",X548=""),"GST return frequency missing; ","")&amp;IF(AND(Y548="Yes",TRIM(H548)=""),"TDS needs a TAN; ","")&amp;IF(AND(AA548="Yes",AQ548&lt;&gt;"",AQ548&lt;&gt;"company",AQ548&lt;&gt;"llp"),"ROC is only for a company / LLP; ","")&amp;IF(AND(AA548="Yes",OR(AQ548="company",AQ548="llp"),TRIM(I548)=""),"ROC needs the CIN / LLPIN; ","")</f>
        <v/>
      </c>
    </row>
    <row r="549">
      <c r="A549" s="30" t="n"/>
      <c r="B549" s="31" t="n"/>
      <c r="C549" s="31" t="n"/>
      <c r="D549" s="31" t="n"/>
      <c r="E549" s="30" t="n"/>
      <c r="F549" s="30" t="n"/>
      <c r="G549" s="30" t="n"/>
      <c r="H549" s="30" t="n"/>
      <c r="I549" s="30" t="n"/>
      <c r="J549" s="32" t="n"/>
      <c r="K549" s="31" t="n"/>
      <c r="L549" s="30" t="n"/>
      <c r="M549" s="31" t="n"/>
      <c r="N549" s="31" t="n"/>
      <c r="O549" s="31" t="n"/>
      <c r="P549" s="30" t="n"/>
      <c r="Q549" s="31" t="n"/>
      <c r="R549" s="31" t="n"/>
      <c r="S549" s="31" t="n"/>
      <c r="T549" s="31" t="n"/>
      <c r="U549" s="30" t="n"/>
      <c r="V549" s="31" t="n"/>
      <c r="W549" s="31" t="n"/>
      <c r="X549" s="31" t="n"/>
      <c r="Y549" s="31" t="n"/>
      <c r="Z549" s="31" t="n"/>
      <c r="AA549" s="31" t="n"/>
      <c r="AB549" s="31" t="n"/>
      <c r="AC549" s="31" t="n"/>
      <c r="AD549" s="31" t="n"/>
      <c r="AE549" s="31" t="n"/>
      <c r="AF549" s="27">
        <f>IF(NOT(COUNTA(A549:AE549)&gt;0),"",IF(A549="","New client","Update"))</f>
        <v/>
      </c>
      <c r="AG549" s="27">
        <f>IF(AO549&lt;&gt;"",AO549,IF(LEN(AN549)=15,MID(AN549,3,10),""))</f>
        <v/>
      </c>
      <c r="AH549" s="27">
        <f>IF(AP549="","",AP549&amp;IF(D549="","  (guessed from PAN)",""))</f>
        <v/>
      </c>
      <c r="AI549" s="27">
        <f>IF(AN549="","",IFERROR(INDEX(Lists!$L$2:$L$38,MATCH(LEFT(AN549,2),Lists!$K$2:$K$38,0)),"Unknown code"))</f>
        <v/>
      </c>
      <c r="AJ549" s="27">
        <f>IF(AN549="","",IFERROR(IF(NOT(AND(LEN(AN549)=15,ISNUMBER(MATCH(LEFT(AN549,2),Lists!$K$2:$K$38,0)),SUMPRODUCT(--ISERROR(FIND(MID(MID(AN549,3,10),{1,2,3,4,5,10},1),"ABCDEFGHIJKLMNOPQRSTUVWXYZ")))=0,SUMPRODUCT(--ISERROR(FIND(MID(MID(AN549,3,10),{6,7,8,9},1),"0123456789")))=0,ISNUMBER(FIND(MID(AN549,13,1),"123456789ABCDEFGHIJKLMNOPQRSTUVWXYZ")),MID(AN549,14,1)="Z")),"Wrong format",IF(MID("0123456789ABCDEFGHIJKLMNOPQRSTUVWXYZ",MOD(36-MOD(SUMPRODUCT(INT((FIND(MID(AN549,{1,2,3,4,5,6,7,8,9,10,11,12,13,14},1),"0123456789ABCDEFGHIJKLMNOPQRSTUVWXYZ")-1)*{1,2,1,2,1,2,1,2,1,2,1,2,1,2}/36)+MOD((FIND(MID(AN549,{1,2,3,4,5,6,7,8,9,10,11,12,13,14},1),"0123456789ABCDEFGHIJKLMNOPQRSTUVWXYZ")-1)*{1,2,1,2,1,2,1,2,1,2,1,2,1,2},36)),36),36)+1,1)=MID(AN549,15,1),"OK","Typo? check digit wrong")),"Wrong format"))</f>
        <v/>
      </c>
      <c r="AK549" s="27">
        <f>IF(AO549="","",IF(AND(LEN(AO549)=10,SUMPRODUCT(--ISERROR(FIND(MID(AO549,{1,2,3,4,5,10},1),"ABCDEFGHIJKLMNOPQRSTUVWXYZ")))=0,SUMPRODUCT(--ISERROR(FIND(MID(AO549,{6,7,8,9},1),"0123456789")))=0),"OK","Wrong format"))</f>
        <v/>
      </c>
      <c r="AL549" s="27">
        <f>IF(TRIM(H549)="","",IF(AND(LEN(UPPER(TRIM(H549)))=10,SUMPRODUCT(--ISERROR(FIND(MID(UPPER(TRIM(H549)),{1,2,3,4,10},1),"ABCDEFGHIJKLMNOPQRSTUVWXYZ")))=0,SUMPRODUCT(--ISERROR(FIND(MID(UPPER(TRIM(H549)),{5,6,7,8,9},1),"0123456789")))=0),"OK","Wrong format"))</f>
        <v/>
      </c>
      <c r="AM549" s="28">
        <f>IF(NOT(COUNTA(A549:AE549)&gt;0),"",IF(AS549&lt;&gt;"","✖ "&amp;LEFT(AS549,LEN(AS549)-2),IF(AR549&gt;0,"✔ Ready — client + "&amp;AR549&amp;" service(s)","✔ Ready — client only")))</f>
        <v/>
      </c>
      <c r="AN549" s="29">
        <f>UPPER(SUBSTITUTE(TRIM(F549)," ",""))</f>
        <v/>
      </c>
      <c r="AO549" s="29">
        <f>UPPER(SUBSTITUTE(TRIM(E549)," ",""))</f>
        <v/>
      </c>
      <c r="AP549" s="29">
        <f>IF(D549&lt;&gt;"",D549,IFERROR(VLOOKUP(MID(AG549,4,1),Lists!$E$2:$F$8,2,FALSE),""))</f>
        <v/>
      </c>
      <c r="AQ549" s="29">
        <f>IFERROR(VLOOKUP(AP549,Lists!$A$2:$C$12,3,FALSE),"")</f>
        <v/>
      </c>
      <c r="AR549" s="29">
        <f>COUNTIF(W549:AC549,"Yes")</f>
        <v/>
      </c>
      <c r="AS549" s="29">
        <f>IF(TRIM(B549)="","Legal name missing; ","")&amp;IF(AND(AJ549&lt;&gt;"",AJ549&lt;&gt;"OK"),"GSTIN: "&amp;AJ549&amp;"; ","")&amp;IF(AND(AK549&lt;&gt;"",AK549&lt;&gt;"OK"),"PAN wrong format; ","")&amp;IF(AND(AO549&lt;&gt;"",LEN(AN549)=15,MID(AN549,3,10)&lt;&gt;AO549),"PAN does not match GSTIN; ","")&amp;IF(AND(AL549&lt;&gt;"",AL549&lt;&gt;"OK"),"TAN wrong format; ","")&amp;IF(AG549="","PAN missing; ","")&amp;IF(AP549="","Entity type missing; ","")&amp;IF(AND(AN549&lt;&gt;"",COUNTIF($AN$6:$AN$1005,AN549)&gt;1),"GSTIN repeated in this sheet; ","")&amp;IF(AND(AG549&lt;&gt;"",COUNTIF($AG$6:$AG$1005,AG549)&gt;1),"PAN repeated in this sheet (same client? put extra GSTINs in Other GSTINs); ","")&amp;IF(AND(AR549&gt;0,V549=""),"Financial year missing; ","")&amp;IF(AND(AR549=0,V549&lt;&gt;""),"Financial year given but no service is Yes; ","")&amp;IF(AND(W549="Yes",AN549=""),"GST needs a GSTIN; ","")&amp;IF(AND(W549="Yes",X549=""),"GST return frequency missing; ","")&amp;IF(AND(Y549="Yes",TRIM(H549)=""),"TDS needs a TAN; ","")&amp;IF(AND(AA549="Yes",AQ549&lt;&gt;"",AQ549&lt;&gt;"company",AQ549&lt;&gt;"llp"),"ROC is only for a company / LLP; ","")&amp;IF(AND(AA549="Yes",OR(AQ549="company",AQ549="llp"),TRIM(I549)=""),"ROC needs the CIN / LLPIN; ","")</f>
        <v/>
      </c>
    </row>
    <row r="550">
      <c r="A550" s="30" t="n"/>
      <c r="B550" s="31" t="n"/>
      <c r="C550" s="31" t="n"/>
      <c r="D550" s="31" t="n"/>
      <c r="E550" s="30" t="n"/>
      <c r="F550" s="30" t="n"/>
      <c r="G550" s="30" t="n"/>
      <c r="H550" s="30" t="n"/>
      <c r="I550" s="30" t="n"/>
      <c r="J550" s="32" t="n"/>
      <c r="K550" s="31" t="n"/>
      <c r="L550" s="30" t="n"/>
      <c r="M550" s="31" t="n"/>
      <c r="N550" s="31" t="n"/>
      <c r="O550" s="31" t="n"/>
      <c r="P550" s="30" t="n"/>
      <c r="Q550" s="31" t="n"/>
      <c r="R550" s="31" t="n"/>
      <c r="S550" s="31" t="n"/>
      <c r="T550" s="31" t="n"/>
      <c r="U550" s="30" t="n"/>
      <c r="V550" s="31" t="n"/>
      <c r="W550" s="31" t="n"/>
      <c r="X550" s="31" t="n"/>
      <c r="Y550" s="31" t="n"/>
      <c r="Z550" s="31" t="n"/>
      <c r="AA550" s="31" t="n"/>
      <c r="AB550" s="31" t="n"/>
      <c r="AC550" s="31" t="n"/>
      <c r="AD550" s="31" t="n"/>
      <c r="AE550" s="31" t="n"/>
      <c r="AF550" s="27">
        <f>IF(NOT(COUNTA(A550:AE550)&gt;0),"",IF(A550="","New client","Update"))</f>
        <v/>
      </c>
      <c r="AG550" s="27">
        <f>IF(AO550&lt;&gt;"",AO550,IF(LEN(AN550)=15,MID(AN550,3,10),""))</f>
        <v/>
      </c>
      <c r="AH550" s="27">
        <f>IF(AP550="","",AP550&amp;IF(D550="","  (guessed from PAN)",""))</f>
        <v/>
      </c>
      <c r="AI550" s="27">
        <f>IF(AN550="","",IFERROR(INDEX(Lists!$L$2:$L$38,MATCH(LEFT(AN550,2),Lists!$K$2:$K$38,0)),"Unknown code"))</f>
        <v/>
      </c>
      <c r="AJ550" s="27">
        <f>IF(AN550="","",IFERROR(IF(NOT(AND(LEN(AN550)=15,ISNUMBER(MATCH(LEFT(AN550,2),Lists!$K$2:$K$38,0)),SUMPRODUCT(--ISERROR(FIND(MID(MID(AN550,3,10),{1,2,3,4,5,10},1),"ABCDEFGHIJKLMNOPQRSTUVWXYZ")))=0,SUMPRODUCT(--ISERROR(FIND(MID(MID(AN550,3,10),{6,7,8,9},1),"0123456789")))=0,ISNUMBER(FIND(MID(AN550,13,1),"123456789ABCDEFGHIJKLMNOPQRSTUVWXYZ")),MID(AN550,14,1)="Z")),"Wrong format",IF(MID("0123456789ABCDEFGHIJKLMNOPQRSTUVWXYZ",MOD(36-MOD(SUMPRODUCT(INT((FIND(MID(AN550,{1,2,3,4,5,6,7,8,9,10,11,12,13,14},1),"0123456789ABCDEFGHIJKLMNOPQRSTUVWXYZ")-1)*{1,2,1,2,1,2,1,2,1,2,1,2,1,2}/36)+MOD((FIND(MID(AN550,{1,2,3,4,5,6,7,8,9,10,11,12,13,14},1),"0123456789ABCDEFGHIJKLMNOPQRSTUVWXYZ")-1)*{1,2,1,2,1,2,1,2,1,2,1,2,1,2},36)),36),36)+1,1)=MID(AN550,15,1),"OK","Typo? check digit wrong")),"Wrong format"))</f>
        <v/>
      </c>
      <c r="AK550" s="27">
        <f>IF(AO550="","",IF(AND(LEN(AO550)=10,SUMPRODUCT(--ISERROR(FIND(MID(AO550,{1,2,3,4,5,10},1),"ABCDEFGHIJKLMNOPQRSTUVWXYZ")))=0,SUMPRODUCT(--ISERROR(FIND(MID(AO550,{6,7,8,9},1),"0123456789")))=0),"OK","Wrong format"))</f>
        <v/>
      </c>
      <c r="AL550" s="27">
        <f>IF(TRIM(H550)="","",IF(AND(LEN(UPPER(TRIM(H550)))=10,SUMPRODUCT(--ISERROR(FIND(MID(UPPER(TRIM(H550)),{1,2,3,4,10},1),"ABCDEFGHIJKLMNOPQRSTUVWXYZ")))=0,SUMPRODUCT(--ISERROR(FIND(MID(UPPER(TRIM(H550)),{5,6,7,8,9},1),"0123456789")))=0),"OK","Wrong format"))</f>
        <v/>
      </c>
      <c r="AM550" s="28">
        <f>IF(NOT(COUNTA(A550:AE550)&gt;0),"",IF(AS550&lt;&gt;"","✖ "&amp;LEFT(AS550,LEN(AS550)-2),IF(AR550&gt;0,"✔ Ready — client + "&amp;AR550&amp;" service(s)","✔ Ready — client only")))</f>
        <v/>
      </c>
      <c r="AN550" s="29">
        <f>UPPER(SUBSTITUTE(TRIM(F550)," ",""))</f>
        <v/>
      </c>
      <c r="AO550" s="29">
        <f>UPPER(SUBSTITUTE(TRIM(E550)," ",""))</f>
        <v/>
      </c>
      <c r="AP550" s="29">
        <f>IF(D550&lt;&gt;"",D550,IFERROR(VLOOKUP(MID(AG550,4,1),Lists!$E$2:$F$8,2,FALSE),""))</f>
        <v/>
      </c>
      <c r="AQ550" s="29">
        <f>IFERROR(VLOOKUP(AP550,Lists!$A$2:$C$12,3,FALSE),"")</f>
        <v/>
      </c>
      <c r="AR550" s="29">
        <f>COUNTIF(W550:AC550,"Yes")</f>
        <v/>
      </c>
      <c r="AS550" s="29">
        <f>IF(TRIM(B550)="","Legal name missing; ","")&amp;IF(AND(AJ550&lt;&gt;"",AJ550&lt;&gt;"OK"),"GSTIN: "&amp;AJ550&amp;"; ","")&amp;IF(AND(AK550&lt;&gt;"",AK550&lt;&gt;"OK"),"PAN wrong format; ","")&amp;IF(AND(AO550&lt;&gt;"",LEN(AN550)=15,MID(AN550,3,10)&lt;&gt;AO550),"PAN does not match GSTIN; ","")&amp;IF(AND(AL550&lt;&gt;"",AL550&lt;&gt;"OK"),"TAN wrong format; ","")&amp;IF(AG550="","PAN missing; ","")&amp;IF(AP550="","Entity type missing; ","")&amp;IF(AND(AN550&lt;&gt;"",COUNTIF($AN$6:$AN$1005,AN550)&gt;1),"GSTIN repeated in this sheet; ","")&amp;IF(AND(AG550&lt;&gt;"",COUNTIF($AG$6:$AG$1005,AG550)&gt;1),"PAN repeated in this sheet (same client? put extra GSTINs in Other GSTINs); ","")&amp;IF(AND(AR550&gt;0,V550=""),"Financial year missing; ","")&amp;IF(AND(AR550=0,V550&lt;&gt;""),"Financial year given but no service is Yes; ","")&amp;IF(AND(W550="Yes",AN550=""),"GST needs a GSTIN; ","")&amp;IF(AND(W550="Yes",X550=""),"GST return frequency missing; ","")&amp;IF(AND(Y550="Yes",TRIM(H550)=""),"TDS needs a TAN; ","")&amp;IF(AND(AA550="Yes",AQ550&lt;&gt;"",AQ550&lt;&gt;"company",AQ550&lt;&gt;"llp"),"ROC is only for a company / LLP; ","")&amp;IF(AND(AA550="Yes",OR(AQ550="company",AQ550="llp"),TRIM(I550)=""),"ROC needs the CIN / LLPIN; ","")</f>
        <v/>
      </c>
    </row>
    <row r="551">
      <c r="A551" s="30" t="n"/>
      <c r="B551" s="31" t="n"/>
      <c r="C551" s="31" t="n"/>
      <c r="D551" s="31" t="n"/>
      <c r="E551" s="30" t="n"/>
      <c r="F551" s="30" t="n"/>
      <c r="G551" s="30" t="n"/>
      <c r="H551" s="30" t="n"/>
      <c r="I551" s="30" t="n"/>
      <c r="J551" s="32" t="n"/>
      <c r="K551" s="31" t="n"/>
      <c r="L551" s="30" t="n"/>
      <c r="M551" s="31" t="n"/>
      <c r="N551" s="31" t="n"/>
      <c r="O551" s="31" t="n"/>
      <c r="P551" s="30" t="n"/>
      <c r="Q551" s="31" t="n"/>
      <c r="R551" s="31" t="n"/>
      <c r="S551" s="31" t="n"/>
      <c r="T551" s="31" t="n"/>
      <c r="U551" s="30" t="n"/>
      <c r="V551" s="31" t="n"/>
      <c r="W551" s="31" t="n"/>
      <c r="X551" s="31" t="n"/>
      <c r="Y551" s="31" t="n"/>
      <c r="Z551" s="31" t="n"/>
      <c r="AA551" s="31" t="n"/>
      <c r="AB551" s="31" t="n"/>
      <c r="AC551" s="31" t="n"/>
      <c r="AD551" s="31" t="n"/>
      <c r="AE551" s="31" t="n"/>
      <c r="AF551" s="27">
        <f>IF(NOT(COUNTA(A551:AE551)&gt;0),"",IF(A551="","New client","Update"))</f>
        <v/>
      </c>
      <c r="AG551" s="27">
        <f>IF(AO551&lt;&gt;"",AO551,IF(LEN(AN551)=15,MID(AN551,3,10),""))</f>
        <v/>
      </c>
      <c r="AH551" s="27">
        <f>IF(AP551="","",AP551&amp;IF(D551="","  (guessed from PAN)",""))</f>
        <v/>
      </c>
      <c r="AI551" s="27">
        <f>IF(AN551="","",IFERROR(INDEX(Lists!$L$2:$L$38,MATCH(LEFT(AN551,2),Lists!$K$2:$K$38,0)),"Unknown code"))</f>
        <v/>
      </c>
      <c r="AJ551" s="27">
        <f>IF(AN551="","",IFERROR(IF(NOT(AND(LEN(AN551)=15,ISNUMBER(MATCH(LEFT(AN551,2),Lists!$K$2:$K$38,0)),SUMPRODUCT(--ISERROR(FIND(MID(MID(AN551,3,10),{1,2,3,4,5,10},1),"ABCDEFGHIJKLMNOPQRSTUVWXYZ")))=0,SUMPRODUCT(--ISERROR(FIND(MID(MID(AN551,3,10),{6,7,8,9},1),"0123456789")))=0,ISNUMBER(FIND(MID(AN551,13,1),"123456789ABCDEFGHIJKLMNOPQRSTUVWXYZ")),MID(AN551,14,1)="Z")),"Wrong format",IF(MID("0123456789ABCDEFGHIJKLMNOPQRSTUVWXYZ",MOD(36-MOD(SUMPRODUCT(INT((FIND(MID(AN551,{1,2,3,4,5,6,7,8,9,10,11,12,13,14},1),"0123456789ABCDEFGHIJKLMNOPQRSTUVWXYZ")-1)*{1,2,1,2,1,2,1,2,1,2,1,2,1,2}/36)+MOD((FIND(MID(AN551,{1,2,3,4,5,6,7,8,9,10,11,12,13,14},1),"0123456789ABCDEFGHIJKLMNOPQRSTUVWXYZ")-1)*{1,2,1,2,1,2,1,2,1,2,1,2,1,2},36)),36),36)+1,1)=MID(AN551,15,1),"OK","Typo? check digit wrong")),"Wrong format"))</f>
        <v/>
      </c>
      <c r="AK551" s="27">
        <f>IF(AO551="","",IF(AND(LEN(AO551)=10,SUMPRODUCT(--ISERROR(FIND(MID(AO551,{1,2,3,4,5,10},1),"ABCDEFGHIJKLMNOPQRSTUVWXYZ")))=0,SUMPRODUCT(--ISERROR(FIND(MID(AO551,{6,7,8,9},1),"0123456789")))=0),"OK","Wrong format"))</f>
        <v/>
      </c>
      <c r="AL551" s="27">
        <f>IF(TRIM(H551)="","",IF(AND(LEN(UPPER(TRIM(H551)))=10,SUMPRODUCT(--ISERROR(FIND(MID(UPPER(TRIM(H551)),{1,2,3,4,10},1),"ABCDEFGHIJKLMNOPQRSTUVWXYZ")))=0,SUMPRODUCT(--ISERROR(FIND(MID(UPPER(TRIM(H551)),{5,6,7,8,9},1),"0123456789")))=0),"OK","Wrong format"))</f>
        <v/>
      </c>
      <c r="AM551" s="28">
        <f>IF(NOT(COUNTA(A551:AE551)&gt;0),"",IF(AS551&lt;&gt;"","✖ "&amp;LEFT(AS551,LEN(AS551)-2),IF(AR551&gt;0,"✔ Ready — client + "&amp;AR551&amp;" service(s)","✔ Ready — client only")))</f>
        <v/>
      </c>
      <c r="AN551" s="29">
        <f>UPPER(SUBSTITUTE(TRIM(F551)," ",""))</f>
        <v/>
      </c>
      <c r="AO551" s="29">
        <f>UPPER(SUBSTITUTE(TRIM(E551)," ",""))</f>
        <v/>
      </c>
      <c r="AP551" s="29">
        <f>IF(D551&lt;&gt;"",D551,IFERROR(VLOOKUP(MID(AG551,4,1),Lists!$E$2:$F$8,2,FALSE),""))</f>
        <v/>
      </c>
      <c r="AQ551" s="29">
        <f>IFERROR(VLOOKUP(AP551,Lists!$A$2:$C$12,3,FALSE),"")</f>
        <v/>
      </c>
      <c r="AR551" s="29">
        <f>COUNTIF(W551:AC551,"Yes")</f>
        <v/>
      </c>
      <c r="AS551" s="29">
        <f>IF(TRIM(B551)="","Legal name missing; ","")&amp;IF(AND(AJ551&lt;&gt;"",AJ551&lt;&gt;"OK"),"GSTIN: "&amp;AJ551&amp;"; ","")&amp;IF(AND(AK551&lt;&gt;"",AK551&lt;&gt;"OK"),"PAN wrong format; ","")&amp;IF(AND(AO551&lt;&gt;"",LEN(AN551)=15,MID(AN551,3,10)&lt;&gt;AO551),"PAN does not match GSTIN; ","")&amp;IF(AND(AL551&lt;&gt;"",AL551&lt;&gt;"OK"),"TAN wrong format; ","")&amp;IF(AG551="","PAN missing; ","")&amp;IF(AP551="","Entity type missing; ","")&amp;IF(AND(AN551&lt;&gt;"",COUNTIF($AN$6:$AN$1005,AN551)&gt;1),"GSTIN repeated in this sheet; ","")&amp;IF(AND(AG551&lt;&gt;"",COUNTIF($AG$6:$AG$1005,AG551)&gt;1),"PAN repeated in this sheet (same client? put extra GSTINs in Other GSTINs); ","")&amp;IF(AND(AR551&gt;0,V551=""),"Financial year missing; ","")&amp;IF(AND(AR551=0,V551&lt;&gt;""),"Financial year given but no service is Yes; ","")&amp;IF(AND(W551="Yes",AN551=""),"GST needs a GSTIN; ","")&amp;IF(AND(W551="Yes",X551=""),"GST return frequency missing; ","")&amp;IF(AND(Y551="Yes",TRIM(H551)=""),"TDS needs a TAN; ","")&amp;IF(AND(AA551="Yes",AQ551&lt;&gt;"",AQ551&lt;&gt;"company",AQ551&lt;&gt;"llp"),"ROC is only for a company / LLP; ","")&amp;IF(AND(AA551="Yes",OR(AQ551="company",AQ551="llp"),TRIM(I551)=""),"ROC needs the CIN / LLPIN; ","")</f>
        <v/>
      </c>
    </row>
    <row r="552">
      <c r="A552" s="30" t="n"/>
      <c r="B552" s="31" t="n"/>
      <c r="C552" s="31" t="n"/>
      <c r="D552" s="31" t="n"/>
      <c r="E552" s="30" t="n"/>
      <c r="F552" s="30" t="n"/>
      <c r="G552" s="30" t="n"/>
      <c r="H552" s="30" t="n"/>
      <c r="I552" s="30" t="n"/>
      <c r="J552" s="32" t="n"/>
      <c r="K552" s="31" t="n"/>
      <c r="L552" s="30" t="n"/>
      <c r="M552" s="31" t="n"/>
      <c r="N552" s="31" t="n"/>
      <c r="O552" s="31" t="n"/>
      <c r="P552" s="30" t="n"/>
      <c r="Q552" s="31" t="n"/>
      <c r="R552" s="31" t="n"/>
      <c r="S552" s="31" t="n"/>
      <c r="T552" s="31" t="n"/>
      <c r="U552" s="30" t="n"/>
      <c r="V552" s="31" t="n"/>
      <c r="W552" s="31" t="n"/>
      <c r="X552" s="31" t="n"/>
      <c r="Y552" s="31" t="n"/>
      <c r="Z552" s="31" t="n"/>
      <c r="AA552" s="31" t="n"/>
      <c r="AB552" s="31" t="n"/>
      <c r="AC552" s="31" t="n"/>
      <c r="AD552" s="31" t="n"/>
      <c r="AE552" s="31" t="n"/>
      <c r="AF552" s="27">
        <f>IF(NOT(COUNTA(A552:AE552)&gt;0),"",IF(A552="","New client","Update"))</f>
        <v/>
      </c>
      <c r="AG552" s="27">
        <f>IF(AO552&lt;&gt;"",AO552,IF(LEN(AN552)=15,MID(AN552,3,10),""))</f>
        <v/>
      </c>
      <c r="AH552" s="27">
        <f>IF(AP552="","",AP552&amp;IF(D552="","  (guessed from PAN)",""))</f>
        <v/>
      </c>
      <c r="AI552" s="27">
        <f>IF(AN552="","",IFERROR(INDEX(Lists!$L$2:$L$38,MATCH(LEFT(AN552,2),Lists!$K$2:$K$38,0)),"Unknown code"))</f>
        <v/>
      </c>
      <c r="AJ552" s="27">
        <f>IF(AN552="","",IFERROR(IF(NOT(AND(LEN(AN552)=15,ISNUMBER(MATCH(LEFT(AN552,2),Lists!$K$2:$K$38,0)),SUMPRODUCT(--ISERROR(FIND(MID(MID(AN552,3,10),{1,2,3,4,5,10},1),"ABCDEFGHIJKLMNOPQRSTUVWXYZ")))=0,SUMPRODUCT(--ISERROR(FIND(MID(MID(AN552,3,10),{6,7,8,9},1),"0123456789")))=0,ISNUMBER(FIND(MID(AN552,13,1),"123456789ABCDEFGHIJKLMNOPQRSTUVWXYZ")),MID(AN552,14,1)="Z")),"Wrong format",IF(MID("0123456789ABCDEFGHIJKLMNOPQRSTUVWXYZ",MOD(36-MOD(SUMPRODUCT(INT((FIND(MID(AN552,{1,2,3,4,5,6,7,8,9,10,11,12,13,14},1),"0123456789ABCDEFGHIJKLMNOPQRSTUVWXYZ")-1)*{1,2,1,2,1,2,1,2,1,2,1,2,1,2}/36)+MOD((FIND(MID(AN552,{1,2,3,4,5,6,7,8,9,10,11,12,13,14},1),"0123456789ABCDEFGHIJKLMNOPQRSTUVWXYZ")-1)*{1,2,1,2,1,2,1,2,1,2,1,2,1,2},36)),36),36)+1,1)=MID(AN552,15,1),"OK","Typo? check digit wrong")),"Wrong format"))</f>
        <v/>
      </c>
      <c r="AK552" s="27">
        <f>IF(AO552="","",IF(AND(LEN(AO552)=10,SUMPRODUCT(--ISERROR(FIND(MID(AO552,{1,2,3,4,5,10},1),"ABCDEFGHIJKLMNOPQRSTUVWXYZ")))=0,SUMPRODUCT(--ISERROR(FIND(MID(AO552,{6,7,8,9},1),"0123456789")))=0),"OK","Wrong format"))</f>
        <v/>
      </c>
      <c r="AL552" s="27">
        <f>IF(TRIM(H552)="","",IF(AND(LEN(UPPER(TRIM(H552)))=10,SUMPRODUCT(--ISERROR(FIND(MID(UPPER(TRIM(H552)),{1,2,3,4,10},1),"ABCDEFGHIJKLMNOPQRSTUVWXYZ")))=0,SUMPRODUCT(--ISERROR(FIND(MID(UPPER(TRIM(H552)),{5,6,7,8,9},1),"0123456789")))=0),"OK","Wrong format"))</f>
        <v/>
      </c>
      <c r="AM552" s="28">
        <f>IF(NOT(COUNTA(A552:AE552)&gt;0),"",IF(AS552&lt;&gt;"","✖ "&amp;LEFT(AS552,LEN(AS552)-2),IF(AR552&gt;0,"✔ Ready — client + "&amp;AR552&amp;" service(s)","✔ Ready — client only")))</f>
        <v/>
      </c>
      <c r="AN552" s="29">
        <f>UPPER(SUBSTITUTE(TRIM(F552)," ",""))</f>
        <v/>
      </c>
      <c r="AO552" s="29">
        <f>UPPER(SUBSTITUTE(TRIM(E552)," ",""))</f>
        <v/>
      </c>
      <c r="AP552" s="29">
        <f>IF(D552&lt;&gt;"",D552,IFERROR(VLOOKUP(MID(AG552,4,1),Lists!$E$2:$F$8,2,FALSE),""))</f>
        <v/>
      </c>
      <c r="AQ552" s="29">
        <f>IFERROR(VLOOKUP(AP552,Lists!$A$2:$C$12,3,FALSE),"")</f>
        <v/>
      </c>
      <c r="AR552" s="29">
        <f>COUNTIF(W552:AC552,"Yes")</f>
        <v/>
      </c>
      <c r="AS552" s="29">
        <f>IF(TRIM(B552)="","Legal name missing; ","")&amp;IF(AND(AJ552&lt;&gt;"",AJ552&lt;&gt;"OK"),"GSTIN: "&amp;AJ552&amp;"; ","")&amp;IF(AND(AK552&lt;&gt;"",AK552&lt;&gt;"OK"),"PAN wrong format; ","")&amp;IF(AND(AO552&lt;&gt;"",LEN(AN552)=15,MID(AN552,3,10)&lt;&gt;AO552),"PAN does not match GSTIN; ","")&amp;IF(AND(AL552&lt;&gt;"",AL552&lt;&gt;"OK"),"TAN wrong format; ","")&amp;IF(AG552="","PAN missing; ","")&amp;IF(AP552="","Entity type missing; ","")&amp;IF(AND(AN552&lt;&gt;"",COUNTIF($AN$6:$AN$1005,AN552)&gt;1),"GSTIN repeated in this sheet; ","")&amp;IF(AND(AG552&lt;&gt;"",COUNTIF($AG$6:$AG$1005,AG552)&gt;1),"PAN repeated in this sheet (same client? put extra GSTINs in Other GSTINs); ","")&amp;IF(AND(AR552&gt;0,V552=""),"Financial year missing; ","")&amp;IF(AND(AR552=0,V552&lt;&gt;""),"Financial year given but no service is Yes; ","")&amp;IF(AND(W552="Yes",AN552=""),"GST needs a GSTIN; ","")&amp;IF(AND(W552="Yes",X552=""),"GST return frequency missing; ","")&amp;IF(AND(Y552="Yes",TRIM(H552)=""),"TDS needs a TAN; ","")&amp;IF(AND(AA552="Yes",AQ552&lt;&gt;"",AQ552&lt;&gt;"company",AQ552&lt;&gt;"llp"),"ROC is only for a company / LLP; ","")&amp;IF(AND(AA552="Yes",OR(AQ552="company",AQ552="llp"),TRIM(I552)=""),"ROC needs the CIN / LLPIN; ","")</f>
        <v/>
      </c>
    </row>
    <row r="553">
      <c r="A553" s="30" t="n"/>
      <c r="B553" s="31" t="n"/>
      <c r="C553" s="31" t="n"/>
      <c r="D553" s="31" t="n"/>
      <c r="E553" s="30" t="n"/>
      <c r="F553" s="30" t="n"/>
      <c r="G553" s="30" t="n"/>
      <c r="H553" s="30" t="n"/>
      <c r="I553" s="30" t="n"/>
      <c r="J553" s="32" t="n"/>
      <c r="K553" s="31" t="n"/>
      <c r="L553" s="30" t="n"/>
      <c r="M553" s="31" t="n"/>
      <c r="N553" s="31" t="n"/>
      <c r="O553" s="31" t="n"/>
      <c r="P553" s="30" t="n"/>
      <c r="Q553" s="31" t="n"/>
      <c r="R553" s="31" t="n"/>
      <c r="S553" s="31" t="n"/>
      <c r="T553" s="31" t="n"/>
      <c r="U553" s="30" t="n"/>
      <c r="V553" s="31" t="n"/>
      <c r="W553" s="31" t="n"/>
      <c r="X553" s="31" t="n"/>
      <c r="Y553" s="31" t="n"/>
      <c r="Z553" s="31" t="n"/>
      <c r="AA553" s="31" t="n"/>
      <c r="AB553" s="31" t="n"/>
      <c r="AC553" s="31" t="n"/>
      <c r="AD553" s="31" t="n"/>
      <c r="AE553" s="31" t="n"/>
      <c r="AF553" s="27">
        <f>IF(NOT(COUNTA(A553:AE553)&gt;0),"",IF(A553="","New client","Update"))</f>
        <v/>
      </c>
      <c r="AG553" s="27">
        <f>IF(AO553&lt;&gt;"",AO553,IF(LEN(AN553)=15,MID(AN553,3,10),""))</f>
        <v/>
      </c>
      <c r="AH553" s="27">
        <f>IF(AP553="","",AP553&amp;IF(D553="","  (guessed from PAN)",""))</f>
        <v/>
      </c>
      <c r="AI553" s="27">
        <f>IF(AN553="","",IFERROR(INDEX(Lists!$L$2:$L$38,MATCH(LEFT(AN553,2),Lists!$K$2:$K$38,0)),"Unknown code"))</f>
        <v/>
      </c>
      <c r="AJ553" s="27">
        <f>IF(AN553="","",IFERROR(IF(NOT(AND(LEN(AN553)=15,ISNUMBER(MATCH(LEFT(AN553,2),Lists!$K$2:$K$38,0)),SUMPRODUCT(--ISERROR(FIND(MID(MID(AN553,3,10),{1,2,3,4,5,10},1),"ABCDEFGHIJKLMNOPQRSTUVWXYZ")))=0,SUMPRODUCT(--ISERROR(FIND(MID(MID(AN553,3,10),{6,7,8,9},1),"0123456789")))=0,ISNUMBER(FIND(MID(AN553,13,1),"123456789ABCDEFGHIJKLMNOPQRSTUVWXYZ")),MID(AN553,14,1)="Z")),"Wrong format",IF(MID("0123456789ABCDEFGHIJKLMNOPQRSTUVWXYZ",MOD(36-MOD(SUMPRODUCT(INT((FIND(MID(AN553,{1,2,3,4,5,6,7,8,9,10,11,12,13,14},1),"0123456789ABCDEFGHIJKLMNOPQRSTUVWXYZ")-1)*{1,2,1,2,1,2,1,2,1,2,1,2,1,2}/36)+MOD((FIND(MID(AN553,{1,2,3,4,5,6,7,8,9,10,11,12,13,14},1),"0123456789ABCDEFGHIJKLMNOPQRSTUVWXYZ")-1)*{1,2,1,2,1,2,1,2,1,2,1,2,1,2},36)),36),36)+1,1)=MID(AN553,15,1),"OK","Typo? check digit wrong")),"Wrong format"))</f>
        <v/>
      </c>
      <c r="AK553" s="27">
        <f>IF(AO553="","",IF(AND(LEN(AO553)=10,SUMPRODUCT(--ISERROR(FIND(MID(AO553,{1,2,3,4,5,10},1),"ABCDEFGHIJKLMNOPQRSTUVWXYZ")))=0,SUMPRODUCT(--ISERROR(FIND(MID(AO553,{6,7,8,9},1),"0123456789")))=0),"OK","Wrong format"))</f>
        <v/>
      </c>
      <c r="AL553" s="27">
        <f>IF(TRIM(H553)="","",IF(AND(LEN(UPPER(TRIM(H553)))=10,SUMPRODUCT(--ISERROR(FIND(MID(UPPER(TRIM(H553)),{1,2,3,4,10},1),"ABCDEFGHIJKLMNOPQRSTUVWXYZ")))=0,SUMPRODUCT(--ISERROR(FIND(MID(UPPER(TRIM(H553)),{5,6,7,8,9},1),"0123456789")))=0),"OK","Wrong format"))</f>
        <v/>
      </c>
      <c r="AM553" s="28">
        <f>IF(NOT(COUNTA(A553:AE553)&gt;0),"",IF(AS553&lt;&gt;"","✖ "&amp;LEFT(AS553,LEN(AS553)-2),IF(AR553&gt;0,"✔ Ready — client + "&amp;AR553&amp;" service(s)","✔ Ready — client only")))</f>
        <v/>
      </c>
      <c r="AN553" s="29">
        <f>UPPER(SUBSTITUTE(TRIM(F553)," ",""))</f>
        <v/>
      </c>
      <c r="AO553" s="29">
        <f>UPPER(SUBSTITUTE(TRIM(E553)," ",""))</f>
        <v/>
      </c>
      <c r="AP553" s="29">
        <f>IF(D553&lt;&gt;"",D553,IFERROR(VLOOKUP(MID(AG553,4,1),Lists!$E$2:$F$8,2,FALSE),""))</f>
        <v/>
      </c>
      <c r="AQ553" s="29">
        <f>IFERROR(VLOOKUP(AP553,Lists!$A$2:$C$12,3,FALSE),"")</f>
        <v/>
      </c>
      <c r="AR553" s="29">
        <f>COUNTIF(W553:AC553,"Yes")</f>
        <v/>
      </c>
      <c r="AS553" s="29">
        <f>IF(TRIM(B553)="","Legal name missing; ","")&amp;IF(AND(AJ553&lt;&gt;"",AJ553&lt;&gt;"OK"),"GSTIN: "&amp;AJ553&amp;"; ","")&amp;IF(AND(AK553&lt;&gt;"",AK553&lt;&gt;"OK"),"PAN wrong format; ","")&amp;IF(AND(AO553&lt;&gt;"",LEN(AN553)=15,MID(AN553,3,10)&lt;&gt;AO553),"PAN does not match GSTIN; ","")&amp;IF(AND(AL553&lt;&gt;"",AL553&lt;&gt;"OK"),"TAN wrong format; ","")&amp;IF(AG553="","PAN missing; ","")&amp;IF(AP553="","Entity type missing; ","")&amp;IF(AND(AN553&lt;&gt;"",COUNTIF($AN$6:$AN$1005,AN553)&gt;1),"GSTIN repeated in this sheet; ","")&amp;IF(AND(AG553&lt;&gt;"",COUNTIF($AG$6:$AG$1005,AG553)&gt;1),"PAN repeated in this sheet (same client? put extra GSTINs in Other GSTINs); ","")&amp;IF(AND(AR553&gt;0,V553=""),"Financial year missing; ","")&amp;IF(AND(AR553=0,V553&lt;&gt;""),"Financial year given but no service is Yes; ","")&amp;IF(AND(W553="Yes",AN553=""),"GST needs a GSTIN; ","")&amp;IF(AND(W553="Yes",X553=""),"GST return frequency missing; ","")&amp;IF(AND(Y553="Yes",TRIM(H553)=""),"TDS needs a TAN; ","")&amp;IF(AND(AA553="Yes",AQ553&lt;&gt;"",AQ553&lt;&gt;"company",AQ553&lt;&gt;"llp"),"ROC is only for a company / LLP; ","")&amp;IF(AND(AA553="Yes",OR(AQ553="company",AQ553="llp"),TRIM(I553)=""),"ROC needs the CIN / LLPIN; ","")</f>
        <v/>
      </c>
    </row>
    <row r="554">
      <c r="A554" s="30" t="n"/>
      <c r="B554" s="31" t="n"/>
      <c r="C554" s="31" t="n"/>
      <c r="D554" s="31" t="n"/>
      <c r="E554" s="30" t="n"/>
      <c r="F554" s="30" t="n"/>
      <c r="G554" s="30" t="n"/>
      <c r="H554" s="30" t="n"/>
      <c r="I554" s="30" t="n"/>
      <c r="J554" s="32" t="n"/>
      <c r="K554" s="31" t="n"/>
      <c r="L554" s="30" t="n"/>
      <c r="M554" s="31" t="n"/>
      <c r="N554" s="31" t="n"/>
      <c r="O554" s="31" t="n"/>
      <c r="P554" s="30" t="n"/>
      <c r="Q554" s="31" t="n"/>
      <c r="R554" s="31" t="n"/>
      <c r="S554" s="31" t="n"/>
      <c r="T554" s="31" t="n"/>
      <c r="U554" s="30" t="n"/>
      <c r="V554" s="31" t="n"/>
      <c r="W554" s="31" t="n"/>
      <c r="X554" s="31" t="n"/>
      <c r="Y554" s="31" t="n"/>
      <c r="Z554" s="31" t="n"/>
      <c r="AA554" s="31" t="n"/>
      <c r="AB554" s="31" t="n"/>
      <c r="AC554" s="31" t="n"/>
      <c r="AD554" s="31" t="n"/>
      <c r="AE554" s="31" t="n"/>
      <c r="AF554" s="27">
        <f>IF(NOT(COUNTA(A554:AE554)&gt;0),"",IF(A554="","New client","Update"))</f>
        <v/>
      </c>
      <c r="AG554" s="27">
        <f>IF(AO554&lt;&gt;"",AO554,IF(LEN(AN554)=15,MID(AN554,3,10),""))</f>
        <v/>
      </c>
      <c r="AH554" s="27">
        <f>IF(AP554="","",AP554&amp;IF(D554="","  (guessed from PAN)",""))</f>
        <v/>
      </c>
      <c r="AI554" s="27">
        <f>IF(AN554="","",IFERROR(INDEX(Lists!$L$2:$L$38,MATCH(LEFT(AN554,2),Lists!$K$2:$K$38,0)),"Unknown code"))</f>
        <v/>
      </c>
      <c r="AJ554" s="27">
        <f>IF(AN554="","",IFERROR(IF(NOT(AND(LEN(AN554)=15,ISNUMBER(MATCH(LEFT(AN554,2),Lists!$K$2:$K$38,0)),SUMPRODUCT(--ISERROR(FIND(MID(MID(AN554,3,10),{1,2,3,4,5,10},1),"ABCDEFGHIJKLMNOPQRSTUVWXYZ")))=0,SUMPRODUCT(--ISERROR(FIND(MID(MID(AN554,3,10),{6,7,8,9},1),"0123456789")))=0,ISNUMBER(FIND(MID(AN554,13,1),"123456789ABCDEFGHIJKLMNOPQRSTUVWXYZ")),MID(AN554,14,1)="Z")),"Wrong format",IF(MID("0123456789ABCDEFGHIJKLMNOPQRSTUVWXYZ",MOD(36-MOD(SUMPRODUCT(INT((FIND(MID(AN554,{1,2,3,4,5,6,7,8,9,10,11,12,13,14},1),"0123456789ABCDEFGHIJKLMNOPQRSTUVWXYZ")-1)*{1,2,1,2,1,2,1,2,1,2,1,2,1,2}/36)+MOD((FIND(MID(AN554,{1,2,3,4,5,6,7,8,9,10,11,12,13,14},1),"0123456789ABCDEFGHIJKLMNOPQRSTUVWXYZ")-1)*{1,2,1,2,1,2,1,2,1,2,1,2,1,2},36)),36),36)+1,1)=MID(AN554,15,1),"OK","Typo? check digit wrong")),"Wrong format"))</f>
        <v/>
      </c>
      <c r="AK554" s="27">
        <f>IF(AO554="","",IF(AND(LEN(AO554)=10,SUMPRODUCT(--ISERROR(FIND(MID(AO554,{1,2,3,4,5,10},1),"ABCDEFGHIJKLMNOPQRSTUVWXYZ")))=0,SUMPRODUCT(--ISERROR(FIND(MID(AO554,{6,7,8,9},1),"0123456789")))=0),"OK","Wrong format"))</f>
        <v/>
      </c>
      <c r="AL554" s="27">
        <f>IF(TRIM(H554)="","",IF(AND(LEN(UPPER(TRIM(H554)))=10,SUMPRODUCT(--ISERROR(FIND(MID(UPPER(TRIM(H554)),{1,2,3,4,10},1),"ABCDEFGHIJKLMNOPQRSTUVWXYZ")))=0,SUMPRODUCT(--ISERROR(FIND(MID(UPPER(TRIM(H554)),{5,6,7,8,9},1),"0123456789")))=0),"OK","Wrong format"))</f>
        <v/>
      </c>
      <c r="AM554" s="28">
        <f>IF(NOT(COUNTA(A554:AE554)&gt;0),"",IF(AS554&lt;&gt;"","✖ "&amp;LEFT(AS554,LEN(AS554)-2),IF(AR554&gt;0,"✔ Ready — client + "&amp;AR554&amp;" service(s)","✔ Ready — client only")))</f>
        <v/>
      </c>
      <c r="AN554" s="29">
        <f>UPPER(SUBSTITUTE(TRIM(F554)," ",""))</f>
        <v/>
      </c>
      <c r="AO554" s="29">
        <f>UPPER(SUBSTITUTE(TRIM(E554)," ",""))</f>
        <v/>
      </c>
      <c r="AP554" s="29">
        <f>IF(D554&lt;&gt;"",D554,IFERROR(VLOOKUP(MID(AG554,4,1),Lists!$E$2:$F$8,2,FALSE),""))</f>
        <v/>
      </c>
      <c r="AQ554" s="29">
        <f>IFERROR(VLOOKUP(AP554,Lists!$A$2:$C$12,3,FALSE),"")</f>
        <v/>
      </c>
      <c r="AR554" s="29">
        <f>COUNTIF(W554:AC554,"Yes")</f>
        <v/>
      </c>
      <c r="AS554" s="29">
        <f>IF(TRIM(B554)="","Legal name missing; ","")&amp;IF(AND(AJ554&lt;&gt;"",AJ554&lt;&gt;"OK"),"GSTIN: "&amp;AJ554&amp;"; ","")&amp;IF(AND(AK554&lt;&gt;"",AK554&lt;&gt;"OK"),"PAN wrong format; ","")&amp;IF(AND(AO554&lt;&gt;"",LEN(AN554)=15,MID(AN554,3,10)&lt;&gt;AO554),"PAN does not match GSTIN; ","")&amp;IF(AND(AL554&lt;&gt;"",AL554&lt;&gt;"OK"),"TAN wrong format; ","")&amp;IF(AG554="","PAN missing; ","")&amp;IF(AP554="","Entity type missing; ","")&amp;IF(AND(AN554&lt;&gt;"",COUNTIF($AN$6:$AN$1005,AN554)&gt;1),"GSTIN repeated in this sheet; ","")&amp;IF(AND(AG554&lt;&gt;"",COUNTIF($AG$6:$AG$1005,AG554)&gt;1),"PAN repeated in this sheet (same client? put extra GSTINs in Other GSTINs); ","")&amp;IF(AND(AR554&gt;0,V554=""),"Financial year missing; ","")&amp;IF(AND(AR554=0,V554&lt;&gt;""),"Financial year given but no service is Yes; ","")&amp;IF(AND(W554="Yes",AN554=""),"GST needs a GSTIN; ","")&amp;IF(AND(W554="Yes",X554=""),"GST return frequency missing; ","")&amp;IF(AND(Y554="Yes",TRIM(H554)=""),"TDS needs a TAN; ","")&amp;IF(AND(AA554="Yes",AQ554&lt;&gt;"",AQ554&lt;&gt;"company",AQ554&lt;&gt;"llp"),"ROC is only for a company / LLP; ","")&amp;IF(AND(AA554="Yes",OR(AQ554="company",AQ554="llp"),TRIM(I554)=""),"ROC needs the CIN / LLPIN; ","")</f>
        <v/>
      </c>
    </row>
    <row r="555">
      <c r="A555" s="30" t="n"/>
      <c r="B555" s="31" t="n"/>
      <c r="C555" s="31" t="n"/>
      <c r="D555" s="31" t="n"/>
      <c r="E555" s="30" t="n"/>
      <c r="F555" s="30" t="n"/>
      <c r="G555" s="30" t="n"/>
      <c r="H555" s="30" t="n"/>
      <c r="I555" s="30" t="n"/>
      <c r="J555" s="32" t="n"/>
      <c r="K555" s="31" t="n"/>
      <c r="L555" s="30" t="n"/>
      <c r="M555" s="31" t="n"/>
      <c r="N555" s="31" t="n"/>
      <c r="O555" s="31" t="n"/>
      <c r="P555" s="30" t="n"/>
      <c r="Q555" s="31" t="n"/>
      <c r="R555" s="31" t="n"/>
      <c r="S555" s="31" t="n"/>
      <c r="T555" s="31" t="n"/>
      <c r="U555" s="30" t="n"/>
      <c r="V555" s="31" t="n"/>
      <c r="W555" s="31" t="n"/>
      <c r="X555" s="31" t="n"/>
      <c r="Y555" s="31" t="n"/>
      <c r="Z555" s="31" t="n"/>
      <c r="AA555" s="31" t="n"/>
      <c r="AB555" s="31" t="n"/>
      <c r="AC555" s="31" t="n"/>
      <c r="AD555" s="31" t="n"/>
      <c r="AE555" s="31" t="n"/>
      <c r="AF555" s="27">
        <f>IF(NOT(COUNTA(A555:AE555)&gt;0),"",IF(A555="","New client","Update"))</f>
        <v/>
      </c>
      <c r="AG555" s="27">
        <f>IF(AO555&lt;&gt;"",AO555,IF(LEN(AN555)=15,MID(AN555,3,10),""))</f>
        <v/>
      </c>
      <c r="AH555" s="27">
        <f>IF(AP555="","",AP555&amp;IF(D555="","  (guessed from PAN)",""))</f>
        <v/>
      </c>
      <c r="AI555" s="27">
        <f>IF(AN555="","",IFERROR(INDEX(Lists!$L$2:$L$38,MATCH(LEFT(AN555,2),Lists!$K$2:$K$38,0)),"Unknown code"))</f>
        <v/>
      </c>
      <c r="AJ555" s="27">
        <f>IF(AN555="","",IFERROR(IF(NOT(AND(LEN(AN555)=15,ISNUMBER(MATCH(LEFT(AN555,2),Lists!$K$2:$K$38,0)),SUMPRODUCT(--ISERROR(FIND(MID(MID(AN555,3,10),{1,2,3,4,5,10},1),"ABCDEFGHIJKLMNOPQRSTUVWXYZ")))=0,SUMPRODUCT(--ISERROR(FIND(MID(MID(AN555,3,10),{6,7,8,9},1),"0123456789")))=0,ISNUMBER(FIND(MID(AN555,13,1),"123456789ABCDEFGHIJKLMNOPQRSTUVWXYZ")),MID(AN555,14,1)="Z")),"Wrong format",IF(MID("0123456789ABCDEFGHIJKLMNOPQRSTUVWXYZ",MOD(36-MOD(SUMPRODUCT(INT((FIND(MID(AN555,{1,2,3,4,5,6,7,8,9,10,11,12,13,14},1),"0123456789ABCDEFGHIJKLMNOPQRSTUVWXYZ")-1)*{1,2,1,2,1,2,1,2,1,2,1,2,1,2}/36)+MOD((FIND(MID(AN555,{1,2,3,4,5,6,7,8,9,10,11,12,13,14},1),"0123456789ABCDEFGHIJKLMNOPQRSTUVWXYZ")-1)*{1,2,1,2,1,2,1,2,1,2,1,2,1,2},36)),36),36)+1,1)=MID(AN555,15,1),"OK","Typo? check digit wrong")),"Wrong format"))</f>
        <v/>
      </c>
      <c r="AK555" s="27">
        <f>IF(AO555="","",IF(AND(LEN(AO555)=10,SUMPRODUCT(--ISERROR(FIND(MID(AO555,{1,2,3,4,5,10},1),"ABCDEFGHIJKLMNOPQRSTUVWXYZ")))=0,SUMPRODUCT(--ISERROR(FIND(MID(AO555,{6,7,8,9},1),"0123456789")))=0),"OK","Wrong format"))</f>
        <v/>
      </c>
      <c r="AL555" s="27">
        <f>IF(TRIM(H555)="","",IF(AND(LEN(UPPER(TRIM(H555)))=10,SUMPRODUCT(--ISERROR(FIND(MID(UPPER(TRIM(H555)),{1,2,3,4,10},1),"ABCDEFGHIJKLMNOPQRSTUVWXYZ")))=0,SUMPRODUCT(--ISERROR(FIND(MID(UPPER(TRIM(H555)),{5,6,7,8,9},1),"0123456789")))=0),"OK","Wrong format"))</f>
        <v/>
      </c>
      <c r="AM555" s="28">
        <f>IF(NOT(COUNTA(A555:AE555)&gt;0),"",IF(AS555&lt;&gt;"","✖ "&amp;LEFT(AS555,LEN(AS555)-2),IF(AR555&gt;0,"✔ Ready — client + "&amp;AR555&amp;" service(s)","✔ Ready — client only")))</f>
        <v/>
      </c>
      <c r="AN555" s="29">
        <f>UPPER(SUBSTITUTE(TRIM(F555)," ",""))</f>
        <v/>
      </c>
      <c r="AO555" s="29">
        <f>UPPER(SUBSTITUTE(TRIM(E555)," ",""))</f>
        <v/>
      </c>
      <c r="AP555" s="29">
        <f>IF(D555&lt;&gt;"",D555,IFERROR(VLOOKUP(MID(AG555,4,1),Lists!$E$2:$F$8,2,FALSE),""))</f>
        <v/>
      </c>
      <c r="AQ555" s="29">
        <f>IFERROR(VLOOKUP(AP555,Lists!$A$2:$C$12,3,FALSE),"")</f>
        <v/>
      </c>
      <c r="AR555" s="29">
        <f>COUNTIF(W555:AC555,"Yes")</f>
        <v/>
      </c>
      <c r="AS555" s="29">
        <f>IF(TRIM(B555)="","Legal name missing; ","")&amp;IF(AND(AJ555&lt;&gt;"",AJ555&lt;&gt;"OK"),"GSTIN: "&amp;AJ555&amp;"; ","")&amp;IF(AND(AK555&lt;&gt;"",AK555&lt;&gt;"OK"),"PAN wrong format; ","")&amp;IF(AND(AO555&lt;&gt;"",LEN(AN555)=15,MID(AN555,3,10)&lt;&gt;AO555),"PAN does not match GSTIN; ","")&amp;IF(AND(AL555&lt;&gt;"",AL555&lt;&gt;"OK"),"TAN wrong format; ","")&amp;IF(AG555="","PAN missing; ","")&amp;IF(AP555="","Entity type missing; ","")&amp;IF(AND(AN555&lt;&gt;"",COUNTIF($AN$6:$AN$1005,AN555)&gt;1),"GSTIN repeated in this sheet; ","")&amp;IF(AND(AG555&lt;&gt;"",COUNTIF($AG$6:$AG$1005,AG555)&gt;1),"PAN repeated in this sheet (same client? put extra GSTINs in Other GSTINs); ","")&amp;IF(AND(AR555&gt;0,V555=""),"Financial year missing; ","")&amp;IF(AND(AR555=0,V555&lt;&gt;""),"Financial year given but no service is Yes; ","")&amp;IF(AND(W555="Yes",AN555=""),"GST needs a GSTIN; ","")&amp;IF(AND(W555="Yes",X555=""),"GST return frequency missing; ","")&amp;IF(AND(Y555="Yes",TRIM(H555)=""),"TDS needs a TAN; ","")&amp;IF(AND(AA555="Yes",AQ555&lt;&gt;"",AQ555&lt;&gt;"company",AQ555&lt;&gt;"llp"),"ROC is only for a company / LLP; ","")&amp;IF(AND(AA555="Yes",OR(AQ555="company",AQ555="llp"),TRIM(I555)=""),"ROC needs the CIN / LLPIN; ","")</f>
        <v/>
      </c>
    </row>
    <row r="556">
      <c r="A556" s="30" t="n"/>
      <c r="B556" s="31" t="n"/>
      <c r="C556" s="31" t="n"/>
      <c r="D556" s="31" t="n"/>
      <c r="E556" s="30" t="n"/>
      <c r="F556" s="30" t="n"/>
      <c r="G556" s="30" t="n"/>
      <c r="H556" s="30" t="n"/>
      <c r="I556" s="30" t="n"/>
      <c r="J556" s="32" t="n"/>
      <c r="K556" s="31" t="n"/>
      <c r="L556" s="30" t="n"/>
      <c r="M556" s="31" t="n"/>
      <c r="N556" s="31" t="n"/>
      <c r="O556" s="31" t="n"/>
      <c r="P556" s="30" t="n"/>
      <c r="Q556" s="31" t="n"/>
      <c r="R556" s="31" t="n"/>
      <c r="S556" s="31" t="n"/>
      <c r="T556" s="31" t="n"/>
      <c r="U556" s="30" t="n"/>
      <c r="V556" s="31" t="n"/>
      <c r="W556" s="31" t="n"/>
      <c r="X556" s="31" t="n"/>
      <c r="Y556" s="31" t="n"/>
      <c r="Z556" s="31" t="n"/>
      <c r="AA556" s="31" t="n"/>
      <c r="AB556" s="31" t="n"/>
      <c r="AC556" s="31" t="n"/>
      <c r="AD556" s="31" t="n"/>
      <c r="AE556" s="31" t="n"/>
      <c r="AF556" s="27">
        <f>IF(NOT(COUNTA(A556:AE556)&gt;0),"",IF(A556="","New client","Update"))</f>
        <v/>
      </c>
      <c r="AG556" s="27">
        <f>IF(AO556&lt;&gt;"",AO556,IF(LEN(AN556)=15,MID(AN556,3,10),""))</f>
        <v/>
      </c>
      <c r="AH556" s="27">
        <f>IF(AP556="","",AP556&amp;IF(D556="","  (guessed from PAN)",""))</f>
        <v/>
      </c>
      <c r="AI556" s="27">
        <f>IF(AN556="","",IFERROR(INDEX(Lists!$L$2:$L$38,MATCH(LEFT(AN556,2),Lists!$K$2:$K$38,0)),"Unknown code"))</f>
        <v/>
      </c>
      <c r="AJ556" s="27">
        <f>IF(AN556="","",IFERROR(IF(NOT(AND(LEN(AN556)=15,ISNUMBER(MATCH(LEFT(AN556,2),Lists!$K$2:$K$38,0)),SUMPRODUCT(--ISERROR(FIND(MID(MID(AN556,3,10),{1,2,3,4,5,10},1),"ABCDEFGHIJKLMNOPQRSTUVWXYZ")))=0,SUMPRODUCT(--ISERROR(FIND(MID(MID(AN556,3,10),{6,7,8,9},1),"0123456789")))=0,ISNUMBER(FIND(MID(AN556,13,1),"123456789ABCDEFGHIJKLMNOPQRSTUVWXYZ")),MID(AN556,14,1)="Z")),"Wrong format",IF(MID("0123456789ABCDEFGHIJKLMNOPQRSTUVWXYZ",MOD(36-MOD(SUMPRODUCT(INT((FIND(MID(AN556,{1,2,3,4,5,6,7,8,9,10,11,12,13,14},1),"0123456789ABCDEFGHIJKLMNOPQRSTUVWXYZ")-1)*{1,2,1,2,1,2,1,2,1,2,1,2,1,2}/36)+MOD((FIND(MID(AN556,{1,2,3,4,5,6,7,8,9,10,11,12,13,14},1),"0123456789ABCDEFGHIJKLMNOPQRSTUVWXYZ")-1)*{1,2,1,2,1,2,1,2,1,2,1,2,1,2},36)),36),36)+1,1)=MID(AN556,15,1),"OK","Typo? check digit wrong")),"Wrong format"))</f>
        <v/>
      </c>
      <c r="AK556" s="27">
        <f>IF(AO556="","",IF(AND(LEN(AO556)=10,SUMPRODUCT(--ISERROR(FIND(MID(AO556,{1,2,3,4,5,10},1),"ABCDEFGHIJKLMNOPQRSTUVWXYZ")))=0,SUMPRODUCT(--ISERROR(FIND(MID(AO556,{6,7,8,9},1),"0123456789")))=0),"OK","Wrong format"))</f>
        <v/>
      </c>
      <c r="AL556" s="27">
        <f>IF(TRIM(H556)="","",IF(AND(LEN(UPPER(TRIM(H556)))=10,SUMPRODUCT(--ISERROR(FIND(MID(UPPER(TRIM(H556)),{1,2,3,4,10},1),"ABCDEFGHIJKLMNOPQRSTUVWXYZ")))=0,SUMPRODUCT(--ISERROR(FIND(MID(UPPER(TRIM(H556)),{5,6,7,8,9},1),"0123456789")))=0),"OK","Wrong format"))</f>
        <v/>
      </c>
      <c r="AM556" s="28">
        <f>IF(NOT(COUNTA(A556:AE556)&gt;0),"",IF(AS556&lt;&gt;"","✖ "&amp;LEFT(AS556,LEN(AS556)-2),IF(AR556&gt;0,"✔ Ready — client + "&amp;AR556&amp;" service(s)","✔ Ready — client only")))</f>
        <v/>
      </c>
      <c r="AN556" s="29">
        <f>UPPER(SUBSTITUTE(TRIM(F556)," ",""))</f>
        <v/>
      </c>
      <c r="AO556" s="29">
        <f>UPPER(SUBSTITUTE(TRIM(E556)," ",""))</f>
        <v/>
      </c>
      <c r="AP556" s="29">
        <f>IF(D556&lt;&gt;"",D556,IFERROR(VLOOKUP(MID(AG556,4,1),Lists!$E$2:$F$8,2,FALSE),""))</f>
        <v/>
      </c>
      <c r="AQ556" s="29">
        <f>IFERROR(VLOOKUP(AP556,Lists!$A$2:$C$12,3,FALSE),"")</f>
        <v/>
      </c>
      <c r="AR556" s="29">
        <f>COUNTIF(W556:AC556,"Yes")</f>
        <v/>
      </c>
      <c r="AS556" s="29">
        <f>IF(TRIM(B556)="","Legal name missing; ","")&amp;IF(AND(AJ556&lt;&gt;"",AJ556&lt;&gt;"OK"),"GSTIN: "&amp;AJ556&amp;"; ","")&amp;IF(AND(AK556&lt;&gt;"",AK556&lt;&gt;"OK"),"PAN wrong format; ","")&amp;IF(AND(AO556&lt;&gt;"",LEN(AN556)=15,MID(AN556,3,10)&lt;&gt;AO556),"PAN does not match GSTIN; ","")&amp;IF(AND(AL556&lt;&gt;"",AL556&lt;&gt;"OK"),"TAN wrong format; ","")&amp;IF(AG556="","PAN missing; ","")&amp;IF(AP556="","Entity type missing; ","")&amp;IF(AND(AN556&lt;&gt;"",COUNTIF($AN$6:$AN$1005,AN556)&gt;1),"GSTIN repeated in this sheet; ","")&amp;IF(AND(AG556&lt;&gt;"",COUNTIF($AG$6:$AG$1005,AG556)&gt;1),"PAN repeated in this sheet (same client? put extra GSTINs in Other GSTINs); ","")&amp;IF(AND(AR556&gt;0,V556=""),"Financial year missing; ","")&amp;IF(AND(AR556=0,V556&lt;&gt;""),"Financial year given but no service is Yes; ","")&amp;IF(AND(W556="Yes",AN556=""),"GST needs a GSTIN; ","")&amp;IF(AND(W556="Yes",X556=""),"GST return frequency missing; ","")&amp;IF(AND(Y556="Yes",TRIM(H556)=""),"TDS needs a TAN; ","")&amp;IF(AND(AA556="Yes",AQ556&lt;&gt;"",AQ556&lt;&gt;"company",AQ556&lt;&gt;"llp"),"ROC is only for a company / LLP; ","")&amp;IF(AND(AA556="Yes",OR(AQ556="company",AQ556="llp"),TRIM(I556)=""),"ROC needs the CIN / LLPIN; ","")</f>
        <v/>
      </c>
    </row>
    <row r="557">
      <c r="A557" s="30" t="n"/>
      <c r="B557" s="31" t="n"/>
      <c r="C557" s="31" t="n"/>
      <c r="D557" s="31" t="n"/>
      <c r="E557" s="30" t="n"/>
      <c r="F557" s="30" t="n"/>
      <c r="G557" s="30" t="n"/>
      <c r="H557" s="30" t="n"/>
      <c r="I557" s="30" t="n"/>
      <c r="J557" s="32" t="n"/>
      <c r="K557" s="31" t="n"/>
      <c r="L557" s="30" t="n"/>
      <c r="M557" s="31" t="n"/>
      <c r="N557" s="31" t="n"/>
      <c r="O557" s="31" t="n"/>
      <c r="P557" s="30" t="n"/>
      <c r="Q557" s="31" t="n"/>
      <c r="R557" s="31" t="n"/>
      <c r="S557" s="31" t="n"/>
      <c r="T557" s="31" t="n"/>
      <c r="U557" s="30" t="n"/>
      <c r="V557" s="31" t="n"/>
      <c r="W557" s="31" t="n"/>
      <c r="X557" s="31" t="n"/>
      <c r="Y557" s="31" t="n"/>
      <c r="Z557" s="31" t="n"/>
      <c r="AA557" s="31" t="n"/>
      <c r="AB557" s="31" t="n"/>
      <c r="AC557" s="31" t="n"/>
      <c r="AD557" s="31" t="n"/>
      <c r="AE557" s="31" t="n"/>
      <c r="AF557" s="27">
        <f>IF(NOT(COUNTA(A557:AE557)&gt;0),"",IF(A557="","New client","Update"))</f>
        <v/>
      </c>
      <c r="AG557" s="27">
        <f>IF(AO557&lt;&gt;"",AO557,IF(LEN(AN557)=15,MID(AN557,3,10),""))</f>
        <v/>
      </c>
      <c r="AH557" s="27">
        <f>IF(AP557="","",AP557&amp;IF(D557="","  (guessed from PAN)",""))</f>
        <v/>
      </c>
      <c r="AI557" s="27">
        <f>IF(AN557="","",IFERROR(INDEX(Lists!$L$2:$L$38,MATCH(LEFT(AN557,2),Lists!$K$2:$K$38,0)),"Unknown code"))</f>
        <v/>
      </c>
      <c r="AJ557" s="27">
        <f>IF(AN557="","",IFERROR(IF(NOT(AND(LEN(AN557)=15,ISNUMBER(MATCH(LEFT(AN557,2),Lists!$K$2:$K$38,0)),SUMPRODUCT(--ISERROR(FIND(MID(MID(AN557,3,10),{1,2,3,4,5,10},1),"ABCDEFGHIJKLMNOPQRSTUVWXYZ")))=0,SUMPRODUCT(--ISERROR(FIND(MID(MID(AN557,3,10),{6,7,8,9},1),"0123456789")))=0,ISNUMBER(FIND(MID(AN557,13,1),"123456789ABCDEFGHIJKLMNOPQRSTUVWXYZ")),MID(AN557,14,1)="Z")),"Wrong format",IF(MID("0123456789ABCDEFGHIJKLMNOPQRSTUVWXYZ",MOD(36-MOD(SUMPRODUCT(INT((FIND(MID(AN557,{1,2,3,4,5,6,7,8,9,10,11,12,13,14},1),"0123456789ABCDEFGHIJKLMNOPQRSTUVWXYZ")-1)*{1,2,1,2,1,2,1,2,1,2,1,2,1,2}/36)+MOD((FIND(MID(AN557,{1,2,3,4,5,6,7,8,9,10,11,12,13,14},1),"0123456789ABCDEFGHIJKLMNOPQRSTUVWXYZ")-1)*{1,2,1,2,1,2,1,2,1,2,1,2,1,2},36)),36),36)+1,1)=MID(AN557,15,1),"OK","Typo? check digit wrong")),"Wrong format"))</f>
        <v/>
      </c>
      <c r="AK557" s="27">
        <f>IF(AO557="","",IF(AND(LEN(AO557)=10,SUMPRODUCT(--ISERROR(FIND(MID(AO557,{1,2,3,4,5,10},1),"ABCDEFGHIJKLMNOPQRSTUVWXYZ")))=0,SUMPRODUCT(--ISERROR(FIND(MID(AO557,{6,7,8,9},1),"0123456789")))=0),"OK","Wrong format"))</f>
        <v/>
      </c>
      <c r="AL557" s="27">
        <f>IF(TRIM(H557)="","",IF(AND(LEN(UPPER(TRIM(H557)))=10,SUMPRODUCT(--ISERROR(FIND(MID(UPPER(TRIM(H557)),{1,2,3,4,10},1),"ABCDEFGHIJKLMNOPQRSTUVWXYZ")))=0,SUMPRODUCT(--ISERROR(FIND(MID(UPPER(TRIM(H557)),{5,6,7,8,9},1),"0123456789")))=0),"OK","Wrong format"))</f>
        <v/>
      </c>
      <c r="AM557" s="28">
        <f>IF(NOT(COUNTA(A557:AE557)&gt;0),"",IF(AS557&lt;&gt;"","✖ "&amp;LEFT(AS557,LEN(AS557)-2),IF(AR557&gt;0,"✔ Ready — client + "&amp;AR557&amp;" service(s)","✔ Ready — client only")))</f>
        <v/>
      </c>
      <c r="AN557" s="29">
        <f>UPPER(SUBSTITUTE(TRIM(F557)," ",""))</f>
        <v/>
      </c>
      <c r="AO557" s="29">
        <f>UPPER(SUBSTITUTE(TRIM(E557)," ",""))</f>
        <v/>
      </c>
      <c r="AP557" s="29">
        <f>IF(D557&lt;&gt;"",D557,IFERROR(VLOOKUP(MID(AG557,4,1),Lists!$E$2:$F$8,2,FALSE),""))</f>
        <v/>
      </c>
      <c r="AQ557" s="29">
        <f>IFERROR(VLOOKUP(AP557,Lists!$A$2:$C$12,3,FALSE),"")</f>
        <v/>
      </c>
      <c r="AR557" s="29">
        <f>COUNTIF(W557:AC557,"Yes")</f>
        <v/>
      </c>
      <c r="AS557" s="29">
        <f>IF(TRIM(B557)="","Legal name missing; ","")&amp;IF(AND(AJ557&lt;&gt;"",AJ557&lt;&gt;"OK"),"GSTIN: "&amp;AJ557&amp;"; ","")&amp;IF(AND(AK557&lt;&gt;"",AK557&lt;&gt;"OK"),"PAN wrong format; ","")&amp;IF(AND(AO557&lt;&gt;"",LEN(AN557)=15,MID(AN557,3,10)&lt;&gt;AO557),"PAN does not match GSTIN; ","")&amp;IF(AND(AL557&lt;&gt;"",AL557&lt;&gt;"OK"),"TAN wrong format; ","")&amp;IF(AG557="","PAN missing; ","")&amp;IF(AP557="","Entity type missing; ","")&amp;IF(AND(AN557&lt;&gt;"",COUNTIF($AN$6:$AN$1005,AN557)&gt;1),"GSTIN repeated in this sheet; ","")&amp;IF(AND(AG557&lt;&gt;"",COUNTIF($AG$6:$AG$1005,AG557)&gt;1),"PAN repeated in this sheet (same client? put extra GSTINs in Other GSTINs); ","")&amp;IF(AND(AR557&gt;0,V557=""),"Financial year missing; ","")&amp;IF(AND(AR557=0,V557&lt;&gt;""),"Financial year given but no service is Yes; ","")&amp;IF(AND(W557="Yes",AN557=""),"GST needs a GSTIN; ","")&amp;IF(AND(W557="Yes",X557=""),"GST return frequency missing; ","")&amp;IF(AND(Y557="Yes",TRIM(H557)=""),"TDS needs a TAN; ","")&amp;IF(AND(AA557="Yes",AQ557&lt;&gt;"",AQ557&lt;&gt;"company",AQ557&lt;&gt;"llp"),"ROC is only for a company / LLP; ","")&amp;IF(AND(AA557="Yes",OR(AQ557="company",AQ557="llp"),TRIM(I557)=""),"ROC needs the CIN / LLPIN; ","")</f>
        <v/>
      </c>
    </row>
    <row r="558">
      <c r="A558" s="30" t="n"/>
      <c r="B558" s="31" t="n"/>
      <c r="C558" s="31" t="n"/>
      <c r="D558" s="31" t="n"/>
      <c r="E558" s="30" t="n"/>
      <c r="F558" s="30" t="n"/>
      <c r="G558" s="30" t="n"/>
      <c r="H558" s="30" t="n"/>
      <c r="I558" s="30" t="n"/>
      <c r="J558" s="32" t="n"/>
      <c r="K558" s="31" t="n"/>
      <c r="L558" s="30" t="n"/>
      <c r="M558" s="31" t="n"/>
      <c r="N558" s="31" t="n"/>
      <c r="O558" s="31" t="n"/>
      <c r="P558" s="30" t="n"/>
      <c r="Q558" s="31" t="n"/>
      <c r="R558" s="31" t="n"/>
      <c r="S558" s="31" t="n"/>
      <c r="T558" s="31" t="n"/>
      <c r="U558" s="30" t="n"/>
      <c r="V558" s="31" t="n"/>
      <c r="W558" s="31" t="n"/>
      <c r="X558" s="31" t="n"/>
      <c r="Y558" s="31" t="n"/>
      <c r="Z558" s="31" t="n"/>
      <c r="AA558" s="31" t="n"/>
      <c r="AB558" s="31" t="n"/>
      <c r="AC558" s="31" t="n"/>
      <c r="AD558" s="31" t="n"/>
      <c r="AE558" s="31" t="n"/>
      <c r="AF558" s="27">
        <f>IF(NOT(COUNTA(A558:AE558)&gt;0),"",IF(A558="","New client","Update"))</f>
        <v/>
      </c>
      <c r="AG558" s="27">
        <f>IF(AO558&lt;&gt;"",AO558,IF(LEN(AN558)=15,MID(AN558,3,10),""))</f>
        <v/>
      </c>
      <c r="AH558" s="27">
        <f>IF(AP558="","",AP558&amp;IF(D558="","  (guessed from PAN)",""))</f>
        <v/>
      </c>
      <c r="AI558" s="27">
        <f>IF(AN558="","",IFERROR(INDEX(Lists!$L$2:$L$38,MATCH(LEFT(AN558,2),Lists!$K$2:$K$38,0)),"Unknown code"))</f>
        <v/>
      </c>
      <c r="AJ558" s="27">
        <f>IF(AN558="","",IFERROR(IF(NOT(AND(LEN(AN558)=15,ISNUMBER(MATCH(LEFT(AN558,2),Lists!$K$2:$K$38,0)),SUMPRODUCT(--ISERROR(FIND(MID(MID(AN558,3,10),{1,2,3,4,5,10},1),"ABCDEFGHIJKLMNOPQRSTUVWXYZ")))=0,SUMPRODUCT(--ISERROR(FIND(MID(MID(AN558,3,10),{6,7,8,9},1),"0123456789")))=0,ISNUMBER(FIND(MID(AN558,13,1),"123456789ABCDEFGHIJKLMNOPQRSTUVWXYZ")),MID(AN558,14,1)="Z")),"Wrong format",IF(MID("0123456789ABCDEFGHIJKLMNOPQRSTUVWXYZ",MOD(36-MOD(SUMPRODUCT(INT((FIND(MID(AN558,{1,2,3,4,5,6,7,8,9,10,11,12,13,14},1),"0123456789ABCDEFGHIJKLMNOPQRSTUVWXYZ")-1)*{1,2,1,2,1,2,1,2,1,2,1,2,1,2}/36)+MOD((FIND(MID(AN558,{1,2,3,4,5,6,7,8,9,10,11,12,13,14},1),"0123456789ABCDEFGHIJKLMNOPQRSTUVWXYZ")-1)*{1,2,1,2,1,2,1,2,1,2,1,2,1,2},36)),36),36)+1,1)=MID(AN558,15,1),"OK","Typo? check digit wrong")),"Wrong format"))</f>
        <v/>
      </c>
      <c r="AK558" s="27">
        <f>IF(AO558="","",IF(AND(LEN(AO558)=10,SUMPRODUCT(--ISERROR(FIND(MID(AO558,{1,2,3,4,5,10},1),"ABCDEFGHIJKLMNOPQRSTUVWXYZ")))=0,SUMPRODUCT(--ISERROR(FIND(MID(AO558,{6,7,8,9},1),"0123456789")))=0),"OK","Wrong format"))</f>
        <v/>
      </c>
      <c r="AL558" s="27">
        <f>IF(TRIM(H558)="","",IF(AND(LEN(UPPER(TRIM(H558)))=10,SUMPRODUCT(--ISERROR(FIND(MID(UPPER(TRIM(H558)),{1,2,3,4,10},1),"ABCDEFGHIJKLMNOPQRSTUVWXYZ")))=0,SUMPRODUCT(--ISERROR(FIND(MID(UPPER(TRIM(H558)),{5,6,7,8,9},1),"0123456789")))=0),"OK","Wrong format"))</f>
        <v/>
      </c>
      <c r="AM558" s="28">
        <f>IF(NOT(COUNTA(A558:AE558)&gt;0),"",IF(AS558&lt;&gt;"","✖ "&amp;LEFT(AS558,LEN(AS558)-2),IF(AR558&gt;0,"✔ Ready — client + "&amp;AR558&amp;" service(s)","✔ Ready — client only")))</f>
        <v/>
      </c>
      <c r="AN558" s="29">
        <f>UPPER(SUBSTITUTE(TRIM(F558)," ",""))</f>
        <v/>
      </c>
      <c r="AO558" s="29">
        <f>UPPER(SUBSTITUTE(TRIM(E558)," ",""))</f>
        <v/>
      </c>
      <c r="AP558" s="29">
        <f>IF(D558&lt;&gt;"",D558,IFERROR(VLOOKUP(MID(AG558,4,1),Lists!$E$2:$F$8,2,FALSE),""))</f>
        <v/>
      </c>
      <c r="AQ558" s="29">
        <f>IFERROR(VLOOKUP(AP558,Lists!$A$2:$C$12,3,FALSE),"")</f>
        <v/>
      </c>
      <c r="AR558" s="29">
        <f>COUNTIF(W558:AC558,"Yes")</f>
        <v/>
      </c>
      <c r="AS558" s="29">
        <f>IF(TRIM(B558)="","Legal name missing; ","")&amp;IF(AND(AJ558&lt;&gt;"",AJ558&lt;&gt;"OK"),"GSTIN: "&amp;AJ558&amp;"; ","")&amp;IF(AND(AK558&lt;&gt;"",AK558&lt;&gt;"OK"),"PAN wrong format; ","")&amp;IF(AND(AO558&lt;&gt;"",LEN(AN558)=15,MID(AN558,3,10)&lt;&gt;AO558),"PAN does not match GSTIN; ","")&amp;IF(AND(AL558&lt;&gt;"",AL558&lt;&gt;"OK"),"TAN wrong format; ","")&amp;IF(AG558="","PAN missing; ","")&amp;IF(AP558="","Entity type missing; ","")&amp;IF(AND(AN558&lt;&gt;"",COUNTIF($AN$6:$AN$1005,AN558)&gt;1),"GSTIN repeated in this sheet; ","")&amp;IF(AND(AG558&lt;&gt;"",COUNTIF($AG$6:$AG$1005,AG558)&gt;1),"PAN repeated in this sheet (same client? put extra GSTINs in Other GSTINs); ","")&amp;IF(AND(AR558&gt;0,V558=""),"Financial year missing; ","")&amp;IF(AND(AR558=0,V558&lt;&gt;""),"Financial year given but no service is Yes; ","")&amp;IF(AND(W558="Yes",AN558=""),"GST needs a GSTIN; ","")&amp;IF(AND(W558="Yes",X558=""),"GST return frequency missing; ","")&amp;IF(AND(Y558="Yes",TRIM(H558)=""),"TDS needs a TAN; ","")&amp;IF(AND(AA558="Yes",AQ558&lt;&gt;"",AQ558&lt;&gt;"company",AQ558&lt;&gt;"llp"),"ROC is only for a company / LLP; ","")&amp;IF(AND(AA558="Yes",OR(AQ558="company",AQ558="llp"),TRIM(I558)=""),"ROC needs the CIN / LLPIN; ","")</f>
        <v/>
      </c>
    </row>
    <row r="559">
      <c r="A559" s="30" t="n"/>
      <c r="B559" s="31" t="n"/>
      <c r="C559" s="31" t="n"/>
      <c r="D559" s="31" t="n"/>
      <c r="E559" s="30" t="n"/>
      <c r="F559" s="30" t="n"/>
      <c r="G559" s="30" t="n"/>
      <c r="H559" s="30" t="n"/>
      <c r="I559" s="30" t="n"/>
      <c r="J559" s="32" t="n"/>
      <c r="K559" s="31" t="n"/>
      <c r="L559" s="30" t="n"/>
      <c r="M559" s="31" t="n"/>
      <c r="N559" s="31" t="n"/>
      <c r="O559" s="31" t="n"/>
      <c r="P559" s="30" t="n"/>
      <c r="Q559" s="31" t="n"/>
      <c r="R559" s="31" t="n"/>
      <c r="S559" s="31" t="n"/>
      <c r="T559" s="31" t="n"/>
      <c r="U559" s="30" t="n"/>
      <c r="V559" s="31" t="n"/>
      <c r="W559" s="31" t="n"/>
      <c r="X559" s="31" t="n"/>
      <c r="Y559" s="31" t="n"/>
      <c r="Z559" s="31" t="n"/>
      <c r="AA559" s="31" t="n"/>
      <c r="AB559" s="31" t="n"/>
      <c r="AC559" s="31" t="n"/>
      <c r="AD559" s="31" t="n"/>
      <c r="AE559" s="31" t="n"/>
      <c r="AF559" s="27">
        <f>IF(NOT(COUNTA(A559:AE559)&gt;0),"",IF(A559="","New client","Update"))</f>
        <v/>
      </c>
      <c r="AG559" s="27">
        <f>IF(AO559&lt;&gt;"",AO559,IF(LEN(AN559)=15,MID(AN559,3,10),""))</f>
        <v/>
      </c>
      <c r="AH559" s="27">
        <f>IF(AP559="","",AP559&amp;IF(D559="","  (guessed from PAN)",""))</f>
        <v/>
      </c>
      <c r="AI559" s="27">
        <f>IF(AN559="","",IFERROR(INDEX(Lists!$L$2:$L$38,MATCH(LEFT(AN559,2),Lists!$K$2:$K$38,0)),"Unknown code"))</f>
        <v/>
      </c>
      <c r="AJ559" s="27">
        <f>IF(AN559="","",IFERROR(IF(NOT(AND(LEN(AN559)=15,ISNUMBER(MATCH(LEFT(AN559,2),Lists!$K$2:$K$38,0)),SUMPRODUCT(--ISERROR(FIND(MID(MID(AN559,3,10),{1,2,3,4,5,10},1),"ABCDEFGHIJKLMNOPQRSTUVWXYZ")))=0,SUMPRODUCT(--ISERROR(FIND(MID(MID(AN559,3,10),{6,7,8,9},1),"0123456789")))=0,ISNUMBER(FIND(MID(AN559,13,1),"123456789ABCDEFGHIJKLMNOPQRSTUVWXYZ")),MID(AN559,14,1)="Z")),"Wrong format",IF(MID("0123456789ABCDEFGHIJKLMNOPQRSTUVWXYZ",MOD(36-MOD(SUMPRODUCT(INT((FIND(MID(AN559,{1,2,3,4,5,6,7,8,9,10,11,12,13,14},1),"0123456789ABCDEFGHIJKLMNOPQRSTUVWXYZ")-1)*{1,2,1,2,1,2,1,2,1,2,1,2,1,2}/36)+MOD((FIND(MID(AN559,{1,2,3,4,5,6,7,8,9,10,11,12,13,14},1),"0123456789ABCDEFGHIJKLMNOPQRSTUVWXYZ")-1)*{1,2,1,2,1,2,1,2,1,2,1,2,1,2},36)),36),36)+1,1)=MID(AN559,15,1),"OK","Typo? check digit wrong")),"Wrong format"))</f>
        <v/>
      </c>
      <c r="AK559" s="27">
        <f>IF(AO559="","",IF(AND(LEN(AO559)=10,SUMPRODUCT(--ISERROR(FIND(MID(AO559,{1,2,3,4,5,10},1),"ABCDEFGHIJKLMNOPQRSTUVWXYZ")))=0,SUMPRODUCT(--ISERROR(FIND(MID(AO559,{6,7,8,9},1),"0123456789")))=0),"OK","Wrong format"))</f>
        <v/>
      </c>
      <c r="AL559" s="27">
        <f>IF(TRIM(H559)="","",IF(AND(LEN(UPPER(TRIM(H559)))=10,SUMPRODUCT(--ISERROR(FIND(MID(UPPER(TRIM(H559)),{1,2,3,4,10},1),"ABCDEFGHIJKLMNOPQRSTUVWXYZ")))=0,SUMPRODUCT(--ISERROR(FIND(MID(UPPER(TRIM(H559)),{5,6,7,8,9},1),"0123456789")))=0),"OK","Wrong format"))</f>
        <v/>
      </c>
      <c r="AM559" s="28">
        <f>IF(NOT(COUNTA(A559:AE559)&gt;0),"",IF(AS559&lt;&gt;"","✖ "&amp;LEFT(AS559,LEN(AS559)-2),IF(AR559&gt;0,"✔ Ready — client + "&amp;AR559&amp;" service(s)","✔ Ready — client only")))</f>
        <v/>
      </c>
      <c r="AN559" s="29">
        <f>UPPER(SUBSTITUTE(TRIM(F559)," ",""))</f>
        <v/>
      </c>
      <c r="AO559" s="29">
        <f>UPPER(SUBSTITUTE(TRIM(E559)," ",""))</f>
        <v/>
      </c>
      <c r="AP559" s="29">
        <f>IF(D559&lt;&gt;"",D559,IFERROR(VLOOKUP(MID(AG559,4,1),Lists!$E$2:$F$8,2,FALSE),""))</f>
        <v/>
      </c>
      <c r="AQ559" s="29">
        <f>IFERROR(VLOOKUP(AP559,Lists!$A$2:$C$12,3,FALSE),"")</f>
        <v/>
      </c>
      <c r="AR559" s="29">
        <f>COUNTIF(W559:AC559,"Yes")</f>
        <v/>
      </c>
      <c r="AS559" s="29">
        <f>IF(TRIM(B559)="","Legal name missing; ","")&amp;IF(AND(AJ559&lt;&gt;"",AJ559&lt;&gt;"OK"),"GSTIN: "&amp;AJ559&amp;"; ","")&amp;IF(AND(AK559&lt;&gt;"",AK559&lt;&gt;"OK"),"PAN wrong format; ","")&amp;IF(AND(AO559&lt;&gt;"",LEN(AN559)=15,MID(AN559,3,10)&lt;&gt;AO559),"PAN does not match GSTIN; ","")&amp;IF(AND(AL559&lt;&gt;"",AL559&lt;&gt;"OK"),"TAN wrong format; ","")&amp;IF(AG559="","PAN missing; ","")&amp;IF(AP559="","Entity type missing; ","")&amp;IF(AND(AN559&lt;&gt;"",COUNTIF($AN$6:$AN$1005,AN559)&gt;1),"GSTIN repeated in this sheet; ","")&amp;IF(AND(AG559&lt;&gt;"",COUNTIF($AG$6:$AG$1005,AG559)&gt;1),"PAN repeated in this sheet (same client? put extra GSTINs in Other GSTINs); ","")&amp;IF(AND(AR559&gt;0,V559=""),"Financial year missing; ","")&amp;IF(AND(AR559=0,V559&lt;&gt;""),"Financial year given but no service is Yes; ","")&amp;IF(AND(W559="Yes",AN559=""),"GST needs a GSTIN; ","")&amp;IF(AND(W559="Yes",X559=""),"GST return frequency missing; ","")&amp;IF(AND(Y559="Yes",TRIM(H559)=""),"TDS needs a TAN; ","")&amp;IF(AND(AA559="Yes",AQ559&lt;&gt;"",AQ559&lt;&gt;"company",AQ559&lt;&gt;"llp"),"ROC is only for a company / LLP; ","")&amp;IF(AND(AA559="Yes",OR(AQ559="company",AQ559="llp"),TRIM(I559)=""),"ROC needs the CIN / LLPIN; ","")</f>
        <v/>
      </c>
    </row>
    <row r="560">
      <c r="A560" s="30" t="n"/>
      <c r="B560" s="31" t="n"/>
      <c r="C560" s="31" t="n"/>
      <c r="D560" s="31" t="n"/>
      <c r="E560" s="30" t="n"/>
      <c r="F560" s="30" t="n"/>
      <c r="G560" s="30" t="n"/>
      <c r="H560" s="30" t="n"/>
      <c r="I560" s="30" t="n"/>
      <c r="J560" s="32" t="n"/>
      <c r="K560" s="31" t="n"/>
      <c r="L560" s="30" t="n"/>
      <c r="M560" s="31" t="n"/>
      <c r="N560" s="31" t="n"/>
      <c r="O560" s="31" t="n"/>
      <c r="P560" s="30" t="n"/>
      <c r="Q560" s="31" t="n"/>
      <c r="R560" s="31" t="n"/>
      <c r="S560" s="31" t="n"/>
      <c r="T560" s="31" t="n"/>
      <c r="U560" s="30" t="n"/>
      <c r="V560" s="31" t="n"/>
      <c r="W560" s="31" t="n"/>
      <c r="X560" s="31" t="n"/>
      <c r="Y560" s="31" t="n"/>
      <c r="Z560" s="31" t="n"/>
      <c r="AA560" s="31" t="n"/>
      <c r="AB560" s="31" t="n"/>
      <c r="AC560" s="31" t="n"/>
      <c r="AD560" s="31" t="n"/>
      <c r="AE560" s="31" t="n"/>
      <c r="AF560" s="27">
        <f>IF(NOT(COUNTA(A560:AE560)&gt;0),"",IF(A560="","New client","Update"))</f>
        <v/>
      </c>
      <c r="AG560" s="27">
        <f>IF(AO560&lt;&gt;"",AO560,IF(LEN(AN560)=15,MID(AN560,3,10),""))</f>
        <v/>
      </c>
      <c r="AH560" s="27">
        <f>IF(AP560="","",AP560&amp;IF(D560="","  (guessed from PAN)",""))</f>
        <v/>
      </c>
      <c r="AI560" s="27">
        <f>IF(AN560="","",IFERROR(INDEX(Lists!$L$2:$L$38,MATCH(LEFT(AN560,2),Lists!$K$2:$K$38,0)),"Unknown code"))</f>
        <v/>
      </c>
      <c r="AJ560" s="27">
        <f>IF(AN560="","",IFERROR(IF(NOT(AND(LEN(AN560)=15,ISNUMBER(MATCH(LEFT(AN560,2),Lists!$K$2:$K$38,0)),SUMPRODUCT(--ISERROR(FIND(MID(MID(AN560,3,10),{1,2,3,4,5,10},1),"ABCDEFGHIJKLMNOPQRSTUVWXYZ")))=0,SUMPRODUCT(--ISERROR(FIND(MID(MID(AN560,3,10),{6,7,8,9},1),"0123456789")))=0,ISNUMBER(FIND(MID(AN560,13,1),"123456789ABCDEFGHIJKLMNOPQRSTUVWXYZ")),MID(AN560,14,1)="Z")),"Wrong format",IF(MID("0123456789ABCDEFGHIJKLMNOPQRSTUVWXYZ",MOD(36-MOD(SUMPRODUCT(INT((FIND(MID(AN560,{1,2,3,4,5,6,7,8,9,10,11,12,13,14},1),"0123456789ABCDEFGHIJKLMNOPQRSTUVWXYZ")-1)*{1,2,1,2,1,2,1,2,1,2,1,2,1,2}/36)+MOD((FIND(MID(AN560,{1,2,3,4,5,6,7,8,9,10,11,12,13,14},1),"0123456789ABCDEFGHIJKLMNOPQRSTUVWXYZ")-1)*{1,2,1,2,1,2,1,2,1,2,1,2,1,2},36)),36),36)+1,1)=MID(AN560,15,1),"OK","Typo? check digit wrong")),"Wrong format"))</f>
        <v/>
      </c>
      <c r="AK560" s="27">
        <f>IF(AO560="","",IF(AND(LEN(AO560)=10,SUMPRODUCT(--ISERROR(FIND(MID(AO560,{1,2,3,4,5,10},1),"ABCDEFGHIJKLMNOPQRSTUVWXYZ")))=0,SUMPRODUCT(--ISERROR(FIND(MID(AO560,{6,7,8,9},1),"0123456789")))=0),"OK","Wrong format"))</f>
        <v/>
      </c>
      <c r="AL560" s="27">
        <f>IF(TRIM(H560)="","",IF(AND(LEN(UPPER(TRIM(H560)))=10,SUMPRODUCT(--ISERROR(FIND(MID(UPPER(TRIM(H560)),{1,2,3,4,10},1),"ABCDEFGHIJKLMNOPQRSTUVWXYZ")))=0,SUMPRODUCT(--ISERROR(FIND(MID(UPPER(TRIM(H560)),{5,6,7,8,9},1),"0123456789")))=0),"OK","Wrong format"))</f>
        <v/>
      </c>
      <c r="AM560" s="28">
        <f>IF(NOT(COUNTA(A560:AE560)&gt;0),"",IF(AS560&lt;&gt;"","✖ "&amp;LEFT(AS560,LEN(AS560)-2),IF(AR560&gt;0,"✔ Ready — client + "&amp;AR560&amp;" service(s)","✔ Ready — client only")))</f>
        <v/>
      </c>
      <c r="AN560" s="29">
        <f>UPPER(SUBSTITUTE(TRIM(F560)," ",""))</f>
        <v/>
      </c>
      <c r="AO560" s="29">
        <f>UPPER(SUBSTITUTE(TRIM(E560)," ",""))</f>
        <v/>
      </c>
      <c r="AP560" s="29">
        <f>IF(D560&lt;&gt;"",D560,IFERROR(VLOOKUP(MID(AG560,4,1),Lists!$E$2:$F$8,2,FALSE),""))</f>
        <v/>
      </c>
      <c r="AQ560" s="29">
        <f>IFERROR(VLOOKUP(AP560,Lists!$A$2:$C$12,3,FALSE),"")</f>
        <v/>
      </c>
      <c r="AR560" s="29">
        <f>COUNTIF(W560:AC560,"Yes")</f>
        <v/>
      </c>
      <c r="AS560" s="29">
        <f>IF(TRIM(B560)="","Legal name missing; ","")&amp;IF(AND(AJ560&lt;&gt;"",AJ560&lt;&gt;"OK"),"GSTIN: "&amp;AJ560&amp;"; ","")&amp;IF(AND(AK560&lt;&gt;"",AK560&lt;&gt;"OK"),"PAN wrong format; ","")&amp;IF(AND(AO560&lt;&gt;"",LEN(AN560)=15,MID(AN560,3,10)&lt;&gt;AO560),"PAN does not match GSTIN; ","")&amp;IF(AND(AL560&lt;&gt;"",AL560&lt;&gt;"OK"),"TAN wrong format; ","")&amp;IF(AG560="","PAN missing; ","")&amp;IF(AP560="","Entity type missing; ","")&amp;IF(AND(AN560&lt;&gt;"",COUNTIF($AN$6:$AN$1005,AN560)&gt;1),"GSTIN repeated in this sheet; ","")&amp;IF(AND(AG560&lt;&gt;"",COUNTIF($AG$6:$AG$1005,AG560)&gt;1),"PAN repeated in this sheet (same client? put extra GSTINs in Other GSTINs); ","")&amp;IF(AND(AR560&gt;0,V560=""),"Financial year missing; ","")&amp;IF(AND(AR560=0,V560&lt;&gt;""),"Financial year given but no service is Yes; ","")&amp;IF(AND(W560="Yes",AN560=""),"GST needs a GSTIN; ","")&amp;IF(AND(W560="Yes",X560=""),"GST return frequency missing; ","")&amp;IF(AND(Y560="Yes",TRIM(H560)=""),"TDS needs a TAN; ","")&amp;IF(AND(AA560="Yes",AQ560&lt;&gt;"",AQ560&lt;&gt;"company",AQ560&lt;&gt;"llp"),"ROC is only for a company / LLP; ","")&amp;IF(AND(AA560="Yes",OR(AQ560="company",AQ560="llp"),TRIM(I560)=""),"ROC needs the CIN / LLPIN; ","")</f>
        <v/>
      </c>
    </row>
    <row r="561">
      <c r="A561" s="30" t="n"/>
      <c r="B561" s="31" t="n"/>
      <c r="C561" s="31" t="n"/>
      <c r="D561" s="31" t="n"/>
      <c r="E561" s="30" t="n"/>
      <c r="F561" s="30" t="n"/>
      <c r="G561" s="30" t="n"/>
      <c r="H561" s="30" t="n"/>
      <c r="I561" s="30" t="n"/>
      <c r="J561" s="32" t="n"/>
      <c r="K561" s="31" t="n"/>
      <c r="L561" s="30" t="n"/>
      <c r="M561" s="31" t="n"/>
      <c r="N561" s="31" t="n"/>
      <c r="O561" s="31" t="n"/>
      <c r="P561" s="30" t="n"/>
      <c r="Q561" s="31" t="n"/>
      <c r="R561" s="31" t="n"/>
      <c r="S561" s="31" t="n"/>
      <c r="T561" s="31" t="n"/>
      <c r="U561" s="30" t="n"/>
      <c r="V561" s="31" t="n"/>
      <c r="W561" s="31" t="n"/>
      <c r="X561" s="31" t="n"/>
      <c r="Y561" s="31" t="n"/>
      <c r="Z561" s="31" t="n"/>
      <c r="AA561" s="31" t="n"/>
      <c r="AB561" s="31" t="n"/>
      <c r="AC561" s="31" t="n"/>
      <c r="AD561" s="31" t="n"/>
      <c r="AE561" s="31" t="n"/>
      <c r="AF561" s="27">
        <f>IF(NOT(COUNTA(A561:AE561)&gt;0),"",IF(A561="","New client","Update"))</f>
        <v/>
      </c>
      <c r="AG561" s="27">
        <f>IF(AO561&lt;&gt;"",AO561,IF(LEN(AN561)=15,MID(AN561,3,10),""))</f>
        <v/>
      </c>
      <c r="AH561" s="27">
        <f>IF(AP561="","",AP561&amp;IF(D561="","  (guessed from PAN)",""))</f>
        <v/>
      </c>
      <c r="AI561" s="27">
        <f>IF(AN561="","",IFERROR(INDEX(Lists!$L$2:$L$38,MATCH(LEFT(AN561,2),Lists!$K$2:$K$38,0)),"Unknown code"))</f>
        <v/>
      </c>
      <c r="AJ561" s="27">
        <f>IF(AN561="","",IFERROR(IF(NOT(AND(LEN(AN561)=15,ISNUMBER(MATCH(LEFT(AN561,2),Lists!$K$2:$K$38,0)),SUMPRODUCT(--ISERROR(FIND(MID(MID(AN561,3,10),{1,2,3,4,5,10},1),"ABCDEFGHIJKLMNOPQRSTUVWXYZ")))=0,SUMPRODUCT(--ISERROR(FIND(MID(MID(AN561,3,10),{6,7,8,9},1),"0123456789")))=0,ISNUMBER(FIND(MID(AN561,13,1),"123456789ABCDEFGHIJKLMNOPQRSTUVWXYZ")),MID(AN561,14,1)="Z")),"Wrong format",IF(MID("0123456789ABCDEFGHIJKLMNOPQRSTUVWXYZ",MOD(36-MOD(SUMPRODUCT(INT((FIND(MID(AN561,{1,2,3,4,5,6,7,8,9,10,11,12,13,14},1),"0123456789ABCDEFGHIJKLMNOPQRSTUVWXYZ")-1)*{1,2,1,2,1,2,1,2,1,2,1,2,1,2}/36)+MOD((FIND(MID(AN561,{1,2,3,4,5,6,7,8,9,10,11,12,13,14},1),"0123456789ABCDEFGHIJKLMNOPQRSTUVWXYZ")-1)*{1,2,1,2,1,2,1,2,1,2,1,2,1,2},36)),36),36)+1,1)=MID(AN561,15,1),"OK","Typo? check digit wrong")),"Wrong format"))</f>
        <v/>
      </c>
      <c r="AK561" s="27">
        <f>IF(AO561="","",IF(AND(LEN(AO561)=10,SUMPRODUCT(--ISERROR(FIND(MID(AO561,{1,2,3,4,5,10},1),"ABCDEFGHIJKLMNOPQRSTUVWXYZ")))=0,SUMPRODUCT(--ISERROR(FIND(MID(AO561,{6,7,8,9},1),"0123456789")))=0),"OK","Wrong format"))</f>
        <v/>
      </c>
      <c r="AL561" s="27">
        <f>IF(TRIM(H561)="","",IF(AND(LEN(UPPER(TRIM(H561)))=10,SUMPRODUCT(--ISERROR(FIND(MID(UPPER(TRIM(H561)),{1,2,3,4,10},1),"ABCDEFGHIJKLMNOPQRSTUVWXYZ")))=0,SUMPRODUCT(--ISERROR(FIND(MID(UPPER(TRIM(H561)),{5,6,7,8,9},1),"0123456789")))=0),"OK","Wrong format"))</f>
        <v/>
      </c>
      <c r="AM561" s="28">
        <f>IF(NOT(COUNTA(A561:AE561)&gt;0),"",IF(AS561&lt;&gt;"","✖ "&amp;LEFT(AS561,LEN(AS561)-2),IF(AR561&gt;0,"✔ Ready — client + "&amp;AR561&amp;" service(s)","✔ Ready — client only")))</f>
        <v/>
      </c>
      <c r="AN561" s="29">
        <f>UPPER(SUBSTITUTE(TRIM(F561)," ",""))</f>
        <v/>
      </c>
      <c r="AO561" s="29">
        <f>UPPER(SUBSTITUTE(TRIM(E561)," ",""))</f>
        <v/>
      </c>
      <c r="AP561" s="29">
        <f>IF(D561&lt;&gt;"",D561,IFERROR(VLOOKUP(MID(AG561,4,1),Lists!$E$2:$F$8,2,FALSE),""))</f>
        <v/>
      </c>
      <c r="AQ561" s="29">
        <f>IFERROR(VLOOKUP(AP561,Lists!$A$2:$C$12,3,FALSE),"")</f>
        <v/>
      </c>
      <c r="AR561" s="29">
        <f>COUNTIF(W561:AC561,"Yes")</f>
        <v/>
      </c>
      <c r="AS561" s="29">
        <f>IF(TRIM(B561)="","Legal name missing; ","")&amp;IF(AND(AJ561&lt;&gt;"",AJ561&lt;&gt;"OK"),"GSTIN: "&amp;AJ561&amp;"; ","")&amp;IF(AND(AK561&lt;&gt;"",AK561&lt;&gt;"OK"),"PAN wrong format; ","")&amp;IF(AND(AO561&lt;&gt;"",LEN(AN561)=15,MID(AN561,3,10)&lt;&gt;AO561),"PAN does not match GSTIN; ","")&amp;IF(AND(AL561&lt;&gt;"",AL561&lt;&gt;"OK"),"TAN wrong format; ","")&amp;IF(AG561="","PAN missing; ","")&amp;IF(AP561="","Entity type missing; ","")&amp;IF(AND(AN561&lt;&gt;"",COUNTIF($AN$6:$AN$1005,AN561)&gt;1),"GSTIN repeated in this sheet; ","")&amp;IF(AND(AG561&lt;&gt;"",COUNTIF($AG$6:$AG$1005,AG561)&gt;1),"PAN repeated in this sheet (same client? put extra GSTINs in Other GSTINs); ","")&amp;IF(AND(AR561&gt;0,V561=""),"Financial year missing; ","")&amp;IF(AND(AR561=0,V561&lt;&gt;""),"Financial year given but no service is Yes; ","")&amp;IF(AND(W561="Yes",AN561=""),"GST needs a GSTIN; ","")&amp;IF(AND(W561="Yes",X561=""),"GST return frequency missing; ","")&amp;IF(AND(Y561="Yes",TRIM(H561)=""),"TDS needs a TAN; ","")&amp;IF(AND(AA561="Yes",AQ561&lt;&gt;"",AQ561&lt;&gt;"company",AQ561&lt;&gt;"llp"),"ROC is only for a company / LLP; ","")&amp;IF(AND(AA561="Yes",OR(AQ561="company",AQ561="llp"),TRIM(I561)=""),"ROC needs the CIN / LLPIN; ","")</f>
        <v/>
      </c>
    </row>
    <row r="562">
      <c r="A562" s="30" t="n"/>
      <c r="B562" s="31" t="n"/>
      <c r="C562" s="31" t="n"/>
      <c r="D562" s="31" t="n"/>
      <c r="E562" s="30" t="n"/>
      <c r="F562" s="30" t="n"/>
      <c r="G562" s="30" t="n"/>
      <c r="H562" s="30" t="n"/>
      <c r="I562" s="30" t="n"/>
      <c r="J562" s="32" t="n"/>
      <c r="K562" s="31" t="n"/>
      <c r="L562" s="30" t="n"/>
      <c r="M562" s="31" t="n"/>
      <c r="N562" s="31" t="n"/>
      <c r="O562" s="31" t="n"/>
      <c r="P562" s="30" t="n"/>
      <c r="Q562" s="31" t="n"/>
      <c r="R562" s="31" t="n"/>
      <c r="S562" s="31" t="n"/>
      <c r="T562" s="31" t="n"/>
      <c r="U562" s="30" t="n"/>
      <c r="V562" s="31" t="n"/>
      <c r="W562" s="31" t="n"/>
      <c r="X562" s="31" t="n"/>
      <c r="Y562" s="31" t="n"/>
      <c r="Z562" s="31" t="n"/>
      <c r="AA562" s="31" t="n"/>
      <c r="AB562" s="31" t="n"/>
      <c r="AC562" s="31" t="n"/>
      <c r="AD562" s="31" t="n"/>
      <c r="AE562" s="31" t="n"/>
      <c r="AF562" s="27">
        <f>IF(NOT(COUNTA(A562:AE562)&gt;0),"",IF(A562="","New client","Update"))</f>
        <v/>
      </c>
      <c r="AG562" s="27">
        <f>IF(AO562&lt;&gt;"",AO562,IF(LEN(AN562)=15,MID(AN562,3,10),""))</f>
        <v/>
      </c>
      <c r="AH562" s="27">
        <f>IF(AP562="","",AP562&amp;IF(D562="","  (guessed from PAN)",""))</f>
        <v/>
      </c>
      <c r="AI562" s="27">
        <f>IF(AN562="","",IFERROR(INDEX(Lists!$L$2:$L$38,MATCH(LEFT(AN562,2),Lists!$K$2:$K$38,0)),"Unknown code"))</f>
        <v/>
      </c>
      <c r="AJ562" s="27">
        <f>IF(AN562="","",IFERROR(IF(NOT(AND(LEN(AN562)=15,ISNUMBER(MATCH(LEFT(AN562,2),Lists!$K$2:$K$38,0)),SUMPRODUCT(--ISERROR(FIND(MID(MID(AN562,3,10),{1,2,3,4,5,10},1),"ABCDEFGHIJKLMNOPQRSTUVWXYZ")))=0,SUMPRODUCT(--ISERROR(FIND(MID(MID(AN562,3,10),{6,7,8,9},1),"0123456789")))=0,ISNUMBER(FIND(MID(AN562,13,1),"123456789ABCDEFGHIJKLMNOPQRSTUVWXYZ")),MID(AN562,14,1)="Z")),"Wrong format",IF(MID("0123456789ABCDEFGHIJKLMNOPQRSTUVWXYZ",MOD(36-MOD(SUMPRODUCT(INT((FIND(MID(AN562,{1,2,3,4,5,6,7,8,9,10,11,12,13,14},1),"0123456789ABCDEFGHIJKLMNOPQRSTUVWXYZ")-1)*{1,2,1,2,1,2,1,2,1,2,1,2,1,2}/36)+MOD((FIND(MID(AN562,{1,2,3,4,5,6,7,8,9,10,11,12,13,14},1),"0123456789ABCDEFGHIJKLMNOPQRSTUVWXYZ")-1)*{1,2,1,2,1,2,1,2,1,2,1,2,1,2},36)),36),36)+1,1)=MID(AN562,15,1),"OK","Typo? check digit wrong")),"Wrong format"))</f>
        <v/>
      </c>
      <c r="AK562" s="27">
        <f>IF(AO562="","",IF(AND(LEN(AO562)=10,SUMPRODUCT(--ISERROR(FIND(MID(AO562,{1,2,3,4,5,10},1),"ABCDEFGHIJKLMNOPQRSTUVWXYZ")))=0,SUMPRODUCT(--ISERROR(FIND(MID(AO562,{6,7,8,9},1),"0123456789")))=0),"OK","Wrong format"))</f>
        <v/>
      </c>
      <c r="AL562" s="27">
        <f>IF(TRIM(H562)="","",IF(AND(LEN(UPPER(TRIM(H562)))=10,SUMPRODUCT(--ISERROR(FIND(MID(UPPER(TRIM(H562)),{1,2,3,4,10},1),"ABCDEFGHIJKLMNOPQRSTUVWXYZ")))=0,SUMPRODUCT(--ISERROR(FIND(MID(UPPER(TRIM(H562)),{5,6,7,8,9},1),"0123456789")))=0),"OK","Wrong format"))</f>
        <v/>
      </c>
      <c r="AM562" s="28">
        <f>IF(NOT(COUNTA(A562:AE562)&gt;0),"",IF(AS562&lt;&gt;"","✖ "&amp;LEFT(AS562,LEN(AS562)-2),IF(AR562&gt;0,"✔ Ready — client + "&amp;AR562&amp;" service(s)","✔ Ready — client only")))</f>
        <v/>
      </c>
      <c r="AN562" s="29">
        <f>UPPER(SUBSTITUTE(TRIM(F562)," ",""))</f>
        <v/>
      </c>
      <c r="AO562" s="29">
        <f>UPPER(SUBSTITUTE(TRIM(E562)," ",""))</f>
        <v/>
      </c>
      <c r="AP562" s="29">
        <f>IF(D562&lt;&gt;"",D562,IFERROR(VLOOKUP(MID(AG562,4,1),Lists!$E$2:$F$8,2,FALSE),""))</f>
        <v/>
      </c>
      <c r="AQ562" s="29">
        <f>IFERROR(VLOOKUP(AP562,Lists!$A$2:$C$12,3,FALSE),"")</f>
        <v/>
      </c>
      <c r="AR562" s="29">
        <f>COUNTIF(W562:AC562,"Yes")</f>
        <v/>
      </c>
      <c r="AS562" s="29">
        <f>IF(TRIM(B562)="","Legal name missing; ","")&amp;IF(AND(AJ562&lt;&gt;"",AJ562&lt;&gt;"OK"),"GSTIN: "&amp;AJ562&amp;"; ","")&amp;IF(AND(AK562&lt;&gt;"",AK562&lt;&gt;"OK"),"PAN wrong format; ","")&amp;IF(AND(AO562&lt;&gt;"",LEN(AN562)=15,MID(AN562,3,10)&lt;&gt;AO562),"PAN does not match GSTIN; ","")&amp;IF(AND(AL562&lt;&gt;"",AL562&lt;&gt;"OK"),"TAN wrong format; ","")&amp;IF(AG562="","PAN missing; ","")&amp;IF(AP562="","Entity type missing; ","")&amp;IF(AND(AN562&lt;&gt;"",COUNTIF($AN$6:$AN$1005,AN562)&gt;1),"GSTIN repeated in this sheet; ","")&amp;IF(AND(AG562&lt;&gt;"",COUNTIF($AG$6:$AG$1005,AG562)&gt;1),"PAN repeated in this sheet (same client? put extra GSTINs in Other GSTINs); ","")&amp;IF(AND(AR562&gt;0,V562=""),"Financial year missing; ","")&amp;IF(AND(AR562=0,V562&lt;&gt;""),"Financial year given but no service is Yes; ","")&amp;IF(AND(W562="Yes",AN562=""),"GST needs a GSTIN; ","")&amp;IF(AND(W562="Yes",X562=""),"GST return frequency missing; ","")&amp;IF(AND(Y562="Yes",TRIM(H562)=""),"TDS needs a TAN; ","")&amp;IF(AND(AA562="Yes",AQ562&lt;&gt;"",AQ562&lt;&gt;"company",AQ562&lt;&gt;"llp"),"ROC is only for a company / LLP; ","")&amp;IF(AND(AA562="Yes",OR(AQ562="company",AQ562="llp"),TRIM(I562)=""),"ROC needs the CIN / LLPIN; ","")</f>
        <v/>
      </c>
    </row>
    <row r="563">
      <c r="A563" s="30" t="n"/>
      <c r="B563" s="31" t="n"/>
      <c r="C563" s="31" t="n"/>
      <c r="D563" s="31" t="n"/>
      <c r="E563" s="30" t="n"/>
      <c r="F563" s="30" t="n"/>
      <c r="G563" s="30" t="n"/>
      <c r="H563" s="30" t="n"/>
      <c r="I563" s="30" t="n"/>
      <c r="J563" s="32" t="n"/>
      <c r="K563" s="31" t="n"/>
      <c r="L563" s="30" t="n"/>
      <c r="M563" s="31" t="n"/>
      <c r="N563" s="31" t="n"/>
      <c r="O563" s="31" t="n"/>
      <c r="P563" s="30" t="n"/>
      <c r="Q563" s="31" t="n"/>
      <c r="R563" s="31" t="n"/>
      <c r="S563" s="31" t="n"/>
      <c r="T563" s="31" t="n"/>
      <c r="U563" s="30" t="n"/>
      <c r="V563" s="31" t="n"/>
      <c r="W563" s="31" t="n"/>
      <c r="X563" s="31" t="n"/>
      <c r="Y563" s="31" t="n"/>
      <c r="Z563" s="31" t="n"/>
      <c r="AA563" s="31" t="n"/>
      <c r="AB563" s="31" t="n"/>
      <c r="AC563" s="31" t="n"/>
      <c r="AD563" s="31" t="n"/>
      <c r="AE563" s="31" t="n"/>
      <c r="AF563" s="27">
        <f>IF(NOT(COUNTA(A563:AE563)&gt;0),"",IF(A563="","New client","Update"))</f>
        <v/>
      </c>
      <c r="AG563" s="27">
        <f>IF(AO563&lt;&gt;"",AO563,IF(LEN(AN563)=15,MID(AN563,3,10),""))</f>
        <v/>
      </c>
      <c r="AH563" s="27">
        <f>IF(AP563="","",AP563&amp;IF(D563="","  (guessed from PAN)",""))</f>
        <v/>
      </c>
      <c r="AI563" s="27">
        <f>IF(AN563="","",IFERROR(INDEX(Lists!$L$2:$L$38,MATCH(LEFT(AN563,2),Lists!$K$2:$K$38,0)),"Unknown code"))</f>
        <v/>
      </c>
      <c r="AJ563" s="27">
        <f>IF(AN563="","",IFERROR(IF(NOT(AND(LEN(AN563)=15,ISNUMBER(MATCH(LEFT(AN563,2),Lists!$K$2:$K$38,0)),SUMPRODUCT(--ISERROR(FIND(MID(MID(AN563,3,10),{1,2,3,4,5,10},1),"ABCDEFGHIJKLMNOPQRSTUVWXYZ")))=0,SUMPRODUCT(--ISERROR(FIND(MID(MID(AN563,3,10),{6,7,8,9},1),"0123456789")))=0,ISNUMBER(FIND(MID(AN563,13,1),"123456789ABCDEFGHIJKLMNOPQRSTUVWXYZ")),MID(AN563,14,1)="Z")),"Wrong format",IF(MID("0123456789ABCDEFGHIJKLMNOPQRSTUVWXYZ",MOD(36-MOD(SUMPRODUCT(INT((FIND(MID(AN563,{1,2,3,4,5,6,7,8,9,10,11,12,13,14},1),"0123456789ABCDEFGHIJKLMNOPQRSTUVWXYZ")-1)*{1,2,1,2,1,2,1,2,1,2,1,2,1,2}/36)+MOD((FIND(MID(AN563,{1,2,3,4,5,6,7,8,9,10,11,12,13,14},1),"0123456789ABCDEFGHIJKLMNOPQRSTUVWXYZ")-1)*{1,2,1,2,1,2,1,2,1,2,1,2,1,2},36)),36),36)+1,1)=MID(AN563,15,1),"OK","Typo? check digit wrong")),"Wrong format"))</f>
        <v/>
      </c>
      <c r="AK563" s="27">
        <f>IF(AO563="","",IF(AND(LEN(AO563)=10,SUMPRODUCT(--ISERROR(FIND(MID(AO563,{1,2,3,4,5,10},1),"ABCDEFGHIJKLMNOPQRSTUVWXYZ")))=0,SUMPRODUCT(--ISERROR(FIND(MID(AO563,{6,7,8,9},1),"0123456789")))=0),"OK","Wrong format"))</f>
        <v/>
      </c>
      <c r="AL563" s="27">
        <f>IF(TRIM(H563)="","",IF(AND(LEN(UPPER(TRIM(H563)))=10,SUMPRODUCT(--ISERROR(FIND(MID(UPPER(TRIM(H563)),{1,2,3,4,10},1),"ABCDEFGHIJKLMNOPQRSTUVWXYZ")))=0,SUMPRODUCT(--ISERROR(FIND(MID(UPPER(TRIM(H563)),{5,6,7,8,9},1),"0123456789")))=0),"OK","Wrong format"))</f>
        <v/>
      </c>
      <c r="AM563" s="28">
        <f>IF(NOT(COUNTA(A563:AE563)&gt;0),"",IF(AS563&lt;&gt;"","✖ "&amp;LEFT(AS563,LEN(AS563)-2),IF(AR563&gt;0,"✔ Ready — client + "&amp;AR563&amp;" service(s)","✔ Ready — client only")))</f>
        <v/>
      </c>
      <c r="AN563" s="29">
        <f>UPPER(SUBSTITUTE(TRIM(F563)," ",""))</f>
        <v/>
      </c>
      <c r="AO563" s="29">
        <f>UPPER(SUBSTITUTE(TRIM(E563)," ",""))</f>
        <v/>
      </c>
      <c r="AP563" s="29">
        <f>IF(D563&lt;&gt;"",D563,IFERROR(VLOOKUP(MID(AG563,4,1),Lists!$E$2:$F$8,2,FALSE),""))</f>
        <v/>
      </c>
      <c r="AQ563" s="29">
        <f>IFERROR(VLOOKUP(AP563,Lists!$A$2:$C$12,3,FALSE),"")</f>
        <v/>
      </c>
      <c r="AR563" s="29">
        <f>COUNTIF(W563:AC563,"Yes")</f>
        <v/>
      </c>
      <c r="AS563" s="29">
        <f>IF(TRIM(B563)="","Legal name missing; ","")&amp;IF(AND(AJ563&lt;&gt;"",AJ563&lt;&gt;"OK"),"GSTIN: "&amp;AJ563&amp;"; ","")&amp;IF(AND(AK563&lt;&gt;"",AK563&lt;&gt;"OK"),"PAN wrong format; ","")&amp;IF(AND(AO563&lt;&gt;"",LEN(AN563)=15,MID(AN563,3,10)&lt;&gt;AO563),"PAN does not match GSTIN; ","")&amp;IF(AND(AL563&lt;&gt;"",AL563&lt;&gt;"OK"),"TAN wrong format; ","")&amp;IF(AG563="","PAN missing; ","")&amp;IF(AP563="","Entity type missing; ","")&amp;IF(AND(AN563&lt;&gt;"",COUNTIF($AN$6:$AN$1005,AN563)&gt;1),"GSTIN repeated in this sheet; ","")&amp;IF(AND(AG563&lt;&gt;"",COUNTIF($AG$6:$AG$1005,AG563)&gt;1),"PAN repeated in this sheet (same client? put extra GSTINs in Other GSTINs); ","")&amp;IF(AND(AR563&gt;0,V563=""),"Financial year missing; ","")&amp;IF(AND(AR563=0,V563&lt;&gt;""),"Financial year given but no service is Yes; ","")&amp;IF(AND(W563="Yes",AN563=""),"GST needs a GSTIN; ","")&amp;IF(AND(W563="Yes",X563=""),"GST return frequency missing; ","")&amp;IF(AND(Y563="Yes",TRIM(H563)=""),"TDS needs a TAN; ","")&amp;IF(AND(AA563="Yes",AQ563&lt;&gt;"",AQ563&lt;&gt;"company",AQ563&lt;&gt;"llp"),"ROC is only for a company / LLP; ","")&amp;IF(AND(AA563="Yes",OR(AQ563="company",AQ563="llp"),TRIM(I563)=""),"ROC needs the CIN / LLPIN; ","")</f>
        <v/>
      </c>
    </row>
    <row r="564">
      <c r="A564" s="30" t="n"/>
      <c r="B564" s="31" t="n"/>
      <c r="C564" s="31" t="n"/>
      <c r="D564" s="31" t="n"/>
      <c r="E564" s="30" t="n"/>
      <c r="F564" s="30" t="n"/>
      <c r="G564" s="30" t="n"/>
      <c r="H564" s="30" t="n"/>
      <c r="I564" s="30" t="n"/>
      <c r="J564" s="32" t="n"/>
      <c r="K564" s="31" t="n"/>
      <c r="L564" s="30" t="n"/>
      <c r="M564" s="31" t="n"/>
      <c r="N564" s="31" t="n"/>
      <c r="O564" s="31" t="n"/>
      <c r="P564" s="30" t="n"/>
      <c r="Q564" s="31" t="n"/>
      <c r="R564" s="31" t="n"/>
      <c r="S564" s="31" t="n"/>
      <c r="T564" s="31" t="n"/>
      <c r="U564" s="30" t="n"/>
      <c r="V564" s="31" t="n"/>
      <c r="W564" s="31" t="n"/>
      <c r="X564" s="31" t="n"/>
      <c r="Y564" s="31" t="n"/>
      <c r="Z564" s="31" t="n"/>
      <c r="AA564" s="31" t="n"/>
      <c r="AB564" s="31" t="n"/>
      <c r="AC564" s="31" t="n"/>
      <c r="AD564" s="31" t="n"/>
      <c r="AE564" s="31" t="n"/>
      <c r="AF564" s="27">
        <f>IF(NOT(COUNTA(A564:AE564)&gt;0),"",IF(A564="","New client","Update"))</f>
        <v/>
      </c>
      <c r="AG564" s="27">
        <f>IF(AO564&lt;&gt;"",AO564,IF(LEN(AN564)=15,MID(AN564,3,10),""))</f>
        <v/>
      </c>
      <c r="AH564" s="27">
        <f>IF(AP564="","",AP564&amp;IF(D564="","  (guessed from PAN)",""))</f>
        <v/>
      </c>
      <c r="AI564" s="27">
        <f>IF(AN564="","",IFERROR(INDEX(Lists!$L$2:$L$38,MATCH(LEFT(AN564,2),Lists!$K$2:$K$38,0)),"Unknown code"))</f>
        <v/>
      </c>
      <c r="AJ564" s="27">
        <f>IF(AN564="","",IFERROR(IF(NOT(AND(LEN(AN564)=15,ISNUMBER(MATCH(LEFT(AN564,2),Lists!$K$2:$K$38,0)),SUMPRODUCT(--ISERROR(FIND(MID(MID(AN564,3,10),{1,2,3,4,5,10},1),"ABCDEFGHIJKLMNOPQRSTUVWXYZ")))=0,SUMPRODUCT(--ISERROR(FIND(MID(MID(AN564,3,10),{6,7,8,9},1),"0123456789")))=0,ISNUMBER(FIND(MID(AN564,13,1),"123456789ABCDEFGHIJKLMNOPQRSTUVWXYZ")),MID(AN564,14,1)="Z")),"Wrong format",IF(MID("0123456789ABCDEFGHIJKLMNOPQRSTUVWXYZ",MOD(36-MOD(SUMPRODUCT(INT((FIND(MID(AN564,{1,2,3,4,5,6,7,8,9,10,11,12,13,14},1),"0123456789ABCDEFGHIJKLMNOPQRSTUVWXYZ")-1)*{1,2,1,2,1,2,1,2,1,2,1,2,1,2}/36)+MOD((FIND(MID(AN564,{1,2,3,4,5,6,7,8,9,10,11,12,13,14},1),"0123456789ABCDEFGHIJKLMNOPQRSTUVWXYZ")-1)*{1,2,1,2,1,2,1,2,1,2,1,2,1,2},36)),36),36)+1,1)=MID(AN564,15,1),"OK","Typo? check digit wrong")),"Wrong format"))</f>
        <v/>
      </c>
      <c r="AK564" s="27">
        <f>IF(AO564="","",IF(AND(LEN(AO564)=10,SUMPRODUCT(--ISERROR(FIND(MID(AO564,{1,2,3,4,5,10},1),"ABCDEFGHIJKLMNOPQRSTUVWXYZ")))=0,SUMPRODUCT(--ISERROR(FIND(MID(AO564,{6,7,8,9},1),"0123456789")))=0),"OK","Wrong format"))</f>
        <v/>
      </c>
      <c r="AL564" s="27">
        <f>IF(TRIM(H564)="","",IF(AND(LEN(UPPER(TRIM(H564)))=10,SUMPRODUCT(--ISERROR(FIND(MID(UPPER(TRIM(H564)),{1,2,3,4,10},1),"ABCDEFGHIJKLMNOPQRSTUVWXYZ")))=0,SUMPRODUCT(--ISERROR(FIND(MID(UPPER(TRIM(H564)),{5,6,7,8,9},1),"0123456789")))=0),"OK","Wrong format"))</f>
        <v/>
      </c>
      <c r="AM564" s="28">
        <f>IF(NOT(COUNTA(A564:AE564)&gt;0),"",IF(AS564&lt;&gt;"","✖ "&amp;LEFT(AS564,LEN(AS564)-2),IF(AR564&gt;0,"✔ Ready — client + "&amp;AR564&amp;" service(s)","✔ Ready — client only")))</f>
        <v/>
      </c>
      <c r="AN564" s="29">
        <f>UPPER(SUBSTITUTE(TRIM(F564)," ",""))</f>
        <v/>
      </c>
      <c r="AO564" s="29">
        <f>UPPER(SUBSTITUTE(TRIM(E564)," ",""))</f>
        <v/>
      </c>
      <c r="AP564" s="29">
        <f>IF(D564&lt;&gt;"",D564,IFERROR(VLOOKUP(MID(AG564,4,1),Lists!$E$2:$F$8,2,FALSE),""))</f>
        <v/>
      </c>
      <c r="AQ564" s="29">
        <f>IFERROR(VLOOKUP(AP564,Lists!$A$2:$C$12,3,FALSE),"")</f>
        <v/>
      </c>
      <c r="AR564" s="29">
        <f>COUNTIF(W564:AC564,"Yes")</f>
        <v/>
      </c>
      <c r="AS564" s="29">
        <f>IF(TRIM(B564)="","Legal name missing; ","")&amp;IF(AND(AJ564&lt;&gt;"",AJ564&lt;&gt;"OK"),"GSTIN: "&amp;AJ564&amp;"; ","")&amp;IF(AND(AK564&lt;&gt;"",AK564&lt;&gt;"OK"),"PAN wrong format; ","")&amp;IF(AND(AO564&lt;&gt;"",LEN(AN564)=15,MID(AN564,3,10)&lt;&gt;AO564),"PAN does not match GSTIN; ","")&amp;IF(AND(AL564&lt;&gt;"",AL564&lt;&gt;"OK"),"TAN wrong format; ","")&amp;IF(AG564="","PAN missing; ","")&amp;IF(AP564="","Entity type missing; ","")&amp;IF(AND(AN564&lt;&gt;"",COUNTIF($AN$6:$AN$1005,AN564)&gt;1),"GSTIN repeated in this sheet; ","")&amp;IF(AND(AG564&lt;&gt;"",COUNTIF($AG$6:$AG$1005,AG564)&gt;1),"PAN repeated in this sheet (same client? put extra GSTINs in Other GSTINs); ","")&amp;IF(AND(AR564&gt;0,V564=""),"Financial year missing; ","")&amp;IF(AND(AR564=0,V564&lt;&gt;""),"Financial year given but no service is Yes; ","")&amp;IF(AND(W564="Yes",AN564=""),"GST needs a GSTIN; ","")&amp;IF(AND(W564="Yes",X564=""),"GST return frequency missing; ","")&amp;IF(AND(Y564="Yes",TRIM(H564)=""),"TDS needs a TAN; ","")&amp;IF(AND(AA564="Yes",AQ564&lt;&gt;"",AQ564&lt;&gt;"company",AQ564&lt;&gt;"llp"),"ROC is only for a company / LLP; ","")&amp;IF(AND(AA564="Yes",OR(AQ564="company",AQ564="llp"),TRIM(I564)=""),"ROC needs the CIN / LLPIN; ","")</f>
        <v/>
      </c>
    </row>
    <row r="565">
      <c r="A565" s="30" t="n"/>
      <c r="B565" s="31" t="n"/>
      <c r="C565" s="31" t="n"/>
      <c r="D565" s="31" t="n"/>
      <c r="E565" s="30" t="n"/>
      <c r="F565" s="30" t="n"/>
      <c r="G565" s="30" t="n"/>
      <c r="H565" s="30" t="n"/>
      <c r="I565" s="30" t="n"/>
      <c r="J565" s="32" t="n"/>
      <c r="K565" s="31" t="n"/>
      <c r="L565" s="30" t="n"/>
      <c r="M565" s="31" t="n"/>
      <c r="N565" s="31" t="n"/>
      <c r="O565" s="31" t="n"/>
      <c r="P565" s="30" t="n"/>
      <c r="Q565" s="31" t="n"/>
      <c r="R565" s="31" t="n"/>
      <c r="S565" s="31" t="n"/>
      <c r="T565" s="31" t="n"/>
      <c r="U565" s="30" t="n"/>
      <c r="V565" s="31" t="n"/>
      <c r="W565" s="31" t="n"/>
      <c r="X565" s="31" t="n"/>
      <c r="Y565" s="31" t="n"/>
      <c r="Z565" s="31" t="n"/>
      <c r="AA565" s="31" t="n"/>
      <c r="AB565" s="31" t="n"/>
      <c r="AC565" s="31" t="n"/>
      <c r="AD565" s="31" t="n"/>
      <c r="AE565" s="31" t="n"/>
      <c r="AF565" s="27">
        <f>IF(NOT(COUNTA(A565:AE565)&gt;0),"",IF(A565="","New client","Update"))</f>
        <v/>
      </c>
      <c r="AG565" s="27">
        <f>IF(AO565&lt;&gt;"",AO565,IF(LEN(AN565)=15,MID(AN565,3,10),""))</f>
        <v/>
      </c>
      <c r="AH565" s="27">
        <f>IF(AP565="","",AP565&amp;IF(D565="","  (guessed from PAN)",""))</f>
        <v/>
      </c>
      <c r="AI565" s="27">
        <f>IF(AN565="","",IFERROR(INDEX(Lists!$L$2:$L$38,MATCH(LEFT(AN565,2),Lists!$K$2:$K$38,0)),"Unknown code"))</f>
        <v/>
      </c>
      <c r="AJ565" s="27">
        <f>IF(AN565="","",IFERROR(IF(NOT(AND(LEN(AN565)=15,ISNUMBER(MATCH(LEFT(AN565,2),Lists!$K$2:$K$38,0)),SUMPRODUCT(--ISERROR(FIND(MID(MID(AN565,3,10),{1,2,3,4,5,10},1),"ABCDEFGHIJKLMNOPQRSTUVWXYZ")))=0,SUMPRODUCT(--ISERROR(FIND(MID(MID(AN565,3,10),{6,7,8,9},1),"0123456789")))=0,ISNUMBER(FIND(MID(AN565,13,1),"123456789ABCDEFGHIJKLMNOPQRSTUVWXYZ")),MID(AN565,14,1)="Z")),"Wrong format",IF(MID("0123456789ABCDEFGHIJKLMNOPQRSTUVWXYZ",MOD(36-MOD(SUMPRODUCT(INT((FIND(MID(AN565,{1,2,3,4,5,6,7,8,9,10,11,12,13,14},1),"0123456789ABCDEFGHIJKLMNOPQRSTUVWXYZ")-1)*{1,2,1,2,1,2,1,2,1,2,1,2,1,2}/36)+MOD((FIND(MID(AN565,{1,2,3,4,5,6,7,8,9,10,11,12,13,14},1),"0123456789ABCDEFGHIJKLMNOPQRSTUVWXYZ")-1)*{1,2,1,2,1,2,1,2,1,2,1,2,1,2},36)),36),36)+1,1)=MID(AN565,15,1),"OK","Typo? check digit wrong")),"Wrong format"))</f>
        <v/>
      </c>
      <c r="AK565" s="27">
        <f>IF(AO565="","",IF(AND(LEN(AO565)=10,SUMPRODUCT(--ISERROR(FIND(MID(AO565,{1,2,3,4,5,10},1),"ABCDEFGHIJKLMNOPQRSTUVWXYZ")))=0,SUMPRODUCT(--ISERROR(FIND(MID(AO565,{6,7,8,9},1),"0123456789")))=0),"OK","Wrong format"))</f>
        <v/>
      </c>
      <c r="AL565" s="27">
        <f>IF(TRIM(H565)="","",IF(AND(LEN(UPPER(TRIM(H565)))=10,SUMPRODUCT(--ISERROR(FIND(MID(UPPER(TRIM(H565)),{1,2,3,4,10},1),"ABCDEFGHIJKLMNOPQRSTUVWXYZ")))=0,SUMPRODUCT(--ISERROR(FIND(MID(UPPER(TRIM(H565)),{5,6,7,8,9},1),"0123456789")))=0),"OK","Wrong format"))</f>
        <v/>
      </c>
      <c r="AM565" s="28">
        <f>IF(NOT(COUNTA(A565:AE565)&gt;0),"",IF(AS565&lt;&gt;"","✖ "&amp;LEFT(AS565,LEN(AS565)-2),IF(AR565&gt;0,"✔ Ready — client + "&amp;AR565&amp;" service(s)","✔ Ready — client only")))</f>
        <v/>
      </c>
      <c r="AN565" s="29">
        <f>UPPER(SUBSTITUTE(TRIM(F565)," ",""))</f>
        <v/>
      </c>
      <c r="AO565" s="29">
        <f>UPPER(SUBSTITUTE(TRIM(E565)," ",""))</f>
        <v/>
      </c>
      <c r="AP565" s="29">
        <f>IF(D565&lt;&gt;"",D565,IFERROR(VLOOKUP(MID(AG565,4,1),Lists!$E$2:$F$8,2,FALSE),""))</f>
        <v/>
      </c>
      <c r="AQ565" s="29">
        <f>IFERROR(VLOOKUP(AP565,Lists!$A$2:$C$12,3,FALSE),"")</f>
        <v/>
      </c>
      <c r="AR565" s="29">
        <f>COUNTIF(W565:AC565,"Yes")</f>
        <v/>
      </c>
      <c r="AS565" s="29">
        <f>IF(TRIM(B565)="","Legal name missing; ","")&amp;IF(AND(AJ565&lt;&gt;"",AJ565&lt;&gt;"OK"),"GSTIN: "&amp;AJ565&amp;"; ","")&amp;IF(AND(AK565&lt;&gt;"",AK565&lt;&gt;"OK"),"PAN wrong format; ","")&amp;IF(AND(AO565&lt;&gt;"",LEN(AN565)=15,MID(AN565,3,10)&lt;&gt;AO565),"PAN does not match GSTIN; ","")&amp;IF(AND(AL565&lt;&gt;"",AL565&lt;&gt;"OK"),"TAN wrong format; ","")&amp;IF(AG565="","PAN missing; ","")&amp;IF(AP565="","Entity type missing; ","")&amp;IF(AND(AN565&lt;&gt;"",COUNTIF($AN$6:$AN$1005,AN565)&gt;1),"GSTIN repeated in this sheet; ","")&amp;IF(AND(AG565&lt;&gt;"",COUNTIF($AG$6:$AG$1005,AG565)&gt;1),"PAN repeated in this sheet (same client? put extra GSTINs in Other GSTINs); ","")&amp;IF(AND(AR565&gt;0,V565=""),"Financial year missing; ","")&amp;IF(AND(AR565=0,V565&lt;&gt;""),"Financial year given but no service is Yes; ","")&amp;IF(AND(W565="Yes",AN565=""),"GST needs a GSTIN; ","")&amp;IF(AND(W565="Yes",X565=""),"GST return frequency missing; ","")&amp;IF(AND(Y565="Yes",TRIM(H565)=""),"TDS needs a TAN; ","")&amp;IF(AND(AA565="Yes",AQ565&lt;&gt;"",AQ565&lt;&gt;"company",AQ565&lt;&gt;"llp"),"ROC is only for a company / LLP; ","")&amp;IF(AND(AA565="Yes",OR(AQ565="company",AQ565="llp"),TRIM(I565)=""),"ROC needs the CIN / LLPIN; ","")</f>
        <v/>
      </c>
    </row>
    <row r="566">
      <c r="A566" s="30" t="n"/>
      <c r="B566" s="31" t="n"/>
      <c r="C566" s="31" t="n"/>
      <c r="D566" s="31" t="n"/>
      <c r="E566" s="30" t="n"/>
      <c r="F566" s="30" t="n"/>
      <c r="G566" s="30" t="n"/>
      <c r="H566" s="30" t="n"/>
      <c r="I566" s="30" t="n"/>
      <c r="J566" s="32" t="n"/>
      <c r="K566" s="31" t="n"/>
      <c r="L566" s="30" t="n"/>
      <c r="M566" s="31" t="n"/>
      <c r="N566" s="31" t="n"/>
      <c r="O566" s="31" t="n"/>
      <c r="P566" s="30" t="n"/>
      <c r="Q566" s="31" t="n"/>
      <c r="R566" s="31" t="n"/>
      <c r="S566" s="31" t="n"/>
      <c r="T566" s="31" t="n"/>
      <c r="U566" s="30" t="n"/>
      <c r="V566" s="31" t="n"/>
      <c r="W566" s="31" t="n"/>
      <c r="X566" s="31" t="n"/>
      <c r="Y566" s="31" t="n"/>
      <c r="Z566" s="31" t="n"/>
      <c r="AA566" s="31" t="n"/>
      <c r="AB566" s="31" t="n"/>
      <c r="AC566" s="31" t="n"/>
      <c r="AD566" s="31" t="n"/>
      <c r="AE566" s="31" t="n"/>
      <c r="AF566" s="27">
        <f>IF(NOT(COUNTA(A566:AE566)&gt;0),"",IF(A566="","New client","Update"))</f>
        <v/>
      </c>
      <c r="AG566" s="27">
        <f>IF(AO566&lt;&gt;"",AO566,IF(LEN(AN566)=15,MID(AN566,3,10),""))</f>
        <v/>
      </c>
      <c r="AH566" s="27">
        <f>IF(AP566="","",AP566&amp;IF(D566="","  (guessed from PAN)",""))</f>
        <v/>
      </c>
      <c r="AI566" s="27">
        <f>IF(AN566="","",IFERROR(INDEX(Lists!$L$2:$L$38,MATCH(LEFT(AN566,2),Lists!$K$2:$K$38,0)),"Unknown code"))</f>
        <v/>
      </c>
      <c r="AJ566" s="27">
        <f>IF(AN566="","",IFERROR(IF(NOT(AND(LEN(AN566)=15,ISNUMBER(MATCH(LEFT(AN566,2),Lists!$K$2:$K$38,0)),SUMPRODUCT(--ISERROR(FIND(MID(MID(AN566,3,10),{1,2,3,4,5,10},1),"ABCDEFGHIJKLMNOPQRSTUVWXYZ")))=0,SUMPRODUCT(--ISERROR(FIND(MID(MID(AN566,3,10),{6,7,8,9},1),"0123456789")))=0,ISNUMBER(FIND(MID(AN566,13,1),"123456789ABCDEFGHIJKLMNOPQRSTUVWXYZ")),MID(AN566,14,1)="Z")),"Wrong format",IF(MID("0123456789ABCDEFGHIJKLMNOPQRSTUVWXYZ",MOD(36-MOD(SUMPRODUCT(INT((FIND(MID(AN566,{1,2,3,4,5,6,7,8,9,10,11,12,13,14},1),"0123456789ABCDEFGHIJKLMNOPQRSTUVWXYZ")-1)*{1,2,1,2,1,2,1,2,1,2,1,2,1,2}/36)+MOD((FIND(MID(AN566,{1,2,3,4,5,6,7,8,9,10,11,12,13,14},1),"0123456789ABCDEFGHIJKLMNOPQRSTUVWXYZ")-1)*{1,2,1,2,1,2,1,2,1,2,1,2,1,2},36)),36),36)+1,1)=MID(AN566,15,1),"OK","Typo? check digit wrong")),"Wrong format"))</f>
        <v/>
      </c>
      <c r="AK566" s="27">
        <f>IF(AO566="","",IF(AND(LEN(AO566)=10,SUMPRODUCT(--ISERROR(FIND(MID(AO566,{1,2,3,4,5,10},1),"ABCDEFGHIJKLMNOPQRSTUVWXYZ")))=0,SUMPRODUCT(--ISERROR(FIND(MID(AO566,{6,7,8,9},1),"0123456789")))=0),"OK","Wrong format"))</f>
        <v/>
      </c>
      <c r="AL566" s="27">
        <f>IF(TRIM(H566)="","",IF(AND(LEN(UPPER(TRIM(H566)))=10,SUMPRODUCT(--ISERROR(FIND(MID(UPPER(TRIM(H566)),{1,2,3,4,10},1),"ABCDEFGHIJKLMNOPQRSTUVWXYZ")))=0,SUMPRODUCT(--ISERROR(FIND(MID(UPPER(TRIM(H566)),{5,6,7,8,9},1),"0123456789")))=0),"OK","Wrong format"))</f>
        <v/>
      </c>
      <c r="AM566" s="28">
        <f>IF(NOT(COUNTA(A566:AE566)&gt;0),"",IF(AS566&lt;&gt;"","✖ "&amp;LEFT(AS566,LEN(AS566)-2),IF(AR566&gt;0,"✔ Ready — client + "&amp;AR566&amp;" service(s)","✔ Ready — client only")))</f>
        <v/>
      </c>
      <c r="AN566" s="29">
        <f>UPPER(SUBSTITUTE(TRIM(F566)," ",""))</f>
        <v/>
      </c>
      <c r="AO566" s="29">
        <f>UPPER(SUBSTITUTE(TRIM(E566)," ",""))</f>
        <v/>
      </c>
      <c r="AP566" s="29">
        <f>IF(D566&lt;&gt;"",D566,IFERROR(VLOOKUP(MID(AG566,4,1),Lists!$E$2:$F$8,2,FALSE),""))</f>
        <v/>
      </c>
      <c r="AQ566" s="29">
        <f>IFERROR(VLOOKUP(AP566,Lists!$A$2:$C$12,3,FALSE),"")</f>
        <v/>
      </c>
      <c r="AR566" s="29">
        <f>COUNTIF(W566:AC566,"Yes")</f>
        <v/>
      </c>
      <c r="AS566" s="29">
        <f>IF(TRIM(B566)="","Legal name missing; ","")&amp;IF(AND(AJ566&lt;&gt;"",AJ566&lt;&gt;"OK"),"GSTIN: "&amp;AJ566&amp;"; ","")&amp;IF(AND(AK566&lt;&gt;"",AK566&lt;&gt;"OK"),"PAN wrong format; ","")&amp;IF(AND(AO566&lt;&gt;"",LEN(AN566)=15,MID(AN566,3,10)&lt;&gt;AO566),"PAN does not match GSTIN; ","")&amp;IF(AND(AL566&lt;&gt;"",AL566&lt;&gt;"OK"),"TAN wrong format; ","")&amp;IF(AG566="","PAN missing; ","")&amp;IF(AP566="","Entity type missing; ","")&amp;IF(AND(AN566&lt;&gt;"",COUNTIF($AN$6:$AN$1005,AN566)&gt;1),"GSTIN repeated in this sheet; ","")&amp;IF(AND(AG566&lt;&gt;"",COUNTIF($AG$6:$AG$1005,AG566)&gt;1),"PAN repeated in this sheet (same client? put extra GSTINs in Other GSTINs); ","")&amp;IF(AND(AR566&gt;0,V566=""),"Financial year missing; ","")&amp;IF(AND(AR566=0,V566&lt;&gt;""),"Financial year given but no service is Yes; ","")&amp;IF(AND(W566="Yes",AN566=""),"GST needs a GSTIN; ","")&amp;IF(AND(W566="Yes",X566=""),"GST return frequency missing; ","")&amp;IF(AND(Y566="Yes",TRIM(H566)=""),"TDS needs a TAN; ","")&amp;IF(AND(AA566="Yes",AQ566&lt;&gt;"",AQ566&lt;&gt;"company",AQ566&lt;&gt;"llp"),"ROC is only for a company / LLP; ","")&amp;IF(AND(AA566="Yes",OR(AQ566="company",AQ566="llp"),TRIM(I566)=""),"ROC needs the CIN / LLPIN; ","")</f>
        <v/>
      </c>
    </row>
    <row r="567">
      <c r="A567" s="30" t="n"/>
      <c r="B567" s="31" t="n"/>
      <c r="C567" s="31" t="n"/>
      <c r="D567" s="31" t="n"/>
      <c r="E567" s="30" t="n"/>
      <c r="F567" s="30" t="n"/>
      <c r="G567" s="30" t="n"/>
      <c r="H567" s="30" t="n"/>
      <c r="I567" s="30" t="n"/>
      <c r="J567" s="32" t="n"/>
      <c r="K567" s="31" t="n"/>
      <c r="L567" s="30" t="n"/>
      <c r="M567" s="31" t="n"/>
      <c r="N567" s="31" t="n"/>
      <c r="O567" s="31" t="n"/>
      <c r="P567" s="30" t="n"/>
      <c r="Q567" s="31" t="n"/>
      <c r="R567" s="31" t="n"/>
      <c r="S567" s="31" t="n"/>
      <c r="T567" s="31" t="n"/>
      <c r="U567" s="30" t="n"/>
      <c r="V567" s="31" t="n"/>
      <c r="W567" s="31" t="n"/>
      <c r="X567" s="31" t="n"/>
      <c r="Y567" s="31" t="n"/>
      <c r="Z567" s="31" t="n"/>
      <c r="AA567" s="31" t="n"/>
      <c r="AB567" s="31" t="n"/>
      <c r="AC567" s="31" t="n"/>
      <c r="AD567" s="31" t="n"/>
      <c r="AE567" s="31" t="n"/>
      <c r="AF567" s="27">
        <f>IF(NOT(COUNTA(A567:AE567)&gt;0),"",IF(A567="","New client","Update"))</f>
        <v/>
      </c>
      <c r="AG567" s="27">
        <f>IF(AO567&lt;&gt;"",AO567,IF(LEN(AN567)=15,MID(AN567,3,10),""))</f>
        <v/>
      </c>
      <c r="AH567" s="27">
        <f>IF(AP567="","",AP567&amp;IF(D567="","  (guessed from PAN)",""))</f>
        <v/>
      </c>
      <c r="AI567" s="27">
        <f>IF(AN567="","",IFERROR(INDEX(Lists!$L$2:$L$38,MATCH(LEFT(AN567,2),Lists!$K$2:$K$38,0)),"Unknown code"))</f>
        <v/>
      </c>
      <c r="AJ567" s="27">
        <f>IF(AN567="","",IFERROR(IF(NOT(AND(LEN(AN567)=15,ISNUMBER(MATCH(LEFT(AN567,2),Lists!$K$2:$K$38,0)),SUMPRODUCT(--ISERROR(FIND(MID(MID(AN567,3,10),{1,2,3,4,5,10},1),"ABCDEFGHIJKLMNOPQRSTUVWXYZ")))=0,SUMPRODUCT(--ISERROR(FIND(MID(MID(AN567,3,10),{6,7,8,9},1),"0123456789")))=0,ISNUMBER(FIND(MID(AN567,13,1),"123456789ABCDEFGHIJKLMNOPQRSTUVWXYZ")),MID(AN567,14,1)="Z")),"Wrong format",IF(MID("0123456789ABCDEFGHIJKLMNOPQRSTUVWXYZ",MOD(36-MOD(SUMPRODUCT(INT((FIND(MID(AN567,{1,2,3,4,5,6,7,8,9,10,11,12,13,14},1),"0123456789ABCDEFGHIJKLMNOPQRSTUVWXYZ")-1)*{1,2,1,2,1,2,1,2,1,2,1,2,1,2}/36)+MOD((FIND(MID(AN567,{1,2,3,4,5,6,7,8,9,10,11,12,13,14},1),"0123456789ABCDEFGHIJKLMNOPQRSTUVWXYZ")-1)*{1,2,1,2,1,2,1,2,1,2,1,2,1,2},36)),36),36)+1,1)=MID(AN567,15,1),"OK","Typo? check digit wrong")),"Wrong format"))</f>
        <v/>
      </c>
      <c r="AK567" s="27">
        <f>IF(AO567="","",IF(AND(LEN(AO567)=10,SUMPRODUCT(--ISERROR(FIND(MID(AO567,{1,2,3,4,5,10},1),"ABCDEFGHIJKLMNOPQRSTUVWXYZ")))=0,SUMPRODUCT(--ISERROR(FIND(MID(AO567,{6,7,8,9},1),"0123456789")))=0),"OK","Wrong format"))</f>
        <v/>
      </c>
      <c r="AL567" s="27">
        <f>IF(TRIM(H567)="","",IF(AND(LEN(UPPER(TRIM(H567)))=10,SUMPRODUCT(--ISERROR(FIND(MID(UPPER(TRIM(H567)),{1,2,3,4,10},1),"ABCDEFGHIJKLMNOPQRSTUVWXYZ")))=0,SUMPRODUCT(--ISERROR(FIND(MID(UPPER(TRIM(H567)),{5,6,7,8,9},1),"0123456789")))=0),"OK","Wrong format"))</f>
        <v/>
      </c>
      <c r="AM567" s="28">
        <f>IF(NOT(COUNTA(A567:AE567)&gt;0),"",IF(AS567&lt;&gt;"","✖ "&amp;LEFT(AS567,LEN(AS567)-2),IF(AR567&gt;0,"✔ Ready — client + "&amp;AR567&amp;" service(s)","✔ Ready — client only")))</f>
        <v/>
      </c>
      <c r="AN567" s="29">
        <f>UPPER(SUBSTITUTE(TRIM(F567)," ",""))</f>
        <v/>
      </c>
      <c r="AO567" s="29">
        <f>UPPER(SUBSTITUTE(TRIM(E567)," ",""))</f>
        <v/>
      </c>
      <c r="AP567" s="29">
        <f>IF(D567&lt;&gt;"",D567,IFERROR(VLOOKUP(MID(AG567,4,1),Lists!$E$2:$F$8,2,FALSE),""))</f>
        <v/>
      </c>
      <c r="AQ567" s="29">
        <f>IFERROR(VLOOKUP(AP567,Lists!$A$2:$C$12,3,FALSE),"")</f>
        <v/>
      </c>
      <c r="AR567" s="29">
        <f>COUNTIF(W567:AC567,"Yes")</f>
        <v/>
      </c>
      <c r="AS567" s="29">
        <f>IF(TRIM(B567)="","Legal name missing; ","")&amp;IF(AND(AJ567&lt;&gt;"",AJ567&lt;&gt;"OK"),"GSTIN: "&amp;AJ567&amp;"; ","")&amp;IF(AND(AK567&lt;&gt;"",AK567&lt;&gt;"OK"),"PAN wrong format; ","")&amp;IF(AND(AO567&lt;&gt;"",LEN(AN567)=15,MID(AN567,3,10)&lt;&gt;AO567),"PAN does not match GSTIN; ","")&amp;IF(AND(AL567&lt;&gt;"",AL567&lt;&gt;"OK"),"TAN wrong format; ","")&amp;IF(AG567="","PAN missing; ","")&amp;IF(AP567="","Entity type missing; ","")&amp;IF(AND(AN567&lt;&gt;"",COUNTIF($AN$6:$AN$1005,AN567)&gt;1),"GSTIN repeated in this sheet; ","")&amp;IF(AND(AG567&lt;&gt;"",COUNTIF($AG$6:$AG$1005,AG567)&gt;1),"PAN repeated in this sheet (same client? put extra GSTINs in Other GSTINs); ","")&amp;IF(AND(AR567&gt;0,V567=""),"Financial year missing; ","")&amp;IF(AND(AR567=0,V567&lt;&gt;""),"Financial year given but no service is Yes; ","")&amp;IF(AND(W567="Yes",AN567=""),"GST needs a GSTIN; ","")&amp;IF(AND(W567="Yes",X567=""),"GST return frequency missing; ","")&amp;IF(AND(Y567="Yes",TRIM(H567)=""),"TDS needs a TAN; ","")&amp;IF(AND(AA567="Yes",AQ567&lt;&gt;"",AQ567&lt;&gt;"company",AQ567&lt;&gt;"llp"),"ROC is only for a company / LLP; ","")&amp;IF(AND(AA567="Yes",OR(AQ567="company",AQ567="llp"),TRIM(I567)=""),"ROC needs the CIN / LLPIN; ","")</f>
        <v/>
      </c>
    </row>
    <row r="568">
      <c r="A568" s="30" t="n"/>
      <c r="B568" s="31" t="n"/>
      <c r="C568" s="31" t="n"/>
      <c r="D568" s="31" t="n"/>
      <c r="E568" s="30" t="n"/>
      <c r="F568" s="30" t="n"/>
      <c r="G568" s="30" t="n"/>
      <c r="H568" s="30" t="n"/>
      <c r="I568" s="30" t="n"/>
      <c r="J568" s="32" t="n"/>
      <c r="K568" s="31" t="n"/>
      <c r="L568" s="30" t="n"/>
      <c r="M568" s="31" t="n"/>
      <c r="N568" s="31" t="n"/>
      <c r="O568" s="31" t="n"/>
      <c r="P568" s="30" t="n"/>
      <c r="Q568" s="31" t="n"/>
      <c r="R568" s="31" t="n"/>
      <c r="S568" s="31" t="n"/>
      <c r="T568" s="31" t="n"/>
      <c r="U568" s="30" t="n"/>
      <c r="V568" s="31" t="n"/>
      <c r="W568" s="31" t="n"/>
      <c r="X568" s="31" t="n"/>
      <c r="Y568" s="31" t="n"/>
      <c r="Z568" s="31" t="n"/>
      <c r="AA568" s="31" t="n"/>
      <c r="AB568" s="31" t="n"/>
      <c r="AC568" s="31" t="n"/>
      <c r="AD568" s="31" t="n"/>
      <c r="AE568" s="31" t="n"/>
      <c r="AF568" s="27">
        <f>IF(NOT(COUNTA(A568:AE568)&gt;0),"",IF(A568="","New client","Update"))</f>
        <v/>
      </c>
      <c r="AG568" s="27">
        <f>IF(AO568&lt;&gt;"",AO568,IF(LEN(AN568)=15,MID(AN568,3,10),""))</f>
        <v/>
      </c>
      <c r="AH568" s="27">
        <f>IF(AP568="","",AP568&amp;IF(D568="","  (guessed from PAN)",""))</f>
        <v/>
      </c>
      <c r="AI568" s="27">
        <f>IF(AN568="","",IFERROR(INDEX(Lists!$L$2:$L$38,MATCH(LEFT(AN568,2),Lists!$K$2:$K$38,0)),"Unknown code"))</f>
        <v/>
      </c>
      <c r="AJ568" s="27">
        <f>IF(AN568="","",IFERROR(IF(NOT(AND(LEN(AN568)=15,ISNUMBER(MATCH(LEFT(AN568,2),Lists!$K$2:$K$38,0)),SUMPRODUCT(--ISERROR(FIND(MID(MID(AN568,3,10),{1,2,3,4,5,10},1),"ABCDEFGHIJKLMNOPQRSTUVWXYZ")))=0,SUMPRODUCT(--ISERROR(FIND(MID(MID(AN568,3,10),{6,7,8,9},1),"0123456789")))=0,ISNUMBER(FIND(MID(AN568,13,1),"123456789ABCDEFGHIJKLMNOPQRSTUVWXYZ")),MID(AN568,14,1)="Z")),"Wrong format",IF(MID("0123456789ABCDEFGHIJKLMNOPQRSTUVWXYZ",MOD(36-MOD(SUMPRODUCT(INT((FIND(MID(AN568,{1,2,3,4,5,6,7,8,9,10,11,12,13,14},1),"0123456789ABCDEFGHIJKLMNOPQRSTUVWXYZ")-1)*{1,2,1,2,1,2,1,2,1,2,1,2,1,2}/36)+MOD((FIND(MID(AN568,{1,2,3,4,5,6,7,8,9,10,11,12,13,14},1),"0123456789ABCDEFGHIJKLMNOPQRSTUVWXYZ")-1)*{1,2,1,2,1,2,1,2,1,2,1,2,1,2},36)),36),36)+1,1)=MID(AN568,15,1),"OK","Typo? check digit wrong")),"Wrong format"))</f>
        <v/>
      </c>
      <c r="AK568" s="27">
        <f>IF(AO568="","",IF(AND(LEN(AO568)=10,SUMPRODUCT(--ISERROR(FIND(MID(AO568,{1,2,3,4,5,10},1),"ABCDEFGHIJKLMNOPQRSTUVWXYZ")))=0,SUMPRODUCT(--ISERROR(FIND(MID(AO568,{6,7,8,9},1),"0123456789")))=0),"OK","Wrong format"))</f>
        <v/>
      </c>
      <c r="AL568" s="27">
        <f>IF(TRIM(H568)="","",IF(AND(LEN(UPPER(TRIM(H568)))=10,SUMPRODUCT(--ISERROR(FIND(MID(UPPER(TRIM(H568)),{1,2,3,4,10},1),"ABCDEFGHIJKLMNOPQRSTUVWXYZ")))=0,SUMPRODUCT(--ISERROR(FIND(MID(UPPER(TRIM(H568)),{5,6,7,8,9},1),"0123456789")))=0),"OK","Wrong format"))</f>
        <v/>
      </c>
      <c r="AM568" s="28">
        <f>IF(NOT(COUNTA(A568:AE568)&gt;0),"",IF(AS568&lt;&gt;"","✖ "&amp;LEFT(AS568,LEN(AS568)-2),IF(AR568&gt;0,"✔ Ready — client + "&amp;AR568&amp;" service(s)","✔ Ready — client only")))</f>
        <v/>
      </c>
      <c r="AN568" s="29">
        <f>UPPER(SUBSTITUTE(TRIM(F568)," ",""))</f>
        <v/>
      </c>
      <c r="AO568" s="29">
        <f>UPPER(SUBSTITUTE(TRIM(E568)," ",""))</f>
        <v/>
      </c>
      <c r="AP568" s="29">
        <f>IF(D568&lt;&gt;"",D568,IFERROR(VLOOKUP(MID(AG568,4,1),Lists!$E$2:$F$8,2,FALSE),""))</f>
        <v/>
      </c>
      <c r="AQ568" s="29">
        <f>IFERROR(VLOOKUP(AP568,Lists!$A$2:$C$12,3,FALSE),"")</f>
        <v/>
      </c>
      <c r="AR568" s="29">
        <f>COUNTIF(W568:AC568,"Yes")</f>
        <v/>
      </c>
      <c r="AS568" s="29">
        <f>IF(TRIM(B568)="","Legal name missing; ","")&amp;IF(AND(AJ568&lt;&gt;"",AJ568&lt;&gt;"OK"),"GSTIN: "&amp;AJ568&amp;"; ","")&amp;IF(AND(AK568&lt;&gt;"",AK568&lt;&gt;"OK"),"PAN wrong format; ","")&amp;IF(AND(AO568&lt;&gt;"",LEN(AN568)=15,MID(AN568,3,10)&lt;&gt;AO568),"PAN does not match GSTIN; ","")&amp;IF(AND(AL568&lt;&gt;"",AL568&lt;&gt;"OK"),"TAN wrong format; ","")&amp;IF(AG568="","PAN missing; ","")&amp;IF(AP568="","Entity type missing; ","")&amp;IF(AND(AN568&lt;&gt;"",COUNTIF($AN$6:$AN$1005,AN568)&gt;1),"GSTIN repeated in this sheet; ","")&amp;IF(AND(AG568&lt;&gt;"",COUNTIF($AG$6:$AG$1005,AG568)&gt;1),"PAN repeated in this sheet (same client? put extra GSTINs in Other GSTINs); ","")&amp;IF(AND(AR568&gt;0,V568=""),"Financial year missing; ","")&amp;IF(AND(AR568=0,V568&lt;&gt;""),"Financial year given but no service is Yes; ","")&amp;IF(AND(W568="Yes",AN568=""),"GST needs a GSTIN; ","")&amp;IF(AND(W568="Yes",X568=""),"GST return frequency missing; ","")&amp;IF(AND(Y568="Yes",TRIM(H568)=""),"TDS needs a TAN; ","")&amp;IF(AND(AA568="Yes",AQ568&lt;&gt;"",AQ568&lt;&gt;"company",AQ568&lt;&gt;"llp"),"ROC is only for a company / LLP; ","")&amp;IF(AND(AA568="Yes",OR(AQ568="company",AQ568="llp"),TRIM(I568)=""),"ROC needs the CIN / LLPIN; ","")</f>
        <v/>
      </c>
    </row>
    <row r="569">
      <c r="A569" s="30" t="n"/>
      <c r="B569" s="31" t="n"/>
      <c r="C569" s="31" t="n"/>
      <c r="D569" s="31" t="n"/>
      <c r="E569" s="30" t="n"/>
      <c r="F569" s="30" t="n"/>
      <c r="G569" s="30" t="n"/>
      <c r="H569" s="30" t="n"/>
      <c r="I569" s="30" t="n"/>
      <c r="J569" s="32" t="n"/>
      <c r="K569" s="31" t="n"/>
      <c r="L569" s="30" t="n"/>
      <c r="M569" s="31" t="n"/>
      <c r="N569" s="31" t="n"/>
      <c r="O569" s="31" t="n"/>
      <c r="P569" s="30" t="n"/>
      <c r="Q569" s="31" t="n"/>
      <c r="R569" s="31" t="n"/>
      <c r="S569" s="31" t="n"/>
      <c r="T569" s="31" t="n"/>
      <c r="U569" s="30" t="n"/>
      <c r="V569" s="31" t="n"/>
      <c r="W569" s="31" t="n"/>
      <c r="X569" s="31" t="n"/>
      <c r="Y569" s="31" t="n"/>
      <c r="Z569" s="31" t="n"/>
      <c r="AA569" s="31" t="n"/>
      <c r="AB569" s="31" t="n"/>
      <c r="AC569" s="31" t="n"/>
      <c r="AD569" s="31" t="n"/>
      <c r="AE569" s="31" t="n"/>
      <c r="AF569" s="27">
        <f>IF(NOT(COUNTA(A569:AE569)&gt;0),"",IF(A569="","New client","Update"))</f>
        <v/>
      </c>
      <c r="AG569" s="27">
        <f>IF(AO569&lt;&gt;"",AO569,IF(LEN(AN569)=15,MID(AN569,3,10),""))</f>
        <v/>
      </c>
      <c r="AH569" s="27">
        <f>IF(AP569="","",AP569&amp;IF(D569="","  (guessed from PAN)",""))</f>
        <v/>
      </c>
      <c r="AI569" s="27">
        <f>IF(AN569="","",IFERROR(INDEX(Lists!$L$2:$L$38,MATCH(LEFT(AN569,2),Lists!$K$2:$K$38,0)),"Unknown code"))</f>
        <v/>
      </c>
      <c r="AJ569" s="27">
        <f>IF(AN569="","",IFERROR(IF(NOT(AND(LEN(AN569)=15,ISNUMBER(MATCH(LEFT(AN569,2),Lists!$K$2:$K$38,0)),SUMPRODUCT(--ISERROR(FIND(MID(MID(AN569,3,10),{1,2,3,4,5,10},1),"ABCDEFGHIJKLMNOPQRSTUVWXYZ")))=0,SUMPRODUCT(--ISERROR(FIND(MID(MID(AN569,3,10),{6,7,8,9},1),"0123456789")))=0,ISNUMBER(FIND(MID(AN569,13,1),"123456789ABCDEFGHIJKLMNOPQRSTUVWXYZ")),MID(AN569,14,1)="Z")),"Wrong format",IF(MID("0123456789ABCDEFGHIJKLMNOPQRSTUVWXYZ",MOD(36-MOD(SUMPRODUCT(INT((FIND(MID(AN569,{1,2,3,4,5,6,7,8,9,10,11,12,13,14},1),"0123456789ABCDEFGHIJKLMNOPQRSTUVWXYZ")-1)*{1,2,1,2,1,2,1,2,1,2,1,2,1,2}/36)+MOD((FIND(MID(AN569,{1,2,3,4,5,6,7,8,9,10,11,12,13,14},1),"0123456789ABCDEFGHIJKLMNOPQRSTUVWXYZ")-1)*{1,2,1,2,1,2,1,2,1,2,1,2,1,2},36)),36),36)+1,1)=MID(AN569,15,1),"OK","Typo? check digit wrong")),"Wrong format"))</f>
        <v/>
      </c>
      <c r="AK569" s="27">
        <f>IF(AO569="","",IF(AND(LEN(AO569)=10,SUMPRODUCT(--ISERROR(FIND(MID(AO569,{1,2,3,4,5,10},1),"ABCDEFGHIJKLMNOPQRSTUVWXYZ")))=0,SUMPRODUCT(--ISERROR(FIND(MID(AO569,{6,7,8,9},1),"0123456789")))=0),"OK","Wrong format"))</f>
        <v/>
      </c>
      <c r="AL569" s="27">
        <f>IF(TRIM(H569)="","",IF(AND(LEN(UPPER(TRIM(H569)))=10,SUMPRODUCT(--ISERROR(FIND(MID(UPPER(TRIM(H569)),{1,2,3,4,10},1),"ABCDEFGHIJKLMNOPQRSTUVWXYZ")))=0,SUMPRODUCT(--ISERROR(FIND(MID(UPPER(TRIM(H569)),{5,6,7,8,9},1),"0123456789")))=0),"OK","Wrong format"))</f>
        <v/>
      </c>
      <c r="AM569" s="28">
        <f>IF(NOT(COUNTA(A569:AE569)&gt;0),"",IF(AS569&lt;&gt;"","✖ "&amp;LEFT(AS569,LEN(AS569)-2),IF(AR569&gt;0,"✔ Ready — client + "&amp;AR569&amp;" service(s)","✔ Ready — client only")))</f>
        <v/>
      </c>
      <c r="AN569" s="29">
        <f>UPPER(SUBSTITUTE(TRIM(F569)," ",""))</f>
        <v/>
      </c>
      <c r="AO569" s="29">
        <f>UPPER(SUBSTITUTE(TRIM(E569)," ",""))</f>
        <v/>
      </c>
      <c r="AP569" s="29">
        <f>IF(D569&lt;&gt;"",D569,IFERROR(VLOOKUP(MID(AG569,4,1),Lists!$E$2:$F$8,2,FALSE),""))</f>
        <v/>
      </c>
      <c r="AQ569" s="29">
        <f>IFERROR(VLOOKUP(AP569,Lists!$A$2:$C$12,3,FALSE),"")</f>
        <v/>
      </c>
      <c r="AR569" s="29">
        <f>COUNTIF(W569:AC569,"Yes")</f>
        <v/>
      </c>
      <c r="AS569" s="29">
        <f>IF(TRIM(B569)="","Legal name missing; ","")&amp;IF(AND(AJ569&lt;&gt;"",AJ569&lt;&gt;"OK"),"GSTIN: "&amp;AJ569&amp;"; ","")&amp;IF(AND(AK569&lt;&gt;"",AK569&lt;&gt;"OK"),"PAN wrong format; ","")&amp;IF(AND(AO569&lt;&gt;"",LEN(AN569)=15,MID(AN569,3,10)&lt;&gt;AO569),"PAN does not match GSTIN; ","")&amp;IF(AND(AL569&lt;&gt;"",AL569&lt;&gt;"OK"),"TAN wrong format; ","")&amp;IF(AG569="","PAN missing; ","")&amp;IF(AP569="","Entity type missing; ","")&amp;IF(AND(AN569&lt;&gt;"",COUNTIF($AN$6:$AN$1005,AN569)&gt;1),"GSTIN repeated in this sheet; ","")&amp;IF(AND(AG569&lt;&gt;"",COUNTIF($AG$6:$AG$1005,AG569)&gt;1),"PAN repeated in this sheet (same client? put extra GSTINs in Other GSTINs); ","")&amp;IF(AND(AR569&gt;0,V569=""),"Financial year missing; ","")&amp;IF(AND(AR569=0,V569&lt;&gt;""),"Financial year given but no service is Yes; ","")&amp;IF(AND(W569="Yes",AN569=""),"GST needs a GSTIN; ","")&amp;IF(AND(W569="Yes",X569=""),"GST return frequency missing; ","")&amp;IF(AND(Y569="Yes",TRIM(H569)=""),"TDS needs a TAN; ","")&amp;IF(AND(AA569="Yes",AQ569&lt;&gt;"",AQ569&lt;&gt;"company",AQ569&lt;&gt;"llp"),"ROC is only for a company / LLP; ","")&amp;IF(AND(AA569="Yes",OR(AQ569="company",AQ569="llp"),TRIM(I569)=""),"ROC needs the CIN / LLPIN; ","")</f>
        <v/>
      </c>
    </row>
    <row r="570">
      <c r="A570" s="30" t="n"/>
      <c r="B570" s="31" t="n"/>
      <c r="C570" s="31" t="n"/>
      <c r="D570" s="31" t="n"/>
      <c r="E570" s="30" t="n"/>
      <c r="F570" s="30" t="n"/>
      <c r="G570" s="30" t="n"/>
      <c r="H570" s="30" t="n"/>
      <c r="I570" s="30" t="n"/>
      <c r="J570" s="32" t="n"/>
      <c r="K570" s="31" t="n"/>
      <c r="L570" s="30" t="n"/>
      <c r="M570" s="31" t="n"/>
      <c r="N570" s="31" t="n"/>
      <c r="O570" s="31" t="n"/>
      <c r="P570" s="30" t="n"/>
      <c r="Q570" s="31" t="n"/>
      <c r="R570" s="31" t="n"/>
      <c r="S570" s="31" t="n"/>
      <c r="T570" s="31" t="n"/>
      <c r="U570" s="30" t="n"/>
      <c r="V570" s="31" t="n"/>
      <c r="W570" s="31" t="n"/>
      <c r="X570" s="31" t="n"/>
      <c r="Y570" s="31" t="n"/>
      <c r="Z570" s="31" t="n"/>
      <c r="AA570" s="31" t="n"/>
      <c r="AB570" s="31" t="n"/>
      <c r="AC570" s="31" t="n"/>
      <c r="AD570" s="31" t="n"/>
      <c r="AE570" s="31" t="n"/>
      <c r="AF570" s="27">
        <f>IF(NOT(COUNTA(A570:AE570)&gt;0),"",IF(A570="","New client","Update"))</f>
        <v/>
      </c>
      <c r="AG570" s="27">
        <f>IF(AO570&lt;&gt;"",AO570,IF(LEN(AN570)=15,MID(AN570,3,10),""))</f>
        <v/>
      </c>
      <c r="AH570" s="27">
        <f>IF(AP570="","",AP570&amp;IF(D570="","  (guessed from PAN)",""))</f>
        <v/>
      </c>
      <c r="AI570" s="27">
        <f>IF(AN570="","",IFERROR(INDEX(Lists!$L$2:$L$38,MATCH(LEFT(AN570,2),Lists!$K$2:$K$38,0)),"Unknown code"))</f>
        <v/>
      </c>
      <c r="AJ570" s="27">
        <f>IF(AN570="","",IFERROR(IF(NOT(AND(LEN(AN570)=15,ISNUMBER(MATCH(LEFT(AN570,2),Lists!$K$2:$K$38,0)),SUMPRODUCT(--ISERROR(FIND(MID(MID(AN570,3,10),{1,2,3,4,5,10},1),"ABCDEFGHIJKLMNOPQRSTUVWXYZ")))=0,SUMPRODUCT(--ISERROR(FIND(MID(MID(AN570,3,10),{6,7,8,9},1),"0123456789")))=0,ISNUMBER(FIND(MID(AN570,13,1),"123456789ABCDEFGHIJKLMNOPQRSTUVWXYZ")),MID(AN570,14,1)="Z")),"Wrong format",IF(MID("0123456789ABCDEFGHIJKLMNOPQRSTUVWXYZ",MOD(36-MOD(SUMPRODUCT(INT((FIND(MID(AN570,{1,2,3,4,5,6,7,8,9,10,11,12,13,14},1),"0123456789ABCDEFGHIJKLMNOPQRSTUVWXYZ")-1)*{1,2,1,2,1,2,1,2,1,2,1,2,1,2}/36)+MOD((FIND(MID(AN570,{1,2,3,4,5,6,7,8,9,10,11,12,13,14},1),"0123456789ABCDEFGHIJKLMNOPQRSTUVWXYZ")-1)*{1,2,1,2,1,2,1,2,1,2,1,2,1,2},36)),36),36)+1,1)=MID(AN570,15,1),"OK","Typo? check digit wrong")),"Wrong format"))</f>
        <v/>
      </c>
      <c r="AK570" s="27">
        <f>IF(AO570="","",IF(AND(LEN(AO570)=10,SUMPRODUCT(--ISERROR(FIND(MID(AO570,{1,2,3,4,5,10},1),"ABCDEFGHIJKLMNOPQRSTUVWXYZ")))=0,SUMPRODUCT(--ISERROR(FIND(MID(AO570,{6,7,8,9},1),"0123456789")))=0),"OK","Wrong format"))</f>
        <v/>
      </c>
      <c r="AL570" s="27">
        <f>IF(TRIM(H570)="","",IF(AND(LEN(UPPER(TRIM(H570)))=10,SUMPRODUCT(--ISERROR(FIND(MID(UPPER(TRIM(H570)),{1,2,3,4,10},1),"ABCDEFGHIJKLMNOPQRSTUVWXYZ")))=0,SUMPRODUCT(--ISERROR(FIND(MID(UPPER(TRIM(H570)),{5,6,7,8,9},1),"0123456789")))=0),"OK","Wrong format"))</f>
        <v/>
      </c>
      <c r="AM570" s="28">
        <f>IF(NOT(COUNTA(A570:AE570)&gt;0),"",IF(AS570&lt;&gt;"","✖ "&amp;LEFT(AS570,LEN(AS570)-2),IF(AR570&gt;0,"✔ Ready — client + "&amp;AR570&amp;" service(s)","✔ Ready — client only")))</f>
        <v/>
      </c>
      <c r="AN570" s="29">
        <f>UPPER(SUBSTITUTE(TRIM(F570)," ",""))</f>
        <v/>
      </c>
      <c r="AO570" s="29">
        <f>UPPER(SUBSTITUTE(TRIM(E570)," ",""))</f>
        <v/>
      </c>
      <c r="AP570" s="29">
        <f>IF(D570&lt;&gt;"",D570,IFERROR(VLOOKUP(MID(AG570,4,1),Lists!$E$2:$F$8,2,FALSE),""))</f>
        <v/>
      </c>
      <c r="AQ570" s="29">
        <f>IFERROR(VLOOKUP(AP570,Lists!$A$2:$C$12,3,FALSE),"")</f>
        <v/>
      </c>
      <c r="AR570" s="29">
        <f>COUNTIF(W570:AC570,"Yes")</f>
        <v/>
      </c>
      <c r="AS570" s="29">
        <f>IF(TRIM(B570)="","Legal name missing; ","")&amp;IF(AND(AJ570&lt;&gt;"",AJ570&lt;&gt;"OK"),"GSTIN: "&amp;AJ570&amp;"; ","")&amp;IF(AND(AK570&lt;&gt;"",AK570&lt;&gt;"OK"),"PAN wrong format; ","")&amp;IF(AND(AO570&lt;&gt;"",LEN(AN570)=15,MID(AN570,3,10)&lt;&gt;AO570),"PAN does not match GSTIN; ","")&amp;IF(AND(AL570&lt;&gt;"",AL570&lt;&gt;"OK"),"TAN wrong format; ","")&amp;IF(AG570="","PAN missing; ","")&amp;IF(AP570="","Entity type missing; ","")&amp;IF(AND(AN570&lt;&gt;"",COUNTIF($AN$6:$AN$1005,AN570)&gt;1),"GSTIN repeated in this sheet; ","")&amp;IF(AND(AG570&lt;&gt;"",COUNTIF($AG$6:$AG$1005,AG570)&gt;1),"PAN repeated in this sheet (same client? put extra GSTINs in Other GSTINs); ","")&amp;IF(AND(AR570&gt;0,V570=""),"Financial year missing; ","")&amp;IF(AND(AR570=0,V570&lt;&gt;""),"Financial year given but no service is Yes; ","")&amp;IF(AND(W570="Yes",AN570=""),"GST needs a GSTIN; ","")&amp;IF(AND(W570="Yes",X570=""),"GST return frequency missing; ","")&amp;IF(AND(Y570="Yes",TRIM(H570)=""),"TDS needs a TAN; ","")&amp;IF(AND(AA570="Yes",AQ570&lt;&gt;"",AQ570&lt;&gt;"company",AQ570&lt;&gt;"llp"),"ROC is only for a company / LLP; ","")&amp;IF(AND(AA570="Yes",OR(AQ570="company",AQ570="llp"),TRIM(I570)=""),"ROC needs the CIN / LLPIN; ","")</f>
        <v/>
      </c>
    </row>
    <row r="571">
      <c r="A571" s="30" t="n"/>
      <c r="B571" s="31" t="n"/>
      <c r="C571" s="31" t="n"/>
      <c r="D571" s="31" t="n"/>
      <c r="E571" s="30" t="n"/>
      <c r="F571" s="30" t="n"/>
      <c r="G571" s="30" t="n"/>
      <c r="H571" s="30" t="n"/>
      <c r="I571" s="30" t="n"/>
      <c r="J571" s="32" t="n"/>
      <c r="K571" s="31" t="n"/>
      <c r="L571" s="30" t="n"/>
      <c r="M571" s="31" t="n"/>
      <c r="N571" s="31" t="n"/>
      <c r="O571" s="31" t="n"/>
      <c r="P571" s="30" t="n"/>
      <c r="Q571" s="31" t="n"/>
      <c r="R571" s="31" t="n"/>
      <c r="S571" s="31" t="n"/>
      <c r="T571" s="31" t="n"/>
      <c r="U571" s="30" t="n"/>
      <c r="V571" s="31" t="n"/>
      <c r="W571" s="31" t="n"/>
      <c r="X571" s="31" t="n"/>
      <c r="Y571" s="31" t="n"/>
      <c r="Z571" s="31" t="n"/>
      <c r="AA571" s="31" t="n"/>
      <c r="AB571" s="31" t="n"/>
      <c r="AC571" s="31" t="n"/>
      <c r="AD571" s="31" t="n"/>
      <c r="AE571" s="31" t="n"/>
      <c r="AF571" s="27">
        <f>IF(NOT(COUNTA(A571:AE571)&gt;0),"",IF(A571="","New client","Update"))</f>
        <v/>
      </c>
      <c r="AG571" s="27">
        <f>IF(AO571&lt;&gt;"",AO571,IF(LEN(AN571)=15,MID(AN571,3,10),""))</f>
        <v/>
      </c>
      <c r="AH571" s="27">
        <f>IF(AP571="","",AP571&amp;IF(D571="","  (guessed from PAN)",""))</f>
        <v/>
      </c>
      <c r="AI571" s="27">
        <f>IF(AN571="","",IFERROR(INDEX(Lists!$L$2:$L$38,MATCH(LEFT(AN571,2),Lists!$K$2:$K$38,0)),"Unknown code"))</f>
        <v/>
      </c>
      <c r="AJ571" s="27">
        <f>IF(AN571="","",IFERROR(IF(NOT(AND(LEN(AN571)=15,ISNUMBER(MATCH(LEFT(AN571,2),Lists!$K$2:$K$38,0)),SUMPRODUCT(--ISERROR(FIND(MID(MID(AN571,3,10),{1,2,3,4,5,10},1),"ABCDEFGHIJKLMNOPQRSTUVWXYZ")))=0,SUMPRODUCT(--ISERROR(FIND(MID(MID(AN571,3,10),{6,7,8,9},1),"0123456789")))=0,ISNUMBER(FIND(MID(AN571,13,1),"123456789ABCDEFGHIJKLMNOPQRSTUVWXYZ")),MID(AN571,14,1)="Z")),"Wrong format",IF(MID("0123456789ABCDEFGHIJKLMNOPQRSTUVWXYZ",MOD(36-MOD(SUMPRODUCT(INT((FIND(MID(AN571,{1,2,3,4,5,6,7,8,9,10,11,12,13,14},1),"0123456789ABCDEFGHIJKLMNOPQRSTUVWXYZ")-1)*{1,2,1,2,1,2,1,2,1,2,1,2,1,2}/36)+MOD((FIND(MID(AN571,{1,2,3,4,5,6,7,8,9,10,11,12,13,14},1),"0123456789ABCDEFGHIJKLMNOPQRSTUVWXYZ")-1)*{1,2,1,2,1,2,1,2,1,2,1,2,1,2},36)),36),36)+1,1)=MID(AN571,15,1),"OK","Typo? check digit wrong")),"Wrong format"))</f>
        <v/>
      </c>
      <c r="AK571" s="27">
        <f>IF(AO571="","",IF(AND(LEN(AO571)=10,SUMPRODUCT(--ISERROR(FIND(MID(AO571,{1,2,3,4,5,10},1),"ABCDEFGHIJKLMNOPQRSTUVWXYZ")))=0,SUMPRODUCT(--ISERROR(FIND(MID(AO571,{6,7,8,9},1),"0123456789")))=0),"OK","Wrong format"))</f>
        <v/>
      </c>
      <c r="AL571" s="27">
        <f>IF(TRIM(H571)="","",IF(AND(LEN(UPPER(TRIM(H571)))=10,SUMPRODUCT(--ISERROR(FIND(MID(UPPER(TRIM(H571)),{1,2,3,4,10},1),"ABCDEFGHIJKLMNOPQRSTUVWXYZ")))=0,SUMPRODUCT(--ISERROR(FIND(MID(UPPER(TRIM(H571)),{5,6,7,8,9},1),"0123456789")))=0),"OK","Wrong format"))</f>
        <v/>
      </c>
      <c r="AM571" s="28">
        <f>IF(NOT(COUNTA(A571:AE571)&gt;0),"",IF(AS571&lt;&gt;"","✖ "&amp;LEFT(AS571,LEN(AS571)-2),IF(AR571&gt;0,"✔ Ready — client + "&amp;AR571&amp;" service(s)","✔ Ready — client only")))</f>
        <v/>
      </c>
      <c r="AN571" s="29">
        <f>UPPER(SUBSTITUTE(TRIM(F571)," ",""))</f>
        <v/>
      </c>
      <c r="AO571" s="29">
        <f>UPPER(SUBSTITUTE(TRIM(E571)," ",""))</f>
        <v/>
      </c>
      <c r="AP571" s="29">
        <f>IF(D571&lt;&gt;"",D571,IFERROR(VLOOKUP(MID(AG571,4,1),Lists!$E$2:$F$8,2,FALSE),""))</f>
        <v/>
      </c>
      <c r="AQ571" s="29">
        <f>IFERROR(VLOOKUP(AP571,Lists!$A$2:$C$12,3,FALSE),"")</f>
        <v/>
      </c>
      <c r="AR571" s="29">
        <f>COUNTIF(W571:AC571,"Yes")</f>
        <v/>
      </c>
      <c r="AS571" s="29">
        <f>IF(TRIM(B571)="","Legal name missing; ","")&amp;IF(AND(AJ571&lt;&gt;"",AJ571&lt;&gt;"OK"),"GSTIN: "&amp;AJ571&amp;"; ","")&amp;IF(AND(AK571&lt;&gt;"",AK571&lt;&gt;"OK"),"PAN wrong format; ","")&amp;IF(AND(AO571&lt;&gt;"",LEN(AN571)=15,MID(AN571,3,10)&lt;&gt;AO571),"PAN does not match GSTIN; ","")&amp;IF(AND(AL571&lt;&gt;"",AL571&lt;&gt;"OK"),"TAN wrong format; ","")&amp;IF(AG571="","PAN missing; ","")&amp;IF(AP571="","Entity type missing; ","")&amp;IF(AND(AN571&lt;&gt;"",COUNTIF($AN$6:$AN$1005,AN571)&gt;1),"GSTIN repeated in this sheet; ","")&amp;IF(AND(AG571&lt;&gt;"",COUNTIF($AG$6:$AG$1005,AG571)&gt;1),"PAN repeated in this sheet (same client? put extra GSTINs in Other GSTINs); ","")&amp;IF(AND(AR571&gt;0,V571=""),"Financial year missing; ","")&amp;IF(AND(AR571=0,V571&lt;&gt;""),"Financial year given but no service is Yes; ","")&amp;IF(AND(W571="Yes",AN571=""),"GST needs a GSTIN; ","")&amp;IF(AND(W571="Yes",X571=""),"GST return frequency missing; ","")&amp;IF(AND(Y571="Yes",TRIM(H571)=""),"TDS needs a TAN; ","")&amp;IF(AND(AA571="Yes",AQ571&lt;&gt;"",AQ571&lt;&gt;"company",AQ571&lt;&gt;"llp"),"ROC is only for a company / LLP; ","")&amp;IF(AND(AA571="Yes",OR(AQ571="company",AQ571="llp"),TRIM(I571)=""),"ROC needs the CIN / LLPIN; ","")</f>
        <v/>
      </c>
    </row>
    <row r="572">
      <c r="A572" s="30" t="n"/>
      <c r="B572" s="31" t="n"/>
      <c r="C572" s="31" t="n"/>
      <c r="D572" s="31" t="n"/>
      <c r="E572" s="30" t="n"/>
      <c r="F572" s="30" t="n"/>
      <c r="G572" s="30" t="n"/>
      <c r="H572" s="30" t="n"/>
      <c r="I572" s="30" t="n"/>
      <c r="J572" s="32" t="n"/>
      <c r="K572" s="31" t="n"/>
      <c r="L572" s="30" t="n"/>
      <c r="M572" s="31" t="n"/>
      <c r="N572" s="31" t="n"/>
      <c r="O572" s="31" t="n"/>
      <c r="P572" s="30" t="n"/>
      <c r="Q572" s="31" t="n"/>
      <c r="R572" s="31" t="n"/>
      <c r="S572" s="31" t="n"/>
      <c r="T572" s="31" t="n"/>
      <c r="U572" s="30" t="n"/>
      <c r="V572" s="31" t="n"/>
      <c r="W572" s="31" t="n"/>
      <c r="X572" s="31" t="n"/>
      <c r="Y572" s="31" t="n"/>
      <c r="Z572" s="31" t="n"/>
      <c r="AA572" s="31" t="n"/>
      <c r="AB572" s="31" t="n"/>
      <c r="AC572" s="31" t="n"/>
      <c r="AD572" s="31" t="n"/>
      <c r="AE572" s="31" t="n"/>
      <c r="AF572" s="27">
        <f>IF(NOT(COUNTA(A572:AE572)&gt;0),"",IF(A572="","New client","Update"))</f>
        <v/>
      </c>
      <c r="AG572" s="27">
        <f>IF(AO572&lt;&gt;"",AO572,IF(LEN(AN572)=15,MID(AN572,3,10),""))</f>
        <v/>
      </c>
      <c r="AH572" s="27">
        <f>IF(AP572="","",AP572&amp;IF(D572="","  (guessed from PAN)",""))</f>
        <v/>
      </c>
      <c r="AI572" s="27">
        <f>IF(AN572="","",IFERROR(INDEX(Lists!$L$2:$L$38,MATCH(LEFT(AN572,2),Lists!$K$2:$K$38,0)),"Unknown code"))</f>
        <v/>
      </c>
      <c r="AJ572" s="27">
        <f>IF(AN572="","",IFERROR(IF(NOT(AND(LEN(AN572)=15,ISNUMBER(MATCH(LEFT(AN572,2),Lists!$K$2:$K$38,0)),SUMPRODUCT(--ISERROR(FIND(MID(MID(AN572,3,10),{1,2,3,4,5,10},1),"ABCDEFGHIJKLMNOPQRSTUVWXYZ")))=0,SUMPRODUCT(--ISERROR(FIND(MID(MID(AN572,3,10),{6,7,8,9},1),"0123456789")))=0,ISNUMBER(FIND(MID(AN572,13,1),"123456789ABCDEFGHIJKLMNOPQRSTUVWXYZ")),MID(AN572,14,1)="Z")),"Wrong format",IF(MID("0123456789ABCDEFGHIJKLMNOPQRSTUVWXYZ",MOD(36-MOD(SUMPRODUCT(INT((FIND(MID(AN572,{1,2,3,4,5,6,7,8,9,10,11,12,13,14},1),"0123456789ABCDEFGHIJKLMNOPQRSTUVWXYZ")-1)*{1,2,1,2,1,2,1,2,1,2,1,2,1,2}/36)+MOD((FIND(MID(AN572,{1,2,3,4,5,6,7,8,9,10,11,12,13,14},1),"0123456789ABCDEFGHIJKLMNOPQRSTUVWXYZ")-1)*{1,2,1,2,1,2,1,2,1,2,1,2,1,2},36)),36),36)+1,1)=MID(AN572,15,1),"OK","Typo? check digit wrong")),"Wrong format"))</f>
        <v/>
      </c>
      <c r="AK572" s="27">
        <f>IF(AO572="","",IF(AND(LEN(AO572)=10,SUMPRODUCT(--ISERROR(FIND(MID(AO572,{1,2,3,4,5,10},1),"ABCDEFGHIJKLMNOPQRSTUVWXYZ")))=0,SUMPRODUCT(--ISERROR(FIND(MID(AO572,{6,7,8,9},1),"0123456789")))=0),"OK","Wrong format"))</f>
        <v/>
      </c>
      <c r="AL572" s="27">
        <f>IF(TRIM(H572)="","",IF(AND(LEN(UPPER(TRIM(H572)))=10,SUMPRODUCT(--ISERROR(FIND(MID(UPPER(TRIM(H572)),{1,2,3,4,10},1),"ABCDEFGHIJKLMNOPQRSTUVWXYZ")))=0,SUMPRODUCT(--ISERROR(FIND(MID(UPPER(TRIM(H572)),{5,6,7,8,9},1),"0123456789")))=0),"OK","Wrong format"))</f>
        <v/>
      </c>
      <c r="AM572" s="28">
        <f>IF(NOT(COUNTA(A572:AE572)&gt;0),"",IF(AS572&lt;&gt;"","✖ "&amp;LEFT(AS572,LEN(AS572)-2),IF(AR572&gt;0,"✔ Ready — client + "&amp;AR572&amp;" service(s)","✔ Ready — client only")))</f>
        <v/>
      </c>
      <c r="AN572" s="29">
        <f>UPPER(SUBSTITUTE(TRIM(F572)," ",""))</f>
        <v/>
      </c>
      <c r="AO572" s="29">
        <f>UPPER(SUBSTITUTE(TRIM(E572)," ",""))</f>
        <v/>
      </c>
      <c r="AP572" s="29">
        <f>IF(D572&lt;&gt;"",D572,IFERROR(VLOOKUP(MID(AG572,4,1),Lists!$E$2:$F$8,2,FALSE),""))</f>
        <v/>
      </c>
      <c r="AQ572" s="29">
        <f>IFERROR(VLOOKUP(AP572,Lists!$A$2:$C$12,3,FALSE),"")</f>
        <v/>
      </c>
      <c r="AR572" s="29">
        <f>COUNTIF(W572:AC572,"Yes")</f>
        <v/>
      </c>
      <c r="AS572" s="29">
        <f>IF(TRIM(B572)="","Legal name missing; ","")&amp;IF(AND(AJ572&lt;&gt;"",AJ572&lt;&gt;"OK"),"GSTIN: "&amp;AJ572&amp;"; ","")&amp;IF(AND(AK572&lt;&gt;"",AK572&lt;&gt;"OK"),"PAN wrong format; ","")&amp;IF(AND(AO572&lt;&gt;"",LEN(AN572)=15,MID(AN572,3,10)&lt;&gt;AO572),"PAN does not match GSTIN; ","")&amp;IF(AND(AL572&lt;&gt;"",AL572&lt;&gt;"OK"),"TAN wrong format; ","")&amp;IF(AG572="","PAN missing; ","")&amp;IF(AP572="","Entity type missing; ","")&amp;IF(AND(AN572&lt;&gt;"",COUNTIF($AN$6:$AN$1005,AN572)&gt;1),"GSTIN repeated in this sheet; ","")&amp;IF(AND(AG572&lt;&gt;"",COUNTIF($AG$6:$AG$1005,AG572)&gt;1),"PAN repeated in this sheet (same client? put extra GSTINs in Other GSTINs); ","")&amp;IF(AND(AR572&gt;0,V572=""),"Financial year missing; ","")&amp;IF(AND(AR572=0,V572&lt;&gt;""),"Financial year given but no service is Yes; ","")&amp;IF(AND(W572="Yes",AN572=""),"GST needs a GSTIN; ","")&amp;IF(AND(W572="Yes",X572=""),"GST return frequency missing; ","")&amp;IF(AND(Y572="Yes",TRIM(H572)=""),"TDS needs a TAN; ","")&amp;IF(AND(AA572="Yes",AQ572&lt;&gt;"",AQ572&lt;&gt;"company",AQ572&lt;&gt;"llp"),"ROC is only for a company / LLP; ","")&amp;IF(AND(AA572="Yes",OR(AQ572="company",AQ572="llp"),TRIM(I572)=""),"ROC needs the CIN / LLPIN; ","")</f>
        <v/>
      </c>
    </row>
    <row r="573">
      <c r="A573" s="30" t="n"/>
      <c r="B573" s="31" t="n"/>
      <c r="C573" s="31" t="n"/>
      <c r="D573" s="31" t="n"/>
      <c r="E573" s="30" t="n"/>
      <c r="F573" s="30" t="n"/>
      <c r="G573" s="30" t="n"/>
      <c r="H573" s="30" t="n"/>
      <c r="I573" s="30" t="n"/>
      <c r="J573" s="32" t="n"/>
      <c r="K573" s="31" t="n"/>
      <c r="L573" s="30" t="n"/>
      <c r="M573" s="31" t="n"/>
      <c r="N573" s="31" t="n"/>
      <c r="O573" s="31" t="n"/>
      <c r="P573" s="30" t="n"/>
      <c r="Q573" s="31" t="n"/>
      <c r="R573" s="31" t="n"/>
      <c r="S573" s="31" t="n"/>
      <c r="T573" s="31" t="n"/>
      <c r="U573" s="30" t="n"/>
      <c r="V573" s="31" t="n"/>
      <c r="W573" s="31" t="n"/>
      <c r="X573" s="31" t="n"/>
      <c r="Y573" s="31" t="n"/>
      <c r="Z573" s="31" t="n"/>
      <c r="AA573" s="31" t="n"/>
      <c r="AB573" s="31" t="n"/>
      <c r="AC573" s="31" t="n"/>
      <c r="AD573" s="31" t="n"/>
      <c r="AE573" s="31" t="n"/>
      <c r="AF573" s="27">
        <f>IF(NOT(COUNTA(A573:AE573)&gt;0),"",IF(A573="","New client","Update"))</f>
        <v/>
      </c>
      <c r="AG573" s="27">
        <f>IF(AO573&lt;&gt;"",AO573,IF(LEN(AN573)=15,MID(AN573,3,10),""))</f>
        <v/>
      </c>
      <c r="AH573" s="27">
        <f>IF(AP573="","",AP573&amp;IF(D573="","  (guessed from PAN)",""))</f>
        <v/>
      </c>
      <c r="AI573" s="27">
        <f>IF(AN573="","",IFERROR(INDEX(Lists!$L$2:$L$38,MATCH(LEFT(AN573,2),Lists!$K$2:$K$38,0)),"Unknown code"))</f>
        <v/>
      </c>
      <c r="AJ573" s="27">
        <f>IF(AN573="","",IFERROR(IF(NOT(AND(LEN(AN573)=15,ISNUMBER(MATCH(LEFT(AN573,2),Lists!$K$2:$K$38,0)),SUMPRODUCT(--ISERROR(FIND(MID(MID(AN573,3,10),{1,2,3,4,5,10},1),"ABCDEFGHIJKLMNOPQRSTUVWXYZ")))=0,SUMPRODUCT(--ISERROR(FIND(MID(MID(AN573,3,10),{6,7,8,9},1),"0123456789")))=0,ISNUMBER(FIND(MID(AN573,13,1),"123456789ABCDEFGHIJKLMNOPQRSTUVWXYZ")),MID(AN573,14,1)="Z")),"Wrong format",IF(MID("0123456789ABCDEFGHIJKLMNOPQRSTUVWXYZ",MOD(36-MOD(SUMPRODUCT(INT((FIND(MID(AN573,{1,2,3,4,5,6,7,8,9,10,11,12,13,14},1),"0123456789ABCDEFGHIJKLMNOPQRSTUVWXYZ")-1)*{1,2,1,2,1,2,1,2,1,2,1,2,1,2}/36)+MOD((FIND(MID(AN573,{1,2,3,4,5,6,7,8,9,10,11,12,13,14},1),"0123456789ABCDEFGHIJKLMNOPQRSTUVWXYZ")-1)*{1,2,1,2,1,2,1,2,1,2,1,2,1,2},36)),36),36)+1,1)=MID(AN573,15,1),"OK","Typo? check digit wrong")),"Wrong format"))</f>
        <v/>
      </c>
      <c r="AK573" s="27">
        <f>IF(AO573="","",IF(AND(LEN(AO573)=10,SUMPRODUCT(--ISERROR(FIND(MID(AO573,{1,2,3,4,5,10},1),"ABCDEFGHIJKLMNOPQRSTUVWXYZ")))=0,SUMPRODUCT(--ISERROR(FIND(MID(AO573,{6,7,8,9},1),"0123456789")))=0),"OK","Wrong format"))</f>
        <v/>
      </c>
      <c r="AL573" s="27">
        <f>IF(TRIM(H573)="","",IF(AND(LEN(UPPER(TRIM(H573)))=10,SUMPRODUCT(--ISERROR(FIND(MID(UPPER(TRIM(H573)),{1,2,3,4,10},1),"ABCDEFGHIJKLMNOPQRSTUVWXYZ")))=0,SUMPRODUCT(--ISERROR(FIND(MID(UPPER(TRIM(H573)),{5,6,7,8,9},1),"0123456789")))=0),"OK","Wrong format"))</f>
        <v/>
      </c>
      <c r="AM573" s="28">
        <f>IF(NOT(COUNTA(A573:AE573)&gt;0),"",IF(AS573&lt;&gt;"","✖ "&amp;LEFT(AS573,LEN(AS573)-2),IF(AR573&gt;0,"✔ Ready — client + "&amp;AR573&amp;" service(s)","✔ Ready — client only")))</f>
        <v/>
      </c>
      <c r="AN573" s="29">
        <f>UPPER(SUBSTITUTE(TRIM(F573)," ",""))</f>
        <v/>
      </c>
      <c r="AO573" s="29">
        <f>UPPER(SUBSTITUTE(TRIM(E573)," ",""))</f>
        <v/>
      </c>
      <c r="AP573" s="29">
        <f>IF(D573&lt;&gt;"",D573,IFERROR(VLOOKUP(MID(AG573,4,1),Lists!$E$2:$F$8,2,FALSE),""))</f>
        <v/>
      </c>
      <c r="AQ573" s="29">
        <f>IFERROR(VLOOKUP(AP573,Lists!$A$2:$C$12,3,FALSE),"")</f>
        <v/>
      </c>
      <c r="AR573" s="29">
        <f>COUNTIF(W573:AC573,"Yes")</f>
        <v/>
      </c>
      <c r="AS573" s="29">
        <f>IF(TRIM(B573)="","Legal name missing; ","")&amp;IF(AND(AJ573&lt;&gt;"",AJ573&lt;&gt;"OK"),"GSTIN: "&amp;AJ573&amp;"; ","")&amp;IF(AND(AK573&lt;&gt;"",AK573&lt;&gt;"OK"),"PAN wrong format; ","")&amp;IF(AND(AO573&lt;&gt;"",LEN(AN573)=15,MID(AN573,3,10)&lt;&gt;AO573),"PAN does not match GSTIN; ","")&amp;IF(AND(AL573&lt;&gt;"",AL573&lt;&gt;"OK"),"TAN wrong format; ","")&amp;IF(AG573="","PAN missing; ","")&amp;IF(AP573="","Entity type missing; ","")&amp;IF(AND(AN573&lt;&gt;"",COUNTIF($AN$6:$AN$1005,AN573)&gt;1),"GSTIN repeated in this sheet; ","")&amp;IF(AND(AG573&lt;&gt;"",COUNTIF($AG$6:$AG$1005,AG573)&gt;1),"PAN repeated in this sheet (same client? put extra GSTINs in Other GSTINs); ","")&amp;IF(AND(AR573&gt;0,V573=""),"Financial year missing; ","")&amp;IF(AND(AR573=0,V573&lt;&gt;""),"Financial year given but no service is Yes; ","")&amp;IF(AND(W573="Yes",AN573=""),"GST needs a GSTIN; ","")&amp;IF(AND(W573="Yes",X573=""),"GST return frequency missing; ","")&amp;IF(AND(Y573="Yes",TRIM(H573)=""),"TDS needs a TAN; ","")&amp;IF(AND(AA573="Yes",AQ573&lt;&gt;"",AQ573&lt;&gt;"company",AQ573&lt;&gt;"llp"),"ROC is only for a company / LLP; ","")&amp;IF(AND(AA573="Yes",OR(AQ573="company",AQ573="llp"),TRIM(I573)=""),"ROC needs the CIN / LLPIN; ","")</f>
        <v/>
      </c>
    </row>
    <row r="574">
      <c r="A574" s="30" t="n"/>
      <c r="B574" s="31" t="n"/>
      <c r="C574" s="31" t="n"/>
      <c r="D574" s="31" t="n"/>
      <c r="E574" s="30" t="n"/>
      <c r="F574" s="30" t="n"/>
      <c r="G574" s="30" t="n"/>
      <c r="H574" s="30" t="n"/>
      <c r="I574" s="30" t="n"/>
      <c r="J574" s="32" t="n"/>
      <c r="K574" s="31" t="n"/>
      <c r="L574" s="30" t="n"/>
      <c r="M574" s="31" t="n"/>
      <c r="N574" s="31" t="n"/>
      <c r="O574" s="31" t="n"/>
      <c r="P574" s="30" t="n"/>
      <c r="Q574" s="31" t="n"/>
      <c r="R574" s="31" t="n"/>
      <c r="S574" s="31" t="n"/>
      <c r="T574" s="31" t="n"/>
      <c r="U574" s="30" t="n"/>
      <c r="V574" s="31" t="n"/>
      <c r="W574" s="31" t="n"/>
      <c r="X574" s="31" t="n"/>
      <c r="Y574" s="31" t="n"/>
      <c r="Z574" s="31" t="n"/>
      <c r="AA574" s="31" t="n"/>
      <c r="AB574" s="31" t="n"/>
      <c r="AC574" s="31" t="n"/>
      <c r="AD574" s="31" t="n"/>
      <c r="AE574" s="31" t="n"/>
      <c r="AF574" s="27">
        <f>IF(NOT(COUNTA(A574:AE574)&gt;0),"",IF(A574="","New client","Update"))</f>
        <v/>
      </c>
      <c r="AG574" s="27">
        <f>IF(AO574&lt;&gt;"",AO574,IF(LEN(AN574)=15,MID(AN574,3,10),""))</f>
        <v/>
      </c>
      <c r="AH574" s="27">
        <f>IF(AP574="","",AP574&amp;IF(D574="","  (guessed from PAN)",""))</f>
        <v/>
      </c>
      <c r="AI574" s="27">
        <f>IF(AN574="","",IFERROR(INDEX(Lists!$L$2:$L$38,MATCH(LEFT(AN574,2),Lists!$K$2:$K$38,0)),"Unknown code"))</f>
        <v/>
      </c>
      <c r="AJ574" s="27">
        <f>IF(AN574="","",IFERROR(IF(NOT(AND(LEN(AN574)=15,ISNUMBER(MATCH(LEFT(AN574,2),Lists!$K$2:$K$38,0)),SUMPRODUCT(--ISERROR(FIND(MID(MID(AN574,3,10),{1,2,3,4,5,10},1),"ABCDEFGHIJKLMNOPQRSTUVWXYZ")))=0,SUMPRODUCT(--ISERROR(FIND(MID(MID(AN574,3,10),{6,7,8,9},1),"0123456789")))=0,ISNUMBER(FIND(MID(AN574,13,1),"123456789ABCDEFGHIJKLMNOPQRSTUVWXYZ")),MID(AN574,14,1)="Z")),"Wrong format",IF(MID("0123456789ABCDEFGHIJKLMNOPQRSTUVWXYZ",MOD(36-MOD(SUMPRODUCT(INT((FIND(MID(AN574,{1,2,3,4,5,6,7,8,9,10,11,12,13,14},1),"0123456789ABCDEFGHIJKLMNOPQRSTUVWXYZ")-1)*{1,2,1,2,1,2,1,2,1,2,1,2,1,2}/36)+MOD((FIND(MID(AN574,{1,2,3,4,5,6,7,8,9,10,11,12,13,14},1),"0123456789ABCDEFGHIJKLMNOPQRSTUVWXYZ")-1)*{1,2,1,2,1,2,1,2,1,2,1,2,1,2},36)),36),36)+1,1)=MID(AN574,15,1),"OK","Typo? check digit wrong")),"Wrong format"))</f>
        <v/>
      </c>
      <c r="AK574" s="27">
        <f>IF(AO574="","",IF(AND(LEN(AO574)=10,SUMPRODUCT(--ISERROR(FIND(MID(AO574,{1,2,3,4,5,10},1),"ABCDEFGHIJKLMNOPQRSTUVWXYZ")))=0,SUMPRODUCT(--ISERROR(FIND(MID(AO574,{6,7,8,9},1),"0123456789")))=0),"OK","Wrong format"))</f>
        <v/>
      </c>
      <c r="AL574" s="27">
        <f>IF(TRIM(H574)="","",IF(AND(LEN(UPPER(TRIM(H574)))=10,SUMPRODUCT(--ISERROR(FIND(MID(UPPER(TRIM(H574)),{1,2,3,4,10},1),"ABCDEFGHIJKLMNOPQRSTUVWXYZ")))=0,SUMPRODUCT(--ISERROR(FIND(MID(UPPER(TRIM(H574)),{5,6,7,8,9},1),"0123456789")))=0),"OK","Wrong format"))</f>
        <v/>
      </c>
      <c r="AM574" s="28">
        <f>IF(NOT(COUNTA(A574:AE574)&gt;0),"",IF(AS574&lt;&gt;"","✖ "&amp;LEFT(AS574,LEN(AS574)-2),IF(AR574&gt;0,"✔ Ready — client + "&amp;AR574&amp;" service(s)","✔ Ready — client only")))</f>
        <v/>
      </c>
      <c r="AN574" s="29">
        <f>UPPER(SUBSTITUTE(TRIM(F574)," ",""))</f>
        <v/>
      </c>
      <c r="AO574" s="29">
        <f>UPPER(SUBSTITUTE(TRIM(E574)," ",""))</f>
        <v/>
      </c>
      <c r="AP574" s="29">
        <f>IF(D574&lt;&gt;"",D574,IFERROR(VLOOKUP(MID(AG574,4,1),Lists!$E$2:$F$8,2,FALSE),""))</f>
        <v/>
      </c>
      <c r="AQ574" s="29">
        <f>IFERROR(VLOOKUP(AP574,Lists!$A$2:$C$12,3,FALSE),"")</f>
        <v/>
      </c>
      <c r="AR574" s="29">
        <f>COUNTIF(W574:AC574,"Yes")</f>
        <v/>
      </c>
      <c r="AS574" s="29">
        <f>IF(TRIM(B574)="","Legal name missing; ","")&amp;IF(AND(AJ574&lt;&gt;"",AJ574&lt;&gt;"OK"),"GSTIN: "&amp;AJ574&amp;"; ","")&amp;IF(AND(AK574&lt;&gt;"",AK574&lt;&gt;"OK"),"PAN wrong format; ","")&amp;IF(AND(AO574&lt;&gt;"",LEN(AN574)=15,MID(AN574,3,10)&lt;&gt;AO574),"PAN does not match GSTIN; ","")&amp;IF(AND(AL574&lt;&gt;"",AL574&lt;&gt;"OK"),"TAN wrong format; ","")&amp;IF(AG574="","PAN missing; ","")&amp;IF(AP574="","Entity type missing; ","")&amp;IF(AND(AN574&lt;&gt;"",COUNTIF($AN$6:$AN$1005,AN574)&gt;1),"GSTIN repeated in this sheet; ","")&amp;IF(AND(AG574&lt;&gt;"",COUNTIF($AG$6:$AG$1005,AG574)&gt;1),"PAN repeated in this sheet (same client? put extra GSTINs in Other GSTINs); ","")&amp;IF(AND(AR574&gt;0,V574=""),"Financial year missing; ","")&amp;IF(AND(AR574=0,V574&lt;&gt;""),"Financial year given but no service is Yes; ","")&amp;IF(AND(W574="Yes",AN574=""),"GST needs a GSTIN; ","")&amp;IF(AND(W574="Yes",X574=""),"GST return frequency missing; ","")&amp;IF(AND(Y574="Yes",TRIM(H574)=""),"TDS needs a TAN; ","")&amp;IF(AND(AA574="Yes",AQ574&lt;&gt;"",AQ574&lt;&gt;"company",AQ574&lt;&gt;"llp"),"ROC is only for a company / LLP; ","")&amp;IF(AND(AA574="Yes",OR(AQ574="company",AQ574="llp"),TRIM(I574)=""),"ROC needs the CIN / LLPIN; ","")</f>
        <v/>
      </c>
    </row>
    <row r="575">
      <c r="A575" s="30" t="n"/>
      <c r="B575" s="31" t="n"/>
      <c r="C575" s="31" t="n"/>
      <c r="D575" s="31" t="n"/>
      <c r="E575" s="30" t="n"/>
      <c r="F575" s="30" t="n"/>
      <c r="G575" s="30" t="n"/>
      <c r="H575" s="30" t="n"/>
      <c r="I575" s="30" t="n"/>
      <c r="J575" s="32" t="n"/>
      <c r="K575" s="31" t="n"/>
      <c r="L575" s="30" t="n"/>
      <c r="M575" s="31" t="n"/>
      <c r="N575" s="31" t="n"/>
      <c r="O575" s="31" t="n"/>
      <c r="P575" s="30" t="n"/>
      <c r="Q575" s="31" t="n"/>
      <c r="R575" s="31" t="n"/>
      <c r="S575" s="31" t="n"/>
      <c r="T575" s="31" t="n"/>
      <c r="U575" s="30" t="n"/>
      <c r="V575" s="31" t="n"/>
      <c r="W575" s="31" t="n"/>
      <c r="X575" s="31" t="n"/>
      <c r="Y575" s="31" t="n"/>
      <c r="Z575" s="31" t="n"/>
      <c r="AA575" s="31" t="n"/>
      <c r="AB575" s="31" t="n"/>
      <c r="AC575" s="31" t="n"/>
      <c r="AD575" s="31" t="n"/>
      <c r="AE575" s="31" t="n"/>
      <c r="AF575" s="27">
        <f>IF(NOT(COUNTA(A575:AE575)&gt;0),"",IF(A575="","New client","Update"))</f>
        <v/>
      </c>
      <c r="AG575" s="27">
        <f>IF(AO575&lt;&gt;"",AO575,IF(LEN(AN575)=15,MID(AN575,3,10),""))</f>
        <v/>
      </c>
      <c r="AH575" s="27">
        <f>IF(AP575="","",AP575&amp;IF(D575="","  (guessed from PAN)",""))</f>
        <v/>
      </c>
      <c r="AI575" s="27">
        <f>IF(AN575="","",IFERROR(INDEX(Lists!$L$2:$L$38,MATCH(LEFT(AN575,2),Lists!$K$2:$K$38,0)),"Unknown code"))</f>
        <v/>
      </c>
      <c r="AJ575" s="27">
        <f>IF(AN575="","",IFERROR(IF(NOT(AND(LEN(AN575)=15,ISNUMBER(MATCH(LEFT(AN575,2),Lists!$K$2:$K$38,0)),SUMPRODUCT(--ISERROR(FIND(MID(MID(AN575,3,10),{1,2,3,4,5,10},1),"ABCDEFGHIJKLMNOPQRSTUVWXYZ")))=0,SUMPRODUCT(--ISERROR(FIND(MID(MID(AN575,3,10),{6,7,8,9},1),"0123456789")))=0,ISNUMBER(FIND(MID(AN575,13,1),"123456789ABCDEFGHIJKLMNOPQRSTUVWXYZ")),MID(AN575,14,1)="Z")),"Wrong format",IF(MID("0123456789ABCDEFGHIJKLMNOPQRSTUVWXYZ",MOD(36-MOD(SUMPRODUCT(INT((FIND(MID(AN575,{1,2,3,4,5,6,7,8,9,10,11,12,13,14},1),"0123456789ABCDEFGHIJKLMNOPQRSTUVWXYZ")-1)*{1,2,1,2,1,2,1,2,1,2,1,2,1,2}/36)+MOD((FIND(MID(AN575,{1,2,3,4,5,6,7,8,9,10,11,12,13,14},1),"0123456789ABCDEFGHIJKLMNOPQRSTUVWXYZ")-1)*{1,2,1,2,1,2,1,2,1,2,1,2,1,2},36)),36),36)+1,1)=MID(AN575,15,1),"OK","Typo? check digit wrong")),"Wrong format"))</f>
        <v/>
      </c>
      <c r="AK575" s="27">
        <f>IF(AO575="","",IF(AND(LEN(AO575)=10,SUMPRODUCT(--ISERROR(FIND(MID(AO575,{1,2,3,4,5,10},1),"ABCDEFGHIJKLMNOPQRSTUVWXYZ")))=0,SUMPRODUCT(--ISERROR(FIND(MID(AO575,{6,7,8,9},1),"0123456789")))=0),"OK","Wrong format"))</f>
        <v/>
      </c>
      <c r="AL575" s="27">
        <f>IF(TRIM(H575)="","",IF(AND(LEN(UPPER(TRIM(H575)))=10,SUMPRODUCT(--ISERROR(FIND(MID(UPPER(TRIM(H575)),{1,2,3,4,10},1),"ABCDEFGHIJKLMNOPQRSTUVWXYZ")))=0,SUMPRODUCT(--ISERROR(FIND(MID(UPPER(TRIM(H575)),{5,6,7,8,9},1),"0123456789")))=0),"OK","Wrong format"))</f>
        <v/>
      </c>
      <c r="AM575" s="28">
        <f>IF(NOT(COUNTA(A575:AE575)&gt;0),"",IF(AS575&lt;&gt;"","✖ "&amp;LEFT(AS575,LEN(AS575)-2),IF(AR575&gt;0,"✔ Ready — client + "&amp;AR575&amp;" service(s)","✔ Ready — client only")))</f>
        <v/>
      </c>
      <c r="AN575" s="29">
        <f>UPPER(SUBSTITUTE(TRIM(F575)," ",""))</f>
        <v/>
      </c>
      <c r="AO575" s="29">
        <f>UPPER(SUBSTITUTE(TRIM(E575)," ",""))</f>
        <v/>
      </c>
      <c r="AP575" s="29">
        <f>IF(D575&lt;&gt;"",D575,IFERROR(VLOOKUP(MID(AG575,4,1),Lists!$E$2:$F$8,2,FALSE),""))</f>
        <v/>
      </c>
      <c r="AQ575" s="29">
        <f>IFERROR(VLOOKUP(AP575,Lists!$A$2:$C$12,3,FALSE),"")</f>
        <v/>
      </c>
      <c r="AR575" s="29">
        <f>COUNTIF(W575:AC575,"Yes")</f>
        <v/>
      </c>
      <c r="AS575" s="29">
        <f>IF(TRIM(B575)="","Legal name missing; ","")&amp;IF(AND(AJ575&lt;&gt;"",AJ575&lt;&gt;"OK"),"GSTIN: "&amp;AJ575&amp;"; ","")&amp;IF(AND(AK575&lt;&gt;"",AK575&lt;&gt;"OK"),"PAN wrong format; ","")&amp;IF(AND(AO575&lt;&gt;"",LEN(AN575)=15,MID(AN575,3,10)&lt;&gt;AO575),"PAN does not match GSTIN; ","")&amp;IF(AND(AL575&lt;&gt;"",AL575&lt;&gt;"OK"),"TAN wrong format; ","")&amp;IF(AG575="","PAN missing; ","")&amp;IF(AP575="","Entity type missing; ","")&amp;IF(AND(AN575&lt;&gt;"",COUNTIF($AN$6:$AN$1005,AN575)&gt;1),"GSTIN repeated in this sheet; ","")&amp;IF(AND(AG575&lt;&gt;"",COUNTIF($AG$6:$AG$1005,AG575)&gt;1),"PAN repeated in this sheet (same client? put extra GSTINs in Other GSTINs); ","")&amp;IF(AND(AR575&gt;0,V575=""),"Financial year missing; ","")&amp;IF(AND(AR575=0,V575&lt;&gt;""),"Financial year given but no service is Yes; ","")&amp;IF(AND(W575="Yes",AN575=""),"GST needs a GSTIN; ","")&amp;IF(AND(W575="Yes",X575=""),"GST return frequency missing; ","")&amp;IF(AND(Y575="Yes",TRIM(H575)=""),"TDS needs a TAN; ","")&amp;IF(AND(AA575="Yes",AQ575&lt;&gt;"",AQ575&lt;&gt;"company",AQ575&lt;&gt;"llp"),"ROC is only for a company / LLP; ","")&amp;IF(AND(AA575="Yes",OR(AQ575="company",AQ575="llp"),TRIM(I575)=""),"ROC needs the CIN / LLPIN; ","")</f>
        <v/>
      </c>
    </row>
    <row r="576">
      <c r="A576" s="30" t="n"/>
      <c r="B576" s="31" t="n"/>
      <c r="C576" s="31" t="n"/>
      <c r="D576" s="31" t="n"/>
      <c r="E576" s="30" t="n"/>
      <c r="F576" s="30" t="n"/>
      <c r="G576" s="30" t="n"/>
      <c r="H576" s="30" t="n"/>
      <c r="I576" s="30" t="n"/>
      <c r="J576" s="32" t="n"/>
      <c r="K576" s="31" t="n"/>
      <c r="L576" s="30" t="n"/>
      <c r="M576" s="31" t="n"/>
      <c r="N576" s="31" t="n"/>
      <c r="O576" s="31" t="n"/>
      <c r="P576" s="30" t="n"/>
      <c r="Q576" s="31" t="n"/>
      <c r="R576" s="31" t="n"/>
      <c r="S576" s="31" t="n"/>
      <c r="T576" s="31" t="n"/>
      <c r="U576" s="30" t="n"/>
      <c r="V576" s="31" t="n"/>
      <c r="W576" s="31" t="n"/>
      <c r="X576" s="31" t="n"/>
      <c r="Y576" s="31" t="n"/>
      <c r="Z576" s="31" t="n"/>
      <c r="AA576" s="31" t="n"/>
      <c r="AB576" s="31" t="n"/>
      <c r="AC576" s="31" t="n"/>
      <c r="AD576" s="31" t="n"/>
      <c r="AE576" s="31" t="n"/>
      <c r="AF576" s="27">
        <f>IF(NOT(COUNTA(A576:AE576)&gt;0),"",IF(A576="","New client","Update"))</f>
        <v/>
      </c>
      <c r="AG576" s="27">
        <f>IF(AO576&lt;&gt;"",AO576,IF(LEN(AN576)=15,MID(AN576,3,10),""))</f>
        <v/>
      </c>
      <c r="AH576" s="27">
        <f>IF(AP576="","",AP576&amp;IF(D576="","  (guessed from PAN)",""))</f>
        <v/>
      </c>
      <c r="AI576" s="27">
        <f>IF(AN576="","",IFERROR(INDEX(Lists!$L$2:$L$38,MATCH(LEFT(AN576,2),Lists!$K$2:$K$38,0)),"Unknown code"))</f>
        <v/>
      </c>
      <c r="AJ576" s="27">
        <f>IF(AN576="","",IFERROR(IF(NOT(AND(LEN(AN576)=15,ISNUMBER(MATCH(LEFT(AN576,2),Lists!$K$2:$K$38,0)),SUMPRODUCT(--ISERROR(FIND(MID(MID(AN576,3,10),{1,2,3,4,5,10},1),"ABCDEFGHIJKLMNOPQRSTUVWXYZ")))=0,SUMPRODUCT(--ISERROR(FIND(MID(MID(AN576,3,10),{6,7,8,9},1),"0123456789")))=0,ISNUMBER(FIND(MID(AN576,13,1),"123456789ABCDEFGHIJKLMNOPQRSTUVWXYZ")),MID(AN576,14,1)="Z")),"Wrong format",IF(MID("0123456789ABCDEFGHIJKLMNOPQRSTUVWXYZ",MOD(36-MOD(SUMPRODUCT(INT((FIND(MID(AN576,{1,2,3,4,5,6,7,8,9,10,11,12,13,14},1),"0123456789ABCDEFGHIJKLMNOPQRSTUVWXYZ")-1)*{1,2,1,2,1,2,1,2,1,2,1,2,1,2}/36)+MOD((FIND(MID(AN576,{1,2,3,4,5,6,7,8,9,10,11,12,13,14},1),"0123456789ABCDEFGHIJKLMNOPQRSTUVWXYZ")-1)*{1,2,1,2,1,2,1,2,1,2,1,2,1,2},36)),36),36)+1,1)=MID(AN576,15,1),"OK","Typo? check digit wrong")),"Wrong format"))</f>
        <v/>
      </c>
      <c r="AK576" s="27">
        <f>IF(AO576="","",IF(AND(LEN(AO576)=10,SUMPRODUCT(--ISERROR(FIND(MID(AO576,{1,2,3,4,5,10},1),"ABCDEFGHIJKLMNOPQRSTUVWXYZ")))=0,SUMPRODUCT(--ISERROR(FIND(MID(AO576,{6,7,8,9},1),"0123456789")))=0),"OK","Wrong format"))</f>
        <v/>
      </c>
      <c r="AL576" s="27">
        <f>IF(TRIM(H576)="","",IF(AND(LEN(UPPER(TRIM(H576)))=10,SUMPRODUCT(--ISERROR(FIND(MID(UPPER(TRIM(H576)),{1,2,3,4,10},1),"ABCDEFGHIJKLMNOPQRSTUVWXYZ")))=0,SUMPRODUCT(--ISERROR(FIND(MID(UPPER(TRIM(H576)),{5,6,7,8,9},1),"0123456789")))=0),"OK","Wrong format"))</f>
        <v/>
      </c>
      <c r="AM576" s="28">
        <f>IF(NOT(COUNTA(A576:AE576)&gt;0),"",IF(AS576&lt;&gt;"","✖ "&amp;LEFT(AS576,LEN(AS576)-2),IF(AR576&gt;0,"✔ Ready — client + "&amp;AR576&amp;" service(s)","✔ Ready — client only")))</f>
        <v/>
      </c>
      <c r="AN576" s="29">
        <f>UPPER(SUBSTITUTE(TRIM(F576)," ",""))</f>
        <v/>
      </c>
      <c r="AO576" s="29">
        <f>UPPER(SUBSTITUTE(TRIM(E576)," ",""))</f>
        <v/>
      </c>
      <c r="AP576" s="29">
        <f>IF(D576&lt;&gt;"",D576,IFERROR(VLOOKUP(MID(AG576,4,1),Lists!$E$2:$F$8,2,FALSE),""))</f>
        <v/>
      </c>
      <c r="AQ576" s="29">
        <f>IFERROR(VLOOKUP(AP576,Lists!$A$2:$C$12,3,FALSE),"")</f>
        <v/>
      </c>
      <c r="AR576" s="29">
        <f>COUNTIF(W576:AC576,"Yes")</f>
        <v/>
      </c>
      <c r="AS576" s="29">
        <f>IF(TRIM(B576)="","Legal name missing; ","")&amp;IF(AND(AJ576&lt;&gt;"",AJ576&lt;&gt;"OK"),"GSTIN: "&amp;AJ576&amp;"; ","")&amp;IF(AND(AK576&lt;&gt;"",AK576&lt;&gt;"OK"),"PAN wrong format; ","")&amp;IF(AND(AO576&lt;&gt;"",LEN(AN576)=15,MID(AN576,3,10)&lt;&gt;AO576),"PAN does not match GSTIN; ","")&amp;IF(AND(AL576&lt;&gt;"",AL576&lt;&gt;"OK"),"TAN wrong format; ","")&amp;IF(AG576="","PAN missing; ","")&amp;IF(AP576="","Entity type missing; ","")&amp;IF(AND(AN576&lt;&gt;"",COUNTIF($AN$6:$AN$1005,AN576)&gt;1),"GSTIN repeated in this sheet; ","")&amp;IF(AND(AG576&lt;&gt;"",COUNTIF($AG$6:$AG$1005,AG576)&gt;1),"PAN repeated in this sheet (same client? put extra GSTINs in Other GSTINs); ","")&amp;IF(AND(AR576&gt;0,V576=""),"Financial year missing; ","")&amp;IF(AND(AR576=0,V576&lt;&gt;""),"Financial year given but no service is Yes; ","")&amp;IF(AND(W576="Yes",AN576=""),"GST needs a GSTIN; ","")&amp;IF(AND(W576="Yes",X576=""),"GST return frequency missing; ","")&amp;IF(AND(Y576="Yes",TRIM(H576)=""),"TDS needs a TAN; ","")&amp;IF(AND(AA576="Yes",AQ576&lt;&gt;"",AQ576&lt;&gt;"company",AQ576&lt;&gt;"llp"),"ROC is only for a company / LLP; ","")&amp;IF(AND(AA576="Yes",OR(AQ576="company",AQ576="llp"),TRIM(I576)=""),"ROC needs the CIN / LLPIN; ","")</f>
        <v/>
      </c>
    </row>
    <row r="577">
      <c r="A577" s="30" t="n"/>
      <c r="B577" s="31" t="n"/>
      <c r="C577" s="31" t="n"/>
      <c r="D577" s="31" t="n"/>
      <c r="E577" s="30" t="n"/>
      <c r="F577" s="30" t="n"/>
      <c r="G577" s="30" t="n"/>
      <c r="H577" s="30" t="n"/>
      <c r="I577" s="30" t="n"/>
      <c r="J577" s="32" t="n"/>
      <c r="K577" s="31" t="n"/>
      <c r="L577" s="30" t="n"/>
      <c r="M577" s="31" t="n"/>
      <c r="N577" s="31" t="n"/>
      <c r="O577" s="31" t="n"/>
      <c r="P577" s="30" t="n"/>
      <c r="Q577" s="31" t="n"/>
      <c r="R577" s="31" t="n"/>
      <c r="S577" s="31" t="n"/>
      <c r="T577" s="31" t="n"/>
      <c r="U577" s="30" t="n"/>
      <c r="V577" s="31" t="n"/>
      <c r="W577" s="31" t="n"/>
      <c r="X577" s="31" t="n"/>
      <c r="Y577" s="31" t="n"/>
      <c r="Z577" s="31" t="n"/>
      <c r="AA577" s="31" t="n"/>
      <c r="AB577" s="31" t="n"/>
      <c r="AC577" s="31" t="n"/>
      <c r="AD577" s="31" t="n"/>
      <c r="AE577" s="31" t="n"/>
      <c r="AF577" s="27">
        <f>IF(NOT(COUNTA(A577:AE577)&gt;0),"",IF(A577="","New client","Update"))</f>
        <v/>
      </c>
      <c r="AG577" s="27">
        <f>IF(AO577&lt;&gt;"",AO577,IF(LEN(AN577)=15,MID(AN577,3,10),""))</f>
        <v/>
      </c>
      <c r="AH577" s="27">
        <f>IF(AP577="","",AP577&amp;IF(D577="","  (guessed from PAN)",""))</f>
        <v/>
      </c>
      <c r="AI577" s="27">
        <f>IF(AN577="","",IFERROR(INDEX(Lists!$L$2:$L$38,MATCH(LEFT(AN577,2),Lists!$K$2:$K$38,0)),"Unknown code"))</f>
        <v/>
      </c>
      <c r="AJ577" s="27">
        <f>IF(AN577="","",IFERROR(IF(NOT(AND(LEN(AN577)=15,ISNUMBER(MATCH(LEFT(AN577,2),Lists!$K$2:$K$38,0)),SUMPRODUCT(--ISERROR(FIND(MID(MID(AN577,3,10),{1,2,3,4,5,10},1),"ABCDEFGHIJKLMNOPQRSTUVWXYZ")))=0,SUMPRODUCT(--ISERROR(FIND(MID(MID(AN577,3,10),{6,7,8,9},1),"0123456789")))=0,ISNUMBER(FIND(MID(AN577,13,1),"123456789ABCDEFGHIJKLMNOPQRSTUVWXYZ")),MID(AN577,14,1)="Z")),"Wrong format",IF(MID("0123456789ABCDEFGHIJKLMNOPQRSTUVWXYZ",MOD(36-MOD(SUMPRODUCT(INT((FIND(MID(AN577,{1,2,3,4,5,6,7,8,9,10,11,12,13,14},1),"0123456789ABCDEFGHIJKLMNOPQRSTUVWXYZ")-1)*{1,2,1,2,1,2,1,2,1,2,1,2,1,2}/36)+MOD((FIND(MID(AN577,{1,2,3,4,5,6,7,8,9,10,11,12,13,14},1),"0123456789ABCDEFGHIJKLMNOPQRSTUVWXYZ")-1)*{1,2,1,2,1,2,1,2,1,2,1,2,1,2},36)),36),36)+1,1)=MID(AN577,15,1),"OK","Typo? check digit wrong")),"Wrong format"))</f>
        <v/>
      </c>
      <c r="AK577" s="27">
        <f>IF(AO577="","",IF(AND(LEN(AO577)=10,SUMPRODUCT(--ISERROR(FIND(MID(AO577,{1,2,3,4,5,10},1),"ABCDEFGHIJKLMNOPQRSTUVWXYZ")))=0,SUMPRODUCT(--ISERROR(FIND(MID(AO577,{6,7,8,9},1),"0123456789")))=0),"OK","Wrong format"))</f>
        <v/>
      </c>
      <c r="AL577" s="27">
        <f>IF(TRIM(H577)="","",IF(AND(LEN(UPPER(TRIM(H577)))=10,SUMPRODUCT(--ISERROR(FIND(MID(UPPER(TRIM(H577)),{1,2,3,4,10},1),"ABCDEFGHIJKLMNOPQRSTUVWXYZ")))=0,SUMPRODUCT(--ISERROR(FIND(MID(UPPER(TRIM(H577)),{5,6,7,8,9},1),"0123456789")))=0),"OK","Wrong format"))</f>
        <v/>
      </c>
      <c r="AM577" s="28">
        <f>IF(NOT(COUNTA(A577:AE577)&gt;0),"",IF(AS577&lt;&gt;"","✖ "&amp;LEFT(AS577,LEN(AS577)-2),IF(AR577&gt;0,"✔ Ready — client + "&amp;AR577&amp;" service(s)","✔ Ready — client only")))</f>
        <v/>
      </c>
      <c r="AN577" s="29">
        <f>UPPER(SUBSTITUTE(TRIM(F577)," ",""))</f>
        <v/>
      </c>
      <c r="AO577" s="29">
        <f>UPPER(SUBSTITUTE(TRIM(E577)," ",""))</f>
        <v/>
      </c>
      <c r="AP577" s="29">
        <f>IF(D577&lt;&gt;"",D577,IFERROR(VLOOKUP(MID(AG577,4,1),Lists!$E$2:$F$8,2,FALSE),""))</f>
        <v/>
      </c>
      <c r="AQ577" s="29">
        <f>IFERROR(VLOOKUP(AP577,Lists!$A$2:$C$12,3,FALSE),"")</f>
        <v/>
      </c>
      <c r="AR577" s="29">
        <f>COUNTIF(W577:AC577,"Yes")</f>
        <v/>
      </c>
      <c r="AS577" s="29">
        <f>IF(TRIM(B577)="","Legal name missing; ","")&amp;IF(AND(AJ577&lt;&gt;"",AJ577&lt;&gt;"OK"),"GSTIN: "&amp;AJ577&amp;"; ","")&amp;IF(AND(AK577&lt;&gt;"",AK577&lt;&gt;"OK"),"PAN wrong format; ","")&amp;IF(AND(AO577&lt;&gt;"",LEN(AN577)=15,MID(AN577,3,10)&lt;&gt;AO577),"PAN does not match GSTIN; ","")&amp;IF(AND(AL577&lt;&gt;"",AL577&lt;&gt;"OK"),"TAN wrong format; ","")&amp;IF(AG577="","PAN missing; ","")&amp;IF(AP577="","Entity type missing; ","")&amp;IF(AND(AN577&lt;&gt;"",COUNTIF($AN$6:$AN$1005,AN577)&gt;1),"GSTIN repeated in this sheet; ","")&amp;IF(AND(AG577&lt;&gt;"",COUNTIF($AG$6:$AG$1005,AG577)&gt;1),"PAN repeated in this sheet (same client? put extra GSTINs in Other GSTINs); ","")&amp;IF(AND(AR577&gt;0,V577=""),"Financial year missing; ","")&amp;IF(AND(AR577=0,V577&lt;&gt;""),"Financial year given but no service is Yes; ","")&amp;IF(AND(W577="Yes",AN577=""),"GST needs a GSTIN; ","")&amp;IF(AND(W577="Yes",X577=""),"GST return frequency missing; ","")&amp;IF(AND(Y577="Yes",TRIM(H577)=""),"TDS needs a TAN; ","")&amp;IF(AND(AA577="Yes",AQ577&lt;&gt;"",AQ577&lt;&gt;"company",AQ577&lt;&gt;"llp"),"ROC is only for a company / LLP; ","")&amp;IF(AND(AA577="Yes",OR(AQ577="company",AQ577="llp"),TRIM(I577)=""),"ROC needs the CIN / LLPIN; ","")</f>
        <v/>
      </c>
    </row>
    <row r="578">
      <c r="A578" s="30" t="n"/>
      <c r="B578" s="31" t="n"/>
      <c r="C578" s="31" t="n"/>
      <c r="D578" s="31" t="n"/>
      <c r="E578" s="30" t="n"/>
      <c r="F578" s="30" t="n"/>
      <c r="G578" s="30" t="n"/>
      <c r="H578" s="30" t="n"/>
      <c r="I578" s="30" t="n"/>
      <c r="J578" s="32" t="n"/>
      <c r="K578" s="31" t="n"/>
      <c r="L578" s="30" t="n"/>
      <c r="M578" s="31" t="n"/>
      <c r="N578" s="31" t="n"/>
      <c r="O578" s="31" t="n"/>
      <c r="P578" s="30" t="n"/>
      <c r="Q578" s="31" t="n"/>
      <c r="R578" s="31" t="n"/>
      <c r="S578" s="31" t="n"/>
      <c r="T578" s="31" t="n"/>
      <c r="U578" s="30" t="n"/>
      <c r="V578" s="31" t="n"/>
      <c r="W578" s="31" t="n"/>
      <c r="X578" s="31" t="n"/>
      <c r="Y578" s="31" t="n"/>
      <c r="Z578" s="31" t="n"/>
      <c r="AA578" s="31" t="n"/>
      <c r="AB578" s="31" t="n"/>
      <c r="AC578" s="31" t="n"/>
      <c r="AD578" s="31" t="n"/>
      <c r="AE578" s="31" t="n"/>
      <c r="AF578" s="27">
        <f>IF(NOT(COUNTA(A578:AE578)&gt;0),"",IF(A578="","New client","Update"))</f>
        <v/>
      </c>
      <c r="AG578" s="27">
        <f>IF(AO578&lt;&gt;"",AO578,IF(LEN(AN578)=15,MID(AN578,3,10),""))</f>
        <v/>
      </c>
      <c r="AH578" s="27">
        <f>IF(AP578="","",AP578&amp;IF(D578="","  (guessed from PAN)",""))</f>
        <v/>
      </c>
      <c r="AI578" s="27">
        <f>IF(AN578="","",IFERROR(INDEX(Lists!$L$2:$L$38,MATCH(LEFT(AN578,2),Lists!$K$2:$K$38,0)),"Unknown code"))</f>
        <v/>
      </c>
      <c r="AJ578" s="27">
        <f>IF(AN578="","",IFERROR(IF(NOT(AND(LEN(AN578)=15,ISNUMBER(MATCH(LEFT(AN578,2),Lists!$K$2:$K$38,0)),SUMPRODUCT(--ISERROR(FIND(MID(MID(AN578,3,10),{1,2,3,4,5,10},1),"ABCDEFGHIJKLMNOPQRSTUVWXYZ")))=0,SUMPRODUCT(--ISERROR(FIND(MID(MID(AN578,3,10),{6,7,8,9},1),"0123456789")))=0,ISNUMBER(FIND(MID(AN578,13,1),"123456789ABCDEFGHIJKLMNOPQRSTUVWXYZ")),MID(AN578,14,1)="Z")),"Wrong format",IF(MID("0123456789ABCDEFGHIJKLMNOPQRSTUVWXYZ",MOD(36-MOD(SUMPRODUCT(INT((FIND(MID(AN578,{1,2,3,4,5,6,7,8,9,10,11,12,13,14},1),"0123456789ABCDEFGHIJKLMNOPQRSTUVWXYZ")-1)*{1,2,1,2,1,2,1,2,1,2,1,2,1,2}/36)+MOD((FIND(MID(AN578,{1,2,3,4,5,6,7,8,9,10,11,12,13,14},1),"0123456789ABCDEFGHIJKLMNOPQRSTUVWXYZ")-1)*{1,2,1,2,1,2,1,2,1,2,1,2,1,2},36)),36),36)+1,1)=MID(AN578,15,1),"OK","Typo? check digit wrong")),"Wrong format"))</f>
        <v/>
      </c>
      <c r="AK578" s="27">
        <f>IF(AO578="","",IF(AND(LEN(AO578)=10,SUMPRODUCT(--ISERROR(FIND(MID(AO578,{1,2,3,4,5,10},1),"ABCDEFGHIJKLMNOPQRSTUVWXYZ")))=0,SUMPRODUCT(--ISERROR(FIND(MID(AO578,{6,7,8,9},1),"0123456789")))=0),"OK","Wrong format"))</f>
        <v/>
      </c>
      <c r="AL578" s="27">
        <f>IF(TRIM(H578)="","",IF(AND(LEN(UPPER(TRIM(H578)))=10,SUMPRODUCT(--ISERROR(FIND(MID(UPPER(TRIM(H578)),{1,2,3,4,10},1),"ABCDEFGHIJKLMNOPQRSTUVWXYZ")))=0,SUMPRODUCT(--ISERROR(FIND(MID(UPPER(TRIM(H578)),{5,6,7,8,9},1),"0123456789")))=0),"OK","Wrong format"))</f>
        <v/>
      </c>
      <c r="AM578" s="28">
        <f>IF(NOT(COUNTA(A578:AE578)&gt;0),"",IF(AS578&lt;&gt;"","✖ "&amp;LEFT(AS578,LEN(AS578)-2),IF(AR578&gt;0,"✔ Ready — client + "&amp;AR578&amp;" service(s)","✔ Ready — client only")))</f>
        <v/>
      </c>
      <c r="AN578" s="29">
        <f>UPPER(SUBSTITUTE(TRIM(F578)," ",""))</f>
        <v/>
      </c>
      <c r="AO578" s="29">
        <f>UPPER(SUBSTITUTE(TRIM(E578)," ",""))</f>
        <v/>
      </c>
      <c r="AP578" s="29">
        <f>IF(D578&lt;&gt;"",D578,IFERROR(VLOOKUP(MID(AG578,4,1),Lists!$E$2:$F$8,2,FALSE),""))</f>
        <v/>
      </c>
      <c r="AQ578" s="29">
        <f>IFERROR(VLOOKUP(AP578,Lists!$A$2:$C$12,3,FALSE),"")</f>
        <v/>
      </c>
      <c r="AR578" s="29">
        <f>COUNTIF(W578:AC578,"Yes")</f>
        <v/>
      </c>
      <c r="AS578" s="29">
        <f>IF(TRIM(B578)="","Legal name missing; ","")&amp;IF(AND(AJ578&lt;&gt;"",AJ578&lt;&gt;"OK"),"GSTIN: "&amp;AJ578&amp;"; ","")&amp;IF(AND(AK578&lt;&gt;"",AK578&lt;&gt;"OK"),"PAN wrong format; ","")&amp;IF(AND(AO578&lt;&gt;"",LEN(AN578)=15,MID(AN578,3,10)&lt;&gt;AO578),"PAN does not match GSTIN; ","")&amp;IF(AND(AL578&lt;&gt;"",AL578&lt;&gt;"OK"),"TAN wrong format; ","")&amp;IF(AG578="","PAN missing; ","")&amp;IF(AP578="","Entity type missing; ","")&amp;IF(AND(AN578&lt;&gt;"",COUNTIF($AN$6:$AN$1005,AN578)&gt;1),"GSTIN repeated in this sheet; ","")&amp;IF(AND(AG578&lt;&gt;"",COUNTIF($AG$6:$AG$1005,AG578)&gt;1),"PAN repeated in this sheet (same client? put extra GSTINs in Other GSTINs); ","")&amp;IF(AND(AR578&gt;0,V578=""),"Financial year missing; ","")&amp;IF(AND(AR578=0,V578&lt;&gt;""),"Financial year given but no service is Yes; ","")&amp;IF(AND(W578="Yes",AN578=""),"GST needs a GSTIN; ","")&amp;IF(AND(W578="Yes",X578=""),"GST return frequency missing; ","")&amp;IF(AND(Y578="Yes",TRIM(H578)=""),"TDS needs a TAN; ","")&amp;IF(AND(AA578="Yes",AQ578&lt;&gt;"",AQ578&lt;&gt;"company",AQ578&lt;&gt;"llp"),"ROC is only for a company / LLP; ","")&amp;IF(AND(AA578="Yes",OR(AQ578="company",AQ578="llp"),TRIM(I578)=""),"ROC needs the CIN / LLPIN; ","")</f>
        <v/>
      </c>
    </row>
    <row r="579">
      <c r="A579" s="30" t="n"/>
      <c r="B579" s="31" t="n"/>
      <c r="C579" s="31" t="n"/>
      <c r="D579" s="31" t="n"/>
      <c r="E579" s="30" t="n"/>
      <c r="F579" s="30" t="n"/>
      <c r="G579" s="30" t="n"/>
      <c r="H579" s="30" t="n"/>
      <c r="I579" s="30" t="n"/>
      <c r="J579" s="32" t="n"/>
      <c r="K579" s="31" t="n"/>
      <c r="L579" s="30" t="n"/>
      <c r="M579" s="31" t="n"/>
      <c r="N579" s="31" t="n"/>
      <c r="O579" s="31" t="n"/>
      <c r="P579" s="30" t="n"/>
      <c r="Q579" s="31" t="n"/>
      <c r="R579" s="31" t="n"/>
      <c r="S579" s="31" t="n"/>
      <c r="T579" s="31" t="n"/>
      <c r="U579" s="30" t="n"/>
      <c r="V579" s="31" t="n"/>
      <c r="W579" s="31" t="n"/>
      <c r="X579" s="31" t="n"/>
      <c r="Y579" s="31" t="n"/>
      <c r="Z579" s="31" t="n"/>
      <c r="AA579" s="31" t="n"/>
      <c r="AB579" s="31" t="n"/>
      <c r="AC579" s="31" t="n"/>
      <c r="AD579" s="31" t="n"/>
      <c r="AE579" s="31" t="n"/>
      <c r="AF579" s="27">
        <f>IF(NOT(COUNTA(A579:AE579)&gt;0),"",IF(A579="","New client","Update"))</f>
        <v/>
      </c>
      <c r="AG579" s="27">
        <f>IF(AO579&lt;&gt;"",AO579,IF(LEN(AN579)=15,MID(AN579,3,10),""))</f>
        <v/>
      </c>
      <c r="AH579" s="27">
        <f>IF(AP579="","",AP579&amp;IF(D579="","  (guessed from PAN)",""))</f>
        <v/>
      </c>
      <c r="AI579" s="27">
        <f>IF(AN579="","",IFERROR(INDEX(Lists!$L$2:$L$38,MATCH(LEFT(AN579,2),Lists!$K$2:$K$38,0)),"Unknown code"))</f>
        <v/>
      </c>
      <c r="AJ579" s="27">
        <f>IF(AN579="","",IFERROR(IF(NOT(AND(LEN(AN579)=15,ISNUMBER(MATCH(LEFT(AN579,2),Lists!$K$2:$K$38,0)),SUMPRODUCT(--ISERROR(FIND(MID(MID(AN579,3,10),{1,2,3,4,5,10},1),"ABCDEFGHIJKLMNOPQRSTUVWXYZ")))=0,SUMPRODUCT(--ISERROR(FIND(MID(MID(AN579,3,10),{6,7,8,9},1),"0123456789")))=0,ISNUMBER(FIND(MID(AN579,13,1),"123456789ABCDEFGHIJKLMNOPQRSTUVWXYZ")),MID(AN579,14,1)="Z")),"Wrong format",IF(MID("0123456789ABCDEFGHIJKLMNOPQRSTUVWXYZ",MOD(36-MOD(SUMPRODUCT(INT((FIND(MID(AN579,{1,2,3,4,5,6,7,8,9,10,11,12,13,14},1),"0123456789ABCDEFGHIJKLMNOPQRSTUVWXYZ")-1)*{1,2,1,2,1,2,1,2,1,2,1,2,1,2}/36)+MOD((FIND(MID(AN579,{1,2,3,4,5,6,7,8,9,10,11,12,13,14},1),"0123456789ABCDEFGHIJKLMNOPQRSTUVWXYZ")-1)*{1,2,1,2,1,2,1,2,1,2,1,2,1,2},36)),36),36)+1,1)=MID(AN579,15,1),"OK","Typo? check digit wrong")),"Wrong format"))</f>
        <v/>
      </c>
      <c r="AK579" s="27">
        <f>IF(AO579="","",IF(AND(LEN(AO579)=10,SUMPRODUCT(--ISERROR(FIND(MID(AO579,{1,2,3,4,5,10},1),"ABCDEFGHIJKLMNOPQRSTUVWXYZ")))=0,SUMPRODUCT(--ISERROR(FIND(MID(AO579,{6,7,8,9},1),"0123456789")))=0),"OK","Wrong format"))</f>
        <v/>
      </c>
      <c r="AL579" s="27">
        <f>IF(TRIM(H579)="","",IF(AND(LEN(UPPER(TRIM(H579)))=10,SUMPRODUCT(--ISERROR(FIND(MID(UPPER(TRIM(H579)),{1,2,3,4,10},1),"ABCDEFGHIJKLMNOPQRSTUVWXYZ")))=0,SUMPRODUCT(--ISERROR(FIND(MID(UPPER(TRIM(H579)),{5,6,7,8,9},1),"0123456789")))=0),"OK","Wrong format"))</f>
        <v/>
      </c>
      <c r="AM579" s="28">
        <f>IF(NOT(COUNTA(A579:AE579)&gt;0),"",IF(AS579&lt;&gt;"","✖ "&amp;LEFT(AS579,LEN(AS579)-2),IF(AR579&gt;0,"✔ Ready — client + "&amp;AR579&amp;" service(s)","✔ Ready — client only")))</f>
        <v/>
      </c>
      <c r="AN579" s="29">
        <f>UPPER(SUBSTITUTE(TRIM(F579)," ",""))</f>
        <v/>
      </c>
      <c r="AO579" s="29">
        <f>UPPER(SUBSTITUTE(TRIM(E579)," ",""))</f>
        <v/>
      </c>
      <c r="AP579" s="29">
        <f>IF(D579&lt;&gt;"",D579,IFERROR(VLOOKUP(MID(AG579,4,1),Lists!$E$2:$F$8,2,FALSE),""))</f>
        <v/>
      </c>
      <c r="AQ579" s="29">
        <f>IFERROR(VLOOKUP(AP579,Lists!$A$2:$C$12,3,FALSE),"")</f>
        <v/>
      </c>
      <c r="AR579" s="29">
        <f>COUNTIF(W579:AC579,"Yes")</f>
        <v/>
      </c>
      <c r="AS579" s="29">
        <f>IF(TRIM(B579)="","Legal name missing; ","")&amp;IF(AND(AJ579&lt;&gt;"",AJ579&lt;&gt;"OK"),"GSTIN: "&amp;AJ579&amp;"; ","")&amp;IF(AND(AK579&lt;&gt;"",AK579&lt;&gt;"OK"),"PAN wrong format; ","")&amp;IF(AND(AO579&lt;&gt;"",LEN(AN579)=15,MID(AN579,3,10)&lt;&gt;AO579),"PAN does not match GSTIN; ","")&amp;IF(AND(AL579&lt;&gt;"",AL579&lt;&gt;"OK"),"TAN wrong format; ","")&amp;IF(AG579="","PAN missing; ","")&amp;IF(AP579="","Entity type missing; ","")&amp;IF(AND(AN579&lt;&gt;"",COUNTIF($AN$6:$AN$1005,AN579)&gt;1),"GSTIN repeated in this sheet; ","")&amp;IF(AND(AG579&lt;&gt;"",COUNTIF($AG$6:$AG$1005,AG579)&gt;1),"PAN repeated in this sheet (same client? put extra GSTINs in Other GSTINs); ","")&amp;IF(AND(AR579&gt;0,V579=""),"Financial year missing; ","")&amp;IF(AND(AR579=0,V579&lt;&gt;""),"Financial year given but no service is Yes; ","")&amp;IF(AND(W579="Yes",AN579=""),"GST needs a GSTIN; ","")&amp;IF(AND(W579="Yes",X579=""),"GST return frequency missing; ","")&amp;IF(AND(Y579="Yes",TRIM(H579)=""),"TDS needs a TAN; ","")&amp;IF(AND(AA579="Yes",AQ579&lt;&gt;"",AQ579&lt;&gt;"company",AQ579&lt;&gt;"llp"),"ROC is only for a company / LLP; ","")&amp;IF(AND(AA579="Yes",OR(AQ579="company",AQ579="llp"),TRIM(I579)=""),"ROC needs the CIN / LLPIN; ","")</f>
        <v/>
      </c>
    </row>
    <row r="580">
      <c r="A580" s="30" t="n"/>
      <c r="B580" s="31" t="n"/>
      <c r="C580" s="31" t="n"/>
      <c r="D580" s="31" t="n"/>
      <c r="E580" s="30" t="n"/>
      <c r="F580" s="30" t="n"/>
      <c r="G580" s="30" t="n"/>
      <c r="H580" s="30" t="n"/>
      <c r="I580" s="30" t="n"/>
      <c r="J580" s="32" t="n"/>
      <c r="K580" s="31" t="n"/>
      <c r="L580" s="30" t="n"/>
      <c r="M580" s="31" t="n"/>
      <c r="N580" s="31" t="n"/>
      <c r="O580" s="31" t="n"/>
      <c r="P580" s="30" t="n"/>
      <c r="Q580" s="31" t="n"/>
      <c r="R580" s="31" t="n"/>
      <c r="S580" s="31" t="n"/>
      <c r="T580" s="31" t="n"/>
      <c r="U580" s="30" t="n"/>
      <c r="V580" s="31" t="n"/>
      <c r="W580" s="31" t="n"/>
      <c r="X580" s="31" t="n"/>
      <c r="Y580" s="31" t="n"/>
      <c r="Z580" s="31" t="n"/>
      <c r="AA580" s="31" t="n"/>
      <c r="AB580" s="31" t="n"/>
      <c r="AC580" s="31" t="n"/>
      <c r="AD580" s="31" t="n"/>
      <c r="AE580" s="31" t="n"/>
      <c r="AF580" s="27">
        <f>IF(NOT(COUNTA(A580:AE580)&gt;0),"",IF(A580="","New client","Update"))</f>
        <v/>
      </c>
      <c r="AG580" s="27">
        <f>IF(AO580&lt;&gt;"",AO580,IF(LEN(AN580)=15,MID(AN580,3,10),""))</f>
        <v/>
      </c>
      <c r="AH580" s="27">
        <f>IF(AP580="","",AP580&amp;IF(D580="","  (guessed from PAN)",""))</f>
        <v/>
      </c>
      <c r="AI580" s="27">
        <f>IF(AN580="","",IFERROR(INDEX(Lists!$L$2:$L$38,MATCH(LEFT(AN580,2),Lists!$K$2:$K$38,0)),"Unknown code"))</f>
        <v/>
      </c>
      <c r="AJ580" s="27">
        <f>IF(AN580="","",IFERROR(IF(NOT(AND(LEN(AN580)=15,ISNUMBER(MATCH(LEFT(AN580,2),Lists!$K$2:$K$38,0)),SUMPRODUCT(--ISERROR(FIND(MID(MID(AN580,3,10),{1,2,3,4,5,10},1),"ABCDEFGHIJKLMNOPQRSTUVWXYZ")))=0,SUMPRODUCT(--ISERROR(FIND(MID(MID(AN580,3,10),{6,7,8,9},1),"0123456789")))=0,ISNUMBER(FIND(MID(AN580,13,1),"123456789ABCDEFGHIJKLMNOPQRSTUVWXYZ")),MID(AN580,14,1)="Z")),"Wrong format",IF(MID("0123456789ABCDEFGHIJKLMNOPQRSTUVWXYZ",MOD(36-MOD(SUMPRODUCT(INT((FIND(MID(AN580,{1,2,3,4,5,6,7,8,9,10,11,12,13,14},1),"0123456789ABCDEFGHIJKLMNOPQRSTUVWXYZ")-1)*{1,2,1,2,1,2,1,2,1,2,1,2,1,2}/36)+MOD((FIND(MID(AN580,{1,2,3,4,5,6,7,8,9,10,11,12,13,14},1),"0123456789ABCDEFGHIJKLMNOPQRSTUVWXYZ")-1)*{1,2,1,2,1,2,1,2,1,2,1,2,1,2},36)),36),36)+1,1)=MID(AN580,15,1),"OK","Typo? check digit wrong")),"Wrong format"))</f>
        <v/>
      </c>
      <c r="AK580" s="27">
        <f>IF(AO580="","",IF(AND(LEN(AO580)=10,SUMPRODUCT(--ISERROR(FIND(MID(AO580,{1,2,3,4,5,10},1),"ABCDEFGHIJKLMNOPQRSTUVWXYZ")))=0,SUMPRODUCT(--ISERROR(FIND(MID(AO580,{6,7,8,9},1),"0123456789")))=0),"OK","Wrong format"))</f>
        <v/>
      </c>
      <c r="AL580" s="27">
        <f>IF(TRIM(H580)="","",IF(AND(LEN(UPPER(TRIM(H580)))=10,SUMPRODUCT(--ISERROR(FIND(MID(UPPER(TRIM(H580)),{1,2,3,4,10},1),"ABCDEFGHIJKLMNOPQRSTUVWXYZ")))=0,SUMPRODUCT(--ISERROR(FIND(MID(UPPER(TRIM(H580)),{5,6,7,8,9},1),"0123456789")))=0),"OK","Wrong format"))</f>
        <v/>
      </c>
      <c r="AM580" s="28">
        <f>IF(NOT(COUNTA(A580:AE580)&gt;0),"",IF(AS580&lt;&gt;"","✖ "&amp;LEFT(AS580,LEN(AS580)-2),IF(AR580&gt;0,"✔ Ready — client + "&amp;AR580&amp;" service(s)","✔ Ready — client only")))</f>
        <v/>
      </c>
      <c r="AN580" s="29">
        <f>UPPER(SUBSTITUTE(TRIM(F580)," ",""))</f>
        <v/>
      </c>
      <c r="AO580" s="29">
        <f>UPPER(SUBSTITUTE(TRIM(E580)," ",""))</f>
        <v/>
      </c>
      <c r="AP580" s="29">
        <f>IF(D580&lt;&gt;"",D580,IFERROR(VLOOKUP(MID(AG580,4,1),Lists!$E$2:$F$8,2,FALSE),""))</f>
        <v/>
      </c>
      <c r="AQ580" s="29">
        <f>IFERROR(VLOOKUP(AP580,Lists!$A$2:$C$12,3,FALSE),"")</f>
        <v/>
      </c>
      <c r="AR580" s="29">
        <f>COUNTIF(W580:AC580,"Yes")</f>
        <v/>
      </c>
      <c r="AS580" s="29">
        <f>IF(TRIM(B580)="","Legal name missing; ","")&amp;IF(AND(AJ580&lt;&gt;"",AJ580&lt;&gt;"OK"),"GSTIN: "&amp;AJ580&amp;"; ","")&amp;IF(AND(AK580&lt;&gt;"",AK580&lt;&gt;"OK"),"PAN wrong format; ","")&amp;IF(AND(AO580&lt;&gt;"",LEN(AN580)=15,MID(AN580,3,10)&lt;&gt;AO580),"PAN does not match GSTIN; ","")&amp;IF(AND(AL580&lt;&gt;"",AL580&lt;&gt;"OK"),"TAN wrong format; ","")&amp;IF(AG580="","PAN missing; ","")&amp;IF(AP580="","Entity type missing; ","")&amp;IF(AND(AN580&lt;&gt;"",COUNTIF($AN$6:$AN$1005,AN580)&gt;1),"GSTIN repeated in this sheet; ","")&amp;IF(AND(AG580&lt;&gt;"",COUNTIF($AG$6:$AG$1005,AG580)&gt;1),"PAN repeated in this sheet (same client? put extra GSTINs in Other GSTINs); ","")&amp;IF(AND(AR580&gt;0,V580=""),"Financial year missing; ","")&amp;IF(AND(AR580=0,V580&lt;&gt;""),"Financial year given but no service is Yes; ","")&amp;IF(AND(W580="Yes",AN580=""),"GST needs a GSTIN; ","")&amp;IF(AND(W580="Yes",X580=""),"GST return frequency missing; ","")&amp;IF(AND(Y580="Yes",TRIM(H580)=""),"TDS needs a TAN; ","")&amp;IF(AND(AA580="Yes",AQ580&lt;&gt;"",AQ580&lt;&gt;"company",AQ580&lt;&gt;"llp"),"ROC is only for a company / LLP; ","")&amp;IF(AND(AA580="Yes",OR(AQ580="company",AQ580="llp"),TRIM(I580)=""),"ROC needs the CIN / LLPIN; ","")</f>
        <v/>
      </c>
    </row>
    <row r="581">
      <c r="A581" s="30" t="n"/>
      <c r="B581" s="31" t="n"/>
      <c r="C581" s="31" t="n"/>
      <c r="D581" s="31" t="n"/>
      <c r="E581" s="30" t="n"/>
      <c r="F581" s="30" t="n"/>
      <c r="G581" s="30" t="n"/>
      <c r="H581" s="30" t="n"/>
      <c r="I581" s="30" t="n"/>
      <c r="J581" s="32" t="n"/>
      <c r="K581" s="31" t="n"/>
      <c r="L581" s="30" t="n"/>
      <c r="M581" s="31" t="n"/>
      <c r="N581" s="31" t="n"/>
      <c r="O581" s="31" t="n"/>
      <c r="P581" s="30" t="n"/>
      <c r="Q581" s="31" t="n"/>
      <c r="R581" s="31" t="n"/>
      <c r="S581" s="31" t="n"/>
      <c r="T581" s="31" t="n"/>
      <c r="U581" s="30" t="n"/>
      <c r="V581" s="31" t="n"/>
      <c r="W581" s="31" t="n"/>
      <c r="X581" s="31" t="n"/>
      <c r="Y581" s="31" t="n"/>
      <c r="Z581" s="31" t="n"/>
      <c r="AA581" s="31" t="n"/>
      <c r="AB581" s="31" t="n"/>
      <c r="AC581" s="31" t="n"/>
      <c r="AD581" s="31" t="n"/>
      <c r="AE581" s="31" t="n"/>
      <c r="AF581" s="27">
        <f>IF(NOT(COUNTA(A581:AE581)&gt;0),"",IF(A581="","New client","Update"))</f>
        <v/>
      </c>
      <c r="AG581" s="27">
        <f>IF(AO581&lt;&gt;"",AO581,IF(LEN(AN581)=15,MID(AN581,3,10),""))</f>
        <v/>
      </c>
      <c r="AH581" s="27">
        <f>IF(AP581="","",AP581&amp;IF(D581="","  (guessed from PAN)",""))</f>
        <v/>
      </c>
      <c r="AI581" s="27">
        <f>IF(AN581="","",IFERROR(INDEX(Lists!$L$2:$L$38,MATCH(LEFT(AN581,2),Lists!$K$2:$K$38,0)),"Unknown code"))</f>
        <v/>
      </c>
      <c r="AJ581" s="27">
        <f>IF(AN581="","",IFERROR(IF(NOT(AND(LEN(AN581)=15,ISNUMBER(MATCH(LEFT(AN581,2),Lists!$K$2:$K$38,0)),SUMPRODUCT(--ISERROR(FIND(MID(MID(AN581,3,10),{1,2,3,4,5,10},1),"ABCDEFGHIJKLMNOPQRSTUVWXYZ")))=0,SUMPRODUCT(--ISERROR(FIND(MID(MID(AN581,3,10),{6,7,8,9},1),"0123456789")))=0,ISNUMBER(FIND(MID(AN581,13,1),"123456789ABCDEFGHIJKLMNOPQRSTUVWXYZ")),MID(AN581,14,1)="Z")),"Wrong format",IF(MID("0123456789ABCDEFGHIJKLMNOPQRSTUVWXYZ",MOD(36-MOD(SUMPRODUCT(INT((FIND(MID(AN581,{1,2,3,4,5,6,7,8,9,10,11,12,13,14},1),"0123456789ABCDEFGHIJKLMNOPQRSTUVWXYZ")-1)*{1,2,1,2,1,2,1,2,1,2,1,2,1,2}/36)+MOD((FIND(MID(AN581,{1,2,3,4,5,6,7,8,9,10,11,12,13,14},1),"0123456789ABCDEFGHIJKLMNOPQRSTUVWXYZ")-1)*{1,2,1,2,1,2,1,2,1,2,1,2,1,2},36)),36),36)+1,1)=MID(AN581,15,1),"OK","Typo? check digit wrong")),"Wrong format"))</f>
        <v/>
      </c>
      <c r="AK581" s="27">
        <f>IF(AO581="","",IF(AND(LEN(AO581)=10,SUMPRODUCT(--ISERROR(FIND(MID(AO581,{1,2,3,4,5,10},1),"ABCDEFGHIJKLMNOPQRSTUVWXYZ")))=0,SUMPRODUCT(--ISERROR(FIND(MID(AO581,{6,7,8,9},1),"0123456789")))=0),"OK","Wrong format"))</f>
        <v/>
      </c>
      <c r="AL581" s="27">
        <f>IF(TRIM(H581)="","",IF(AND(LEN(UPPER(TRIM(H581)))=10,SUMPRODUCT(--ISERROR(FIND(MID(UPPER(TRIM(H581)),{1,2,3,4,10},1),"ABCDEFGHIJKLMNOPQRSTUVWXYZ")))=0,SUMPRODUCT(--ISERROR(FIND(MID(UPPER(TRIM(H581)),{5,6,7,8,9},1),"0123456789")))=0),"OK","Wrong format"))</f>
        <v/>
      </c>
      <c r="AM581" s="28">
        <f>IF(NOT(COUNTA(A581:AE581)&gt;0),"",IF(AS581&lt;&gt;"","✖ "&amp;LEFT(AS581,LEN(AS581)-2),IF(AR581&gt;0,"✔ Ready — client + "&amp;AR581&amp;" service(s)","✔ Ready — client only")))</f>
        <v/>
      </c>
      <c r="AN581" s="29">
        <f>UPPER(SUBSTITUTE(TRIM(F581)," ",""))</f>
        <v/>
      </c>
      <c r="AO581" s="29">
        <f>UPPER(SUBSTITUTE(TRIM(E581)," ",""))</f>
        <v/>
      </c>
      <c r="AP581" s="29">
        <f>IF(D581&lt;&gt;"",D581,IFERROR(VLOOKUP(MID(AG581,4,1),Lists!$E$2:$F$8,2,FALSE),""))</f>
        <v/>
      </c>
      <c r="AQ581" s="29">
        <f>IFERROR(VLOOKUP(AP581,Lists!$A$2:$C$12,3,FALSE),"")</f>
        <v/>
      </c>
      <c r="AR581" s="29">
        <f>COUNTIF(W581:AC581,"Yes")</f>
        <v/>
      </c>
      <c r="AS581" s="29">
        <f>IF(TRIM(B581)="","Legal name missing; ","")&amp;IF(AND(AJ581&lt;&gt;"",AJ581&lt;&gt;"OK"),"GSTIN: "&amp;AJ581&amp;"; ","")&amp;IF(AND(AK581&lt;&gt;"",AK581&lt;&gt;"OK"),"PAN wrong format; ","")&amp;IF(AND(AO581&lt;&gt;"",LEN(AN581)=15,MID(AN581,3,10)&lt;&gt;AO581),"PAN does not match GSTIN; ","")&amp;IF(AND(AL581&lt;&gt;"",AL581&lt;&gt;"OK"),"TAN wrong format; ","")&amp;IF(AG581="","PAN missing; ","")&amp;IF(AP581="","Entity type missing; ","")&amp;IF(AND(AN581&lt;&gt;"",COUNTIF($AN$6:$AN$1005,AN581)&gt;1),"GSTIN repeated in this sheet; ","")&amp;IF(AND(AG581&lt;&gt;"",COUNTIF($AG$6:$AG$1005,AG581)&gt;1),"PAN repeated in this sheet (same client? put extra GSTINs in Other GSTINs); ","")&amp;IF(AND(AR581&gt;0,V581=""),"Financial year missing; ","")&amp;IF(AND(AR581=0,V581&lt;&gt;""),"Financial year given but no service is Yes; ","")&amp;IF(AND(W581="Yes",AN581=""),"GST needs a GSTIN; ","")&amp;IF(AND(W581="Yes",X581=""),"GST return frequency missing; ","")&amp;IF(AND(Y581="Yes",TRIM(H581)=""),"TDS needs a TAN; ","")&amp;IF(AND(AA581="Yes",AQ581&lt;&gt;"",AQ581&lt;&gt;"company",AQ581&lt;&gt;"llp"),"ROC is only for a company / LLP; ","")&amp;IF(AND(AA581="Yes",OR(AQ581="company",AQ581="llp"),TRIM(I581)=""),"ROC needs the CIN / LLPIN; ","")</f>
        <v/>
      </c>
    </row>
    <row r="582">
      <c r="A582" s="30" t="n"/>
      <c r="B582" s="31" t="n"/>
      <c r="C582" s="31" t="n"/>
      <c r="D582" s="31" t="n"/>
      <c r="E582" s="30" t="n"/>
      <c r="F582" s="30" t="n"/>
      <c r="G582" s="30" t="n"/>
      <c r="H582" s="30" t="n"/>
      <c r="I582" s="30" t="n"/>
      <c r="J582" s="32" t="n"/>
      <c r="K582" s="31" t="n"/>
      <c r="L582" s="30" t="n"/>
      <c r="M582" s="31" t="n"/>
      <c r="N582" s="31" t="n"/>
      <c r="O582" s="31" t="n"/>
      <c r="P582" s="30" t="n"/>
      <c r="Q582" s="31" t="n"/>
      <c r="R582" s="31" t="n"/>
      <c r="S582" s="31" t="n"/>
      <c r="T582" s="31" t="n"/>
      <c r="U582" s="30" t="n"/>
      <c r="V582" s="31" t="n"/>
      <c r="W582" s="31" t="n"/>
      <c r="X582" s="31" t="n"/>
      <c r="Y582" s="31" t="n"/>
      <c r="Z582" s="31" t="n"/>
      <c r="AA582" s="31" t="n"/>
      <c r="AB582" s="31" t="n"/>
      <c r="AC582" s="31" t="n"/>
      <c r="AD582" s="31" t="n"/>
      <c r="AE582" s="31" t="n"/>
      <c r="AF582" s="27">
        <f>IF(NOT(COUNTA(A582:AE582)&gt;0),"",IF(A582="","New client","Update"))</f>
        <v/>
      </c>
      <c r="AG582" s="27">
        <f>IF(AO582&lt;&gt;"",AO582,IF(LEN(AN582)=15,MID(AN582,3,10),""))</f>
        <v/>
      </c>
      <c r="AH582" s="27">
        <f>IF(AP582="","",AP582&amp;IF(D582="","  (guessed from PAN)",""))</f>
        <v/>
      </c>
      <c r="AI582" s="27">
        <f>IF(AN582="","",IFERROR(INDEX(Lists!$L$2:$L$38,MATCH(LEFT(AN582,2),Lists!$K$2:$K$38,0)),"Unknown code"))</f>
        <v/>
      </c>
      <c r="AJ582" s="27">
        <f>IF(AN582="","",IFERROR(IF(NOT(AND(LEN(AN582)=15,ISNUMBER(MATCH(LEFT(AN582,2),Lists!$K$2:$K$38,0)),SUMPRODUCT(--ISERROR(FIND(MID(MID(AN582,3,10),{1,2,3,4,5,10},1),"ABCDEFGHIJKLMNOPQRSTUVWXYZ")))=0,SUMPRODUCT(--ISERROR(FIND(MID(MID(AN582,3,10),{6,7,8,9},1),"0123456789")))=0,ISNUMBER(FIND(MID(AN582,13,1),"123456789ABCDEFGHIJKLMNOPQRSTUVWXYZ")),MID(AN582,14,1)="Z")),"Wrong format",IF(MID("0123456789ABCDEFGHIJKLMNOPQRSTUVWXYZ",MOD(36-MOD(SUMPRODUCT(INT((FIND(MID(AN582,{1,2,3,4,5,6,7,8,9,10,11,12,13,14},1),"0123456789ABCDEFGHIJKLMNOPQRSTUVWXYZ")-1)*{1,2,1,2,1,2,1,2,1,2,1,2,1,2}/36)+MOD((FIND(MID(AN582,{1,2,3,4,5,6,7,8,9,10,11,12,13,14},1),"0123456789ABCDEFGHIJKLMNOPQRSTUVWXYZ")-1)*{1,2,1,2,1,2,1,2,1,2,1,2,1,2},36)),36),36)+1,1)=MID(AN582,15,1),"OK","Typo? check digit wrong")),"Wrong format"))</f>
        <v/>
      </c>
      <c r="AK582" s="27">
        <f>IF(AO582="","",IF(AND(LEN(AO582)=10,SUMPRODUCT(--ISERROR(FIND(MID(AO582,{1,2,3,4,5,10},1),"ABCDEFGHIJKLMNOPQRSTUVWXYZ")))=0,SUMPRODUCT(--ISERROR(FIND(MID(AO582,{6,7,8,9},1),"0123456789")))=0),"OK","Wrong format"))</f>
        <v/>
      </c>
      <c r="AL582" s="27">
        <f>IF(TRIM(H582)="","",IF(AND(LEN(UPPER(TRIM(H582)))=10,SUMPRODUCT(--ISERROR(FIND(MID(UPPER(TRIM(H582)),{1,2,3,4,10},1),"ABCDEFGHIJKLMNOPQRSTUVWXYZ")))=0,SUMPRODUCT(--ISERROR(FIND(MID(UPPER(TRIM(H582)),{5,6,7,8,9},1),"0123456789")))=0),"OK","Wrong format"))</f>
        <v/>
      </c>
      <c r="AM582" s="28">
        <f>IF(NOT(COUNTA(A582:AE582)&gt;0),"",IF(AS582&lt;&gt;"","✖ "&amp;LEFT(AS582,LEN(AS582)-2),IF(AR582&gt;0,"✔ Ready — client + "&amp;AR582&amp;" service(s)","✔ Ready — client only")))</f>
        <v/>
      </c>
      <c r="AN582" s="29">
        <f>UPPER(SUBSTITUTE(TRIM(F582)," ",""))</f>
        <v/>
      </c>
      <c r="AO582" s="29">
        <f>UPPER(SUBSTITUTE(TRIM(E582)," ",""))</f>
        <v/>
      </c>
      <c r="AP582" s="29">
        <f>IF(D582&lt;&gt;"",D582,IFERROR(VLOOKUP(MID(AG582,4,1),Lists!$E$2:$F$8,2,FALSE),""))</f>
        <v/>
      </c>
      <c r="AQ582" s="29">
        <f>IFERROR(VLOOKUP(AP582,Lists!$A$2:$C$12,3,FALSE),"")</f>
        <v/>
      </c>
      <c r="AR582" s="29">
        <f>COUNTIF(W582:AC582,"Yes")</f>
        <v/>
      </c>
      <c r="AS582" s="29">
        <f>IF(TRIM(B582)="","Legal name missing; ","")&amp;IF(AND(AJ582&lt;&gt;"",AJ582&lt;&gt;"OK"),"GSTIN: "&amp;AJ582&amp;"; ","")&amp;IF(AND(AK582&lt;&gt;"",AK582&lt;&gt;"OK"),"PAN wrong format; ","")&amp;IF(AND(AO582&lt;&gt;"",LEN(AN582)=15,MID(AN582,3,10)&lt;&gt;AO582),"PAN does not match GSTIN; ","")&amp;IF(AND(AL582&lt;&gt;"",AL582&lt;&gt;"OK"),"TAN wrong format; ","")&amp;IF(AG582="","PAN missing; ","")&amp;IF(AP582="","Entity type missing; ","")&amp;IF(AND(AN582&lt;&gt;"",COUNTIF($AN$6:$AN$1005,AN582)&gt;1),"GSTIN repeated in this sheet; ","")&amp;IF(AND(AG582&lt;&gt;"",COUNTIF($AG$6:$AG$1005,AG582)&gt;1),"PAN repeated in this sheet (same client? put extra GSTINs in Other GSTINs); ","")&amp;IF(AND(AR582&gt;0,V582=""),"Financial year missing; ","")&amp;IF(AND(AR582=0,V582&lt;&gt;""),"Financial year given but no service is Yes; ","")&amp;IF(AND(W582="Yes",AN582=""),"GST needs a GSTIN; ","")&amp;IF(AND(W582="Yes",X582=""),"GST return frequency missing; ","")&amp;IF(AND(Y582="Yes",TRIM(H582)=""),"TDS needs a TAN; ","")&amp;IF(AND(AA582="Yes",AQ582&lt;&gt;"",AQ582&lt;&gt;"company",AQ582&lt;&gt;"llp"),"ROC is only for a company / LLP; ","")&amp;IF(AND(AA582="Yes",OR(AQ582="company",AQ582="llp"),TRIM(I582)=""),"ROC needs the CIN / LLPIN; ","")</f>
        <v/>
      </c>
    </row>
    <row r="583">
      <c r="A583" s="30" t="n"/>
      <c r="B583" s="31" t="n"/>
      <c r="C583" s="31" t="n"/>
      <c r="D583" s="31" t="n"/>
      <c r="E583" s="30" t="n"/>
      <c r="F583" s="30" t="n"/>
      <c r="G583" s="30" t="n"/>
      <c r="H583" s="30" t="n"/>
      <c r="I583" s="30" t="n"/>
      <c r="J583" s="32" t="n"/>
      <c r="K583" s="31" t="n"/>
      <c r="L583" s="30" t="n"/>
      <c r="M583" s="31" t="n"/>
      <c r="N583" s="31" t="n"/>
      <c r="O583" s="31" t="n"/>
      <c r="P583" s="30" t="n"/>
      <c r="Q583" s="31" t="n"/>
      <c r="R583" s="31" t="n"/>
      <c r="S583" s="31" t="n"/>
      <c r="T583" s="31" t="n"/>
      <c r="U583" s="30" t="n"/>
      <c r="V583" s="31" t="n"/>
      <c r="W583" s="31" t="n"/>
      <c r="X583" s="31" t="n"/>
      <c r="Y583" s="31" t="n"/>
      <c r="Z583" s="31" t="n"/>
      <c r="AA583" s="31" t="n"/>
      <c r="AB583" s="31" t="n"/>
      <c r="AC583" s="31" t="n"/>
      <c r="AD583" s="31" t="n"/>
      <c r="AE583" s="31" t="n"/>
      <c r="AF583" s="27">
        <f>IF(NOT(COUNTA(A583:AE583)&gt;0),"",IF(A583="","New client","Update"))</f>
        <v/>
      </c>
      <c r="AG583" s="27">
        <f>IF(AO583&lt;&gt;"",AO583,IF(LEN(AN583)=15,MID(AN583,3,10),""))</f>
        <v/>
      </c>
      <c r="AH583" s="27">
        <f>IF(AP583="","",AP583&amp;IF(D583="","  (guessed from PAN)",""))</f>
        <v/>
      </c>
      <c r="AI583" s="27">
        <f>IF(AN583="","",IFERROR(INDEX(Lists!$L$2:$L$38,MATCH(LEFT(AN583,2),Lists!$K$2:$K$38,0)),"Unknown code"))</f>
        <v/>
      </c>
      <c r="AJ583" s="27">
        <f>IF(AN583="","",IFERROR(IF(NOT(AND(LEN(AN583)=15,ISNUMBER(MATCH(LEFT(AN583,2),Lists!$K$2:$K$38,0)),SUMPRODUCT(--ISERROR(FIND(MID(MID(AN583,3,10),{1,2,3,4,5,10},1),"ABCDEFGHIJKLMNOPQRSTUVWXYZ")))=0,SUMPRODUCT(--ISERROR(FIND(MID(MID(AN583,3,10),{6,7,8,9},1),"0123456789")))=0,ISNUMBER(FIND(MID(AN583,13,1),"123456789ABCDEFGHIJKLMNOPQRSTUVWXYZ")),MID(AN583,14,1)="Z")),"Wrong format",IF(MID("0123456789ABCDEFGHIJKLMNOPQRSTUVWXYZ",MOD(36-MOD(SUMPRODUCT(INT((FIND(MID(AN583,{1,2,3,4,5,6,7,8,9,10,11,12,13,14},1),"0123456789ABCDEFGHIJKLMNOPQRSTUVWXYZ")-1)*{1,2,1,2,1,2,1,2,1,2,1,2,1,2}/36)+MOD((FIND(MID(AN583,{1,2,3,4,5,6,7,8,9,10,11,12,13,14},1),"0123456789ABCDEFGHIJKLMNOPQRSTUVWXYZ")-1)*{1,2,1,2,1,2,1,2,1,2,1,2,1,2},36)),36),36)+1,1)=MID(AN583,15,1),"OK","Typo? check digit wrong")),"Wrong format"))</f>
        <v/>
      </c>
      <c r="AK583" s="27">
        <f>IF(AO583="","",IF(AND(LEN(AO583)=10,SUMPRODUCT(--ISERROR(FIND(MID(AO583,{1,2,3,4,5,10},1),"ABCDEFGHIJKLMNOPQRSTUVWXYZ")))=0,SUMPRODUCT(--ISERROR(FIND(MID(AO583,{6,7,8,9},1),"0123456789")))=0),"OK","Wrong format"))</f>
        <v/>
      </c>
      <c r="AL583" s="27">
        <f>IF(TRIM(H583)="","",IF(AND(LEN(UPPER(TRIM(H583)))=10,SUMPRODUCT(--ISERROR(FIND(MID(UPPER(TRIM(H583)),{1,2,3,4,10},1),"ABCDEFGHIJKLMNOPQRSTUVWXYZ")))=0,SUMPRODUCT(--ISERROR(FIND(MID(UPPER(TRIM(H583)),{5,6,7,8,9},1),"0123456789")))=0),"OK","Wrong format"))</f>
        <v/>
      </c>
      <c r="AM583" s="28">
        <f>IF(NOT(COUNTA(A583:AE583)&gt;0),"",IF(AS583&lt;&gt;"","✖ "&amp;LEFT(AS583,LEN(AS583)-2),IF(AR583&gt;0,"✔ Ready — client + "&amp;AR583&amp;" service(s)","✔ Ready — client only")))</f>
        <v/>
      </c>
      <c r="AN583" s="29">
        <f>UPPER(SUBSTITUTE(TRIM(F583)," ",""))</f>
        <v/>
      </c>
      <c r="AO583" s="29">
        <f>UPPER(SUBSTITUTE(TRIM(E583)," ",""))</f>
        <v/>
      </c>
      <c r="AP583" s="29">
        <f>IF(D583&lt;&gt;"",D583,IFERROR(VLOOKUP(MID(AG583,4,1),Lists!$E$2:$F$8,2,FALSE),""))</f>
        <v/>
      </c>
      <c r="AQ583" s="29">
        <f>IFERROR(VLOOKUP(AP583,Lists!$A$2:$C$12,3,FALSE),"")</f>
        <v/>
      </c>
      <c r="AR583" s="29">
        <f>COUNTIF(W583:AC583,"Yes")</f>
        <v/>
      </c>
      <c r="AS583" s="29">
        <f>IF(TRIM(B583)="","Legal name missing; ","")&amp;IF(AND(AJ583&lt;&gt;"",AJ583&lt;&gt;"OK"),"GSTIN: "&amp;AJ583&amp;"; ","")&amp;IF(AND(AK583&lt;&gt;"",AK583&lt;&gt;"OK"),"PAN wrong format; ","")&amp;IF(AND(AO583&lt;&gt;"",LEN(AN583)=15,MID(AN583,3,10)&lt;&gt;AO583),"PAN does not match GSTIN; ","")&amp;IF(AND(AL583&lt;&gt;"",AL583&lt;&gt;"OK"),"TAN wrong format; ","")&amp;IF(AG583="","PAN missing; ","")&amp;IF(AP583="","Entity type missing; ","")&amp;IF(AND(AN583&lt;&gt;"",COUNTIF($AN$6:$AN$1005,AN583)&gt;1),"GSTIN repeated in this sheet; ","")&amp;IF(AND(AG583&lt;&gt;"",COUNTIF($AG$6:$AG$1005,AG583)&gt;1),"PAN repeated in this sheet (same client? put extra GSTINs in Other GSTINs); ","")&amp;IF(AND(AR583&gt;0,V583=""),"Financial year missing; ","")&amp;IF(AND(AR583=0,V583&lt;&gt;""),"Financial year given but no service is Yes; ","")&amp;IF(AND(W583="Yes",AN583=""),"GST needs a GSTIN; ","")&amp;IF(AND(W583="Yes",X583=""),"GST return frequency missing; ","")&amp;IF(AND(Y583="Yes",TRIM(H583)=""),"TDS needs a TAN; ","")&amp;IF(AND(AA583="Yes",AQ583&lt;&gt;"",AQ583&lt;&gt;"company",AQ583&lt;&gt;"llp"),"ROC is only for a company / LLP; ","")&amp;IF(AND(AA583="Yes",OR(AQ583="company",AQ583="llp"),TRIM(I583)=""),"ROC needs the CIN / LLPIN; ","")</f>
        <v/>
      </c>
    </row>
    <row r="584">
      <c r="A584" s="30" t="n"/>
      <c r="B584" s="31" t="n"/>
      <c r="C584" s="31" t="n"/>
      <c r="D584" s="31" t="n"/>
      <c r="E584" s="30" t="n"/>
      <c r="F584" s="30" t="n"/>
      <c r="G584" s="30" t="n"/>
      <c r="H584" s="30" t="n"/>
      <c r="I584" s="30" t="n"/>
      <c r="J584" s="32" t="n"/>
      <c r="K584" s="31" t="n"/>
      <c r="L584" s="30" t="n"/>
      <c r="M584" s="31" t="n"/>
      <c r="N584" s="31" t="n"/>
      <c r="O584" s="31" t="n"/>
      <c r="P584" s="30" t="n"/>
      <c r="Q584" s="31" t="n"/>
      <c r="R584" s="31" t="n"/>
      <c r="S584" s="31" t="n"/>
      <c r="T584" s="31" t="n"/>
      <c r="U584" s="30" t="n"/>
      <c r="V584" s="31" t="n"/>
      <c r="W584" s="31" t="n"/>
      <c r="X584" s="31" t="n"/>
      <c r="Y584" s="31" t="n"/>
      <c r="Z584" s="31" t="n"/>
      <c r="AA584" s="31" t="n"/>
      <c r="AB584" s="31" t="n"/>
      <c r="AC584" s="31" t="n"/>
      <c r="AD584" s="31" t="n"/>
      <c r="AE584" s="31" t="n"/>
      <c r="AF584" s="27">
        <f>IF(NOT(COUNTA(A584:AE584)&gt;0),"",IF(A584="","New client","Update"))</f>
        <v/>
      </c>
      <c r="AG584" s="27">
        <f>IF(AO584&lt;&gt;"",AO584,IF(LEN(AN584)=15,MID(AN584,3,10),""))</f>
        <v/>
      </c>
      <c r="AH584" s="27">
        <f>IF(AP584="","",AP584&amp;IF(D584="","  (guessed from PAN)",""))</f>
        <v/>
      </c>
      <c r="AI584" s="27">
        <f>IF(AN584="","",IFERROR(INDEX(Lists!$L$2:$L$38,MATCH(LEFT(AN584,2),Lists!$K$2:$K$38,0)),"Unknown code"))</f>
        <v/>
      </c>
      <c r="AJ584" s="27">
        <f>IF(AN584="","",IFERROR(IF(NOT(AND(LEN(AN584)=15,ISNUMBER(MATCH(LEFT(AN584,2),Lists!$K$2:$K$38,0)),SUMPRODUCT(--ISERROR(FIND(MID(MID(AN584,3,10),{1,2,3,4,5,10},1),"ABCDEFGHIJKLMNOPQRSTUVWXYZ")))=0,SUMPRODUCT(--ISERROR(FIND(MID(MID(AN584,3,10),{6,7,8,9},1),"0123456789")))=0,ISNUMBER(FIND(MID(AN584,13,1),"123456789ABCDEFGHIJKLMNOPQRSTUVWXYZ")),MID(AN584,14,1)="Z")),"Wrong format",IF(MID("0123456789ABCDEFGHIJKLMNOPQRSTUVWXYZ",MOD(36-MOD(SUMPRODUCT(INT((FIND(MID(AN584,{1,2,3,4,5,6,7,8,9,10,11,12,13,14},1),"0123456789ABCDEFGHIJKLMNOPQRSTUVWXYZ")-1)*{1,2,1,2,1,2,1,2,1,2,1,2,1,2}/36)+MOD((FIND(MID(AN584,{1,2,3,4,5,6,7,8,9,10,11,12,13,14},1),"0123456789ABCDEFGHIJKLMNOPQRSTUVWXYZ")-1)*{1,2,1,2,1,2,1,2,1,2,1,2,1,2},36)),36),36)+1,1)=MID(AN584,15,1),"OK","Typo? check digit wrong")),"Wrong format"))</f>
        <v/>
      </c>
      <c r="AK584" s="27">
        <f>IF(AO584="","",IF(AND(LEN(AO584)=10,SUMPRODUCT(--ISERROR(FIND(MID(AO584,{1,2,3,4,5,10},1),"ABCDEFGHIJKLMNOPQRSTUVWXYZ")))=0,SUMPRODUCT(--ISERROR(FIND(MID(AO584,{6,7,8,9},1),"0123456789")))=0),"OK","Wrong format"))</f>
        <v/>
      </c>
      <c r="AL584" s="27">
        <f>IF(TRIM(H584)="","",IF(AND(LEN(UPPER(TRIM(H584)))=10,SUMPRODUCT(--ISERROR(FIND(MID(UPPER(TRIM(H584)),{1,2,3,4,10},1),"ABCDEFGHIJKLMNOPQRSTUVWXYZ")))=0,SUMPRODUCT(--ISERROR(FIND(MID(UPPER(TRIM(H584)),{5,6,7,8,9},1),"0123456789")))=0),"OK","Wrong format"))</f>
        <v/>
      </c>
      <c r="AM584" s="28">
        <f>IF(NOT(COUNTA(A584:AE584)&gt;0),"",IF(AS584&lt;&gt;"","✖ "&amp;LEFT(AS584,LEN(AS584)-2),IF(AR584&gt;0,"✔ Ready — client + "&amp;AR584&amp;" service(s)","✔ Ready — client only")))</f>
        <v/>
      </c>
      <c r="AN584" s="29">
        <f>UPPER(SUBSTITUTE(TRIM(F584)," ",""))</f>
        <v/>
      </c>
      <c r="AO584" s="29">
        <f>UPPER(SUBSTITUTE(TRIM(E584)," ",""))</f>
        <v/>
      </c>
      <c r="AP584" s="29">
        <f>IF(D584&lt;&gt;"",D584,IFERROR(VLOOKUP(MID(AG584,4,1),Lists!$E$2:$F$8,2,FALSE),""))</f>
        <v/>
      </c>
      <c r="AQ584" s="29">
        <f>IFERROR(VLOOKUP(AP584,Lists!$A$2:$C$12,3,FALSE),"")</f>
        <v/>
      </c>
      <c r="AR584" s="29">
        <f>COUNTIF(W584:AC584,"Yes")</f>
        <v/>
      </c>
      <c r="AS584" s="29">
        <f>IF(TRIM(B584)="","Legal name missing; ","")&amp;IF(AND(AJ584&lt;&gt;"",AJ584&lt;&gt;"OK"),"GSTIN: "&amp;AJ584&amp;"; ","")&amp;IF(AND(AK584&lt;&gt;"",AK584&lt;&gt;"OK"),"PAN wrong format; ","")&amp;IF(AND(AO584&lt;&gt;"",LEN(AN584)=15,MID(AN584,3,10)&lt;&gt;AO584),"PAN does not match GSTIN; ","")&amp;IF(AND(AL584&lt;&gt;"",AL584&lt;&gt;"OK"),"TAN wrong format; ","")&amp;IF(AG584="","PAN missing; ","")&amp;IF(AP584="","Entity type missing; ","")&amp;IF(AND(AN584&lt;&gt;"",COUNTIF($AN$6:$AN$1005,AN584)&gt;1),"GSTIN repeated in this sheet; ","")&amp;IF(AND(AG584&lt;&gt;"",COUNTIF($AG$6:$AG$1005,AG584)&gt;1),"PAN repeated in this sheet (same client? put extra GSTINs in Other GSTINs); ","")&amp;IF(AND(AR584&gt;0,V584=""),"Financial year missing; ","")&amp;IF(AND(AR584=0,V584&lt;&gt;""),"Financial year given but no service is Yes; ","")&amp;IF(AND(W584="Yes",AN584=""),"GST needs a GSTIN; ","")&amp;IF(AND(W584="Yes",X584=""),"GST return frequency missing; ","")&amp;IF(AND(Y584="Yes",TRIM(H584)=""),"TDS needs a TAN; ","")&amp;IF(AND(AA584="Yes",AQ584&lt;&gt;"",AQ584&lt;&gt;"company",AQ584&lt;&gt;"llp"),"ROC is only for a company / LLP; ","")&amp;IF(AND(AA584="Yes",OR(AQ584="company",AQ584="llp"),TRIM(I584)=""),"ROC needs the CIN / LLPIN; ","")</f>
        <v/>
      </c>
    </row>
    <row r="585">
      <c r="A585" s="30" t="n"/>
      <c r="B585" s="31" t="n"/>
      <c r="C585" s="31" t="n"/>
      <c r="D585" s="31" t="n"/>
      <c r="E585" s="30" t="n"/>
      <c r="F585" s="30" t="n"/>
      <c r="G585" s="30" t="n"/>
      <c r="H585" s="30" t="n"/>
      <c r="I585" s="30" t="n"/>
      <c r="J585" s="32" t="n"/>
      <c r="K585" s="31" t="n"/>
      <c r="L585" s="30" t="n"/>
      <c r="M585" s="31" t="n"/>
      <c r="N585" s="31" t="n"/>
      <c r="O585" s="31" t="n"/>
      <c r="P585" s="30" t="n"/>
      <c r="Q585" s="31" t="n"/>
      <c r="R585" s="31" t="n"/>
      <c r="S585" s="31" t="n"/>
      <c r="T585" s="31" t="n"/>
      <c r="U585" s="30" t="n"/>
      <c r="V585" s="31" t="n"/>
      <c r="W585" s="31" t="n"/>
      <c r="X585" s="31" t="n"/>
      <c r="Y585" s="31" t="n"/>
      <c r="Z585" s="31" t="n"/>
      <c r="AA585" s="31" t="n"/>
      <c r="AB585" s="31" t="n"/>
      <c r="AC585" s="31" t="n"/>
      <c r="AD585" s="31" t="n"/>
      <c r="AE585" s="31" t="n"/>
      <c r="AF585" s="27">
        <f>IF(NOT(COUNTA(A585:AE585)&gt;0),"",IF(A585="","New client","Update"))</f>
        <v/>
      </c>
      <c r="AG585" s="27">
        <f>IF(AO585&lt;&gt;"",AO585,IF(LEN(AN585)=15,MID(AN585,3,10),""))</f>
        <v/>
      </c>
      <c r="AH585" s="27">
        <f>IF(AP585="","",AP585&amp;IF(D585="","  (guessed from PAN)",""))</f>
        <v/>
      </c>
      <c r="AI585" s="27">
        <f>IF(AN585="","",IFERROR(INDEX(Lists!$L$2:$L$38,MATCH(LEFT(AN585,2),Lists!$K$2:$K$38,0)),"Unknown code"))</f>
        <v/>
      </c>
      <c r="AJ585" s="27">
        <f>IF(AN585="","",IFERROR(IF(NOT(AND(LEN(AN585)=15,ISNUMBER(MATCH(LEFT(AN585,2),Lists!$K$2:$K$38,0)),SUMPRODUCT(--ISERROR(FIND(MID(MID(AN585,3,10),{1,2,3,4,5,10},1),"ABCDEFGHIJKLMNOPQRSTUVWXYZ")))=0,SUMPRODUCT(--ISERROR(FIND(MID(MID(AN585,3,10),{6,7,8,9},1),"0123456789")))=0,ISNUMBER(FIND(MID(AN585,13,1),"123456789ABCDEFGHIJKLMNOPQRSTUVWXYZ")),MID(AN585,14,1)="Z")),"Wrong format",IF(MID("0123456789ABCDEFGHIJKLMNOPQRSTUVWXYZ",MOD(36-MOD(SUMPRODUCT(INT((FIND(MID(AN585,{1,2,3,4,5,6,7,8,9,10,11,12,13,14},1),"0123456789ABCDEFGHIJKLMNOPQRSTUVWXYZ")-1)*{1,2,1,2,1,2,1,2,1,2,1,2,1,2}/36)+MOD((FIND(MID(AN585,{1,2,3,4,5,6,7,8,9,10,11,12,13,14},1),"0123456789ABCDEFGHIJKLMNOPQRSTUVWXYZ")-1)*{1,2,1,2,1,2,1,2,1,2,1,2,1,2},36)),36),36)+1,1)=MID(AN585,15,1),"OK","Typo? check digit wrong")),"Wrong format"))</f>
        <v/>
      </c>
      <c r="AK585" s="27">
        <f>IF(AO585="","",IF(AND(LEN(AO585)=10,SUMPRODUCT(--ISERROR(FIND(MID(AO585,{1,2,3,4,5,10},1),"ABCDEFGHIJKLMNOPQRSTUVWXYZ")))=0,SUMPRODUCT(--ISERROR(FIND(MID(AO585,{6,7,8,9},1),"0123456789")))=0),"OK","Wrong format"))</f>
        <v/>
      </c>
      <c r="AL585" s="27">
        <f>IF(TRIM(H585)="","",IF(AND(LEN(UPPER(TRIM(H585)))=10,SUMPRODUCT(--ISERROR(FIND(MID(UPPER(TRIM(H585)),{1,2,3,4,10},1),"ABCDEFGHIJKLMNOPQRSTUVWXYZ")))=0,SUMPRODUCT(--ISERROR(FIND(MID(UPPER(TRIM(H585)),{5,6,7,8,9},1),"0123456789")))=0),"OK","Wrong format"))</f>
        <v/>
      </c>
      <c r="AM585" s="28">
        <f>IF(NOT(COUNTA(A585:AE585)&gt;0),"",IF(AS585&lt;&gt;"","✖ "&amp;LEFT(AS585,LEN(AS585)-2),IF(AR585&gt;0,"✔ Ready — client + "&amp;AR585&amp;" service(s)","✔ Ready — client only")))</f>
        <v/>
      </c>
      <c r="AN585" s="29">
        <f>UPPER(SUBSTITUTE(TRIM(F585)," ",""))</f>
        <v/>
      </c>
      <c r="AO585" s="29">
        <f>UPPER(SUBSTITUTE(TRIM(E585)," ",""))</f>
        <v/>
      </c>
      <c r="AP585" s="29">
        <f>IF(D585&lt;&gt;"",D585,IFERROR(VLOOKUP(MID(AG585,4,1),Lists!$E$2:$F$8,2,FALSE),""))</f>
        <v/>
      </c>
      <c r="AQ585" s="29">
        <f>IFERROR(VLOOKUP(AP585,Lists!$A$2:$C$12,3,FALSE),"")</f>
        <v/>
      </c>
      <c r="AR585" s="29">
        <f>COUNTIF(W585:AC585,"Yes")</f>
        <v/>
      </c>
      <c r="AS585" s="29">
        <f>IF(TRIM(B585)="","Legal name missing; ","")&amp;IF(AND(AJ585&lt;&gt;"",AJ585&lt;&gt;"OK"),"GSTIN: "&amp;AJ585&amp;"; ","")&amp;IF(AND(AK585&lt;&gt;"",AK585&lt;&gt;"OK"),"PAN wrong format; ","")&amp;IF(AND(AO585&lt;&gt;"",LEN(AN585)=15,MID(AN585,3,10)&lt;&gt;AO585),"PAN does not match GSTIN; ","")&amp;IF(AND(AL585&lt;&gt;"",AL585&lt;&gt;"OK"),"TAN wrong format; ","")&amp;IF(AG585="","PAN missing; ","")&amp;IF(AP585="","Entity type missing; ","")&amp;IF(AND(AN585&lt;&gt;"",COUNTIF($AN$6:$AN$1005,AN585)&gt;1),"GSTIN repeated in this sheet; ","")&amp;IF(AND(AG585&lt;&gt;"",COUNTIF($AG$6:$AG$1005,AG585)&gt;1),"PAN repeated in this sheet (same client? put extra GSTINs in Other GSTINs); ","")&amp;IF(AND(AR585&gt;0,V585=""),"Financial year missing; ","")&amp;IF(AND(AR585=0,V585&lt;&gt;""),"Financial year given but no service is Yes; ","")&amp;IF(AND(W585="Yes",AN585=""),"GST needs a GSTIN; ","")&amp;IF(AND(W585="Yes",X585=""),"GST return frequency missing; ","")&amp;IF(AND(Y585="Yes",TRIM(H585)=""),"TDS needs a TAN; ","")&amp;IF(AND(AA585="Yes",AQ585&lt;&gt;"",AQ585&lt;&gt;"company",AQ585&lt;&gt;"llp"),"ROC is only for a company / LLP; ","")&amp;IF(AND(AA585="Yes",OR(AQ585="company",AQ585="llp"),TRIM(I585)=""),"ROC needs the CIN / LLPIN; ","")</f>
        <v/>
      </c>
    </row>
    <row r="586">
      <c r="A586" s="30" t="n"/>
      <c r="B586" s="31" t="n"/>
      <c r="C586" s="31" t="n"/>
      <c r="D586" s="31" t="n"/>
      <c r="E586" s="30" t="n"/>
      <c r="F586" s="30" t="n"/>
      <c r="G586" s="30" t="n"/>
      <c r="H586" s="30" t="n"/>
      <c r="I586" s="30" t="n"/>
      <c r="J586" s="32" t="n"/>
      <c r="K586" s="31" t="n"/>
      <c r="L586" s="30" t="n"/>
      <c r="M586" s="31" t="n"/>
      <c r="N586" s="31" t="n"/>
      <c r="O586" s="31" t="n"/>
      <c r="P586" s="30" t="n"/>
      <c r="Q586" s="31" t="n"/>
      <c r="R586" s="31" t="n"/>
      <c r="S586" s="31" t="n"/>
      <c r="T586" s="31" t="n"/>
      <c r="U586" s="30" t="n"/>
      <c r="V586" s="31" t="n"/>
      <c r="W586" s="31" t="n"/>
      <c r="X586" s="31" t="n"/>
      <c r="Y586" s="31" t="n"/>
      <c r="Z586" s="31" t="n"/>
      <c r="AA586" s="31" t="n"/>
      <c r="AB586" s="31" t="n"/>
      <c r="AC586" s="31" t="n"/>
      <c r="AD586" s="31" t="n"/>
      <c r="AE586" s="31" t="n"/>
      <c r="AF586" s="27">
        <f>IF(NOT(COUNTA(A586:AE586)&gt;0),"",IF(A586="","New client","Update"))</f>
        <v/>
      </c>
      <c r="AG586" s="27">
        <f>IF(AO586&lt;&gt;"",AO586,IF(LEN(AN586)=15,MID(AN586,3,10),""))</f>
        <v/>
      </c>
      <c r="AH586" s="27">
        <f>IF(AP586="","",AP586&amp;IF(D586="","  (guessed from PAN)",""))</f>
        <v/>
      </c>
      <c r="AI586" s="27">
        <f>IF(AN586="","",IFERROR(INDEX(Lists!$L$2:$L$38,MATCH(LEFT(AN586,2),Lists!$K$2:$K$38,0)),"Unknown code"))</f>
        <v/>
      </c>
      <c r="AJ586" s="27">
        <f>IF(AN586="","",IFERROR(IF(NOT(AND(LEN(AN586)=15,ISNUMBER(MATCH(LEFT(AN586,2),Lists!$K$2:$K$38,0)),SUMPRODUCT(--ISERROR(FIND(MID(MID(AN586,3,10),{1,2,3,4,5,10},1),"ABCDEFGHIJKLMNOPQRSTUVWXYZ")))=0,SUMPRODUCT(--ISERROR(FIND(MID(MID(AN586,3,10),{6,7,8,9},1),"0123456789")))=0,ISNUMBER(FIND(MID(AN586,13,1),"123456789ABCDEFGHIJKLMNOPQRSTUVWXYZ")),MID(AN586,14,1)="Z")),"Wrong format",IF(MID("0123456789ABCDEFGHIJKLMNOPQRSTUVWXYZ",MOD(36-MOD(SUMPRODUCT(INT((FIND(MID(AN586,{1,2,3,4,5,6,7,8,9,10,11,12,13,14},1),"0123456789ABCDEFGHIJKLMNOPQRSTUVWXYZ")-1)*{1,2,1,2,1,2,1,2,1,2,1,2,1,2}/36)+MOD((FIND(MID(AN586,{1,2,3,4,5,6,7,8,9,10,11,12,13,14},1),"0123456789ABCDEFGHIJKLMNOPQRSTUVWXYZ")-1)*{1,2,1,2,1,2,1,2,1,2,1,2,1,2},36)),36),36)+1,1)=MID(AN586,15,1),"OK","Typo? check digit wrong")),"Wrong format"))</f>
        <v/>
      </c>
      <c r="AK586" s="27">
        <f>IF(AO586="","",IF(AND(LEN(AO586)=10,SUMPRODUCT(--ISERROR(FIND(MID(AO586,{1,2,3,4,5,10},1),"ABCDEFGHIJKLMNOPQRSTUVWXYZ")))=0,SUMPRODUCT(--ISERROR(FIND(MID(AO586,{6,7,8,9},1),"0123456789")))=0),"OK","Wrong format"))</f>
        <v/>
      </c>
      <c r="AL586" s="27">
        <f>IF(TRIM(H586)="","",IF(AND(LEN(UPPER(TRIM(H586)))=10,SUMPRODUCT(--ISERROR(FIND(MID(UPPER(TRIM(H586)),{1,2,3,4,10},1),"ABCDEFGHIJKLMNOPQRSTUVWXYZ")))=0,SUMPRODUCT(--ISERROR(FIND(MID(UPPER(TRIM(H586)),{5,6,7,8,9},1),"0123456789")))=0),"OK","Wrong format"))</f>
        <v/>
      </c>
      <c r="AM586" s="28">
        <f>IF(NOT(COUNTA(A586:AE586)&gt;0),"",IF(AS586&lt;&gt;"","✖ "&amp;LEFT(AS586,LEN(AS586)-2),IF(AR586&gt;0,"✔ Ready — client + "&amp;AR586&amp;" service(s)","✔ Ready — client only")))</f>
        <v/>
      </c>
      <c r="AN586" s="29">
        <f>UPPER(SUBSTITUTE(TRIM(F586)," ",""))</f>
        <v/>
      </c>
      <c r="AO586" s="29">
        <f>UPPER(SUBSTITUTE(TRIM(E586)," ",""))</f>
        <v/>
      </c>
      <c r="AP586" s="29">
        <f>IF(D586&lt;&gt;"",D586,IFERROR(VLOOKUP(MID(AG586,4,1),Lists!$E$2:$F$8,2,FALSE),""))</f>
        <v/>
      </c>
      <c r="AQ586" s="29">
        <f>IFERROR(VLOOKUP(AP586,Lists!$A$2:$C$12,3,FALSE),"")</f>
        <v/>
      </c>
      <c r="AR586" s="29">
        <f>COUNTIF(W586:AC586,"Yes")</f>
        <v/>
      </c>
      <c r="AS586" s="29">
        <f>IF(TRIM(B586)="","Legal name missing; ","")&amp;IF(AND(AJ586&lt;&gt;"",AJ586&lt;&gt;"OK"),"GSTIN: "&amp;AJ586&amp;"; ","")&amp;IF(AND(AK586&lt;&gt;"",AK586&lt;&gt;"OK"),"PAN wrong format; ","")&amp;IF(AND(AO586&lt;&gt;"",LEN(AN586)=15,MID(AN586,3,10)&lt;&gt;AO586),"PAN does not match GSTIN; ","")&amp;IF(AND(AL586&lt;&gt;"",AL586&lt;&gt;"OK"),"TAN wrong format; ","")&amp;IF(AG586="","PAN missing; ","")&amp;IF(AP586="","Entity type missing; ","")&amp;IF(AND(AN586&lt;&gt;"",COUNTIF($AN$6:$AN$1005,AN586)&gt;1),"GSTIN repeated in this sheet; ","")&amp;IF(AND(AG586&lt;&gt;"",COUNTIF($AG$6:$AG$1005,AG586)&gt;1),"PAN repeated in this sheet (same client? put extra GSTINs in Other GSTINs); ","")&amp;IF(AND(AR586&gt;0,V586=""),"Financial year missing; ","")&amp;IF(AND(AR586=0,V586&lt;&gt;""),"Financial year given but no service is Yes; ","")&amp;IF(AND(W586="Yes",AN586=""),"GST needs a GSTIN; ","")&amp;IF(AND(W586="Yes",X586=""),"GST return frequency missing; ","")&amp;IF(AND(Y586="Yes",TRIM(H586)=""),"TDS needs a TAN; ","")&amp;IF(AND(AA586="Yes",AQ586&lt;&gt;"",AQ586&lt;&gt;"company",AQ586&lt;&gt;"llp"),"ROC is only for a company / LLP; ","")&amp;IF(AND(AA586="Yes",OR(AQ586="company",AQ586="llp"),TRIM(I586)=""),"ROC needs the CIN / LLPIN; ","")</f>
        <v/>
      </c>
    </row>
    <row r="587">
      <c r="A587" s="30" t="n"/>
      <c r="B587" s="31" t="n"/>
      <c r="C587" s="31" t="n"/>
      <c r="D587" s="31" t="n"/>
      <c r="E587" s="30" t="n"/>
      <c r="F587" s="30" t="n"/>
      <c r="G587" s="30" t="n"/>
      <c r="H587" s="30" t="n"/>
      <c r="I587" s="30" t="n"/>
      <c r="J587" s="32" t="n"/>
      <c r="K587" s="31" t="n"/>
      <c r="L587" s="30" t="n"/>
      <c r="M587" s="31" t="n"/>
      <c r="N587" s="31" t="n"/>
      <c r="O587" s="31" t="n"/>
      <c r="P587" s="30" t="n"/>
      <c r="Q587" s="31" t="n"/>
      <c r="R587" s="31" t="n"/>
      <c r="S587" s="31" t="n"/>
      <c r="T587" s="31" t="n"/>
      <c r="U587" s="30" t="n"/>
      <c r="V587" s="31" t="n"/>
      <c r="W587" s="31" t="n"/>
      <c r="X587" s="31" t="n"/>
      <c r="Y587" s="31" t="n"/>
      <c r="Z587" s="31" t="n"/>
      <c r="AA587" s="31" t="n"/>
      <c r="AB587" s="31" t="n"/>
      <c r="AC587" s="31" t="n"/>
      <c r="AD587" s="31" t="n"/>
      <c r="AE587" s="31" t="n"/>
      <c r="AF587" s="27">
        <f>IF(NOT(COUNTA(A587:AE587)&gt;0),"",IF(A587="","New client","Update"))</f>
        <v/>
      </c>
      <c r="AG587" s="27">
        <f>IF(AO587&lt;&gt;"",AO587,IF(LEN(AN587)=15,MID(AN587,3,10),""))</f>
        <v/>
      </c>
      <c r="AH587" s="27">
        <f>IF(AP587="","",AP587&amp;IF(D587="","  (guessed from PAN)",""))</f>
        <v/>
      </c>
      <c r="AI587" s="27">
        <f>IF(AN587="","",IFERROR(INDEX(Lists!$L$2:$L$38,MATCH(LEFT(AN587,2),Lists!$K$2:$K$38,0)),"Unknown code"))</f>
        <v/>
      </c>
      <c r="AJ587" s="27">
        <f>IF(AN587="","",IFERROR(IF(NOT(AND(LEN(AN587)=15,ISNUMBER(MATCH(LEFT(AN587,2),Lists!$K$2:$K$38,0)),SUMPRODUCT(--ISERROR(FIND(MID(MID(AN587,3,10),{1,2,3,4,5,10},1),"ABCDEFGHIJKLMNOPQRSTUVWXYZ")))=0,SUMPRODUCT(--ISERROR(FIND(MID(MID(AN587,3,10),{6,7,8,9},1),"0123456789")))=0,ISNUMBER(FIND(MID(AN587,13,1),"123456789ABCDEFGHIJKLMNOPQRSTUVWXYZ")),MID(AN587,14,1)="Z")),"Wrong format",IF(MID("0123456789ABCDEFGHIJKLMNOPQRSTUVWXYZ",MOD(36-MOD(SUMPRODUCT(INT((FIND(MID(AN587,{1,2,3,4,5,6,7,8,9,10,11,12,13,14},1),"0123456789ABCDEFGHIJKLMNOPQRSTUVWXYZ")-1)*{1,2,1,2,1,2,1,2,1,2,1,2,1,2}/36)+MOD((FIND(MID(AN587,{1,2,3,4,5,6,7,8,9,10,11,12,13,14},1),"0123456789ABCDEFGHIJKLMNOPQRSTUVWXYZ")-1)*{1,2,1,2,1,2,1,2,1,2,1,2,1,2},36)),36),36)+1,1)=MID(AN587,15,1),"OK","Typo? check digit wrong")),"Wrong format"))</f>
        <v/>
      </c>
      <c r="AK587" s="27">
        <f>IF(AO587="","",IF(AND(LEN(AO587)=10,SUMPRODUCT(--ISERROR(FIND(MID(AO587,{1,2,3,4,5,10},1),"ABCDEFGHIJKLMNOPQRSTUVWXYZ")))=0,SUMPRODUCT(--ISERROR(FIND(MID(AO587,{6,7,8,9},1),"0123456789")))=0),"OK","Wrong format"))</f>
        <v/>
      </c>
      <c r="AL587" s="27">
        <f>IF(TRIM(H587)="","",IF(AND(LEN(UPPER(TRIM(H587)))=10,SUMPRODUCT(--ISERROR(FIND(MID(UPPER(TRIM(H587)),{1,2,3,4,10},1),"ABCDEFGHIJKLMNOPQRSTUVWXYZ")))=0,SUMPRODUCT(--ISERROR(FIND(MID(UPPER(TRIM(H587)),{5,6,7,8,9},1),"0123456789")))=0),"OK","Wrong format"))</f>
        <v/>
      </c>
      <c r="AM587" s="28">
        <f>IF(NOT(COUNTA(A587:AE587)&gt;0),"",IF(AS587&lt;&gt;"","✖ "&amp;LEFT(AS587,LEN(AS587)-2),IF(AR587&gt;0,"✔ Ready — client + "&amp;AR587&amp;" service(s)","✔ Ready — client only")))</f>
        <v/>
      </c>
      <c r="AN587" s="29">
        <f>UPPER(SUBSTITUTE(TRIM(F587)," ",""))</f>
        <v/>
      </c>
      <c r="AO587" s="29">
        <f>UPPER(SUBSTITUTE(TRIM(E587)," ",""))</f>
        <v/>
      </c>
      <c r="AP587" s="29">
        <f>IF(D587&lt;&gt;"",D587,IFERROR(VLOOKUP(MID(AG587,4,1),Lists!$E$2:$F$8,2,FALSE),""))</f>
        <v/>
      </c>
      <c r="AQ587" s="29">
        <f>IFERROR(VLOOKUP(AP587,Lists!$A$2:$C$12,3,FALSE),"")</f>
        <v/>
      </c>
      <c r="AR587" s="29">
        <f>COUNTIF(W587:AC587,"Yes")</f>
        <v/>
      </c>
      <c r="AS587" s="29">
        <f>IF(TRIM(B587)="","Legal name missing; ","")&amp;IF(AND(AJ587&lt;&gt;"",AJ587&lt;&gt;"OK"),"GSTIN: "&amp;AJ587&amp;"; ","")&amp;IF(AND(AK587&lt;&gt;"",AK587&lt;&gt;"OK"),"PAN wrong format; ","")&amp;IF(AND(AO587&lt;&gt;"",LEN(AN587)=15,MID(AN587,3,10)&lt;&gt;AO587),"PAN does not match GSTIN; ","")&amp;IF(AND(AL587&lt;&gt;"",AL587&lt;&gt;"OK"),"TAN wrong format; ","")&amp;IF(AG587="","PAN missing; ","")&amp;IF(AP587="","Entity type missing; ","")&amp;IF(AND(AN587&lt;&gt;"",COUNTIF($AN$6:$AN$1005,AN587)&gt;1),"GSTIN repeated in this sheet; ","")&amp;IF(AND(AG587&lt;&gt;"",COUNTIF($AG$6:$AG$1005,AG587)&gt;1),"PAN repeated in this sheet (same client? put extra GSTINs in Other GSTINs); ","")&amp;IF(AND(AR587&gt;0,V587=""),"Financial year missing; ","")&amp;IF(AND(AR587=0,V587&lt;&gt;""),"Financial year given but no service is Yes; ","")&amp;IF(AND(W587="Yes",AN587=""),"GST needs a GSTIN; ","")&amp;IF(AND(W587="Yes",X587=""),"GST return frequency missing; ","")&amp;IF(AND(Y587="Yes",TRIM(H587)=""),"TDS needs a TAN; ","")&amp;IF(AND(AA587="Yes",AQ587&lt;&gt;"",AQ587&lt;&gt;"company",AQ587&lt;&gt;"llp"),"ROC is only for a company / LLP; ","")&amp;IF(AND(AA587="Yes",OR(AQ587="company",AQ587="llp"),TRIM(I587)=""),"ROC needs the CIN / LLPIN; ","")</f>
        <v/>
      </c>
    </row>
    <row r="588">
      <c r="A588" s="30" t="n"/>
      <c r="B588" s="31" t="n"/>
      <c r="C588" s="31" t="n"/>
      <c r="D588" s="31" t="n"/>
      <c r="E588" s="30" t="n"/>
      <c r="F588" s="30" t="n"/>
      <c r="G588" s="30" t="n"/>
      <c r="H588" s="30" t="n"/>
      <c r="I588" s="30" t="n"/>
      <c r="J588" s="32" t="n"/>
      <c r="K588" s="31" t="n"/>
      <c r="L588" s="30" t="n"/>
      <c r="M588" s="31" t="n"/>
      <c r="N588" s="31" t="n"/>
      <c r="O588" s="31" t="n"/>
      <c r="P588" s="30" t="n"/>
      <c r="Q588" s="31" t="n"/>
      <c r="R588" s="31" t="n"/>
      <c r="S588" s="31" t="n"/>
      <c r="T588" s="31" t="n"/>
      <c r="U588" s="30" t="n"/>
      <c r="V588" s="31" t="n"/>
      <c r="W588" s="31" t="n"/>
      <c r="X588" s="31" t="n"/>
      <c r="Y588" s="31" t="n"/>
      <c r="Z588" s="31" t="n"/>
      <c r="AA588" s="31" t="n"/>
      <c r="AB588" s="31" t="n"/>
      <c r="AC588" s="31" t="n"/>
      <c r="AD588" s="31" t="n"/>
      <c r="AE588" s="31" t="n"/>
      <c r="AF588" s="27">
        <f>IF(NOT(COUNTA(A588:AE588)&gt;0),"",IF(A588="","New client","Update"))</f>
        <v/>
      </c>
      <c r="AG588" s="27">
        <f>IF(AO588&lt;&gt;"",AO588,IF(LEN(AN588)=15,MID(AN588,3,10),""))</f>
        <v/>
      </c>
      <c r="AH588" s="27">
        <f>IF(AP588="","",AP588&amp;IF(D588="","  (guessed from PAN)",""))</f>
        <v/>
      </c>
      <c r="AI588" s="27">
        <f>IF(AN588="","",IFERROR(INDEX(Lists!$L$2:$L$38,MATCH(LEFT(AN588,2),Lists!$K$2:$K$38,0)),"Unknown code"))</f>
        <v/>
      </c>
      <c r="AJ588" s="27">
        <f>IF(AN588="","",IFERROR(IF(NOT(AND(LEN(AN588)=15,ISNUMBER(MATCH(LEFT(AN588,2),Lists!$K$2:$K$38,0)),SUMPRODUCT(--ISERROR(FIND(MID(MID(AN588,3,10),{1,2,3,4,5,10},1),"ABCDEFGHIJKLMNOPQRSTUVWXYZ")))=0,SUMPRODUCT(--ISERROR(FIND(MID(MID(AN588,3,10),{6,7,8,9},1),"0123456789")))=0,ISNUMBER(FIND(MID(AN588,13,1),"123456789ABCDEFGHIJKLMNOPQRSTUVWXYZ")),MID(AN588,14,1)="Z")),"Wrong format",IF(MID("0123456789ABCDEFGHIJKLMNOPQRSTUVWXYZ",MOD(36-MOD(SUMPRODUCT(INT((FIND(MID(AN588,{1,2,3,4,5,6,7,8,9,10,11,12,13,14},1),"0123456789ABCDEFGHIJKLMNOPQRSTUVWXYZ")-1)*{1,2,1,2,1,2,1,2,1,2,1,2,1,2}/36)+MOD((FIND(MID(AN588,{1,2,3,4,5,6,7,8,9,10,11,12,13,14},1),"0123456789ABCDEFGHIJKLMNOPQRSTUVWXYZ")-1)*{1,2,1,2,1,2,1,2,1,2,1,2,1,2},36)),36),36)+1,1)=MID(AN588,15,1),"OK","Typo? check digit wrong")),"Wrong format"))</f>
        <v/>
      </c>
      <c r="AK588" s="27">
        <f>IF(AO588="","",IF(AND(LEN(AO588)=10,SUMPRODUCT(--ISERROR(FIND(MID(AO588,{1,2,3,4,5,10},1),"ABCDEFGHIJKLMNOPQRSTUVWXYZ")))=0,SUMPRODUCT(--ISERROR(FIND(MID(AO588,{6,7,8,9},1),"0123456789")))=0),"OK","Wrong format"))</f>
        <v/>
      </c>
      <c r="AL588" s="27">
        <f>IF(TRIM(H588)="","",IF(AND(LEN(UPPER(TRIM(H588)))=10,SUMPRODUCT(--ISERROR(FIND(MID(UPPER(TRIM(H588)),{1,2,3,4,10},1),"ABCDEFGHIJKLMNOPQRSTUVWXYZ")))=0,SUMPRODUCT(--ISERROR(FIND(MID(UPPER(TRIM(H588)),{5,6,7,8,9},1),"0123456789")))=0),"OK","Wrong format"))</f>
        <v/>
      </c>
      <c r="AM588" s="28">
        <f>IF(NOT(COUNTA(A588:AE588)&gt;0),"",IF(AS588&lt;&gt;"","✖ "&amp;LEFT(AS588,LEN(AS588)-2),IF(AR588&gt;0,"✔ Ready — client + "&amp;AR588&amp;" service(s)","✔ Ready — client only")))</f>
        <v/>
      </c>
      <c r="AN588" s="29">
        <f>UPPER(SUBSTITUTE(TRIM(F588)," ",""))</f>
        <v/>
      </c>
      <c r="AO588" s="29">
        <f>UPPER(SUBSTITUTE(TRIM(E588)," ",""))</f>
        <v/>
      </c>
      <c r="AP588" s="29">
        <f>IF(D588&lt;&gt;"",D588,IFERROR(VLOOKUP(MID(AG588,4,1),Lists!$E$2:$F$8,2,FALSE),""))</f>
        <v/>
      </c>
      <c r="AQ588" s="29">
        <f>IFERROR(VLOOKUP(AP588,Lists!$A$2:$C$12,3,FALSE),"")</f>
        <v/>
      </c>
      <c r="AR588" s="29">
        <f>COUNTIF(W588:AC588,"Yes")</f>
        <v/>
      </c>
      <c r="AS588" s="29">
        <f>IF(TRIM(B588)="","Legal name missing; ","")&amp;IF(AND(AJ588&lt;&gt;"",AJ588&lt;&gt;"OK"),"GSTIN: "&amp;AJ588&amp;"; ","")&amp;IF(AND(AK588&lt;&gt;"",AK588&lt;&gt;"OK"),"PAN wrong format; ","")&amp;IF(AND(AO588&lt;&gt;"",LEN(AN588)=15,MID(AN588,3,10)&lt;&gt;AO588),"PAN does not match GSTIN; ","")&amp;IF(AND(AL588&lt;&gt;"",AL588&lt;&gt;"OK"),"TAN wrong format; ","")&amp;IF(AG588="","PAN missing; ","")&amp;IF(AP588="","Entity type missing; ","")&amp;IF(AND(AN588&lt;&gt;"",COUNTIF($AN$6:$AN$1005,AN588)&gt;1),"GSTIN repeated in this sheet; ","")&amp;IF(AND(AG588&lt;&gt;"",COUNTIF($AG$6:$AG$1005,AG588)&gt;1),"PAN repeated in this sheet (same client? put extra GSTINs in Other GSTINs); ","")&amp;IF(AND(AR588&gt;0,V588=""),"Financial year missing; ","")&amp;IF(AND(AR588=0,V588&lt;&gt;""),"Financial year given but no service is Yes; ","")&amp;IF(AND(W588="Yes",AN588=""),"GST needs a GSTIN; ","")&amp;IF(AND(W588="Yes",X588=""),"GST return frequency missing; ","")&amp;IF(AND(Y588="Yes",TRIM(H588)=""),"TDS needs a TAN; ","")&amp;IF(AND(AA588="Yes",AQ588&lt;&gt;"",AQ588&lt;&gt;"company",AQ588&lt;&gt;"llp"),"ROC is only for a company / LLP; ","")&amp;IF(AND(AA588="Yes",OR(AQ588="company",AQ588="llp"),TRIM(I588)=""),"ROC needs the CIN / LLPIN; ","")</f>
        <v/>
      </c>
    </row>
    <row r="589">
      <c r="A589" s="30" t="n"/>
      <c r="B589" s="31" t="n"/>
      <c r="C589" s="31" t="n"/>
      <c r="D589" s="31" t="n"/>
      <c r="E589" s="30" t="n"/>
      <c r="F589" s="30" t="n"/>
      <c r="G589" s="30" t="n"/>
      <c r="H589" s="30" t="n"/>
      <c r="I589" s="30" t="n"/>
      <c r="J589" s="32" t="n"/>
      <c r="K589" s="31" t="n"/>
      <c r="L589" s="30" t="n"/>
      <c r="M589" s="31" t="n"/>
      <c r="N589" s="31" t="n"/>
      <c r="O589" s="31" t="n"/>
      <c r="P589" s="30" t="n"/>
      <c r="Q589" s="31" t="n"/>
      <c r="R589" s="31" t="n"/>
      <c r="S589" s="31" t="n"/>
      <c r="T589" s="31" t="n"/>
      <c r="U589" s="30" t="n"/>
      <c r="V589" s="31" t="n"/>
      <c r="W589" s="31" t="n"/>
      <c r="X589" s="31" t="n"/>
      <c r="Y589" s="31" t="n"/>
      <c r="Z589" s="31" t="n"/>
      <c r="AA589" s="31" t="n"/>
      <c r="AB589" s="31" t="n"/>
      <c r="AC589" s="31" t="n"/>
      <c r="AD589" s="31" t="n"/>
      <c r="AE589" s="31" t="n"/>
      <c r="AF589" s="27">
        <f>IF(NOT(COUNTA(A589:AE589)&gt;0),"",IF(A589="","New client","Update"))</f>
        <v/>
      </c>
      <c r="AG589" s="27">
        <f>IF(AO589&lt;&gt;"",AO589,IF(LEN(AN589)=15,MID(AN589,3,10),""))</f>
        <v/>
      </c>
      <c r="AH589" s="27">
        <f>IF(AP589="","",AP589&amp;IF(D589="","  (guessed from PAN)",""))</f>
        <v/>
      </c>
      <c r="AI589" s="27">
        <f>IF(AN589="","",IFERROR(INDEX(Lists!$L$2:$L$38,MATCH(LEFT(AN589,2),Lists!$K$2:$K$38,0)),"Unknown code"))</f>
        <v/>
      </c>
      <c r="AJ589" s="27">
        <f>IF(AN589="","",IFERROR(IF(NOT(AND(LEN(AN589)=15,ISNUMBER(MATCH(LEFT(AN589,2),Lists!$K$2:$K$38,0)),SUMPRODUCT(--ISERROR(FIND(MID(MID(AN589,3,10),{1,2,3,4,5,10},1),"ABCDEFGHIJKLMNOPQRSTUVWXYZ")))=0,SUMPRODUCT(--ISERROR(FIND(MID(MID(AN589,3,10),{6,7,8,9},1),"0123456789")))=0,ISNUMBER(FIND(MID(AN589,13,1),"123456789ABCDEFGHIJKLMNOPQRSTUVWXYZ")),MID(AN589,14,1)="Z")),"Wrong format",IF(MID("0123456789ABCDEFGHIJKLMNOPQRSTUVWXYZ",MOD(36-MOD(SUMPRODUCT(INT((FIND(MID(AN589,{1,2,3,4,5,6,7,8,9,10,11,12,13,14},1),"0123456789ABCDEFGHIJKLMNOPQRSTUVWXYZ")-1)*{1,2,1,2,1,2,1,2,1,2,1,2,1,2}/36)+MOD((FIND(MID(AN589,{1,2,3,4,5,6,7,8,9,10,11,12,13,14},1),"0123456789ABCDEFGHIJKLMNOPQRSTUVWXYZ")-1)*{1,2,1,2,1,2,1,2,1,2,1,2,1,2},36)),36),36)+1,1)=MID(AN589,15,1),"OK","Typo? check digit wrong")),"Wrong format"))</f>
        <v/>
      </c>
      <c r="AK589" s="27">
        <f>IF(AO589="","",IF(AND(LEN(AO589)=10,SUMPRODUCT(--ISERROR(FIND(MID(AO589,{1,2,3,4,5,10},1),"ABCDEFGHIJKLMNOPQRSTUVWXYZ")))=0,SUMPRODUCT(--ISERROR(FIND(MID(AO589,{6,7,8,9},1),"0123456789")))=0),"OK","Wrong format"))</f>
        <v/>
      </c>
      <c r="AL589" s="27">
        <f>IF(TRIM(H589)="","",IF(AND(LEN(UPPER(TRIM(H589)))=10,SUMPRODUCT(--ISERROR(FIND(MID(UPPER(TRIM(H589)),{1,2,3,4,10},1),"ABCDEFGHIJKLMNOPQRSTUVWXYZ")))=0,SUMPRODUCT(--ISERROR(FIND(MID(UPPER(TRIM(H589)),{5,6,7,8,9},1),"0123456789")))=0),"OK","Wrong format"))</f>
        <v/>
      </c>
      <c r="AM589" s="28">
        <f>IF(NOT(COUNTA(A589:AE589)&gt;0),"",IF(AS589&lt;&gt;"","✖ "&amp;LEFT(AS589,LEN(AS589)-2),IF(AR589&gt;0,"✔ Ready — client + "&amp;AR589&amp;" service(s)","✔ Ready — client only")))</f>
        <v/>
      </c>
      <c r="AN589" s="29">
        <f>UPPER(SUBSTITUTE(TRIM(F589)," ",""))</f>
        <v/>
      </c>
      <c r="AO589" s="29">
        <f>UPPER(SUBSTITUTE(TRIM(E589)," ",""))</f>
        <v/>
      </c>
      <c r="AP589" s="29">
        <f>IF(D589&lt;&gt;"",D589,IFERROR(VLOOKUP(MID(AG589,4,1),Lists!$E$2:$F$8,2,FALSE),""))</f>
        <v/>
      </c>
      <c r="AQ589" s="29">
        <f>IFERROR(VLOOKUP(AP589,Lists!$A$2:$C$12,3,FALSE),"")</f>
        <v/>
      </c>
      <c r="AR589" s="29">
        <f>COUNTIF(W589:AC589,"Yes")</f>
        <v/>
      </c>
      <c r="AS589" s="29">
        <f>IF(TRIM(B589)="","Legal name missing; ","")&amp;IF(AND(AJ589&lt;&gt;"",AJ589&lt;&gt;"OK"),"GSTIN: "&amp;AJ589&amp;"; ","")&amp;IF(AND(AK589&lt;&gt;"",AK589&lt;&gt;"OK"),"PAN wrong format; ","")&amp;IF(AND(AO589&lt;&gt;"",LEN(AN589)=15,MID(AN589,3,10)&lt;&gt;AO589),"PAN does not match GSTIN; ","")&amp;IF(AND(AL589&lt;&gt;"",AL589&lt;&gt;"OK"),"TAN wrong format; ","")&amp;IF(AG589="","PAN missing; ","")&amp;IF(AP589="","Entity type missing; ","")&amp;IF(AND(AN589&lt;&gt;"",COUNTIF($AN$6:$AN$1005,AN589)&gt;1),"GSTIN repeated in this sheet; ","")&amp;IF(AND(AG589&lt;&gt;"",COUNTIF($AG$6:$AG$1005,AG589)&gt;1),"PAN repeated in this sheet (same client? put extra GSTINs in Other GSTINs); ","")&amp;IF(AND(AR589&gt;0,V589=""),"Financial year missing; ","")&amp;IF(AND(AR589=0,V589&lt;&gt;""),"Financial year given but no service is Yes; ","")&amp;IF(AND(W589="Yes",AN589=""),"GST needs a GSTIN; ","")&amp;IF(AND(W589="Yes",X589=""),"GST return frequency missing; ","")&amp;IF(AND(Y589="Yes",TRIM(H589)=""),"TDS needs a TAN; ","")&amp;IF(AND(AA589="Yes",AQ589&lt;&gt;"",AQ589&lt;&gt;"company",AQ589&lt;&gt;"llp"),"ROC is only for a company / LLP; ","")&amp;IF(AND(AA589="Yes",OR(AQ589="company",AQ589="llp"),TRIM(I589)=""),"ROC needs the CIN / LLPIN; ","")</f>
        <v/>
      </c>
    </row>
    <row r="590">
      <c r="A590" s="30" t="n"/>
      <c r="B590" s="31" t="n"/>
      <c r="C590" s="31" t="n"/>
      <c r="D590" s="31" t="n"/>
      <c r="E590" s="30" t="n"/>
      <c r="F590" s="30" t="n"/>
      <c r="G590" s="30" t="n"/>
      <c r="H590" s="30" t="n"/>
      <c r="I590" s="30" t="n"/>
      <c r="J590" s="32" t="n"/>
      <c r="K590" s="31" t="n"/>
      <c r="L590" s="30" t="n"/>
      <c r="M590" s="31" t="n"/>
      <c r="N590" s="31" t="n"/>
      <c r="O590" s="31" t="n"/>
      <c r="P590" s="30" t="n"/>
      <c r="Q590" s="31" t="n"/>
      <c r="R590" s="31" t="n"/>
      <c r="S590" s="31" t="n"/>
      <c r="T590" s="31" t="n"/>
      <c r="U590" s="30" t="n"/>
      <c r="V590" s="31" t="n"/>
      <c r="W590" s="31" t="n"/>
      <c r="X590" s="31" t="n"/>
      <c r="Y590" s="31" t="n"/>
      <c r="Z590" s="31" t="n"/>
      <c r="AA590" s="31" t="n"/>
      <c r="AB590" s="31" t="n"/>
      <c r="AC590" s="31" t="n"/>
      <c r="AD590" s="31" t="n"/>
      <c r="AE590" s="31" t="n"/>
      <c r="AF590" s="27">
        <f>IF(NOT(COUNTA(A590:AE590)&gt;0),"",IF(A590="","New client","Update"))</f>
        <v/>
      </c>
      <c r="AG590" s="27">
        <f>IF(AO590&lt;&gt;"",AO590,IF(LEN(AN590)=15,MID(AN590,3,10),""))</f>
        <v/>
      </c>
      <c r="AH590" s="27">
        <f>IF(AP590="","",AP590&amp;IF(D590="","  (guessed from PAN)",""))</f>
        <v/>
      </c>
      <c r="AI590" s="27">
        <f>IF(AN590="","",IFERROR(INDEX(Lists!$L$2:$L$38,MATCH(LEFT(AN590,2),Lists!$K$2:$K$38,0)),"Unknown code"))</f>
        <v/>
      </c>
      <c r="AJ590" s="27">
        <f>IF(AN590="","",IFERROR(IF(NOT(AND(LEN(AN590)=15,ISNUMBER(MATCH(LEFT(AN590,2),Lists!$K$2:$K$38,0)),SUMPRODUCT(--ISERROR(FIND(MID(MID(AN590,3,10),{1,2,3,4,5,10},1),"ABCDEFGHIJKLMNOPQRSTUVWXYZ")))=0,SUMPRODUCT(--ISERROR(FIND(MID(MID(AN590,3,10),{6,7,8,9},1),"0123456789")))=0,ISNUMBER(FIND(MID(AN590,13,1),"123456789ABCDEFGHIJKLMNOPQRSTUVWXYZ")),MID(AN590,14,1)="Z")),"Wrong format",IF(MID("0123456789ABCDEFGHIJKLMNOPQRSTUVWXYZ",MOD(36-MOD(SUMPRODUCT(INT((FIND(MID(AN590,{1,2,3,4,5,6,7,8,9,10,11,12,13,14},1),"0123456789ABCDEFGHIJKLMNOPQRSTUVWXYZ")-1)*{1,2,1,2,1,2,1,2,1,2,1,2,1,2}/36)+MOD((FIND(MID(AN590,{1,2,3,4,5,6,7,8,9,10,11,12,13,14},1),"0123456789ABCDEFGHIJKLMNOPQRSTUVWXYZ")-1)*{1,2,1,2,1,2,1,2,1,2,1,2,1,2},36)),36),36)+1,1)=MID(AN590,15,1),"OK","Typo? check digit wrong")),"Wrong format"))</f>
        <v/>
      </c>
      <c r="AK590" s="27">
        <f>IF(AO590="","",IF(AND(LEN(AO590)=10,SUMPRODUCT(--ISERROR(FIND(MID(AO590,{1,2,3,4,5,10},1),"ABCDEFGHIJKLMNOPQRSTUVWXYZ")))=0,SUMPRODUCT(--ISERROR(FIND(MID(AO590,{6,7,8,9},1),"0123456789")))=0),"OK","Wrong format"))</f>
        <v/>
      </c>
      <c r="AL590" s="27">
        <f>IF(TRIM(H590)="","",IF(AND(LEN(UPPER(TRIM(H590)))=10,SUMPRODUCT(--ISERROR(FIND(MID(UPPER(TRIM(H590)),{1,2,3,4,10},1),"ABCDEFGHIJKLMNOPQRSTUVWXYZ")))=0,SUMPRODUCT(--ISERROR(FIND(MID(UPPER(TRIM(H590)),{5,6,7,8,9},1),"0123456789")))=0),"OK","Wrong format"))</f>
        <v/>
      </c>
      <c r="AM590" s="28">
        <f>IF(NOT(COUNTA(A590:AE590)&gt;0),"",IF(AS590&lt;&gt;"","✖ "&amp;LEFT(AS590,LEN(AS590)-2),IF(AR590&gt;0,"✔ Ready — client + "&amp;AR590&amp;" service(s)","✔ Ready — client only")))</f>
        <v/>
      </c>
      <c r="AN590" s="29">
        <f>UPPER(SUBSTITUTE(TRIM(F590)," ",""))</f>
        <v/>
      </c>
      <c r="AO590" s="29">
        <f>UPPER(SUBSTITUTE(TRIM(E590)," ",""))</f>
        <v/>
      </c>
      <c r="AP590" s="29">
        <f>IF(D590&lt;&gt;"",D590,IFERROR(VLOOKUP(MID(AG590,4,1),Lists!$E$2:$F$8,2,FALSE),""))</f>
        <v/>
      </c>
      <c r="AQ590" s="29">
        <f>IFERROR(VLOOKUP(AP590,Lists!$A$2:$C$12,3,FALSE),"")</f>
        <v/>
      </c>
      <c r="AR590" s="29">
        <f>COUNTIF(W590:AC590,"Yes")</f>
        <v/>
      </c>
      <c r="AS590" s="29">
        <f>IF(TRIM(B590)="","Legal name missing; ","")&amp;IF(AND(AJ590&lt;&gt;"",AJ590&lt;&gt;"OK"),"GSTIN: "&amp;AJ590&amp;"; ","")&amp;IF(AND(AK590&lt;&gt;"",AK590&lt;&gt;"OK"),"PAN wrong format; ","")&amp;IF(AND(AO590&lt;&gt;"",LEN(AN590)=15,MID(AN590,3,10)&lt;&gt;AO590),"PAN does not match GSTIN; ","")&amp;IF(AND(AL590&lt;&gt;"",AL590&lt;&gt;"OK"),"TAN wrong format; ","")&amp;IF(AG590="","PAN missing; ","")&amp;IF(AP590="","Entity type missing; ","")&amp;IF(AND(AN590&lt;&gt;"",COUNTIF($AN$6:$AN$1005,AN590)&gt;1),"GSTIN repeated in this sheet; ","")&amp;IF(AND(AG590&lt;&gt;"",COUNTIF($AG$6:$AG$1005,AG590)&gt;1),"PAN repeated in this sheet (same client? put extra GSTINs in Other GSTINs); ","")&amp;IF(AND(AR590&gt;0,V590=""),"Financial year missing; ","")&amp;IF(AND(AR590=0,V590&lt;&gt;""),"Financial year given but no service is Yes; ","")&amp;IF(AND(W590="Yes",AN590=""),"GST needs a GSTIN; ","")&amp;IF(AND(W590="Yes",X590=""),"GST return frequency missing; ","")&amp;IF(AND(Y590="Yes",TRIM(H590)=""),"TDS needs a TAN; ","")&amp;IF(AND(AA590="Yes",AQ590&lt;&gt;"",AQ590&lt;&gt;"company",AQ590&lt;&gt;"llp"),"ROC is only for a company / LLP; ","")&amp;IF(AND(AA590="Yes",OR(AQ590="company",AQ590="llp"),TRIM(I590)=""),"ROC needs the CIN / LLPIN; ","")</f>
        <v/>
      </c>
    </row>
    <row r="591">
      <c r="A591" s="30" t="n"/>
      <c r="B591" s="31" t="n"/>
      <c r="C591" s="31" t="n"/>
      <c r="D591" s="31" t="n"/>
      <c r="E591" s="30" t="n"/>
      <c r="F591" s="30" t="n"/>
      <c r="G591" s="30" t="n"/>
      <c r="H591" s="30" t="n"/>
      <c r="I591" s="30" t="n"/>
      <c r="J591" s="32" t="n"/>
      <c r="K591" s="31" t="n"/>
      <c r="L591" s="30" t="n"/>
      <c r="M591" s="31" t="n"/>
      <c r="N591" s="31" t="n"/>
      <c r="O591" s="31" t="n"/>
      <c r="P591" s="30" t="n"/>
      <c r="Q591" s="31" t="n"/>
      <c r="R591" s="31" t="n"/>
      <c r="S591" s="31" t="n"/>
      <c r="T591" s="31" t="n"/>
      <c r="U591" s="30" t="n"/>
      <c r="V591" s="31" t="n"/>
      <c r="W591" s="31" t="n"/>
      <c r="X591" s="31" t="n"/>
      <c r="Y591" s="31" t="n"/>
      <c r="Z591" s="31" t="n"/>
      <c r="AA591" s="31" t="n"/>
      <c r="AB591" s="31" t="n"/>
      <c r="AC591" s="31" t="n"/>
      <c r="AD591" s="31" t="n"/>
      <c r="AE591" s="31" t="n"/>
      <c r="AF591" s="27">
        <f>IF(NOT(COUNTA(A591:AE591)&gt;0),"",IF(A591="","New client","Update"))</f>
        <v/>
      </c>
      <c r="AG591" s="27">
        <f>IF(AO591&lt;&gt;"",AO591,IF(LEN(AN591)=15,MID(AN591,3,10),""))</f>
        <v/>
      </c>
      <c r="AH591" s="27">
        <f>IF(AP591="","",AP591&amp;IF(D591="","  (guessed from PAN)",""))</f>
        <v/>
      </c>
      <c r="AI591" s="27">
        <f>IF(AN591="","",IFERROR(INDEX(Lists!$L$2:$L$38,MATCH(LEFT(AN591,2),Lists!$K$2:$K$38,0)),"Unknown code"))</f>
        <v/>
      </c>
      <c r="AJ591" s="27">
        <f>IF(AN591="","",IFERROR(IF(NOT(AND(LEN(AN591)=15,ISNUMBER(MATCH(LEFT(AN591,2),Lists!$K$2:$K$38,0)),SUMPRODUCT(--ISERROR(FIND(MID(MID(AN591,3,10),{1,2,3,4,5,10},1),"ABCDEFGHIJKLMNOPQRSTUVWXYZ")))=0,SUMPRODUCT(--ISERROR(FIND(MID(MID(AN591,3,10),{6,7,8,9},1),"0123456789")))=0,ISNUMBER(FIND(MID(AN591,13,1),"123456789ABCDEFGHIJKLMNOPQRSTUVWXYZ")),MID(AN591,14,1)="Z")),"Wrong format",IF(MID("0123456789ABCDEFGHIJKLMNOPQRSTUVWXYZ",MOD(36-MOD(SUMPRODUCT(INT((FIND(MID(AN591,{1,2,3,4,5,6,7,8,9,10,11,12,13,14},1),"0123456789ABCDEFGHIJKLMNOPQRSTUVWXYZ")-1)*{1,2,1,2,1,2,1,2,1,2,1,2,1,2}/36)+MOD((FIND(MID(AN591,{1,2,3,4,5,6,7,8,9,10,11,12,13,14},1),"0123456789ABCDEFGHIJKLMNOPQRSTUVWXYZ")-1)*{1,2,1,2,1,2,1,2,1,2,1,2,1,2},36)),36),36)+1,1)=MID(AN591,15,1),"OK","Typo? check digit wrong")),"Wrong format"))</f>
        <v/>
      </c>
      <c r="AK591" s="27">
        <f>IF(AO591="","",IF(AND(LEN(AO591)=10,SUMPRODUCT(--ISERROR(FIND(MID(AO591,{1,2,3,4,5,10},1),"ABCDEFGHIJKLMNOPQRSTUVWXYZ")))=0,SUMPRODUCT(--ISERROR(FIND(MID(AO591,{6,7,8,9},1),"0123456789")))=0),"OK","Wrong format"))</f>
        <v/>
      </c>
      <c r="AL591" s="27">
        <f>IF(TRIM(H591)="","",IF(AND(LEN(UPPER(TRIM(H591)))=10,SUMPRODUCT(--ISERROR(FIND(MID(UPPER(TRIM(H591)),{1,2,3,4,10},1),"ABCDEFGHIJKLMNOPQRSTUVWXYZ")))=0,SUMPRODUCT(--ISERROR(FIND(MID(UPPER(TRIM(H591)),{5,6,7,8,9},1),"0123456789")))=0),"OK","Wrong format"))</f>
        <v/>
      </c>
      <c r="AM591" s="28">
        <f>IF(NOT(COUNTA(A591:AE591)&gt;0),"",IF(AS591&lt;&gt;"","✖ "&amp;LEFT(AS591,LEN(AS591)-2),IF(AR591&gt;0,"✔ Ready — client + "&amp;AR591&amp;" service(s)","✔ Ready — client only")))</f>
        <v/>
      </c>
      <c r="AN591" s="29">
        <f>UPPER(SUBSTITUTE(TRIM(F591)," ",""))</f>
        <v/>
      </c>
      <c r="AO591" s="29">
        <f>UPPER(SUBSTITUTE(TRIM(E591)," ",""))</f>
        <v/>
      </c>
      <c r="AP591" s="29">
        <f>IF(D591&lt;&gt;"",D591,IFERROR(VLOOKUP(MID(AG591,4,1),Lists!$E$2:$F$8,2,FALSE),""))</f>
        <v/>
      </c>
      <c r="AQ591" s="29">
        <f>IFERROR(VLOOKUP(AP591,Lists!$A$2:$C$12,3,FALSE),"")</f>
        <v/>
      </c>
      <c r="AR591" s="29">
        <f>COUNTIF(W591:AC591,"Yes")</f>
        <v/>
      </c>
      <c r="AS591" s="29">
        <f>IF(TRIM(B591)="","Legal name missing; ","")&amp;IF(AND(AJ591&lt;&gt;"",AJ591&lt;&gt;"OK"),"GSTIN: "&amp;AJ591&amp;"; ","")&amp;IF(AND(AK591&lt;&gt;"",AK591&lt;&gt;"OK"),"PAN wrong format; ","")&amp;IF(AND(AO591&lt;&gt;"",LEN(AN591)=15,MID(AN591,3,10)&lt;&gt;AO591),"PAN does not match GSTIN; ","")&amp;IF(AND(AL591&lt;&gt;"",AL591&lt;&gt;"OK"),"TAN wrong format; ","")&amp;IF(AG591="","PAN missing; ","")&amp;IF(AP591="","Entity type missing; ","")&amp;IF(AND(AN591&lt;&gt;"",COUNTIF($AN$6:$AN$1005,AN591)&gt;1),"GSTIN repeated in this sheet; ","")&amp;IF(AND(AG591&lt;&gt;"",COUNTIF($AG$6:$AG$1005,AG591)&gt;1),"PAN repeated in this sheet (same client? put extra GSTINs in Other GSTINs); ","")&amp;IF(AND(AR591&gt;0,V591=""),"Financial year missing; ","")&amp;IF(AND(AR591=0,V591&lt;&gt;""),"Financial year given but no service is Yes; ","")&amp;IF(AND(W591="Yes",AN591=""),"GST needs a GSTIN; ","")&amp;IF(AND(W591="Yes",X591=""),"GST return frequency missing; ","")&amp;IF(AND(Y591="Yes",TRIM(H591)=""),"TDS needs a TAN; ","")&amp;IF(AND(AA591="Yes",AQ591&lt;&gt;"",AQ591&lt;&gt;"company",AQ591&lt;&gt;"llp"),"ROC is only for a company / LLP; ","")&amp;IF(AND(AA591="Yes",OR(AQ591="company",AQ591="llp"),TRIM(I591)=""),"ROC needs the CIN / LLPIN; ","")</f>
        <v/>
      </c>
    </row>
    <row r="592">
      <c r="A592" s="30" t="n"/>
      <c r="B592" s="31" t="n"/>
      <c r="C592" s="31" t="n"/>
      <c r="D592" s="31" t="n"/>
      <c r="E592" s="30" t="n"/>
      <c r="F592" s="30" t="n"/>
      <c r="G592" s="30" t="n"/>
      <c r="H592" s="30" t="n"/>
      <c r="I592" s="30" t="n"/>
      <c r="J592" s="32" t="n"/>
      <c r="K592" s="31" t="n"/>
      <c r="L592" s="30" t="n"/>
      <c r="M592" s="31" t="n"/>
      <c r="N592" s="31" t="n"/>
      <c r="O592" s="31" t="n"/>
      <c r="P592" s="30" t="n"/>
      <c r="Q592" s="31" t="n"/>
      <c r="R592" s="31" t="n"/>
      <c r="S592" s="31" t="n"/>
      <c r="T592" s="31" t="n"/>
      <c r="U592" s="30" t="n"/>
      <c r="V592" s="31" t="n"/>
      <c r="W592" s="31" t="n"/>
      <c r="X592" s="31" t="n"/>
      <c r="Y592" s="31" t="n"/>
      <c r="Z592" s="31" t="n"/>
      <c r="AA592" s="31" t="n"/>
      <c r="AB592" s="31" t="n"/>
      <c r="AC592" s="31" t="n"/>
      <c r="AD592" s="31" t="n"/>
      <c r="AE592" s="31" t="n"/>
      <c r="AF592" s="27">
        <f>IF(NOT(COUNTA(A592:AE592)&gt;0),"",IF(A592="","New client","Update"))</f>
        <v/>
      </c>
      <c r="AG592" s="27">
        <f>IF(AO592&lt;&gt;"",AO592,IF(LEN(AN592)=15,MID(AN592,3,10),""))</f>
        <v/>
      </c>
      <c r="AH592" s="27">
        <f>IF(AP592="","",AP592&amp;IF(D592="","  (guessed from PAN)",""))</f>
        <v/>
      </c>
      <c r="AI592" s="27">
        <f>IF(AN592="","",IFERROR(INDEX(Lists!$L$2:$L$38,MATCH(LEFT(AN592,2),Lists!$K$2:$K$38,0)),"Unknown code"))</f>
        <v/>
      </c>
      <c r="AJ592" s="27">
        <f>IF(AN592="","",IFERROR(IF(NOT(AND(LEN(AN592)=15,ISNUMBER(MATCH(LEFT(AN592,2),Lists!$K$2:$K$38,0)),SUMPRODUCT(--ISERROR(FIND(MID(MID(AN592,3,10),{1,2,3,4,5,10},1),"ABCDEFGHIJKLMNOPQRSTUVWXYZ")))=0,SUMPRODUCT(--ISERROR(FIND(MID(MID(AN592,3,10),{6,7,8,9},1),"0123456789")))=0,ISNUMBER(FIND(MID(AN592,13,1),"123456789ABCDEFGHIJKLMNOPQRSTUVWXYZ")),MID(AN592,14,1)="Z")),"Wrong format",IF(MID("0123456789ABCDEFGHIJKLMNOPQRSTUVWXYZ",MOD(36-MOD(SUMPRODUCT(INT((FIND(MID(AN592,{1,2,3,4,5,6,7,8,9,10,11,12,13,14},1),"0123456789ABCDEFGHIJKLMNOPQRSTUVWXYZ")-1)*{1,2,1,2,1,2,1,2,1,2,1,2,1,2}/36)+MOD((FIND(MID(AN592,{1,2,3,4,5,6,7,8,9,10,11,12,13,14},1),"0123456789ABCDEFGHIJKLMNOPQRSTUVWXYZ")-1)*{1,2,1,2,1,2,1,2,1,2,1,2,1,2},36)),36),36)+1,1)=MID(AN592,15,1),"OK","Typo? check digit wrong")),"Wrong format"))</f>
        <v/>
      </c>
      <c r="AK592" s="27">
        <f>IF(AO592="","",IF(AND(LEN(AO592)=10,SUMPRODUCT(--ISERROR(FIND(MID(AO592,{1,2,3,4,5,10},1),"ABCDEFGHIJKLMNOPQRSTUVWXYZ")))=0,SUMPRODUCT(--ISERROR(FIND(MID(AO592,{6,7,8,9},1),"0123456789")))=0),"OK","Wrong format"))</f>
        <v/>
      </c>
      <c r="AL592" s="27">
        <f>IF(TRIM(H592)="","",IF(AND(LEN(UPPER(TRIM(H592)))=10,SUMPRODUCT(--ISERROR(FIND(MID(UPPER(TRIM(H592)),{1,2,3,4,10},1),"ABCDEFGHIJKLMNOPQRSTUVWXYZ")))=0,SUMPRODUCT(--ISERROR(FIND(MID(UPPER(TRIM(H592)),{5,6,7,8,9},1),"0123456789")))=0),"OK","Wrong format"))</f>
        <v/>
      </c>
      <c r="AM592" s="28">
        <f>IF(NOT(COUNTA(A592:AE592)&gt;0),"",IF(AS592&lt;&gt;"","✖ "&amp;LEFT(AS592,LEN(AS592)-2),IF(AR592&gt;0,"✔ Ready — client + "&amp;AR592&amp;" service(s)","✔ Ready — client only")))</f>
        <v/>
      </c>
      <c r="AN592" s="29">
        <f>UPPER(SUBSTITUTE(TRIM(F592)," ",""))</f>
        <v/>
      </c>
      <c r="AO592" s="29">
        <f>UPPER(SUBSTITUTE(TRIM(E592)," ",""))</f>
        <v/>
      </c>
      <c r="AP592" s="29">
        <f>IF(D592&lt;&gt;"",D592,IFERROR(VLOOKUP(MID(AG592,4,1),Lists!$E$2:$F$8,2,FALSE),""))</f>
        <v/>
      </c>
      <c r="AQ592" s="29">
        <f>IFERROR(VLOOKUP(AP592,Lists!$A$2:$C$12,3,FALSE),"")</f>
        <v/>
      </c>
      <c r="AR592" s="29">
        <f>COUNTIF(W592:AC592,"Yes")</f>
        <v/>
      </c>
      <c r="AS592" s="29">
        <f>IF(TRIM(B592)="","Legal name missing; ","")&amp;IF(AND(AJ592&lt;&gt;"",AJ592&lt;&gt;"OK"),"GSTIN: "&amp;AJ592&amp;"; ","")&amp;IF(AND(AK592&lt;&gt;"",AK592&lt;&gt;"OK"),"PAN wrong format; ","")&amp;IF(AND(AO592&lt;&gt;"",LEN(AN592)=15,MID(AN592,3,10)&lt;&gt;AO592),"PAN does not match GSTIN; ","")&amp;IF(AND(AL592&lt;&gt;"",AL592&lt;&gt;"OK"),"TAN wrong format; ","")&amp;IF(AG592="","PAN missing; ","")&amp;IF(AP592="","Entity type missing; ","")&amp;IF(AND(AN592&lt;&gt;"",COUNTIF($AN$6:$AN$1005,AN592)&gt;1),"GSTIN repeated in this sheet; ","")&amp;IF(AND(AG592&lt;&gt;"",COUNTIF($AG$6:$AG$1005,AG592)&gt;1),"PAN repeated in this sheet (same client? put extra GSTINs in Other GSTINs); ","")&amp;IF(AND(AR592&gt;0,V592=""),"Financial year missing; ","")&amp;IF(AND(AR592=0,V592&lt;&gt;""),"Financial year given but no service is Yes; ","")&amp;IF(AND(W592="Yes",AN592=""),"GST needs a GSTIN; ","")&amp;IF(AND(W592="Yes",X592=""),"GST return frequency missing; ","")&amp;IF(AND(Y592="Yes",TRIM(H592)=""),"TDS needs a TAN; ","")&amp;IF(AND(AA592="Yes",AQ592&lt;&gt;"",AQ592&lt;&gt;"company",AQ592&lt;&gt;"llp"),"ROC is only for a company / LLP; ","")&amp;IF(AND(AA592="Yes",OR(AQ592="company",AQ592="llp"),TRIM(I592)=""),"ROC needs the CIN / LLPIN; ","")</f>
        <v/>
      </c>
    </row>
    <row r="593">
      <c r="A593" s="30" t="n"/>
      <c r="B593" s="31" t="n"/>
      <c r="C593" s="31" t="n"/>
      <c r="D593" s="31" t="n"/>
      <c r="E593" s="30" t="n"/>
      <c r="F593" s="30" t="n"/>
      <c r="G593" s="30" t="n"/>
      <c r="H593" s="30" t="n"/>
      <c r="I593" s="30" t="n"/>
      <c r="J593" s="32" t="n"/>
      <c r="K593" s="31" t="n"/>
      <c r="L593" s="30" t="n"/>
      <c r="M593" s="31" t="n"/>
      <c r="N593" s="31" t="n"/>
      <c r="O593" s="31" t="n"/>
      <c r="P593" s="30" t="n"/>
      <c r="Q593" s="31" t="n"/>
      <c r="R593" s="31" t="n"/>
      <c r="S593" s="31" t="n"/>
      <c r="T593" s="31" t="n"/>
      <c r="U593" s="30" t="n"/>
      <c r="V593" s="31" t="n"/>
      <c r="W593" s="31" t="n"/>
      <c r="X593" s="31" t="n"/>
      <c r="Y593" s="31" t="n"/>
      <c r="Z593" s="31" t="n"/>
      <c r="AA593" s="31" t="n"/>
      <c r="AB593" s="31" t="n"/>
      <c r="AC593" s="31" t="n"/>
      <c r="AD593" s="31" t="n"/>
      <c r="AE593" s="31" t="n"/>
      <c r="AF593" s="27">
        <f>IF(NOT(COUNTA(A593:AE593)&gt;0),"",IF(A593="","New client","Update"))</f>
        <v/>
      </c>
      <c r="AG593" s="27">
        <f>IF(AO593&lt;&gt;"",AO593,IF(LEN(AN593)=15,MID(AN593,3,10),""))</f>
        <v/>
      </c>
      <c r="AH593" s="27">
        <f>IF(AP593="","",AP593&amp;IF(D593="","  (guessed from PAN)",""))</f>
        <v/>
      </c>
      <c r="AI593" s="27">
        <f>IF(AN593="","",IFERROR(INDEX(Lists!$L$2:$L$38,MATCH(LEFT(AN593,2),Lists!$K$2:$K$38,0)),"Unknown code"))</f>
        <v/>
      </c>
      <c r="AJ593" s="27">
        <f>IF(AN593="","",IFERROR(IF(NOT(AND(LEN(AN593)=15,ISNUMBER(MATCH(LEFT(AN593,2),Lists!$K$2:$K$38,0)),SUMPRODUCT(--ISERROR(FIND(MID(MID(AN593,3,10),{1,2,3,4,5,10},1),"ABCDEFGHIJKLMNOPQRSTUVWXYZ")))=0,SUMPRODUCT(--ISERROR(FIND(MID(MID(AN593,3,10),{6,7,8,9},1),"0123456789")))=0,ISNUMBER(FIND(MID(AN593,13,1),"123456789ABCDEFGHIJKLMNOPQRSTUVWXYZ")),MID(AN593,14,1)="Z")),"Wrong format",IF(MID("0123456789ABCDEFGHIJKLMNOPQRSTUVWXYZ",MOD(36-MOD(SUMPRODUCT(INT((FIND(MID(AN593,{1,2,3,4,5,6,7,8,9,10,11,12,13,14},1),"0123456789ABCDEFGHIJKLMNOPQRSTUVWXYZ")-1)*{1,2,1,2,1,2,1,2,1,2,1,2,1,2}/36)+MOD((FIND(MID(AN593,{1,2,3,4,5,6,7,8,9,10,11,12,13,14},1),"0123456789ABCDEFGHIJKLMNOPQRSTUVWXYZ")-1)*{1,2,1,2,1,2,1,2,1,2,1,2,1,2},36)),36),36)+1,1)=MID(AN593,15,1),"OK","Typo? check digit wrong")),"Wrong format"))</f>
        <v/>
      </c>
      <c r="AK593" s="27">
        <f>IF(AO593="","",IF(AND(LEN(AO593)=10,SUMPRODUCT(--ISERROR(FIND(MID(AO593,{1,2,3,4,5,10},1),"ABCDEFGHIJKLMNOPQRSTUVWXYZ")))=0,SUMPRODUCT(--ISERROR(FIND(MID(AO593,{6,7,8,9},1),"0123456789")))=0),"OK","Wrong format"))</f>
        <v/>
      </c>
      <c r="AL593" s="27">
        <f>IF(TRIM(H593)="","",IF(AND(LEN(UPPER(TRIM(H593)))=10,SUMPRODUCT(--ISERROR(FIND(MID(UPPER(TRIM(H593)),{1,2,3,4,10},1),"ABCDEFGHIJKLMNOPQRSTUVWXYZ")))=0,SUMPRODUCT(--ISERROR(FIND(MID(UPPER(TRIM(H593)),{5,6,7,8,9},1),"0123456789")))=0),"OK","Wrong format"))</f>
        <v/>
      </c>
      <c r="AM593" s="28">
        <f>IF(NOT(COUNTA(A593:AE593)&gt;0),"",IF(AS593&lt;&gt;"","✖ "&amp;LEFT(AS593,LEN(AS593)-2),IF(AR593&gt;0,"✔ Ready — client + "&amp;AR593&amp;" service(s)","✔ Ready — client only")))</f>
        <v/>
      </c>
      <c r="AN593" s="29">
        <f>UPPER(SUBSTITUTE(TRIM(F593)," ",""))</f>
        <v/>
      </c>
      <c r="AO593" s="29">
        <f>UPPER(SUBSTITUTE(TRIM(E593)," ",""))</f>
        <v/>
      </c>
      <c r="AP593" s="29">
        <f>IF(D593&lt;&gt;"",D593,IFERROR(VLOOKUP(MID(AG593,4,1),Lists!$E$2:$F$8,2,FALSE),""))</f>
        <v/>
      </c>
      <c r="AQ593" s="29">
        <f>IFERROR(VLOOKUP(AP593,Lists!$A$2:$C$12,3,FALSE),"")</f>
        <v/>
      </c>
      <c r="AR593" s="29">
        <f>COUNTIF(W593:AC593,"Yes")</f>
        <v/>
      </c>
      <c r="AS593" s="29">
        <f>IF(TRIM(B593)="","Legal name missing; ","")&amp;IF(AND(AJ593&lt;&gt;"",AJ593&lt;&gt;"OK"),"GSTIN: "&amp;AJ593&amp;"; ","")&amp;IF(AND(AK593&lt;&gt;"",AK593&lt;&gt;"OK"),"PAN wrong format; ","")&amp;IF(AND(AO593&lt;&gt;"",LEN(AN593)=15,MID(AN593,3,10)&lt;&gt;AO593),"PAN does not match GSTIN; ","")&amp;IF(AND(AL593&lt;&gt;"",AL593&lt;&gt;"OK"),"TAN wrong format; ","")&amp;IF(AG593="","PAN missing; ","")&amp;IF(AP593="","Entity type missing; ","")&amp;IF(AND(AN593&lt;&gt;"",COUNTIF($AN$6:$AN$1005,AN593)&gt;1),"GSTIN repeated in this sheet; ","")&amp;IF(AND(AG593&lt;&gt;"",COUNTIF($AG$6:$AG$1005,AG593)&gt;1),"PAN repeated in this sheet (same client? put extra GSTINs in Other GSTINs); ","")&amp;IF(AND(AR593&gt;0,V593=""),"Financial year missing; ","")&amp;IF(AND(AR593=0,V593&lt;&gt;""),"Financial year given but no service is Yes; ","")&amp;IF(AND(W593="Yes",AN593=""),"GST needs a GSTIN; ","")&amp;IF(AND(W593="Yes",X593=""),"GST return frequency missing; ","")&amp;IF(AND(Y593="Yes",TRIM(H593)=""),"TDS needs a TAN; ","")&amp;IF(AND(AA593="Yes",AQ593&lt;&gt;"",AQ593&lt;&gt;"company",AQ593&lt;&gt;"llp"),"ROC is only for a company / LLP; ","")&amp;IF(AND(AA593="Yes",OR(AQ593="company",AQ593="llp"),TRIM(I593)=""),"ROC needs the CIN / LLPIN; ","")</f>
        <v/>
      </c>
    </row>
    <row r="594">
      <c r="A594" s="30" t="n"/>
      <c r="B594" s="31" t="n"/>
      <c r="C594" s="31" t="n"/>
      <c r="D594" s="31" t="n"/>
      <c r="E594" s="30" t="n"/>
      <c r="F594" s="30" t="n"/>
      <c r="G594" s="30" t="n"/>
      <c r="H594" s="30" t="n"/>
      <c r="I594" s="30" t="n"/>
      <c r="J594" s="32" t="n"/>
      <c r="K594" s="31" t="n"/>
      <c r="L594" s="30" t="n"/>
      <c r="M594" s="31" t="n"/>
      <c r="N594" s="31" t="n"/>
      <c r="O594" s="31" t="n"/>
      <c r="P594" s="30" t="n"/>
      <c r="Q594" s="31" t="n"/>
      <c r="R594" s="31" t="n"/>
      <c r="S594" s="31" t="n"/>
      <c r="T594" s="31" t="n"/>
      <c r="U594" s="30" t="n"/>
      <c r="V594" s="31" t="n"/>
      <c r="W594" s="31" t="n"/>
      <c r="X594" s="31" t="n"/>
      <c r="Y594" s="31" t="n"/>
      <c r="Z594" s="31" t="n"/>
      <c r="AA594" s="31" t="n"/>
      <c r="AB594" s="31" t="n"/>
      <c r="AC594" s="31" t="n"/>
      <c r="AD594" s="31" t="n"/>
      <c r="AE594" s="31" t="n"/>
      <c r="AF594" s="27">
        <f>IF(NOT(COUNTA(A594:AE594)&gt;0),"",IF(A594="","New client","Update"))</f>
        <v/>
      </c>
      <c r="AG594" s="27">
        <f>IF(AO594&lt;&gt;"",AO594,IF(LEN(AN594)=15,MID(AN594,3,10),""))</f>
        <v/>
      </c>
      <c r="AH594" s="27">
        <f>IF(AP594="","",AP594&amp;IF(D594="","  (guessed from PAN)",""))</f>
        <v/>
      </c>
      <c r="AI594" s="27">
        <f>IF(AN594="","",IFERROR(INDEX(Lists!$L$2:$L$38,MATCH(LEFT(AN594,2),Lists!$K$2:$K$38,0)),"Unknown code"))</f>
        <v/>
      </c>
      <c r="AJ594" s="27">
        <f>IF(AN594="","",IFERROR(IF(NOT(AND(LEN(AN594)=15,ISNUMBER(MATCH(LEFT(AN594,2),Lists!$K$2:$K$38,0)),SUMPRODUCT(--ISERROR(FIND(MID(MID(AN594,3,10),{1,2,3,4,5,10},1),"ABCDEFGHIJKLMNOPQRSTUVWXYZ")))=0,SUMPRODUCT(--ISERROR(FIND(MID(MID(AN594,3,10),{6,7,8,9},1),"0123456789")))=0,ISNUMBER(FIND(MID(AN594,13,1),"123456789ABCDEFGHIJKLMNOPQRSTUVWXYZ")),MID(AN594,14,1)="Z")),"Wrong format",IF(MID("0123456789ABCDEFGHIJKLMNOPQRSTUVWXYZ",MOD(36-MOD(SUMPRODUCT(INT((FIND(MID(AN594,{1,2,3,4,5,6,7,8,9,10,11,12,13,14},1),"0123456789ABCDEFGHIJKLMNOPQRSTUVWXYZ")-1)*{1,2,1,2,1,2,1,2,1,2,1,2,1,2}/36)+MOD((FIND(MID(AN594,{1,2,3,4,5,6,7,8,9,10,11,12,13,14},1),"0123456789ABCDEFGHIJKLMNOPQRSTUVWXYZ")-1)*{1,2,1,2,1,2,1,2,1,2,1,2,1,2},36)),36),36)+1,1)=MID(AN594,15,1),"OK","Typo? check digit wrong")),"Wrong format"))</f>
        <v/>
      </c>
      <c r="AK594" s="27">
        <f>IF(AO594="","",IF(AND(LEN(AO594)=10,SUMPRODUCT(--ISERROR(FIND(MID(AO594,{1,2,3,4,5,10},1),"ABCDEFGHIJKLMNOPQRSTUVWXYZ")))=0,SUMPRODUCT(--ISERROR(FIND(MID(AO594,{6,7,8,9},1),"0123456789")))=0),"OK","Wrong format"))</f>
        <v/>
      </c>
      <c r="AL594" s="27">
        <f>IF(TRIM(H594)="","",IF(AND(LEN(UPPER(TRIM(H594)))=10,SUMPRODUCT(--ISERROR(FIND(MID(UPPER(TRIM(H594)),{1,2,3,4,10},1),"ABCDEFGHIJKLMNOPQRSTUVWXYZ")))=0,SUMPRODUCT(--ISERROR(FIND(MID(UPPER(TRIM(H594)),{5,6,7,8,9},1),"0123456789")))=0),"OK","Wrong format"))</f>
        <v/>
      </c>
      <c r="AM594" s="28">
        <f>IF(NOT(COUNTA(A594:AE594)&gt;0),"",IF(AS594&lt;&gt;"","✖ "&amp;LEFT(AS594,LEN(AS594)-2),IF(AR594&gt;0,"✔ Ready — client + "&amp;AR594&amp;" service(s)","✔ Ready — client only")))</f>
        <v/>
      </c>
      <c r="AN594" s="29">
        <f>UPPER(SUBSTITUTE(TRIM(F594)," ",""))</f>
        <v/>
      </c>
      <c r="AO594" s="29">
        <f>UPPER(SUBSTITUTE(TRIM(E594)," ",""))</f>
        <v/>
      </c>
      <c r="AP594" s="29">
        <f>IF(D594&lt;&gt;"",D594,IFERROR(VLOOKUP(MID(AG594,4,1),Lists!$E$2:$F$8,2,FALSE),""))</f>
        <v/>
      </c>
      <c r="AQ594" s="29">
        <f>IFERROR(VLOOKUP(AP594,Lists!$A$2:$C$12,3,FALSE),"")</f>
        <v/>
      </c>
      <c r="AR594" s="29">
        <f>COUNTIF(W594:AC594,"Yes")</f>
        <v/>
      </c>
      <c r="AS594" s="29">
        <f>IF(TRIM(B594)="","Legal name missing; ","")&amp;IF(AND(AJ594&lt;&gt;"",AJ594&lt;&gt;"OK"),"GSTIN: "&amp;AJ594&amp;"; ","")&amp;IF(AND(AK594&lt;&gt;"",AK594&lt;&gt;"OK"),"PAN wrong format; ","")&amp;IF(AND(AO594&lt;&gt;"",LEN(AN594)=15,MID(AN594,3,10)&lt;&gt;AO594),"PAN does not match GSTIN; ","")&amp;IF(AND(AL594&lt;&gt;"",AL594&lt;&gt;"OK"),"TAN wrong format; ","")&amp;IF(AG594="","PAN missing; ","")&amp;IF(AP594="","Entity type missing; ","")&amp;IF(AND(AN594&lt;&gt;"",COUNTIF($AN$6:$AN$1005,AN594)&gt;1),"GSTIN repeated in this sheet; ","")&amp;IF(AND(AG594&lt;&gt;"",COUNTIF($AG$6:$AG$1005,AG594)&gt;1),"PAN repeated in this sheet (same client? put extra GSTINs in Other GSTINs); ","")&amp;IF(AND(AR594&gt;0,V594=""),"Financial year missing; ","")&amp;IF(AND(AR594=0,V594&lt;&gt;""),"Financial year given but no service is Yes; ","")&amp;IF(AND(W594="Yes",AN594=""),"GST needs a GSTIN; ","")&amp;IF(AND(W594="Yes",X594=""),"GST return frequency missing; ","")&amp;IF(AND(Y594="Yes",TRIM(H594)=""),"TDS needs a TAN; ","")&amp;IF(AND(AA594="Yes",AQ594&lt;&gt;"",AQ594&lt;&gt;"company",AQ594&lt;&gt;"llp"),"ROC is only for a company / LLP; ","")&amp;IF(AND(AA594="Yes",OR(AQ594="company",AQ594="llp"),TRIM(I594)=""),"ROC needs the CIN / LLPIN; ","")</f>
        <v/>
      </c>
    </row>
    <row r="595">
      <c r="A595" s="30" t="n"/>
      <c r="B595" s="31" t="n"/>
      <c r="C595" s="31" t="n"/>
      <c r="D595" s="31" t="n"/>
      <c r="E595" s="30" t="n"/>
      <c r="F595" s="30" t="n"/>
      <c r="G595" s="30" t="n"/>
      <c r="H595" s="30" t="n"/>
      <c r="I595" s="30" t="n"/>
      <c r="J595" s="32" t="n"/>
      <c r="K595" s="31" t="n"/>
      <c r="L595" s="30" t="n"/>
      <c r="M595" s="31" t="n"/>
      <c r="N595" s="31" t="n"/>
      <c r="O595" s="31" t="n"/>
      <c r="P595" s="30" t="n"/>
      <c r="Q595" s="31" t="n"/>
      <c r="R595" s="31" t="n"/>
      <c r="S595" s="31" t="n"/>
      <c r="T595" s="31" t="n"/>
      <c r="U595" s="30" t="n"/>
      <c r="V595" s="31" t="n"/>
      <c r="W595" s="31" t="n"/>
      <c r="X595" s="31" t="n"/>
      <c r="Y595" s="31" t="n"/>
      <c r="Z595" s="31" t="n"/>
      <c r="AA595" s="31" t="n"/>
      <c r="AB595" s="31" t="n"/>
      <c r="AC595" s="31" t="n"/>
      <c r="AD595" s="31" t="n"/>
      <c r="AE595" s="31" t="n"/>
      <c r="AF595" s="27">
        <f>IF(NOT(COUNTA(A595:AE595)&gt;0),"",IF(A595="","New client","Update"))</f>
        <v/>
      </c>
      <c r="AG595" s="27">
        <f>IF(AO595&lt;&gt;"",AO595,IF(LEN(AN595)=15,MID(AN595,3,10),""))</f>
        <v/>
      </c>
      <c r="AH595" s="27">
        <f>IF(AP595="","",AP595&amp;IF(D595="","  (guessed from PAN)",""))</f>
        <v/>
      </c>
      <c r="AI595" s="27">
        <f>IF(AN595="","",IFERROR(INDEX(Lists!$L$2:$L$38,MATCH(LEFT(AN595,2),Lists!$K$2:$K$38,0)),"Unknown code"))</f>
        <v/>
      </c>
      <c r="AJ595" s="27">
        <f>IF(AN595="","",IFERROR(IF(NOT(AND(LEN(AN595)=15,ISNUMBER(MATCH(LEFT(AN595,2),Lists!$K$2:$K$38,0)),SUMPRODUCT(--ISERROR(FIND(MID(MID(AN595,3,10),{1,2,3,4,5,10},1),"ABCDEFGHIJKLMNOPQRSTUVWXYZ")))=0,SUMPRODUCT(--ISERROR(FIND(MID(MID(AN595,3,10),{6,7,8,9},1),"0123456789")))=0,ISNUMBER(FIND(MID(AN595,13,1),"123456789ABCDEFGHIJKLMNOPQRSTUVWXYZ")),MID(AN595,14,1)="Z")),"Wrong format",IF(MID("0123456789ABCDEFGHIJKLMNOPQRSTUVWXYZ",MOD(36-MOD(SUMPRODUCT(INT((FIND(MID(AN595,{1,2,3,4,5,6,7,8,9,10,11,12,13,14},1),"0123456789ABCDEFGHIJKLMNOPQRSTUVWXYZ")-1)*{1,2,1,2,1,2,1,2,1,2,1,2,1,2}/36)+MOD((FIND(MID(AN595,{1,2,3,4,5,6,7,8,9,10,11,12,13,14},1),"0123456789ABCDEFGHIJKLMNOPQRSTUVWXYZ")-1)*{1,2,1,2,1,2,1,2,1,2,1,2,1,2},36)),36),36)+1,1)=MID(AN595,15,1),"OK","Typo? check digit wrong")),"Wrong format"))</f>
        <v/>
      </c>
      <c r="AK595" s="27">
        <f>IF(AO595="","",IF(AND(LEN(AO595)=10,SUMPRODUCT(--ISERROR(FIND(MID(AO595,{1,2,3,4,5,10},1),"ABCDEFGHIJKLMNOPQRSTUVWXYZ")))=0,SUMPRODUCT(--ISERROR(FIND(MID(AO595,{6,7,8,9},1),"0123456789")))=0),"OK","Wrong format"))</f>
        <v/>
      </c>
      <c r="AL595" s="27">
        <f>IF(TRIM(H595)="","",IF(AND(LEN(UPPER(TRIM(H595)))=10,SUMPRODUCT(--ISERROR(FIND(MID(UPPER(TRIM(H595)),{1,2,3,4,10},1),"ABCDEFGHIJKLMNOPQRSTUVWXYZ")))=0,SUMPRODUCT(--ISERROR(FIND(MID(UPPER(TRIM(H595)),{5,6,7,8,9},1),"0123456789")))=0),"OK","Wrong format"))</f>
        <v/>
      </c>
      <c r="AM595" s="28">
        <f>IF(NOT(COUNTA(A595:AE595)&gt;0),"",IF(AS595&lt;&gt;"","✖ "&amp;LEFT(AS595,LEN(AS595)-2),IF(AR595&gt;0,"✔ Ready — client + "&amp;AR595&amp;" service(s)","✔ Ready — client only")))</f>
        <v/>
      </c>
      <c r="AN595" s="29">
        <f>UPPER(SUBSTITUTE(TRIM(F595)," ",""))</f>
        <v/>
      </c>
      <c r="AO595" s="29">
        <f>UPPER(SUBSTITUTE(TRIM(E595)," ",""))</f>
        <v/>
      </c>
      <c r="AP595" s="29">
        <f>IF(D595&lt;&gt;"",D595,IFERROR(VLOOKUP(MID(AG595,4,1),Lists!$E$2:$F$8,2,FALSE),""))</f>
        <v/>
      </c>
      <c r="AQ595" s="29">
        <f>IFERROR(VLOOKUP(AP595,Lists!$A$2:$C$12,3,FALSE),"")</f>
        <v/>
      </c>
      <c r="AR595" s="29">
        <f>COUNTIF(W595:AC595,"Yes")</f>
        <v/>
      </c>
      <c r="AS595" s="29">
        <f>IF(TRIM(B595)="","Legal name missing; ","")&amp;IF(AND(AJ595&lt;&gt;"",AJ595&lt;&gt;"OK"),"GSTIN: "&amp;AJ595&amp;"; ","")&amp;IF(AND(AK595&lt;&gt;"",AK595&lt;&gt;"OK"),"PAN wrong format; ","")&amp;IF(AND(AO595&lt;&gt;"",LEN(AN595)=15,MID(AN595,3,10)&lt;&gt;AO595),"PAN does not match GSTIN; ","")&amp;IF(AND(AL595&lt;&gt;"",AL595&lt;&gt;"OK"),"TAN wrong format; ","")&amp;IF(AG595="","PAN missing; ","")&amp;IF(AP595="","Entity type missing; ","")&amp;IF(AND(AN595&lt;&gt;"",COUNTIF($AN$6:$AN$1005,AN595)&gt;1),"GSTIN repeated in this sheet; ","")&amp;IF(AND(AG595&lt;&gt;"",COUNTIF($AG$6:$AG$1005,AG595)&gt;1),"PAN repeated in this sheet (same client? put extra GSTINs in Other GSTINs); ","")&amp;IF(AND(AR595&gt;0,V595=""),"Financial year missing; ","")&amp;IF(AND(AR595=0,V595&lt;&gt;""),"Financial year given but no service is Yes; ","")&amp;IF(AND(W595="Yes",AN595=""),"GST needs a GSTIN; ","")&amp;IF(AND(W595="Yes",X595=""),"GST return frequency missing; ","")&amp;IF(AND(Y595="Yes",TRIM(H595)=""),"TDS needs a TAN; ","")&amp;IF(AND(AA595="Yes",AQ595&lt;&gt;"",AQ595&lt;&gt;"company",AQ595&lt;&gt;"llp"),"ROC is only for a company / LLP; ","")&amp;IF(AND(AA595="Yes",OR(AQ595="company",AQ595="llp"),TRIM(I595)=""),"ROC needs the CIN / LLPIN; ","")</f>
        <v/>
      </c>
    </row>
    <row r="596">
      <c r="A596" s="30" t="n"/>
      <c r="B596" s="31" t="n"/>
      <c r="C596" s="31" t="n"/>
      <c r="D596" s="31" t="n"/>
      <c r="E596" s="30" t="n"/>
      <c r="F596" s="30" t="n"/>
      <c r="G596" s="30" t="n"/>
      <c r="H596" s="30" t="n"/>
      <c r="I596" s="30" t="n"/>
      <c r="J596" s="32" t="n"/>
      <c r="K596" s="31" t="n"/>
      <c r="L596" s="30" t="n"/>
      <c r="M596" s="31" t="n"/>
      <c r="N596" s="31" t="n"/>
      <c r="O596" s="31" t="n"/>
      <c r="P596" s="30" t="n"/>
      <c r="Q596" s="31" t="n"/>
      <c r="R596" s="31" t="n"/>
      <c r="S596" s="31" t="n"/>
      <c r="T596" s="31" t="n"/>
      <c r="U596" s="30" t="n"/>
      <c r="V596" s="31" t="n"/>
      <c r="W596" s="31" t="n"/>
      <c r="X596" s="31" t="n"/>
      <c r="Y596" s="31" t="n"/>
      <c r="Z596" s="31" t="n"/>
      <c r="AA596" s="31" t="n"/>
      <c r="AB596" s="31" t="n"/>
      <c r="AC596" s="31" t="n"/>
      <c r="AD596" s="31" t="n"/>
      <c r="AE596" s="31" t="n"/>
      <c r="AF596" s="27">
        <f>IF(NOT(COUNTA(A596:AE596)&gt;0),"",IF(A596="","New client","Update"))</f>
        <v/>
      </c>
      <c r="AG596" s="27">
        <f>IF(AO596&lt;&gt;"",AO596,IF(LEN(AN596)=15,MID(AN596,3,10),""))</f>
        <v/>
      </c>
      <c r="AH596" s="27">
        <f>IF(AP596="","",AP596&amp;IF(D596="","  (guessed from PAN)",""))</f>
        <v/>
      </c>
      <c r="AI596" s="27">
        <f>IF(AN596="","",IFERROR(INDEX(Lists!$L$2:$L$38,MATCH(LEFT(AN596,2),Lists!$K$2:$K$38,0)),"Unknown code"))</f>
        <v/>
      </c>
      <c r="AJ596" s="27">
        <f>IF(AN596="","",IFERROR(IF(NOT(AND(LEN(AN596)=15,ISNUMBER(MATCH(LEFT(AN596,2),Lists!$K$2:$K$38,0)),SUMPRODUCT(--ISERROR(FIND(MID(MID(AN596,3,10),{1,2,3,4,5,10},1),"ABCDEFGHIJKLMNOPQRSTUVWXYZ")))=0,SUMPRODUCT(--ISERROR(FIND(MID(MID(AN596,3,10),{6,7,8,9},1),"0123456789")))=0,ISNUMBER(FIND(MID(AN596,13,1),"123456789ABCDEFGHIJKLMNOPQRSTUVWXYZ")),MID(AN596,14,1)="Z")),"Wrong format",IF(MID("0123456789ABCDEFGHIJKLMNOPQRSTUVWXYZ",MOD(36-MOD(SUMPRODUCT(INT((FIND(MID(AN596,{1,2,3,4,5,6,7,8,9,10,11,12,13,14},1),"0123456789ABCDEFGHIJKLMNOPQRSTUVWXYZ")-1)*{1,2,1,2,1,2,1,2,1,2,1,2,1,2}/36)+MOD((FIND(MID(AN596,{1,2,3,4,5,6,7,8,9,10,11,12,13,14},1),"0123456789ABCDEFGHIJKLMNOPQRSTUVWXYZ")-1)*{1,2,1,2,1,2,1,2,1,2,1,2,1,2},36)),36),36)+1,1)=MID(AN596,15,1),"OK","Typo? check digit wrong")),"Wrong format"))</f>
        <v/>
      </c>
      <c r="AK596" s="27">
        <f>IF(AO596="","",IF(AND(LEN(AO596)=10,SUMPRODUCT(--ISERROR(FIND(MID(AO596,{1,2,3,4,5,10},1),"ABCDEFGHIJKLMNOPQRSTUVWXYZ")))=0,SUMPRODUCT(--ISERROR(FIND(MID(AO596,{6,7,8,9},1),"0123456789")))=0),"OK","Wrong format"))</f>
        <v/>
      </c>
      <c r="AL596" s="27">
        <f>IF(TRIM(H596)="","",IF(AND(LEN(UPPER(TRIM(H596)))=10,SUMPRODUCT(--ISERROR(FIND(MID(UPPER(TRIM(H596)),{1,2,3,4,10},1),"ABCDEFGHIJKLMNOPQRSTUVWXYZ")))=0,SUMPRODUCT(--ISERROR(FIND(MID(UPPER(TRIM(H596)),{5,6,7,8,9},1),"0123456789")))=0),"OK","Wrong format"))</f>
        <v/>
      </c>
      <c r="AM596" s="28">
        <f>IF(NOT(COUNTA(A596:AE596)&gt;0),"",IF(AS596&lt;&gt;"","✖ "&amp;LEFT(AS596,LEN(AS596)-2),IF(AR596&gt;0,"✔ Ready — client + "&amp;AR596&amp;" service(s)","✔ Ready — client only")))</f>
        <v/>
      </c>
      <c r="AN596" s="29">
        <f>UPPER(SUBSTITUTE(TRIM(F596)," ",""))</f>
        <v/>
      </c>
      <c r="AO596" s="29">
        <f>UPPER(SUBSTITUTE(TRIM(E596)," ",""))</f>
        <v/>
      </c>
      <c r="AP596" s="29">
        <f>IF(D596&lt;&gt;"",D596,IFERROR(VLOOKUP(MID(AG596,4,1),Lists!$E$2:$F$8,2,FALSE),""))</f>
        <v/>
      </c>
      <c r="AQ596" s="29">
        <f>IFERROR(VLOOKUP(AP596,Lists!$A$2:$C$12,3,FALSE),"")</f>
        <v/>
      </c>
      <c r="AR596" s="29">
        <f>COUNTIF(W596:AC596,"Yes")</f>
        <v/>
      </c>
      <c r="AS596" s="29">
        <f>IF(TRIM(B596)="","Legal name missing; ","")&amp;IF(AND(AJ596&lt;&gt;"",AJ596&lt;&gt;"OK"),"GSTIN: "&amp;AJ596&amp;"; ","")&amp;IF(AND(AK596&lt;&gt;"",AK596&lt;&gt;"OK"),"PAN wrong format; ","")&amp;IF(AND(AO596&lt;&gt;"",LEN(AN596)=15,MID(AN596,3,10)&lt;&gt;AO596),"PAN does not match GSTIN; ","")&amp;IF(AND(AL596&lt;&gt;"",AL596&lt;&gt;"OK"),"TAN wrong format; ","")&amp;IF(AG596="","PAN missing; ","")&amp;IF(AP596="","Entity type missing; ","")&amp;IF(AND(AN596&lt;&gt;"",COUNTIF($AN$6:$AN$1005,AN596)&gt;1),"GSTIN repeated in this sheet; ","")&amp;IF(AND(AG596&lt;&gt;"",COUNTIF($AG$6:$AG$1005,AG596)&gt;1),"PAN repeated in this sheet (same client? put extra GSTINs in Other GSTINs); ","")&amp;IF(AND(AR596&gt;0,V596=""),"Financial year missing; ","")&amp;IF(AND(AR596=0,V596&lt;&gt;""),"Financial year given but no service is Yes; ","")&amp;IF(AND(W596="Yes",AN596=""),"GST needs a GSTIN; ","")&amp;IF(AND(W596="Yes",X596=""),"GST return frequency missing; ","")&amp;IF(AND(Y596="Yes",TRIM(H596)=""),"TDS needs a TAN; ","")&amp;IF(AND(AA596="Yes",AQ596&lt;&gt;"",AQ596&lt;&gt;"company",AQ596&lt;&gt;"llp"),"ROC is only for a company / LLP; ","")&amp;IF(AND(AA596="Yes",OR(AQ596="company",AQ596="llp"),TRIM(I596)=""),"ROC needs the CIN / LLPIN; ","")</f>
        <v/>
      </c>
    </row>
    <row r="597">
      <c r="A597" s="30" t="n"/>
      <c r="B597" s="31" t="n"/>
      <c r="C597" s="31" t="n"/>
      <c r="D597" s="31" t="n"/>
      <c r="E597" s="30" t="n"/>
      <c r="F597" s="30" t="n"/>
      <c r="G597" s="30" t="n"/>
      <c r="H597" s="30" t="n"/>
      <c r="I597" s="30" t="n"/>
      <c r="J597" s="32" t="n"/>
      <c r="K597" s="31" t="n"/>
      <c r="L597" s="30" t="n"/>
      <c r="M597" s="31" t="n"/>
      <c r="N597" s="31" t="n"/>
      <c r="O597" s="31" t="n"/>
      <c r="P597" s="30" t="n"/>
      <c r="Q597" s="31" t="n"/>
      <c r="R597" s="31" t="n"/>
      <c r="S597" s="31" t="n"/>
      <c r="T597" s="31" t="n"/>
      <c r="U597" s="30" t="n"/>
      <c r="V597" s="31" t="n"/>
      <c r="W597" s="31" t="n"/>
      <c r="X597" s="31" t="n"/>
      <c r="Y597" s="31" t="n"/>
      <c r="Z597" s="31" t="n"/>
      <c r="AA597" s="31" t="n"/>
      <c r="AB597" s="31" t="n"/>
      <c r="AC597" s="31" t="n"/>
      <c r="AD597" s="31" t="n"/>
      <c r="AE597" s="31" t="n"/>
      <c r="AF597" s="27">
        <f>IF(NOT(COUNTA(A597:AE597)&gt;0),"",IF(A597="","New client","Update"))</f>
        <v/>
      </c>
      <c r="AG597" s="27">
        <f>IF(AO597&lt;&gt;"",AO597,IF(LEN(AN597)=15,MID(AN597,3,10),""))</f>
        <v/>
      </c>
      <c r="AH597" s="27">
        <f>IF(AP597="","",AP597&amp;IF(D597="","  (guessed from PAN)",""))</f>
        <v/>
      </c>
      <c r="AI597" s="27">
        <f>IF(AN597="","",IFERROR(INDEX(Lists!$L$2:$L$38,MATCH(LEFT(AN597,2),Lists!$K$2:$K$38,0)),"Unknown code"))</f>
        <v/>
      </c>
      <c r="AJ597" s="27">
        <f>IF(AN597="","",IFERROR(IF(NOT(AND(LEN(AN597)=15,ISNUMBER(MATCH(LEFT(AN597,2),Lists!$K$2:$K$38,0)),SUMPRODUCT(--ISERROR(FIND(MID(MID(AN597,3,10),{1,2,3,4,5,10},1),"ABCDEFGHIJKLMNOPQRSTUVWXYZ")))=0,SUMPRODUCT(--ISERROR(FIND(MID(MID(AN597,3,10),{6,7,8,9},1),"0123456789")))=0,ISNUMBER(FIND(MID(AN597,13,1),"123456789ABCDEFGHIJKLMNOPQRSTUVWXYZ")),MID(AN597,14,1)="Z")),"Wrong format",IF(MID("0123456789ABCDEFGHIJKLMNOPQRSTUVWXYZ",MOD(36-MOD(SUMPRODUCT(INT((FIND(MID(AN597,{1,2,3,4,5,6,7,8,9,10,11,12,13,14},1),"0123456789ABCDEFGHIJKLMNOPQRSTUVWXYZ")-1)*{1,2,1,2,1,2,1,2,1,2,1,2,1,2}/36)+MOD((FIND(MID(AN597,{1,2,3,4,5,6,7,8,9,10,11,12,13,14},1),"0123456789ABCDEFGHIJKLMNOPQRSTUVWXYZ")-1)*{1,2,1,2,1,2,1,2,1,2,1,2,1,2},36)),36),36)+1,1)=MID(AN597,15,1),"OK","Typo? check digit wrong")),"Wrong format"))</f>
        <v/>
      </c>
      <c r="AK597" s="27">
        <f>IF(AO597="","",IF(AND(LEN(AO597)=10,SUMPRODUCT(--ISERROR(FIND(MID(AO597,{1,2,3,4,5,10},1),"ABCDEFGHIJKLMNOPQRSTUVWXYZ")))=0,SUMPRODUCT(--ISERROR(FIND(MID(AO597,{6,7,8,9},1),"0123456789")))=0),"OK","Wrong format"))</f>
        <v/>
      </c>
      <c r="AL597" s="27">
        <f>IF(TRIM(H597)="","",IF(AND(LEN(UPPER(TRIM(H597)))=10,SUMPRODUCT(--ISERROR(FIND(MID(UPPER(TRIM(H597)),{1,2,3,4,10},1),"ABCDEFGHIJKLMNOPQRSTUVWXYZ")))=0,SUMPRODUCT(--ISERROR(FIND(MID(UPPER(TRIM(H597)),{5,6,7,8,9},1),"0123456789")))=0),"OK","Wrong format"))</f>
        <v/>
      </c>
      <c r="AM597" s="28">
        <f>IF(NOT(COUNTA(A597:AE597)&gt;0),"",IF(AS597&lt;&gt;"","✖ "&amp;LEFT(AS597,LEN(AS597)-2),IF(AR597&gt;0,"✔ Ready — client + "&amp;AR597&amp;" service(s)","✔ Ready — client only")))</f>
        <v/>
      </c>
      <c r="AN597" s="29">
        <f>UPPER(SUBSTITUTE(TRIM(F597)," ",""))</f>
        <v/>
      </c>
      <c r="AO597" s="29">
        <f>UPPER(SUBSTITUTE(TRIM(E597)," ",""))</f>
        <v/>
      </c>
      <c r="AP597" s="29">
        <f>IF(D597&lt;&gt;"",D597,IFERROR(VLOOKUP(MID(AG597,4,1),Lists!$E$2:$F$8,2,FALSE),""))</f>
        <v/>
      </c>
      <c r="AQ597" s="29">
        <f>IFERROR(VLOOKUP(AP597,Lists!$A$2:$C$12,3,FALSE),"")</f>
        <v/>
      </c>
      <c r="AR597" s="29">
        <f>COUNTIF(W597:AC597,"Yes")</f>
        <v/>
      </c>
      <c r="AS597" s="29">
        <f>IF(TRIM(B597)="","Legal name missing; ","")&amp;IF(AND(AJ597&lt;&gt;"",AJ597&lt;&gt;"OK"),"GSTIN: "&amp;AJ597&amp;"; ","")&amp;IF(AND(AK597&lt;&gt;"",AK597&lt;&gt;"OK"),"PAN wrong format; ","")&amp;IF(AND(AO597&lt;&gt;"",LEN(AN597)=15,MID(AN597,3,10)&lt;&gt;AO597),"PAN does not match GSTIN; ","")&amp;IF(AND(AL597&lt;&gt;"",AL597&lt;&gt;"OK"),"TAN wrong format; ","")&amp;IF(AG597="","PAN missing; ","")&amp;IF(AP597="","Entity type missing; ","")&amp;IF(AND(AN597&lt;&gt;"",COUNTIF($AN$6:$AN$1005,AN597)&gt;1),"GSTIN repeated in this sheet; ","")&amp;IF(AND(AG597&lt;&gt;"",COUNTIF($AG$6:$AG$1005,AG597)&gt;1),"PAN repeated in this sheet (same client? put extra GSTINs in Other GSTINs); ","")&amp;IF(AND(AR597&gt;0,V597=""),"Financial year missing; ","")&amp;IF(AND(AR597=0,V597&lt;&gt;""),"Financial year given but no service is Yes; ","")&amp;IF(AND(W597="Yes",AN597=""),"GST needs a GSTIN; ","")&amp;IF(AND(W597="Yes",X597=""),"GST return frequency missing; ","")&amp;IF(AND(Y597="Yes",TRIM(H597)=""),"TDS needs a TAN; ","")&amp;IF(AND(AA597="Yes",AQ597&lt;&gt;"",AQ597&lt;&gt;"company",AQ597&lt;&gt;"llp"),"ROC is only for a company / LLP; ","")&amp;IF(AND(AA597="Yes",OR(AQ597="company",AQ597="llp"),TRIM(I597)=""),"ROC needs the CIN / LLPIN; ","")</f>
        <v/>
      </c>
    </row>
    <row r="598">
      <c r="A598" s="30" t="n"/>
      <c r="B598" s="31" t="n"/>
      <c r="C598" s="31" t="n"/>
      <c r="D598" s="31" t="n"/>
      <c r="E598" s="30" t="n"/>
      <c r="F598" s="30" t="n"/>
      <c r="G598" s="30" t="n"/>
      <c r="H598" s="30" t="n"/>
      <c r="I598" s="30" t="n"/>
      <c r="J598" s="32" t="n"/>
      <c r="K598" s="31" t="n"/>
      <c r="L598" s="30" t="n"/>
      <c r="M598" s="31" t="n"/>
      <c r="N598" s="31" t="n"/>
      <c r="O598" s="31" t="n"/>
      <c r="P598" s="30" t="n"/>
      <c r="Q598" s="31" t="n"/>
      <c r="R598" s="31" t="n"/>
      <c r="S598" s="31" t="n"/>
      <c r="T598" s="31" t="n"/>
      <c r="U598" s="30" t="n"/>
      <c r="V598" s="31" t="n"/>
      <c r="W598" s="31" t="n"/>
      <c r="X598" s="31" t="n"/>
      <c r="Y598" s="31" t="n"/>
      <c r="Z598" s="31" t="n"/>
      <c r="AA598" s="31" t="n"/>
      <c r="AB598" s="31" t="n"/>
      <c r="AC598" s="31" t="n"/>
      <c r="AD598" s="31" t="n"/>
      <c r="AE598" s="31" t="n"/>
      <c r="AF598" s="27">
        <f>IF(NOT(COUNTA(A598:AE598)&gt;0),"",IF(A598="","New client","Update"))</f>
        <v/>
      </c>
      <c r="AG598" s="27">
        <f>IF(AO598&lt;&gt;"",AO598,IF(LEN(AN598)=15,MID(AN598,3,10),""))</f>
        <v/>
      </c>
      <c r="AH598" s="27">
        <f>IF(AP598="","",AP598&amp;IF(D598="","  (guessed from PAN)",""))</f>
        <v/>
      </c>
      <c r="AI598" s="27">
        <f>IF(AN598="","",IFERROR(INDEX(Lists!$L$2:$L$38,MATCH(LEFT(AN598,2),Lists!$K$2:$K$38,0)),"Unknown code"))</f>
        <v/>
      </c>
      <c r="AJ598" s="27">
        <f>IF(AN598="","",IFERROR(IF(NOT(AND(LEN(AN598)=15,ISNUMBER(MATCH(LEFT(AN598,2),Lists!$K$2:$K$38,0)),SUMPRODUCT(--ISERROR(FIND(MID(MID(AN598,3,10),{1,2,3,4,5,10},1),"ABCDEFGHIJKLMNOPQRSTUVWXYZ")))=0,SUMPRODUCT(--ISERROR(FIND(MID(MID(AN598,3,10),{6,7,8,9},1),"0123456789")))=0,ISNUMBER(FIND(MID(AN598,13,1),"123456789ABCDEFGHIJKLMNOPQRSTUVWXYZ")),MID(AN598,14,1)="Z")),"Wrong format",IF(MID("0123456789ABCDEFGHIJKLMNOPQRSTUVWXYZ",MOD(36-MOD(SUMPRODUCT(INT((FIND(MID(AN598,{1,2,3,4,5,6,7,8,9,10,11,12,13,14},1),"0123456789ABCDEFGHIJKLMNOPQRSTUVWXYZ")-1)*{1,2,1,2,1,2,1,2,1,2,1,2,1,2}/36)+MOD((FIND(MID(AN598,{1,2,3,4,5,6,7,8,9,10,11,12,13,14},1),"0123456789ABCDEFGHIJKLMNOPQRSTUVWXYZ")-1)*{1,2,1,2,1,2,1,2,1,2,1,2,1,2},36)),36),36)+1,1)=MID(AN598,15,1),"OK","Typo? check digit wrong")),"Wrong format"))</f>
        <v/>
      </c>
      <c r="AK598" s="27">
        <f>IF(AO598="","",IF(AND(LEN(AO598)=10,SUMPRODUCT(--ISERROR(FIND(MID(AO598,{1,2,3,4,5,10},1),"ABCDEFGHIJKLMNOPQRSTUVWXYZ")))=0,SUMPRODUCT(--ISERROR(FIND(MID(AO598,{6,7,8,9},1),"0123456789")))=0),"OK","Wrong format"))</f>
        <v/>
      </c>
      <c r="AL598" s="27">
        <f>IF(TRIM(H598)="","",IF(AND(LEN(UPPER(TRIM(H598)))=10,SUMPRODUCT(--ISERROR(FIND(MID(UPPER(TRIM(H598)),{1,2,3,4,10},1),"ABCDEFGHIJKLMNOPQRSTUVWXYZ")))=0,SUMPRODUCT(--ISERROR(FIND(MID(UPPER(TRIM(H598)),{5,6,7,8,9},1),"0123456789")))=0),"OK","Wrong format"))</f>
        <v/>
      </c>
      <c r="AM598" s="28">
        <f>IF(NOT(COUNTA(A598:AE598)&gt;0),"",IF(AS598&lt;&gt;"","✖ "&amp;LEFT(AS598,LEN(AS598)-2),IF(AR598&gt;0,"✔ Ready — client + "&amp;AR598&amp;" service(s)","✔ Ready — client only")))</f>
        <v/>
      </c>
      <c r="AN598" s="29">
        <f>UPPER(SUBSTITUTE(TRIM(F598)," ",""))</f>
        <v/>
      </c>
      <c r="AO598" s="29">
        <f>UPPER(SUBSTITUTE(TRIM(E598)," ",""))</f>
        <v/>
      </c>
      <c r="AP598" s="29">
        <f>IF(D598&lt;&gt;"",D598,IFERROR(VLOOKUP(MID(AG598,4,1),Lists!$E$2:$F$8,2,FALSE),""))</f>
        <v/>
      </c>
      <c r="AQ598" s="29">
        <f>IFERROR(VLOOKUP(AP598,Lists!$A$2:$C$12,3,FALSE),"")</f>
        <v/>
      </c>
      <c r="AR598" s="29">
        <f>COUNTIF(W598:AC598,"Yes")</f>
        <v/>
      </c>
      <c r="AS598" s="29">
        <f>IF(TRIM(B598)="","Legal name missing; ","")&amp;IF(AND(AJ598&lt;&gt;"",AJ598&lt;&gt;"OK"),"GSTIN: "&amp;AJ598&amp;"; ","")&amp;IF(AND(AK598&lt;&gt;"",AK598&lt;&gt;"OK"),"PAN wrong format; ","")&amp;IF(AND(AO598&lt;&gt;"",LEN(AN598)=15,MID(AN598,3,10)&lt;&gt;AO598),"PAN does not match GSTIN; ","")&amp;IF(AND(AL598&lt;&gt;"",AL598&lt;&gt;"OK"),"TAN wrong format; ","")&amp;IF(AG598="","PAN missing; ","")&amp;IF(AP598="","Entity type missing; ","")&amp;IF(AND(AN598&lt;&gt;"",COUNTIF($AN$6:$AN$1005,AN598)&gt;1),"GSTIN repeated in this sheet; ","")&amp;IF(AND(AG598&lt;&gt;"",COUNTIF($AG$6:$AG$1005,AG598)&gt;1),"PAN repeated in this sheet (same client? put extra GSTINs in Other GSTINs); ","")&amp;IF(AND(AR598&gt;0,V598=""),"Financial year missing; ","")&amp;IF(AND(AR598=0,V598&lt;&gt;""),"Financial year given but no service is Yes; ","")&amp;IF(AND(W598="Yes",AN598=""),"GST needs a GSTIN; ","")&amp;IF(AND(W598="Yes",X598=""),"GST return frequency missing; ","")&amp;IF(AND(Y598="Yes",TRIM(H598)=""),"TDS needs a TAN; ","")&amp;IF(AND(AA598="Yes",AQ598&lt;&gt;"",AQ598&lt;&gt;"company",AQ598&lt;&gt;"llp"),"ROC is only for a company / LLP; ","")&amp;IF(AND(AA598="Yes",OR(AQ598="company",AQ598="llp"),TRIM(I598)=""),"ROC needs the CIN / LLPIN; ","")</f>
        <v/>
      </c>
    </row>
    <row r="599">
      <c r="A599" s="30" t="n"/>
      <c r="B599" s="31" t="n"/>
      <c r="C599" s="31" t="n"/>
      <c r="D599" s="31" t="n"/>
      <c r="E599" s="30" t="n"/>
      <c r="F599" s="30" t="n"/>
      <c r="G599" s="30" t="n"/>
      <c r="H599" s="30" t="n"/>
      <c r="I599" s="30" t="n"/>
      <c r="J599" s="32" t="n"/>
      <c r="K599" s="31" t="n"/>
      <c r="L599" s="30" t="n"/>
      <c r="M599" s="31" t="n"/>
      <c r="N599" s="31" t="n"/>
      <c r="O599" s="31" t="n"/>
      <c r="P599" s="30" t="n"/>
      <c r="Q599" s="31" t="n"/>
      <c r="R599" s="31" t="n"/>
      <c r="S599" s="31" t="n"/>
      <c r="T599" s="31" t="n"/>
      <c r="U599" s="30" t="n"/>
      <c r="V599" s="31" t="n"/>
      <c r="W599" s="31" t="n"/>
      <c r="X599" s="31" t="n"/>
      <c r="Y599" s="31" t="n"/>
      <c r="Z599" s="31" t="n"/>
      <c r="AA599" s="31" t="n"/>
      <c r="AB599" s="31" t="n"/>
      <c r="AC599" s="31" t="n"/>
      <c r="AD599" s="31" t="n"/>
      <c r="AE599" s="31" t="n"/>
      <c r="AF599" s="27">
        <f>IF(NOT(COUNTA(A599:AE599)&gt;0),"",IF(A599="","New client","Update"))</f>
        <v/>
      </c>
      <c r="AG599" s="27">
        <f>IF(AO599&lt;&gt;"",AO599,IF(LEN(AN599)=15,MID(AN599,3,10),""))</f>
        <v/>
      </c>
      <c r="AH599" s="27">
        <f>IF(AP599="","",AP599&amp;IF(D599="","  (guessed from PAN)",""))</f>
        <v/>
      </c>
      <c r="AI599" s="27">
        <f>IF(AN599="","",IFERROR(INDEX(Lists!$L$2:$L$38,MATCH(LEFT(AN599,2),Lists!$K$2:$K$38,0)),"Unknown code"))</f>
        <v/>
      </c>
      <c r="AJ599" s="27">
        <f>IF(AN599="","",IFERROR(IF(NOT(AND(LEN(AN599)=15,ISNUMBER(MATCH(LEFT(AN599,2),Lists!$K$2:$K$38,0)),SUMPRODUCT(--ISERROR(FIND(MID(MID(AN599,3,10),{1,2,3,4,5,10},1),"ABCDEFGHIJKLMNOPQRSTUVWXYZ")))=0,SUMPRODUCT(--ISERROR(FIND(MID(MID(AN599,3,10),{6,7,8,9},1),"0123456789")))=0,ISNUMBER(FIND(MID(AN599,13,1),"123456789ABCDEFGHIJKLMNOPQRSTUVWXYZ")),MID(AN599,14,1)="Z")),"Wrong format",IF(MID("0123456789ABCDEFGHIJKLMNOPQRSTUVWXYZ",MOD(36-MOD(SUMPRODUCT(INT((FIND(MID(AN599,{1,2,3,4,5,6,7,8,9,10,11,12,13,14},1),"0123456789ABCDEFGHIJKLMNOPQRSTUVWXYZ")-1)*{1,2,1,2,1,2,1,2,1,2,1,2,1,2}/36)+MOD((FIND(MID(AN599,{1,2,3,4,5,6,7,8,9,10,11,12,13,14},1),"0123456789ABCDEFGHIJKLMNOPQRSTUVWXYZ")-1)*{1,2,1,2,1,2,1,2,1,2,1,2,1,2},36)),36),36)+1,1)=MID(AN599,15,1),"OK","Typo? check digit wrong")),"Wrong format"))</f>
        <v/>
      </c>
      <c r="AK599" s="27">
        <f>IF(AO599="","",IF(AND(LEN(AO599)=10,SUMPRODUCT(--ISERROR(FIND(MID(AO599,{1,2,3,4,5,10},1),"ABCDEFGHIJKLMNOPQRSTUVWXYZ")))=0,SUMPRODUCT(--ISERROR(FIND(MID(AO599,{6,7,8,9},1),"0123456789")))=0),"OK","Wrong format"))</f>
        <v/>
      </c>
      <c r="AL599" s="27">
        <f>IF(TRIM(H599)="","",IF(AND(LEN(UPPER(TRIM(H599)))=10,SUMPRODUCT(--ISERROR(FIND(MID(UPPER(TRIM(H599)),{1,2,3,4,10},1),"ABCDEFGHIJKLMNOPQRSTUVWXYZ")))=0,SUMPRODUCT(--ISERROR(FIND(MID(UPPER(TRIM(H599)),{5,6,7,8,9},1),"0123456789")))=0),"OK","Wrong format"))</f>
        <v/>
      </c>
      <c r="AM599" s="28">
        <f>IF(NOT(COUNTA(A599:AE599)&gt;0),"",IF(AS599&lt;&gt;"","✖ "&amp;LEFT(AS599,LEN(AS599)-2),IF(AR599&gt;0,"✔ Ready — client + "&amp;AR599&amp;" service(s)","✔ Ready — client only")))</f>
        <v/>
      </c>
      <c r="AN599" s="29">
        <f>UPPER(SUBSTITUTE(TRIM(F599)," ",""))</f>
        <v/>
      </c>
      <c r="AO599" s="29">
        <f>UPPER(SUBSTITUTE(TRIM(E599)," ",""))</f>
        <v/>
      </c>
      <c r="AP599" s="29">
        <f>IF(D599&lt;&gt;"",D599,IFERROR(VLOOKUP(MID(AG599,4,1),Lists!$E$2:$F$8,2,FALSE),""))</f>
        <v/>
      </c>
      <c r="AQ599" s="29">
        <f>IFERROR(VLOOKUP(AP599,Lists!$A$2:$C$12,3,FALSE),"")</f>
        <v/>
      </c>
      <c r="AR599" s="29">
        <f>COUNTIF(W599:AC599,"Yes")</f>
        <v/>
      </c>
      <c r="AS599" s="29">
        <f>IF(TRIM(B599)="","Legal name missing; ","")&amp;IF(AND(AJ599&lt;&gt;"",AJ599&lt;&gt;"OK"),"GSTIN: "&amp;AJ599&amp;"; ","")&amp;IF(AND(AK599&lt;&gt;"",AK599&lt;&gt;"OK"),"PAN wrong format; ","")&amp;IF(AND(AO599&lt;&gt;"",LEN(AN599)=15,MID(AN599,3,10)&lt;&gt;AO599),"PAN does not match GSTIN; ","")&amp;IF(AND(AL599&lt;&gt;"",AL599&lt;&gt;"OK"),"TAN wrong format; ","")&amp;IF(AG599="","PAN missing; ","")&amp;IF(AP599="","Entity type missing; ","")&amp;IF(AND(AN599&lt;&gt;"",COUNTIF($AN$6:$AN$1005,AN599)&gt;1),"GSTIN repeated in this sheet; ","")&amp;IF(AND(AG599&lt;&gt;"",COUNTIF($AG$6:$AG$1005,AG599)&gt;1),"PAN repeated in this sheet (same client? put extra GSTINs in Other GSTINs); ","")&amp;IF(AND(AR599&gt;0,V599=""),"Financial year missing; ","")&amp;IF(AND(AR599=0,V599&lt;&gt;""),"Financial year given but no service is Yes; ","")&amp;IF(AND(W599="Yes",AN599=""),"GST needs a GSTIN; ","")&amp;IF(AND(W599="Yes",X599=""),"GST return frequency missing; ","")&amp;IF(AND(Y599="Yes",TRIM(H599)=""),"TDS needs a TAN; ","")&amp;IF(AND(AA599="Yes",AQ599&lt;&gt;"",AQ599&lt;&gt;"company",AQ599&lt;&gt;"llp"),"ROC is only for a company / LLP; ","")&amp;IF(AND(AA599="Yes",OR(AQ599="company",AQ599="llp"),TRIM(I599)=""),"ROC needs the CIN / LLPIN; ","")</f>
        <v/>
      </c>
    </row>
    <row r="600">
      <c r="A600" s="30" t="n"/>
      <c r="B600" s="31" t="n"/>
      <c r="C600" s="31" t="n"/>
      <c r="D600" s="31" t="n"/>
      <c r="E600" s="30" t="n"/>
      <c r="F600" s="30" t="n"/>
      <c r="G600" s="30" t="n"/>
      <c r="H600" s="30" t="n"/>
      <c r="I600" s="30" t="n"/>
      <c r="J600" s="32" t="n"/>
      <c r="K600" s="31" t="n"/>
      <c r="L600" s="30" t="n"/>
      <c r="M600" s="31" t="n"/>
      <c r="N600" s="31" t="n"/>
      <c r="O600" s="31" t="n"/>
      <c r="P600" s="30" t="n"/>
      <c r="Q600" s="31" t="n"/>
      <c r="R600" s="31" t="n"/>
      <c r="S600" s="31" t="n"/>
      <c r="T600" s="31" t="n"/>
      <c r="U600" s="30" t="n"/>
      <c r="V600" s="31" t="n"/>
      <c r="W600" s="31" t="n"/>
      <c r="X600" s="31" t="n"/>
      <c r="Y600" s="31" t="n"/>
      <c r="Z600" s="31" t="n"/>
      <c r="AA600" s="31" t="n"/>
      <c r="AB600" s="31" t="n"/>
      <c r="AC600" s="31" t="n"/>
      <c r="AD600" s="31" t="n"/>
      <c r="AE600" s="31" t="n"/>
      <c r="AF600" s="27">
        <f>IF(NOT(COUNTA(A600:AE600)&gt;0),"",IF(A600="","New client","Update"))</f>
        <v/>
      </c>
      <c r="AG600" s="27">
        <f>IF(AO600&lt;&gt;"",AO600,IF(LEN(AN600)=15,MID(AN600,3,10),""))</f>
        <v/>
      </c>
      <c r="AH600" s="27">
        <f>IF(AP600="","",AP600&amp;IF(D600="","  (guessed from PAN)",""))</f>
        <v/>
      </c>
      <c r="AI600" s="27">
        <f>IF(AN600="","",IFERROR(INDEX(Lists!$L$2:$L$38,MATCH(LEFT(AN600,2),Lists!$K$2:$K$38,0)),"Unknown code"))</f>
        <v/>
      </c>
      <c r="AJ600" s="27">
        <f>IF(AN600="","",IFERROR(IF(NOT(AND(LEN(AN600)=15,ISNUMBER(MATCH(LEFT(AN600,2),Lists!$K$2:$K$38,0)),SUMPRODUCT(--ISERROR(FIND(MID(MID(AN600,3,10),{1,2,3,4,5,10},1),"ABCDEFGHIJKLMNOPQRSTUVWXYZ")))=0,SUMPRODUCT(--ISERROR(FIND(MID(MID(AN600,3,10),{6,7,8,9},1),"0123456789")))=0,ISNUMBER(FIND(MID(AN600,13,1),"123456789ABCDEFGHIJKLMNOPQRSTUVWXYZ")),MID(AN600,14,1)="Z")),"Wrong format",IF(MID("0123456789ABCDEFGHIJKLMNOPQRSTUVWXYZ",MOD(36-MOD(SUMPRODUCT(INT((FIND(MID(AN600,{1,2,3,4,5,6,7,8,9,10,11,12,13,14},1),"0123456789ABCDEFGHIJKLMNOPQRSTUVWXYZ")-1)*{1,2,1,2,1,2,1,2,1,2,1,2,1,2}/36)+MOD((FIND(MID(AN600,{1,2,3,4,5,6,7,8,9,10,11,12,13,14},1),"0123456789ABCDEFGHIJKLMNOPQRSTUVWXYZ")-1)*{1,2,1,2,1,2,1,2,1,2,1,2,1,2},36)),36),36)+1,1)=MID(AN600,15,1),"OK","Typo? check digit wrong")),"Wrong format"))</f>
        <v/>
      </c>
      <c r="AK600" s="27">
        <f>IF(AO600="","",IF(AND(LEN(AO600)=10,SUMPRODUCT(--ISERROR(FIND(MID(AO600,{1,2,3,4,5,10},1),"ABCDEFGHIJKLMNOPQRSTUVWXYZ")))=0,SUMPRODUCT(--ISERROR(FIND(MID(AO600,{6,7,8,9},1),"0123456789")))=0),"OK","Wrong format"))</f>
        <v/>
      </c>
      <c r="AL600" s="27">
        <f>IF(TRIM(H600)="","",IF(AND(LEN(UPPER(TRIM(H600)))=10,SUMPRODUCT(--ISERROR(FIND(MID(UPPER(TRIM(H600)),{1,2,3,4,10},1),"ABCDEFGHIJKLMNOPQRSTUVWXYZ")))=0,SUMPRODUCT(--ISERROR(FIND(MID(UPPER(TRIM(H600)),{5,6,7,8,9},1),"0123456789")))=0),"OK","Wrong format"))</f>
        <v/>
      </c>
      <c r="AM600" s="28">
        <f>IF(NOT(COUNTA(A600:AE600)&gt;0),"",IF(AS600&lt;&gt;"","✖ "&amp;LEFT(AS600,LEN(AS600)-2),IF(AR600&gt;0,"✔ Ready — client + "&amp;AR600&amp;" service(s)","✔ Ready — client only")))</f>
        <v/>
      </c>
      <c r="AN600" s="29">
        <f>UPPER(SUBSTITUTE(TRIM(F600)," ",""))</f>
        <v/>
      </c>
      <c r="AO600" s="29">
        <f>UPPER(SUBSTITUTE(TRIM(E600)," ",""))</f>
        <v/>
      </c>
      <c r="AP600" s="29">
        <f>IF(D600&lt;&gt;"",D600,IFERROR(VLOOKUP(MID(AG600,4,1),Lists!$E$2:$F$8,2,FALSE),""))</f>
        <v/>
      </c>
      <c r="AQ600" s="29">
        <f>IFERROR(VLOOKUP(AP600,Lists!$A$2:$C$12,3,FALSE),"")</f>
        <v/>
      </c>
      <c r="AR600" s="29">
        <f>COUNTIF(W600:AC600,"Yes")</f>
        <v/>
      </c>
      <c r="AS600" s="29">
        <f>IF(TRIM(B600)="","Legal name missing; ","")&amp;IF(AND(AJ600&lt;&gt;"",AJ600&lt;&gt;"OK"),"GSTIN: "&amp;AJ600&amp;"; ","")&amp;IF(AND(AK600&lt;&gt;"",AK600&lt;&gt;"OK"),"PAN wrong format; ","")&amp;IF(AND(AO600&lt;&gt;"",LEN(AN600)=15,MID(AN600,3,10)&lt;&gt;AO600),"PAN does not match GSTIN; ","")&amp;IF(AND(AL600&lt;&gt;"",AL600&lt;&gt;"OK"),"TAN wrong format; ","")&amp;IF(AG600="","PAN missing; ","")&amp;IF(AP600="","Entity type missing; ","")&amp;IF(AND(AN600&lt;&gt;"",COUNTIF($AN$6:$AN$1005,AN600)&gt;1),"GSTIN repeated in this sheet; ","")&amp;IF(AND(AG600&lt;&gt;"",COUNTIF($AG$6:$AG$1005,AG600)&gt;1),"PAN repeated in this sheet (same client? put extra GSTINs in Other GSTINs); ","")&amp;IF(AND(AR600&gt;0,V600=""),"Financial year missing; ","")&amp;IF(AND(AR600=0,V600&lt;&gt;""),"Financial year given but no service is Yes; ","")&amp;IF(AND(W600="Yes",AN600=""),"GST needs a GSTIN; ","")&amp;IF(AND(W600="Yes",X600=""),"GST return frequency missing; ","")&amp;IF(AND(Y600="Yes",TRIM(H600)=""),"TDS needs a TAN; ","")&amp;IF(AND(AA600="Yes",AQ600&lt;&gt;"",AQ600&lt;&gt;"company",AQ600&lt;&gt;"llp"),"ROC is only for a company / LLP; ","")&amp;IF(AND(AA600="Yes",OR(AQ600="company",AQ600="llp"),TRIM(I600)=""),"ROC needs the CIN / LLPIN; ","")</f>
        <v/>
      </c>
    </row>
    <row r="601">
      <c r="A601" s="30" t="n"/>
      <c r="B601" s="31" t="n"/>
      <c r="C601" s="31" t="n"/>
      <c r="D601" s="31" t="n"/>
      <c r="E601" s="30" t="n"/>
      <c r="F601" s="30" t="n"/>
      <c r="G601" s="30" t="n"/>
      <c r="H601" s="30" t="n"/>
      <c r="I601" s="30" t="n"/>
      <c r="J601" s="32" t="n"/>
      <c r="K601" s="31" t="n"/>
      <c r="L601" s="30" t="n"/>
      <c r="M601" s="31" t="n"/>
      <c r="N601" s="31" t="n"/>
      <c r="O601" s="31" t="n"/>
      <c r="P601" s="30" t="n"/>
      <c r="Q601" s="31" t="n"/>
      <c r="R601" s="31" t="n"/>
      <c r="S601" s="31" t="n"/>
      <c r="T601" s="31" t="n"/>
      <c r="U601" s="30" t="n"/>
      <c r="V601" s="31" t="n"/>
      <c r="W601" s="31" t="n"/>
      <c r="X601" s="31" t="n"/>
      <c r="Y601" s="31" t="n"/>
      <c r="Z601" s="31" t="n"/>
      <c r="AA601" s="31" t="n"/>
      <c r="AB601" s="31" t="n"/>
      <c r="AC601" s="31" t="n"/>
      <c r="AD601" s="31" t="n"/>
      <c r="AE601" s="31" t="n"/>
      <c r="AF601" s="27">
        <f>IF(NOT(COUNTA(A601:AE601)&gt;0),"",IF(A601="","New client","Update"))</f>
        <v/>
      </c>
      <c r="AG601" s="27">
        <f>IF(AO601&lt;&gt;"",AO601,IF(LEN(AN601)=15,MID(AN601,3,10),""))</f>
        <v/>
      </c>
      <c r="AH601" s="27">
        <f>IF(AP601="","",AP601&amp;IF(D601="","  (guessed from PAN)",""))</f>
        <v/>
      </c>
      <c r="AI601" s="27">
        <f>IF(AN601="","",IFERROR(INDEX(Lists!$L$2:$L$38,MATCH(LEFT(AN601,2),Lists!$K$2:$K$38,0)),"Unknown code"))</f>
        <v/>
      </c>
      <c r="AJ601" s="27">
        <f>IF(AN601="","",IFERROR(IF(NOT(AND(LEN(AN601)=15,ISNUMBER(MATCH(LEFT(AN601,2),Lists!$K$2:$K$38,0)),SUMPRODUCT(--ISERROR(FIND(MID(MID(AN601,3,10),{1,2,3,4,5,10},1),"ABCDEFGHIJKLMNOPQRSTUVWXYZ")))=0,SUMPRODUCT(--ISERROR(FIND(MID(MID(AN601,3,10),{6,7,8,9},1),"0123456789")))=0,ISNUMBER(FIND(MID(AN601,13,1),"123456789ABCDEFGHIJKLMNOPQRSTUVWXYZ")),MID(AN601,14,1)="Z")),"Wrong format",IF(MID("0123456789ABCDEFGHIJKLMNOPQRSTUVWXYZ",MOD(36-MOD(SUMPRODUCT(INT((FIND(MID(AN601,{1,2,3,4,5,6,7,8,9,10,11,12,13,14},1),"0123456789ABCDEFGHIJKLMNOPQRSTUVWXYZ")-1)*{1,2,1,2,1,2,1,2,1,2,1,2,1,2}/36)+MOD((FIND(MID(AN601,{1,2,3,4,5,6,7,8,9,10,11,12,13,14},1),"0123456789ABCDEFGHIJKLMNOPQRSTUVWXYZ")-1)*{1,2,1,2,1,2,1,2,1,2,1,2,1,2},36)),36),36)+1,1)=MID(AN601,15,1),"OK","Typo? check digit wrong")),"Wrong format"))</f>
        <v/>
      </c>
      <c r="AK601" s="27">
        <f>IF(AO601="","",IF(AND(LEN(AO601)=10,SUMPRODUCT(--ISERROR(FIND(MID(AO601,{1,2,3,4,5,10},1),"ABCDEFGHIJKLMNOPQRSTUVWXYZ")))=0,SUMPRODUCT(--ISERROR(FIND(MID(AO601,{6,7,8,9},1),"0123456789")))=0),"OK","Wrong format"))</f>
        <v/>
      </c>
      <c r="AL601" s="27">
        <f>IF(TRIM(H601)="","",IF(AND(LEN(UPPER(TRIM(H601)))=10,SUMPRODUCT(--ISERROR(FIND(MID(UPPER(TRIM(H601)),{1,2,3,4,10},1),"ABCDEFGHIJKLMNOPQRSTUVWXYZ")))=0,SUMPRODUCT(--ISERROR(FIND(MID(UPPER(TRIM(H601)),{5,6,7,8,9},1),"0123456789")))=0),"OK","Wrong format"))</f>
        <v/>
      </c>
      <c r="AM601" s="28">
        <f>IF(NOT(COUNTA(A601:AE601)&gt;0),"",IF(AS601&lt;&gt;"","✖ "&amp;LEFT(AS601,LEN(AS601)-2),IF(AR601&gt;0,"✔ Ready — client + "&amp;AR601&amp;" service(s)","✔ Ready — client only")))</f>
        <v/>
      </c>
      <c r="AN601" s="29">
        <f>UPPER(SUBSTITUTE(TRIM(F601)," ",""))</f>
        <v/>
      </c>
      <c r="AO601" s="29">
        <f>UPPER(SUBSTITUTE(TRIM(E601)," ",""))</f>
        <v/>
      </c>
      <c r="AP601" s="29">
        <f>IF(D601&lt;&gt;"",D601,IFERROR(VLOOKUP(MID(AG601,4,1),Lists!$E$2:$F$8,2,FALSE),""))</f>
        <v/>
      </c>
      <c r="AQ601" s="29">
        <f>IFERROR(VLOOKUP(AP601,Lists!$A$2:$C$12,3,FALSE),"")</f>
        <v/>
      </c>
      <c r="AR601" s="29">
        <f>COUNTIF(W601:AC601,"Yes")</f>
        <v/>
      </c>
      <c r="AS601" s="29">
        <f>IF(TRIM(B601)="","Legal name missing; ","")&amp;IF(AND(AJ601&lt;&gt;"",AJ601&lt;&gt;"OK"),"GSTIN: "&amp;AJ601&amp;"; ","")&amp;IF(AND(AK601&lt;&gt;"",AK601&lt;&gt;"OK"),"PAN wrong format; ","")&amp;IF(AND(AO601&lt;&gt;"",LEN(AN601)=15,MID(AN601,3,10)&lt;&gt;AO601),"PAN does not match GSTIN; ","")&amp;IF(AND(AL601&lt;&gt;"",AL601&lt;&gt;"OK"),"TAN wrong format; ","")&amp;IF(AG601="","PAN missing; ","")&amp;IF(AP601="","Entity type missing; ","")&amp;IF(AND(AN601&lt;&gt;"",COUNTIF($AN$6:$AN$1005,AN601)&gt;1),"GSTIN repeated in this sheet; ","")&amp;IF(AND(AG601&lt;&gt;"",COUNTIF($AG$6:$AG$1005,AG601)&gt;1),"PAN repeated in this sheet (same client? put extra GSTINs in Other GSTINs); ","")&amp;IF(AND(AR601&gt;0,V601=""),"Financial year missing; ","")&amp;IF(AND(AR601=0,V601&lt;&gt;""),"Financial year given but no service is Yes; ","")&amp;IF(AND(W601="Yes",AN601=""),"GST needs a GSTIN; ","")&amp;IF(AND(W601="Yes",X601=""),"GST return frequency missing; ","")&amp;IF(AND(Y601="Yes",TRIM(H601)=""),"TDS needs a TAN; ","")&amp;IF(AND(AA601="Yes",AQ601&lt;&gt;"",AQ601&lt;&gt;"company",AQ601&lt;&gt;"llp"),"ROC is only for a company / LLP; ","")&amp;IF(AND(AA601="Yes",OR(AQ601="company",AQ601="llp"),TRIM(I601)=""),"ROC needs the CIN / LLPIN; ","")</f>
        <v/>
      </c>
    </row>
    <row r="602">
      <c r="A602" s="30" t="n"/>
      <c r="B602" s="31" t="n"/>
      <c r="C602" s="31" t="n"/>
      <c r="D602" s="31" t="n"/>
      <c r="E602" s="30" t="n"/>
      <c r="F602" s="30" t="n"/>
      <c r="G602" s="30" t="n"/>
      <c r="H602" s="30" t="n"/>
      <c r="I602" s="30" t="n"/>
      <c r="J602" s="32" t="n"/>
      <c r="K602" s="31" t="n"/>
      <c r="L602" s="30" t="n"/>
      <c r="M602" s="31" t="n"/>
      <c r="N602" s="31" t="n"/>
      <c r="O602" s="31" t="n"/>
      <c r="P602" s="30" t="n"/>
      <c r="Q602" s="31" t="n"/>
      <c r="R602" s="31" t="n"/>
      <c r="S602" s="31" t="n"/>
      <c r="T602" s="31" t="n"/>
      <c r="U602" s="30" t="n"/>
      <c r="V602" s="31" t="n"/>
      <c r="W602" s="31" t="n"/>
      <c r="X602" s="31" t="n"/>
      <c r="Y602" s="31" t="n"/>
      <c r="Z602" s="31" t="n"/>
      <c r="AA602" s="31" t="n"/>
      <c r="AB602" s="31" t="n"/>
      <c r="AC602" s="31" t="n"/>
      <c r="AD602" s="31" t="n"/>
      <c r="AE602" s="31" t="n"/>
      <c r="AF602" s="27">
        <f>IF(NOT(COUNTA(A602:AE602)&gt;0),"",IF(A602="","New client","Update"))</f>
        <v/>
      </c>
      <c r="AG602" s="27">
        <f>IF(AO602&lt;&gt;"",AO602,IF(LEN(AN602)=15,MID(AN602,3,10),""))</f>
        <v/>
      </c>
      <c r="AH602" s="27">
        <f>IF(AP602="","",AP602&amp;IF(D602="","  (guessed from PAN)",""))</f>
        <v/>
      </c>
      <c r="AI602" s="27">
        <f>IF(AN602="","",IFERROR(INDEX(Lists!$L$2:$L$38,MATCH(LEFT(AN602,2),Lists!$K$2:$K$38,0)),"Unknown code"))</f>
        <v/>
      </c>
      <c r="AJ602" s="27">
        <f>IF(AN602="","",IFERROR(IF(NOT(AND(LEN(AN602)=15,ISNUMBER(MATCH(LEFT(AN602,2),Lists!$K$2:$K$38,0)),SUMPRODUCT(--ISERROR(FIND(MID(MID(AN602,3,10),{1,2,3,4,5,10},1),"ABCDEFGHIJKLMNOPQRSTUVWXYZ")))=0,SUMPRODUCT(--ISERROR(FIND(MID(MID(AN602,3,10),{6,7,8,9},1),"0123456789")))=0,ISNUMBER(FIND(MID(AN602,13,1),"123456789ABCDEFGHIJKLMNOPQRSTUVWXYZ")),MID(AN602,14,1)="Z")),"Wrong format",IF(MID("0123456789ABCDEFGHIJKLMNOPQRSTUVWXYZ",MOD(36-MOD(SUMPRODUCT(INT((FIND(MID(AN602,{1,2,3,4,5,6,7,8,9,10,11,12,13,14},1),"0123456789ABCDEFGHIJKLMNOPQRSTUVWXYZ")-1)*{1,2,1,2,1,2,1,2,1,2,1,2,1,2}/36)+MOD((FIND(MID(AN602,{1,2,3,4,5,6,7,8,9,10,11,12,13,14},1),"0123456789ABCDEFGHIJKLMNOPQRSTUVWXYZ")-1)*{1,2,1,2,1,2,1,2,1,2,1,2,1,2},36)),36),36)+1,1)=MID(AN602,15,1),"OK","Typo? check digit wrong")),"Wrong format"))</f>
        <v/>
      </c>
      <c r="AK602" s="27">
        <f>IF(AO602="","",IF(AND(LEN(AO602)=10,SUMPRODUCT(--ISERROR(FIND(MID(AO602,{1,2,3,4,5,10},1),"ABCDEFGHIJKLMNOPQRSTUVWXYZ")))=0,SUMPRODUCT(--ISERROR(FIND(MID(AO602,{6,7,8,9},1),"0123456789")))=0),"OK","Wrong format"))</f>
        <v/>
      </c>
      <c r="AL602" s="27">
        <f>IF(TRIM(H602)="","",IF(AND(LEN(UPPER(TRIM(H602)))=10,SUMPRODUCT(--ISERROR(FIND(MID(UPPER(TRIM(H602)),{1,2,3,4,10},1),"ABCDEFGHIJKLMNOPQRSTUVWXYZ")))=0,SUMPRODUCT(--ISERROR(FIND(MID(UPPER(TRIM(H602)),{5,6,7,8,9},1),"0123456789")))=0),"OK","Wrong format"))</f>
        <v/>
      </c>
      <c r="AM602" s="28">
        <f>IF(NOT(COUNTA(A602:AE602)&gt;0),"",IF(AS602&lt;&gt;"","✖ "&amp;LEFT(AS602,LEN(AS602)-2),IF(AR602&gt;0,"✔ Ready — client + "&amp;AR602&amp;" service(s)","✔ Ready — client only")))</f>
        <v/>
      </c>
      <c r="AN602" s="29">
        <f>UPPER(SUBSTITUTE(TRIM(F602)," ",""))</f>
        <v/>
      </c>
      <c r="AO602" s="29">
        <f>UPPER(SUBSTITUTE(TRIM(E602)," ",""))</f>
        <v/>
      </c>
      <c r="AP602" s="29">
        <f>IF(D602&lt;&gt;"",D602,IFERROR(VLOOKUP(MID(AG602,4,1),Lists!$E$2:$F$8,2,FALSE),""))</f>
        <v/>
      </c>
      <c r="AQ602" s="29">
        <f>IFERROR(VLOOKUP(AP602,Lists!$A$2:$C$12,3,FALSE),"")</f>
        <v/>
      </c>
      <c r="AR602" s="29">
        <f>COUNTIF(W602:AC602,"Yes")</f>
        <v/>
      </c>
      <c r="AS602" s="29">
        <f>IF(TRIM(B602)="","Legal name missing; ","")&amp;IF(AND(AJ602&lt;&gt;"",AJ602&lt;&gt;"OK"),"GSTIN: "&amp;AJ602&amp;"; ","")&amp;IF(AND(AK602&lt;&gt;"",AK602&lt;&gt;"OK"),"PAN wrong format; ","")&amp;IF(AND(AO602&lt;&gt;"",LEN(AN602)=15,MID(AN602,3,10)&lt;&gt;AO602),"PAN does not match GSTIN; ","")&amp;IF(AND(AL602&lt;&gt;"",AL602&lt;&gt;"OK"),"TAN wrong format; ","")&amp;IF(AG602="","PAN missing; ","")&amp;IF(AP602="","Entity type missing; ","")&amp;IF(AND(AN602&lt;&gt;"",COUNTIF($AN$6:$AN$1005,AN602)&gt;1),"GSTIN repeated in this sheet; ","")&amp;IF(AND(AG602&lt;&gt;"",COUNTIF($AG$6:$AG$1005,AG602)&gt;1),"PAN repeated in this sheet (same client? put extra GSTINs in Other GSTINs); ","")&amp;IF(AND(AR602&gt;0,V602=""),"Financial year missing; ","")&amp;IF(AND(AR602=0,V602&lt;&gt;""),"Financial year given but no service is Yes; ","")&amp;IF(AND(W602="Yes",AN602=""),"GST needs a GSTIN; ","")&amp;IF(AND(W602="Yes",X602=""),"GST return frequency missing; ","")&amp;IF(AND(Y602="Yes",TRIM(H602)=""),"TDS needs a TAN; ","")&amp;IF(AND(AA602="Yes",AQ602&lt;&gt;"",AQ602&lt;&gt;"company",AQ602&lt;&gt;"llp"),"ROC is only for a company / LLP; ","")&amp;IF(AND(AA602="Yes",OR(AQ602="company",AQ602="llp"),TRIM(I602)=""),"ROC needs the CIN / LLPIN; ","")</f>
        <v/>
      </c>
    </row>
    <row r="603">
      <c r="A603" s="30" t="n"/>
      <c r="B603" s="31" t="n"/>
      <c r="C603" s="31" t="n"/>
      <c r="D603" s="31" t="n"/>
      <c r="E603" s="30" t="n"/>
      <c r="F603" s="30" t="n"/>
      <c r="G603" s="30" t="n"/>
      <c r="H603" s="30" t="n"/>
      <c r="I603" s="30" t="n"/>
      <c r="J603" s="32" t="n"/>
      <c r="K603" s="31" t="n"/>
      <c r="L603" s="30" t="n"/>
      <c r="M603" s="31" t="n"/>
      <c r="N603" s="31" t="n"/>
      <c r="O603" s="31" t="n"/>
      <c r="P603" s="30" t="n"/>
      <c r="Q603" s="31" t="n"/>
      <c r="R603" s="31" t="n"/>
      <c r="S603" s="31" t="n"/>
      <c r="T603" s="31" t="n"/>
      <c r="U603" s="30" t="n"/>
      <c r="V603" s="31" t="n"/>
      <c r="W603" s="31" t="n"/>
      <c r="X603" s="31" t="n"/>
      <c r="Y603" s="31" t="n"/>
      <c r="Z603" s="31" t="n"/>
      <c r="AA603" s="31" t="n"/>
      <c r="AB603" s="31" t="n"/>
      <c r="AC603" s="31" t="n"/>
      <c r="AD603" s="31" t="n"/>
      <c r="AE603" s="31" t="n"/>
      <c r="AF603" s="27">
        <f>IF(NOT(COUNTA(A603:AE603)&gt;0),"",IF(A603="","New client","Update"))</f>
        <v/>
      </c>
      <c r="AG603" s="27">
        <f>IF(AO603&lt;&gt;"",AO603,IF(LEN(AN603)=15,MID(AN603,3,10),""))</f>
        <v/>
      </c>
      <c r="AH603" s="27">
        <f>IF(AP603="","",AP603&amp;IF(D603="","  (guessed from PAN)",""))</f>
        <v/>
      </c>
      <c r="AI603" s="27">
        <f>IF(AN603="","",IFERROR(INDEX(Lists!$L$2:$L$38,MATCH(LEFT(AN603,2),Lists!$K$2:$K$38,0)),"Unknown code"))</f>
        <v/>
      </c>
      <c r="AJ603" s="27">
        <f>IF(AN603="","",IFERROR(IF(NOT(AND(LEN(AN603)=15,ISNUMBER(MATCH(LEFT(AN603,2),Lists!$K$2:$K$38,0)),SUMPRODUCT(--ISERROR(FIND(MID(MID(AN603,3,10),{1,2,3,4,5,10},1),"ABCDEFGHIJKLMNOPQRSTUVWXYZ")))=0,SUMPRODUCT(--ISERROR(FIND(MID(MID(AN603,3,10),{6,7,8,9},1),"0123456789")))=0,ISNUMBER(FIND(MID(AN603,13,1),"123456789ABCDEFGHIJKLMNOPQRSTUVWXYZ")),MID(AN603,14,1)="Z")),"Wrong format",IF(MID("0123456789ABCDEFGHIJKLMNOPQRSTUVWXYZ",MOD(36-MOD(SUMPRODUCT(INT((FIND(MID(AN603,{1,2,3,4,5,6,7,8,9,10,11,12,13,14},1),"0123456789ABCDEFGHIJKLMNOPQRSTUVWXYZ")-1)*{1,2,1,2,1,2,1,2,1,2,1,2,1,2}/36)+MOD((FIND(MID(AN603,{1,2,3,4,5,6,7,8,9,10,11,12,13,14},1),"0123456789ABCDEFGHIJKLMNOPQRSTUVWXYZ")-1)*{1,2,1,2,1,2,1,2,1,2,1,2,1,2},36)),36),36)+1,1)=MID(AN603,15,1),"OK","Typo? check digit wrong")),"Wrong format"))</f>
        <v/>
      </c>
      <c r="AK603" s="27">
        <f>IF(AO603="","",IF(AND(LEN(AO603)=10,SUMPRODUCT(--ISERROR(FIND(MID(AO603,{1,2,3,4,5,10},1),"ABCDEFGHIJKLMNOPQRSTUVWXYZ")))=0,SUMPRODUCT(--ISERROR(FIND(MID(AO603,{6,7,8,9},1),"0123456789")))=0),"OK","Wrong format"))</f>
        <v/>
      </c>
      <c r="AL603" s="27">
        <f>IF(TRIM(H603)="","",IF(AND(LEN(UPPER(TRIM(H603)))=10,SUMPRODUCT(--ISERROR(FIND(MID(UPPER(TRIM(H603)),{1,2,3,4,10},1),"ABCDEFGHIJKLMNOPQRSTUVWXYZ")))=0,SUMPRODUCT(--ISERROR(FIND(MID(UPPER(TRIM(H603)),{5,6,7,8,9},1),"0123456789")))=0),"OK","Wrong format"))</f>
        <v/>
      </c>
      <c r="AM603" s="28">
        <f>IF(NOT(COUNTA(A603:AE603)&gt;0),"",IF(AS603&lt;&gt;"","✖ "&amp;LEFT(AS603,LEN(AS603)-2),IF(AR603&gt;0,"✔ Ready — client + "&amp;AR603&amp;" service(s)","✔ Ready — client only")))</f>
        <v/>
      </c>
      <c r="AN603" s="29">
        <f>UPPER(SUBSTITUTE(TRIM(F603)," ",""))</f>
        <v/>
      </c>
      <c r="AO603" s="29">
        <f>UPPER(SUBSTITUTE(TRIM(E603)," ",""))</f>
        <v/>
      </c>
      <c r="AP603" s="29">
        <f>IF(D603&lt;&gt;"",D603,IFERROR(VLOOKUP(MID(AG603,4,1),Lists!$E$2:$F$8,2,FALSE),""))</f>
        <v/>
      </c>
      <c r="AQ603" s="29">
        <f>IFERROR(VLOOKUP(AP603,Lists!$A$2:$C$12,3,FALSE),"")</f>
        <v/>
      </c>
      <c r="AR603" s="29">
        <f>COUNTIF(W603:AC603,"Yes")</f>
        <v/>
      </c>
      <c r="AS603" s="29">
        <f>IF(TRIM(B603)="","Legal name missing; ","")&amp;IF(AND(AJ603&lt;&gt;"",AJ603&lt;&gt;"OK"),"GSTIN: "&amp;AJ603&amp;"; ","")&amp;IF(AND(AK603&lt;&gt;"",AK603&lt;&gt;"OK"),"PAN wrong format; ","")&amp;IF(AND(AO603&lt;&gt;"",LEN(AN603)=15,MID(AN603,3,10)&lt;&gt;AO603),"PAN does not match GSTIN; ","")&amp;IF(AND(AL603&lt;&gt;"",AL603&lt;&gt;"OK"),"TAN wrong format; ","")&amp;IF(AG603="","PAN missing; ","")&amp;IF(AP603="","Entity type missing; ","")&amp;IF(AND(AN603&lt;&gt;"",COUNTIF($AN$6:$AN$1005,AN603)&gt;1),"GSTIN repeated in this sheet; ","")&amp;IF(AND(AG603&lt;&gt;"",COUNTIF($AG$6:$AG$1005,AG603)&gt;1),"PAN repeated in this sheet (same client? put extra GSTINs in Other GSTINs); ","")&amp;IF(AND(AR603&gt;0,V603=""),"Financial year missing; ","")&amp;IF(AND(AR603=0,V603&lt;&gt;""),"Financial year given but no service is Yes; ","")&amp;IF(AND(W603="Yes",AN603=""),"GST needs a GSTIN; ","")&amp;IF(AND(W603="Yes",X603=""),"GST return frequency missing; ","")&amp;IF(AND(Y603="Yes",TRIM(H603)=""),"TDS needs a TAN; ","")&amp;IF(AND(AA603="Yes",AQ603&lt;&gt;"",AQ603&lt;&gt;"company",AQ603&lt;&gt;"llp"),"ROC is only for a company / LLP; ","")&amp;IF(AND(AA603="Yes",OR(AQ603="company",AQ603="llp"),TRIM(I603)=""),"ROC needs the CIN / LLPIN; ","")</f>
        <v/>
      </c>
    </row>
    <row r="604">
      <c r="A604" s="30" t="n"/>
      <c r="B604" s="31" t="n"/>
      <c r="C604" s="31" t="n"/>
      <c r="D604" s="31" t="n"/>
      <c r="E604" s="30" t="n"/>
      <c r="F604" s="30" t="n"/>
      <c r="G604" s="30" t="n"/>
      <c r="H604" s="30" t="n"/>
      <c r="I604" s="30" t="n"/>
      <c r="J604" s="32" t="n"/>
      <c r="K604" s="31" t="n"/>
      <c r="L604" s="30" t="n"/>
      <c r="M604" s="31" t="n"/>
      <c r="N604" s="31" t="n"/>
      <c r="O604" s="31" t="n"/>
      <c r="P604" s="30" t="n"/>
      <c r="Q604" s="31" t="n"/>
      <c r="R604" s="31" t="n"/>
      <c r="S604" s="31" t="n"/>
      <c r="T604" s="31" t="n"/>
      <c r="U604" s="30" t="n"/>
      <c r="V604" s="31" t="n"/>
      <c r="W604" s="31" t="n"/>
      <c r="X604" s="31" t="n"/>
      <c r="Y604" s="31" t="n"/>
      <c r="Z604" s="31" t="n"/>
      <c r="AA604" s="31" t="n"/>
      <c r="AB604" s="31" t="n"/>
      <c r="AC604" s="31" t="n"/>
      <c r="AD604" s="31" t="n"/>
      <c r="AE604" s="31" t="n"/>
      <c r="AF604" s="27">
        <f>IF(NOT(COUNTA(A604:AE604)&gt;0),"",IF(A604="","New client","Update"))</f>
        <v/>
      </c>
      <c r="AG604" s="27">
        <f>IF(AO604&lt;&gt;"",AO604,IF(LEN(AN604)=15,MID(AN604,3,10),""))</f>
        <v/>
      </c>
      <c r="AH604" s="27">
        <f>IF(AP604="","",AP604&amp;IF(D604="","  (guessed from PAN)",""))</f>
        <v/>
      </c>
      <c r="AI604" s="27">
        <f>IF(AN604="","",IFERROR(INDEX(Lists!$L$2:$L$38,MATCH(LEFT(AN604,2),Lists!$K$2:$K$38,0)),"Unknown code"))</f>
        <v/>
      </c>
      <c r="AJ604" s="27">
        <f>IF(AN604="","",IFERROR(IF(NOT(AND(LEN(AN604)=15,ISNUMBER(MATCH(LEFT(AN604,2),Lists!$K$2:$K$38,0)),SUMPRODUCT(--ISERROR(FIND(MID(MID(AN604,3,10),{1,2,3,4,5,10},1),"ABCDEFGHIJKLMNOPQRSTUVWXYZ")))=0,SUMPRODUCT(--ISERROR(FIND(MID(MID(AN604,3,10),{6,7,8,9},1),"0123456789")))=0,ISNUMBER(FIND(MID(AN604,13,1),"123456789ABCDEFGHIJKLMNOPQRSTUVWXYZ")),MID(AN604,14,1)="Z")),"Wrong format",IF(MID("0123456789ABCDEFGHIJKLMNOPQRSTUVWXYZ",MOD(36-MOD(SUMPRODUCT(INT((FIND(MID(AN604,{1,2,3,4,5,6,7,8,9,10,11,12,13,14},1),"0123456789ABCDEFGHIJKLMNOPQRSTUVWXYZ")-1)*{1,2,1,2,1,2,1,2,1,2,1,2,1,2}/36)+MOD((FIND(MID(AN604,{1,2,3,4,5,6,7,8,9,10,11,12,13,14},1),"0123456789ABCDEFGHIJKLMNOPQRSTUVWXYZ")-1)*{1,2,1,2,1,2,1,2,1,2,1,2,1,2},36)),36),36)+1,1)=MID(AN604,15,1),"OK","Typo? check digit wrong")),"Wrong format"))</f>
        <v/>
      </c>
      <c r="AK604" s="27">
        <f>IF(AO604="","",IF(AND(LEN(AO604)=10,SUMPRODUCT(--ISERROR(FIND(MID(AO604,{1,2,3,4,5,10},1),"ABCDEFGHIJKLMNOPQRSTUVWXYZ")))=0,SUMPRODUCT(--ISERROR(FIND(MID(AO604,{6,7,8,9},1),"0123456789")))=0),"OK","Wrong format"))</f>
        <v/>
      </c>
      <c r="AL604" s="27">
        <f>IF(TRIM(H604)="","",IF(AND(LEN(UPPER(TRIM(H604)))=10,SUMPRODUCT(--ISERROR(FIND(MID(UPPER(TRIM(H604)),{1,2,3,4,10},1),"ABCDEFGHIJKLMNOPQRSTUVWXYZ")))=0,SUMPRODUCT(--ISERROR(FIND(MID(UPPER(TRIM(H604)),{5,6,7,8,9},1),"0123456789")))=0),"OK","Wrong format"))</f>
        <v/>
      </c>
      <c r="AM604" s="28">
        <f>IF(NOT(COUNTA(A604:AE604)&gt;0),"",IF(AS604&lt;&gt;"","✖ "&amp;LEFT(AS604,LEN(AS604)-2),IF(AR604&gt;0,"✔ Ready — client + "&amp;AR604&amp;" service(s)","✔ Ready — client only")))</f>
        <v/>
      </c>
      <c r="AN604" s="29">
        <f>UPPER(SUBSTITUTE(TRIM(F604)," ",""))</f>
        <v/>
      </c>
      <c r="AO604" s="29">
        <f>UPPER(SUBSTITUTE(TRIM(E604)," ",""))</f>
        <v/>
      </c>
      <c r="AP604" s="29">
        <f>IF(D604&lt;&gt;"",D604,IFERROR(VLOOKUP(MID(AG604,4,1),Lists!$E$2:$F$8,2,FALSE),""))</f>
        <v/>
      </c>
      <c r="AQ604" s="29">
        <f>IFERROR(VLOOKUP(AP604,Lists!$A$2:$C$12,3,FALSE),"")</f>
        <v/>
      </c>
      <c r="AR604" s="29">
        <f>COUNTIF(W604:AC604,"Yes")</f>
        <v/>
      </c>
      <c r="AS604" s="29">
        <f>IF(TRIM(B604)="","Legal name missing; ","")&amp;IF(AND(AJ604&lt;&gt;"",AJ604&lt;&gt;"OK"),"GSTIN: "&amp;AJ604&amp;"; ","")&amp;IF(AND(AK604&lt;&gt;"",AK604&lt;&gt;"OK"),"PAN wrong format; ","")&amp;IF(AND(AO604&lt;&gt;"",LEN(AN604)=15,MID(AN604,3,10)&lt;&gt;AO604),"PAN does not match GSTIN; ","")&amp;IF(AND(AL604&lt;&gt;"",AL604&lt;&gt;"OK"),"TAN wrong format; ","")&amp;IF(AG604="","PAN missing; ","")&amp;IF(AP604="","Entity type missing; ","")&amp;IF(AND(AN604&lt;&gt;"",COUNTIF($AN$6:$AN$1005,AN604)&gt;1),"GSTIN repeated in this sheet; ","")&amp;IF(AND(AG604&lt;&gt;"",COUNTIF($AG$6:$AG$1005,AG604)&gt;1),"PAN repeated in this sheet (same client? put extra GSTINs in Other GSTINs); ","")&amp;IF(AND(AR604&gt;0,V604=""),"Financial year missing; ","")&amp;IF(AND(AR604=0,V604&lt;&gt;""),"Financial year given but no service is Yes; ","")&amp;IF(AND(W604="Yes",AN604=""),"GST needs a GSTIN; ","")&amp;IF(AND(W604="Yes",X604=""),"GST return frequency missing; ","")&amp;IF(AND(Y604="Yes",TRIM(H604)=""),"TDS needs a TAN; ","")&amp;IF(AND(AA604="Yes",AQ604&lt;&gt;"",AQ604&lt;&gt;"company",AQ604&lt;&gt;"llp"),"ROC is only for a company / LLP; ","")&amp;IF(AND(AA604="Yes",OR(AQ604="company",AQ604="llp"),TRIM(I604)=""),"ROC needs the CIN / LLPIN; ","")</f>
        <v/>
      </c>
    </row>
    <row r="605">
      <c r="A605" s="30" t="n"/>
      <c r="B605" s="31" t="n"/>
      <c r="C605" s="31" t="n"/>
      <c r="D605" s="31" t="n"/>
      <c r="E605" s="30" t="n"/>
      <c r="F605" s="30" t="n"/>
      <c r="G605" s="30" t="n"/>
      <c r="H605" s="30" t="n"/>
      <c r="I605" s="30" t="n"/>
      <c r="J605" s="32" t="n"/>
      <c r="K605" s="31" t="n"/>
      <c r="L605" s="30" t="n"/>
      <c r="M605" s="31" t="n"/>
      <c r="N605" s="31" t="n"/>
      <c r="O605" s="31" t="n"/>
      <c r="P605" s="30" t="n"/>
      <c r="Q605" s="31" t="n"/>
      <c r="R605" s="31" t="n"/>
      <c r="S605" s="31" t="n"/>
      <c r="T605" s="31" t="n"/>
      <c r="U605" s="30" t="n"/>
      <c r="V605" s="31" t="n"/>
      <c r="W605" s="31" t="n"/>
      <c r="X605" s="31" t="n"/>
      <c r="Y605" s="31" t="n"/>
      <c r="Z605" s="31" t="n"/>
      <c r="AA605" s="31" t="n"/>
      <c r="AB605" s="31" t="n"/>
      <c r="AC605" s="31" t="n"/>
      <c r="AD605" s="31" t="n"/>
      <c r="AE605" s="31" t="n"/>
      <c r="AF605" s="27">
        <f>IF(NOT(COUNTA(A605:AE605)&gt;0),"",IF(A605="","New client","Update"))</f>
        <v/>
      </c>
      <c r="AG605" s="27">
        <f>IF(AO605&lt;&gt;"",AO605,IF(LEN(AN605)=15,MID(AN605,3,10),""))</f>
        <v/>
      </c>
      <c r="AH605" s="27">
        <f>IF(AP605="","",AP605&amp;IF(D605="","  (guessed from PAN)",""))</f>
        <v/>
      </c>
      <c r="AI605" s="27">
        <f>IF(AN605="","",IFERROR(INDEX(Lists!$L$2:$L$38,MATCH(LEFT(AN605,2),Lists!$K$2:$K$38,0)),"Unknown code"))</f>
        <v/>
      </c>
      <c r="AJ605" s="27">
        <f>IF(AN605="","",IFERROR(IF(NOT(AND(LEN(AN605)=15,ISNUMBER(MATCH(LEFT(AN605,2),Lists!$K$2:$K$38,0)),SUMPRODUCT(--ISERROR(FIND(MID(MID(AN605,3,10),{1,2,3,4,5,10},1),"ABCDEFGHIJKLMNOPQRSTUVWXYZ")))=0,SUMPRODUCT(--ISERROR(FIND(MID(MID(AN605,3,10),{6,7,8,9},1),"0123456789")))=0,ISNUMBER(FIND(MID(AN605,13,1),"123456789ABCDEFGHIJKLMNOPQRSTUVWXYZ")),MID(AN605,14,1)="Z")),"Wrong format",IF(MID("0123456789ABCDEFGHIJKLMNOPQRSTUVWXYZ",MOD(36-MOD(SUMPRODUCT(INT((FIND(MID(AN605,{1,2,3,4,5,6,7,8,9,10,11,12,13,14},1),"0123456789ABCDEFGHIJKLMNOPQRSTUVWXYZ")-1)*{1,2,1,2,1,2,1,2,1,2,1,2,1,2}/36)+MOD((FIND(MID(AN605,{1,2,3,4,5,6,7,8,9,10,11,12,13,14},1),"0123456789ABCDEFGHIJKLMNOPQRSTUVWXYZ")-1)*{1,2,1,2,1,2,1,2,1,2,1,2,1,2},36)),36),36)+1,1)=MID(AN605,15,1),"OK","Typo? check digit wrong")),"Wrong format"))</f>
        <v/>
      </c>
      <c r="AK605" s="27">
        <f>IF(AO605="","",IF(AND(LEN(AO605)=10,SUMPRODUCT(--ISERROR(FIND(MID(AO605,{1,2,3,4,5,10},1),"ABCDEFGHIJKLMNOPQRSTUVWXYZ")))=0,SUMPRODUCT(--ISERROR(FIND(MID(AO605,{6,7,8,9},1),"0123456789")))=0),"OK","Wrong format"))</f>
        <v/>
      </c>
      <c r="AL605" s="27">
        <f>IF(TRIM(H605)="","",IF(AND(LEN(UPPER(TRIM(H605)))=10,SUMPRODUCT(--ISERROR(FIND(MID(UPPER(TRIM(H605)),{1,2,3,4,10},1),"ABCDEFGHIJKLMNOPQRSTUVWXYZ")))=0,SUMPRODUCT(--ISERROR(FIND(MID(UPPER(TRIM(H605)),{5,6,7,8,9},1),"0123456789")))=0),"OK","Wrong format"))</f>
        <v/>
      </c>
      <c r="AM605" s="28">
        <f>IF(NOT(COUNTA(A605:AE605)&gt;0),"",IF(AS605&lt;&gt;"","✖ "&amp;LEFT(AS605,LEN(AS605)-2),IF(AR605&gt;0,"✔ Ready — client + "&amp;AR605&amp;" service(s)","✔ Ready — client only")))</f>
        <v/>
      </c>
      <c r="AN605" s="29">
        <f>UPPER(SUBSTITUTE(TRIM(F605)," ",""))</f>
        <v/>
      </c>
      <c r="AO605" s="29">
        <f>UPPER(SUBSTITUTE(TRIM(E605)," ",""))</f>
        <v/>
      </c>
      <c r="AP605" s="29">
        <f>IF(D605&lt;&gt;"",D605,IFERROR(VLOOKUP(MID(AG605,4,1),Lists!$E$2:$F$8,2,FALSE),""))</f>
        <v/>
      </c>
      <c r="AQ605" s="29">
        <f>IFERROR(VLOOKUP(AP605,Lists!$A$2:$C$12,3,FALSE),"")</f>
        <v/>
      </c>
      <c r="AR605" s="29">
        <f>COUNTIF(W605:AC605,"Yes")</f>
        <v/>
      </c>
      <c r="AS605" s="29">
        <f>IF(TRIM(B605)="","Legal name missing; ","")&amp;IF(AND(AJ605&lt;&gt;"",AJ605&lt;&gt;"OK"),"GSTIN: "&amp;AJ605&amp;"; ","")&amp;IF(AND(AK605&lt;&gt;"",AK605&lt;&gt;"OK"),"PAN wrong format; ","")&amp;IF(AND(AO605&lt;&gt;"",LEN(AN605)=15,MID(AN605,3,10)&lt;&gt;AO605),"PAN does not match GSTIN; ","")&amp;IF(AND(AL605&lt;&gt;"",AL605&lt;&gt;"OK"),"TAN wrong format; ","")&amp;IF(AG605="","PAN missing; ","")&amp;IF(AP605="","Entity type missing; ","")&amp;IF(AND(AN605&lt;&gt;"",COUNTIF($AN$6:$AN$1005,AN605)&gt;1),"GSTIN repeated in this sheet; ","")&amp;IF(AND(AG605&lt;&gt;"",COUNTIF($AG$6:$AG$1005,AG605)&gt;1),"PAN repeated in this sheet (same client? put extra GSTINs in Other GSTINs); ","")&amp;IF(AND(AR605&gt;0,V605=""),"Financial year missing; ","")&amp;IF(AND(AR605=0,V605&lt;&gt;""),"Financial year given but no service is Yes; ","")&amp;IF(AND(W605="Yes",AN605=""),"GST needs a GSTIN; ","")&amp;IF(AND(W605="Yes",X605=""),"GST return frequency missing; ","")&amp;IF(AND(Y605="Yes",TRIM(H605)=""),"TDS needs a TAN; ","")&amp;IF(AND(AA605="Yes",AQ605&lt;&gt;"",AQ605&lt;&gt;"company",AQ605&lt;&gt;"llp"),"ROC is only for a company / LLP; ","")&amp;IF(AND(AA605="Yes",OR(AQ605="company",AQ605="llp"),TRIM(I605)=""),"ROC needs the CIN / LLPIN; ","")</f>
        <v/>
      </c>
    </row>
    <row r="606">
      <c r="A606" s="30" t="n"/>
      <c r="B606" s="31" t="n"/>
      <c r="C606" s="31" t="n"/>
      <c r="D606" s="31" t="n"/>
      <c r="E606" s="30" t="n"/>
      <c r="F606" s="30" t="n"/>
      <c r="G606" s="30" t="n"/>
      <c r="H606" s="30" t="n"/>
      <c r="I606" s="30" t="n"/>
      <c r="J606" s="32" t="n"/>
      <c r="K606" s="31" t="n"/>
      <c r="L606" s="30" t="n"/>
      <c r="M606" s="31" t="n"/>
      <c r="N606" s="31" t="n"/>
      <c r="O606" s="31" t="n"/>
      <c r="P606" s="30" t="n"/>
      <c r="Q606" s="31" t="n"/>
      <c r="R606" s="31" t="n"/>
      <c r="S606" s="31" t="n"/>
      <c r="T606" s="31" t="n"/>
      <c r="U606" s="30" t="n"/>
      <c r="V606" s="31" t="n"/>
      <c r="W606" s="31" t="n"/>
      <c r="X606" s="31" t="n"/>
      <c r="Y606" s="31" t="n"/>
      <c r="Z606" s="31" t="n"/>
      <c r="AA606" s="31" t="n"/>
      <c r="AB606" s="31" t="n"/>
      <c r="AC606" s="31" t="n"/>
      <c r="AD606" s="31" t="n"/>
      <c r="AE606" s="31" t="n"/>
      <c r="AF606" s="27">
        <f>IF(NOT(COUNTA(A606:AE606)&gt;0),"",IF(A606="","New client","Update"))</f>
        <v/>
      </c>
      <c r="AG606" s="27">
        <f>IF(AO606&lt;&gt;"",AO606,IF(LEN(AN606)=15,MID(AN606,3,10),""))</f>
        <v/>
      </c>
      <c r="AH606" s="27">
        <f>IF(AP606="","",AP606&amp;IF(D606="","  (guessed from PAN)",""))</f>
        <v/>
      </c>
      <c r="AI606" s="27">
        <f>IF(AN606="","",IFERROR(INDEX(Lists!$L$2:$L$38,MATCH(LEFT(AN606,2),Lists!$K$2:$K$38,0)),"Unknown code"))</f>
        <v/>
      </c>
      <c r="AJ606" s="27">
        <f>IF(AN606="","",IFERROR(IF(NOT(AND(LEN(AN606)=15,ISNUMBER(MATCH(LEFT(AN606,2),Lists!$K$2:$K$38,0)),SUMPRODUCT(--ISERROR(FIND(MID(MID(AN606,3,10),{1,2,3,4,5,10},1),"ABCDEFGHIJKLMNOPQRSTUVWXYZ")))=0,SUMPRODUCT(--ISERROR(FIND(MID(MID(AN606,3,10),{6,7,8,9},1),"0123456789")))=0,ISNUMBER(FIND(MID(AN606,13,1),"123456789ABCDEFGHIJKLMNOPQRSTUVWXYZ")),MID(AN606,14,1)="Z")),"Wrong format",IF(MID("0123456789ABCDEFGHIJKLMNOPQRSTUVWXYZ",MOD(36-MOD(SUMPRODUCT(INT((FIND(MID(AN606,{1,2,3,4,5,6,7,8,9,10,11,12,13,14},1),"0123456789ABCDEFGHIJKLMNOPQRSTUVWXYZ")-1)*{1,2,1,2,1,2,1,2,1,2,1,2,1,2}/36)+MOD((FIND(MID(AN606,{1,2,3,4,5,6,7,8,9,10,11,12,13,14},1),"0123456789ABCDEFGHIJKLMNOPQRSTUVWXYZ")-1)*{1,2,1,2,1,2,1,2,1,2,1,2,1,2},36)),36),36)+1,1)=MID(AN606,15,1),"OK","Typo? check digit wrong")),"Wrong format"))</f>
        <v/>
      </c>
      <c r="AK606" s="27">
        <f>IF(AO606="","",IF(AND(LEN(AO606)=10,SUMPRODUCT(--ISERROR(FIND(MID(AO606,{1,2,3,4,5,10},1),"ABCDEFGHIJKLMNOPQRSTUVWXYZ")))=0,SUMPRODUCT(--ISERROR(FIND(MID(AO606,{6,7,8,9},1),"0123456789")))=0),"OK","Wrong format"))</f>
        <v/>
      </c>
      <c r="AL606" s="27">
        <f>IF(TRIM(H606)="","",IF(AND(LEN(UPPER(TRIM(H606)))=10,SUMPRODUCT(--ISERROR(FIND(MID(UPPER(TRIM(H606)),{1,2,3,4,10},1),"ABCDEFGHIJKLMNOPQRSTUVWXYZ")))=0,SUMPRODUCT(--ISERROR(FIND(MID(UPPER(TRIM(H606)),{5,6,7,8,9},1),"0123456789")))=0),"OK","Wrong format"))</f>
        <v/>
      </c>
      <c r="AM606" s="28">
        <f>IF(NOT(COUNTA(A606:AE606)&gt;0),"",IF(AS606&lt;&gt;"","✖ "&amp;LEFT(AS606,LEN(AS606)-2),IF(AR606&gt;0,"✔ Ready — client + "&amp;AR606&amp;" service(s)","✔ Ready — client only")))</f>
        <v/>
      </c>
      <c r="AN606" s="29">
        <f>UPPER(SUBSTITUTE(TRIM(F606)," ",""))</f>
        <v/>
      </c>
      <c r="AO606" s="29">
        <f>UPPER(SUBSTITUTE(TRIM(E606)," ",""))</f>
        <v/>
      </c>
      <c r="AP606" s="29">
        <f>IF(D606&lt;&gt;"",D606,IFERROR(VLOOKUP(MID(AG606,4,1),Lists!$E$2:$F$8,2,FALSE),""))</f>
        <v/>
      </c>
      <c r="AQ606" s="29">
        <f>IFERROR(VLOOKUP(AP606,Lists!$A$2:$C$12,3,FALSE),"")</f>
        <v/>
      </c>
      <c r="AR606" s="29">
        <f>COUNTIF(W606:AC606,"Yes")</f>
        <v/>
      </c>
      <c r="AS606" s="29">
        <f>IF(TRIM(B606)="","Legal name missing; ","")&amp;IF(AND(AJ606&lt;&gt;"",AJ606&lt;&gt;"OK"),"GSTIN: "&amp;AJ606&amp;"; ","")&amp;IF(AND(AK606&lt;&gt;"",AK606&lt;&gt;"OK"),"PAN wrong format; ","")&amp;IF(AND(AO606&lt;&gt;"",LEN(AN606)=15,MID(AN606,3,10)&lt;&gt;AO606),"PAN does not match GSTIN; ","")&amp;IF(AND(AL606&lt;&gt;"",AL606&lt;&gt;"OK"),"TAN wrong format; ","")&amp;IF(AG606="","PAN missing; ","")&amp;IF(AP606="","Entity type missing; ","")&amp;IF(AND(AN606&lt;&gt;"",COUNTIF($AN$6:$AN$1005,AN606)&gt;1),"GSTIN repeated in this sheet; ","")&amp;IF(AND(AG606&lt;&gt;"",COUNTIF($AG$6:$AG$1005,AG606)&gt;1),"PAN repeated in this sheet (same client? put extra GSTINs in Other GSTINs); ","")&amp;IF(AND(AR606&gt;0,V606=""),"Financial year missing; ","")&amp;IF(AND(AR606=0,V606&lt;&gt;""),"Financial year given but no service is Yes; ","")&amp;IF(AND(W606="Yes",AN606=""),"GST needs a GSTIN; ","")&amp;IF(AND(W606="Yes",X606=""),"GST return frequency missing; ","")&amp;IF(AND(Y606="Yes",TRIM(H606)=""),"TDS needs a TAN; ","")&amp;IF(AND(AA606="Yes",AQ606&lt;&gt;"",AQ606&lt;&gt;"company",AQ606&lt;&gt;"llp"),"ROC is only for a company / LLP; ","")&amp;IF(AND(AA606="Yes",OR(AQ606="company",AQ606="llp"),TRIM(I606)=""),"ROC needs the CIN / LLPIN; ","")</f>
        <v/>
      </c>
    </row>
    <row r="607">
      <c r="A607" s="30" t="n"/>
      <c r="B607" s="31" t="n"/>
      <c r="C607" s="31" t="n"/>
      <c r="D607" s="31" t="n"/>
      <c r="E607" s="30" t="n"/>
      <c r="F607" s="30" t="n"/>
      <c r="G607" s="30" t="n"/>
      <c r="H607" s="30" t="n"/>
      <c r="I607" s="30" t="n"/>
      <c r="J607" s="32" t="n"/>
      <c r="K607" s="31" t="n"/>
      <c r="L607" s="30" t="n"/>
      <c r="M607" s="31" t="n"/>
      <c r="N607" s="31" t="n"/>
      <c r="O607" s="31" t="n"/>
      <c r="P607" s="30" t="n"/>
      <c r="Q607" s="31" t="n"/>
      <c r="R607" s="31" t="n"/>
      <c r="S607" s="31" t="n"/>
      <c r="T607" s="31" t="n"/>
      <c r="U607" s="30" t="n"/>
      <c r="V607" s="31" t="n"/>
      <c r="W607" s="31" t="n"/>
      <c r="X607" s="31" t="n"/>
      <c r="Y607" s="31" t="n"/>
      <c r="Z607" s="31" t="n"/>
      <c r="AA607" s="31" t="n"/>
      <c r="AB607" s="31" t="n"/>
      <c r="AC607" s="31" t="n"/>
      <c r="AD607" s="31" t="n"/>
      <c r="AE607" s="31" t="n"/>
      <c r="AF607" s="27">
        <f>IF(NOT(COUNTA(A607:AE607)&gt;0),"",IF(A607="","New client","Update"))</f>
        <v/>
      </c>
      <c r="AG607" s="27">
        <f>IF(AO607&lt;&gt;"",AO607,IF(LEN(AN607)=15,MID(AN607,3,10),""))</f>
        <v/>
      </c>
      <c r="AH607" s="27">
        <f>IF(AP607="","",AP607&amp;IF(D607="","  (guessed from PAN)",""))</f>
        <v/>
      </c>
      <c r="AI607" s="27">
        <f>IF(AN607="","",IFERROR(INDEX(Lists!$L$2:$L$38,MATCH(LEFT(AN607,2),Lists!$K$2:$K$38,0)),"Unknown code"))</f>
        <v/>
      </c>
      <c r="AJ607" s="27">
        <f>IF(AN607="","",IFERROR(IF(NOT(AND(LEN(AN607)=15,ISNUMBER(MATCH(LEFT(AN607,2),Lists!$K$2:$K$38,0)),SUMPRODUCT(--ISERROR(FIND(MID(MID(AN607,3,10),{1,2,3,4,5,10},1),"ABCDEFGHIJKLMNOPQRSTUVWXYZ")))=0,SUMPRODUCT(--ISERROR(FIND(MID(MID(AN607,3,10),{6,7,8,9},1),"0123456789")))=0,ISNUMBER(FIND(MID(AN607,13,1),"123456789ABCDEFGHIJKLMNOPQRSTUVWXYZ")),MID(AN607,14,1)="Z")),"Wrong format",IF(MID("0123456789ABCDEFGHIJKLMNOPQRSTUVWXYZ",MOD(36-MOD(SUMPRODUCT(INT((FIND(MID(AN607,{1,2,3,4,5,6,7,8,9,10,11,12,13,14},1),"0123456789ABCDEFGHIJKLMNOPQRSTUVWXYZ")-1)*{1,2,1,2,1,2,1,2,1,2,1,2,1,2}/36)+MOD((FIND(MID(AN607,{1,2,3,4,5,6,7,8,9,10,11,12,13,14},1),"0123456789ABCDEFGHIJKLMNOPQRSTUVWXYZ")-1)*{1,2,1,2,1,2,1,2,1,2,1,2,1,2},36)),36),36)+1,1)=MID(AN607,15,1),"OK","Typo? check digit wrong")),"Wrong format"))</f>
        <v/>
      </c>
      <c r="AK607" s="27">
        <f>IF(AO607="","",IF(AND(LEN(AO607)=10,SUMPRODUCT(--ISERROR(FIND(MID(AO607,{1,2,3,4,5,10},1),"ABCDEFGHIJKLMNOPQRSTUVWXYZ")))=0,SUMPRODUCT(--ISERROR(FIND(MID(AO607,{6,7,8,9},1),"0123456789")))=0),"OK","Wrong format"))</f>
        <v/>
      </c>
      <c r="AL607" s="27">
        <f>IF(TRIM(H607)="","",IF(AND(LEN(UPPER(TRIM(H607)))=10,SUMPRODUCT(--ISERROR(FIND(MID(UPPER(TRIM(H607)),{1,2,3,4,10},1),"ABCDEFGHIJKLMNOPQRSTUVWXYZ")))=0,SUMPRODUCT(--ISERROR(FIND(MID(UPPER(TRIM(H607)),{5,6,7,8,9},1),"0123456789")))=0),"OK","Wrong format"))</f>
        <v/>
      </c>
      <c r="AM607" s="28">
        <f>IF(NOT(COUNTA(A607:AE607)&gt;0),"",IF(AS607&lt;&gt;"","✖ "&amp;LEFT(AS607,LEN(AS607)-2),IF(AR607&gt;0,"✔ Ready — client + "&amp;AR607&amp;" service(s)","✔ Ready — client only")))</f>
        <v/>
      </c>
      <c r="AN607" s="29">
        <f>UPPER(SUBSTITUTE(TRIM(F607)," ",""))</f>
        <v/>
      </c>
      <c r="AO607" s="29">
        <f>UPPER(SUBSTITUTE(TRIM(E607)," ",""))</f>
        <v/>
      </c>
      <c r="AP607" s="29">
        <f>IF(D607&lt;&gt;"",D607,IFERROR(VLOOKUP(MID(AG607,4,1),Lists!$E$2:$F$8,2,FALSE),""))</f>
        <v/>
      </c>
      <c r="AQ607" s="29">
        <f>IFERROR(VLOOKUP(AP607,Lists!$A$2:$C$12,3,FALSE),"")</f>
        <v/>
      </c>
      <c r="AR607" s="29">
        <f>COUNTIF(W607:AC607,"Yes")</f>
        <v/>
      </c>
      <c r="AS607" s="29">
        <f>IF(TRIM(B607)="","Legal name missing; ","")&amp;IF(AND(AJ607&lt;&gt;"",AJ607&lt;&gt;"OK"),"GSTIN: "&amp;AJ607&amp;"; ","")&amp;IF(AND(AK607&lt;&gt;"",AK607&lt;&gt;"OK"),"PAN wrong format; ","")&amp;IF(AND(AO607&lt;&gt;"",LEN(AN607)=15,MID(AN607,3,10)&lt;&gt;AO607),"PAN does not match GSTIN; ","")&amp;IF(AND(AL607&lt;&gt;"",AL607&lt;&gt;"OK"),"TAN wrong format; ","")&amp;IF(AG607="","PAN missing; ","")&amp;IF(AP607="","Entity type missing; ","")&amp;IF(AND(AN607&lt;&gt;"",COUNTIF($AN$6:$AN$1005,AN607)&gt;1),"GSTIN repeated in this sheet; ","")&amp;IF(AND(AG607&lt;&gt;"",COUNTIF($AG$6:$AG$1005,AG607)&gt;1),"PAN repeated in this sheet (same client? put extra GSTINs in Other GSTINs); ","")&amp;IF(AND(AR607&gt;0,V607=""),"Financial year missing; ","")&amp;IF(AND(AR607=0,V607&lt;&gt;""),"Financial year given but no service is Yes; ","")&amp;IF(AND(W607="Yes",AN607=""),"GST needs a GSTIN; ","")&amp;IF(AND(W607="Yes",X607=""),"GST return frequency missing; ","")&amp;IF(AND(Y607="Yes",TRIM(H607)=""),"TDS needs a TAN; ","")&amp;IF(AND(AA607="Yes",AQ607&lt;&gt;"",AQ607&lt;&gt;"company",AQ607&lt;&gt;"llp"),"ROC is only for a company / LLP; ","")&amp;IF(AND(AA607="Yes",OR(AQ607="company",AQ607="llp"),TRIM(I607)=""),"ROC needs the CIN / LLPIN; ","")</f>
        <v/>
      </c>
    </row>
    <row r="608">
      <c r="A608" s="30" t="n"/>
      <c r="B608" s="31" t="n"/>
      <c r="C608" s="31" t="n"/>
      <c r="D608" s="31" t="n"/>
      <c r="E608" s="30" t="n"/>
      <c r="F608" s="30" t="n"/>
      <c r="G608" s="30" t="n"/>
      <c r="H608" s="30" t="n"/>
      <c r="I608" s="30" t="n"/>
      <c r="J608" s="32" t="n"/>
      <c r="K608" s="31" t="n"/>
      <c r="L608" s="30" t="n"/>
      <c r="M608" s="31" t="n"/>
      <c r="N608" s="31" t="n"/>
      <c r="O608" s="31" t="n"/>
      <c r="P608" s="30" t="n"/>
      <c r="Q608" s="31" t="n"/>
      <c r="R608" s="31" t="n"/>
      <c r="S608" s="31" t="n"/>
      <c r="T608" s="31" t="n"/>
      <c r="U608" s="30" t="n"/>
      <c r="V608" s="31" t="n"/>
      <c r="W608" s="31" t="n"/>
      <c r="X608" s="31" t="n"/>
      <c r="Y608" s="31" t="n"/>
      <c r="Z608" s="31" t="n"/>
      <c r="AA608" s="31" t="n"/>
      <c r="AB608" s="31" t="n"/>
      <c r="AC608" s="31" t="n"/>
      <c r="AD608" s="31" t="n"/>
      <c r="AE608" s="31" t="n"/>
      <c r="AF608" s="27">
        <f>IF(NOT(COUNTA(A608:AE608)&gt;0),"",IF(A608="","New client","Update"))</f>
        <v/>
      </c>
      <c r="AG608" s="27">
        <f>IF(AO608&lt;&gt;"",AO608,IF(LEN(AN608)=15,MID(AN608,3,10),""))</f>
        <v/>
      </c>
      <c r="AH608" s="27">
        <f>IF(AP608="","",AP608&amp;IF(D608="","  (guessed from PAN)",""))</f>
        <v/>
      </c>
      <c r="AI608" s="27">
        <f>IF(AN608="","",IFERROR(INDEX(Lists!$L$2:$L$38,MATCH(LEFT(AN608,2),Lists!$K$2:$K$38,0)),"Unknown code"))</f>
        <v/>
      </c>
      <c r="AJ608" s="27">
        <f>IF(AN608="","",IFERROR(IF(NOT(AND(LEN(AN608)=15,ISNUMBER(MATCH(LEFT(AN608,2),Lists!$K$2:$K$38,0)),SUMPRODUCT(--ISERROR(FIND(MID(MID(AN608,3,10),{1,2,3,4,5,10},1),"ABCDEFGHIJKLMNOPQRSTUVWXYZ")))=0,SUMPRODUCT(--ISERROR(FIND(MID(MID(AN608,3,10),{6,7,8,9},1),"0123456789")))=0,ISNUMBER(FIND(MID(AN608,13,1),"123456789ABCDEFGHIJKLMNOPQRSTUVWXYZ")),MID(AN608,14,1)="Z")),"Wrong format",IF(MID("0123456789ABCDEFGHIJKLMNOPQRSTUVWXYZ",MOD(36-MOD(SUMPRODUCT(INT((FIND(MID(AN608,{1,2,3,4,5,6,7,8,9,10,11,12,13,14},1),"0123456789ABCDEFGHIJKLMNOPQRSTUVWXYZ")-1)*{1,2,1,2,1,2,1,2,1,2,1,2,1,2}/36)+MOD((FIND(MID(AN608,{1,2,3,4,5,6,7,8,9,10,11,12,13,14},1),"0123456789ABCDEFGHIJKLMNOPQRSTUVWXYZ")-1)*{1,2,1,2,1,2,1,2,1,2,1,2,1,2},36)),36),36)+1,1)=MID(AN608,15,1),"OK","Typo? check digit wrong")),"Wrong format"))</f>
        <v/>
      </c>
      <c r="AK608" s="27">
        <f>IF(AO608="","",IF(AND(LEN(AO608)=10,SUMPRODUCT(--ISERROR(FIND(MID(AO608,{1,2,3,4,5,10},1),"ABCDEFGHIJKLMNOPQRSTUVWXYZ")))=0,SUMPRODUCT(--ISERROR(FIND(MID(AO608,{6,7,8,9},1),"0123456789")))=0),"OK","Wrong format"))</f>
        <v/>
      </c>
      <c r="AL608" s="27">
        <f>IF(TRIM(H608)="","",IF(AND(LEN(UPPER(TRIM(H608)))=10,SUMPRODUCT(--ISERROR(FIND(MID(UPPER(TRIM(H608)),{1,2,3,4,10},1),"ABCDEFGHIJKLMNOPQRSTUVWXYZ")))=0,SUMPRODUCT(--ISERROR(FIND(MID(UPPER(TRIM(H608)),{5,6,7,8,9},1),"0123456789")))=0),"OK","Wrong format"))</f>
        <v/>
      </c>
      <c r="AM608" s="28">
        <f>IF(NOT(COUNTA(A608:AE608)&gt;0),"",IF(AS608&lt;&gt;"","✖ "&amp;LEFT(AS608,LEN(AS608)-2),IF(AR608&gt;0,"✔ Ready — client + "&amp;AR608&amp;" service(s)","✔ Ready — client only")))</f>
        <v/>
      </c>
      <c r="AN608" s="29">
        <f>UPPER(SUBSTITUTE(TRIM(F608)," ",""))</f>
        <v/>
      </c>
      <c r="AO608" s="29">
        <f>UPPER(SUBSTITUTE(TRIM(E608)," ",""))</f>
        <v/>
      </c>
      <c r="AP608" s="29">
        <f>IF(D608&lt;&gt;"",D608,IFERROR(VLOOKUP(MID(AG608,4,1),Lists!$E$2:$F$8,2,FALSE),""))</f>
        <v/>
      </c>
      <c r="AQ608" s="29">
        <f>IFERROR(VLOOKUP(AP608,Lists!$A$2:$C$12,3,FALSE),"")</f>
        <v/>
      </c>
      <c r="AR608" s="29">
        <f>COUNTIF(W608:AC608,"Yes")</f>
        <v/>
      </c>
      <c r="AS608" s="29">
        <f>IF(TRIM(B608)="","Legal name missing; ","")&amp;IF(AND(AJ608&lt;&gt;"",AJ608&lt;&gt;"OK"),"GSTIN: "&amp;AJ608&amp;"; ","")&amp;IF(AND(AK608&lt;&gt;"",AK608&lt;&gt;"OK"),"PAN wrong format; ","")&amp;IF(AND(AO608&lt;&gt;"",LEN(AN608)=15,MID(AN608,3,10)&lt;&gt;AO608),"PAN does not match GSTIN; ","")&amp;IF(AND(AL608&lt;&gt;"",AL608&lt;&gt;"OK"),"TAN wrong format; ","")&amp;IF(AG608="","PAN missing; ","")&amp;IF(AP608="","Entity type missing; ","")&amp;IF(AND(AN608&lt;&gt;"",COUNTIF($AN$6:$AN$1005,AN608)&gt;1),"GSTIN repeated in this sheet; ","")&amp;IF(AND(AG608&lt;&gt;"",COUNTIF($AG$6:$AG$1005,AG608)&gt;1),"PAN repeated in this sheet (same client? put extra GSTINs in Other GSTINs); ","")&amp;IF(AND(AR608&gt;0,V608=""),"Financial year missing; ","")&amp;IF(AND(AR608=0,V608&lt;&gt;""),"Financial year given but no service is Yes; ","")&amp;IF(AND(W608="Yes",AN608=""),"GST needs a GSTIN; ","")&amp;IF(AND(W608="Yes",X608=""),"GST return frequency missing; ","")&amp;IF(AND(Y608="Yes",TRIM(H608)=""),"TDS needs a TAN; ","")&amp;IF(AND(AA608="Yes",AQ608&lt;&gt;"",AQ608&lt;&gt;"company",AQ608&lt;&gt;"llp"),"ROC is only for a company / LLP; ","")&amp;IF(AND(AA608="Yes",OR(AQ608="company",AQ608="llp"),TRIM(I608)=""),"ROC needs the CIN / LLPIN; ","")</f>
        <v/>
      </c>
    </row>
    <row r="609">
      <c r="A609" s="30" t="n"/>
      <c r="B609" s="31" t="n"/>
      <c r="C609" s="31" t="n"/>
      <c r="D609" s="31" t="n"/>
      <c r="E609" s="30" t="n"/>
      <c r="F609" s="30" t="n"/>
      <c r="G609" s="30" t="n"/>
      <c r="H609" s="30" t="n"/>
      <c r="I609" s="30" t="n"/>
      <c r="J609" s="32" t="n"/>
      <c r="K609" s="31" t="n"/>
      <c r="L609" s="30" t="n"/>
      <c r="M609" s="31" t="n"/>
      <c r="N609" s="31" t="n"/>
      <c r="O609" s="31" t="n"/>
      <c r="P609" s="30" t="n"/>
      <c r="Q609" s="31" t="n"/>
      <c r="R609" s="31" t="n"/>
      <c r="S609" s="31" t="n"/>
      <c r="T609" s="31" t="n"/>
      <c r="U609" s="30" t="n"/>
      <c r="V609" s="31" t="n"/>
      <c r="W609" s="31" t="n"/>
      <c r="X609" s="31" t="n"/>
      <c r="Y609" s="31" t="n"/>
      <c r="Z609" s="31" t="n"/>
      <c r="AA609" s="31" t="n"/>
      <c r="AB609" s="31" t="n"/>
      <c r="AC609" s="31" t="n"/>
      <c r="AD609" s="31" t="n"/>
      <c r="AE609" s="31" t="n"/>
      <c r="AF609" s="27">
        <f>IF(NOT(COUNTA(A609:AE609)&gt;0),"",IF(A609="","New client","Update"))</f>
        <v/>
      </c>
      <c r="AG609" s="27">
        <f>IF(AO609&lt;&gt;"",AO609,IF(LEN(AN609)=15,MID(AN609,3,10),""))</f>
        <v/>
      </c>
      <c r="AH609" s="27">
        <f>IF(AP609="","",AP609&amp;IF(D609="","  (guessed from PAN)",""))</f>
        <v/>
      </c>
      <c r="AI609" s="27">
        <f>IF(AN609="","",IFERROR(INDEX(Lists!$L$2:$L$38,MATCH(LEFT(AN609,2),Lists!$K$2:$K$38,0)),"Unknown code"))</f>
        <v/>
      </c>
      <c r="AJ609" s="27">
        <f>IF(AN609="","",IFERROR(IF(NOT(AND(LEN(AN609)=15,ISNUMBER(MATCH(LEFT(AN609,2),Lists!$K$2:$K$38,0)),SUMPRODUCT(--ISERROR(FIND(MID(MID(AN609,3,10),{1,2,3,4,5,10},1),"ABCDEFGHIJKLMNOPQRSTUVWXYZ")))=0,SUMPRODUCT(--ISERROR(FIND(MID(MID(AN609,3,10),{6,7,8,9},1),"0123456789")))=0,ISNUMBER(FIND(MID(AN609,13,1),"123456789ABCDEFGHIJKLMNOPQRSTUVWXYZ")),MID(AN609,14,1)="Z")),"Wrong format",IF(MID("0123456789ABCDEFGHIJKLMNOPQRSTUVWXYZ",MOD(36-MOD(SUMPRODUCT(INT((FIND(MID(AN609,{1,2,3,4,5,6,7,8,9,10,11,12,13,14},1),"0123456789ABCDEFGHIJKLMNOPQRSTUVWXYZ")-1)*{1,2,1,2,1,2,1,2,1,2,1,2,1,2}/36)+MOD((FIND(MID(AN609,{1,2,3,4,5,6,7,8,9,10,11,12,13,14},1),"0123456789ABCDEFGHIJKLMNOPQRSTUVWXYZ")-1)*{1,2,1,2,1,2,1,2,1,2,1,2,1,2},36)),36),36)+1,1)=MID(AN609,15,1),"OK","Typo? check digit wrong")),"Wrong format"))</f>
        <v/>
      </c>
      <c r="AK609" s="27">
        <f>IF(AO609="","",IF(AND(LEN(AO609)=10,SUMPRODUCT(--ISERROR(FIND(MID(AO609,{1,2,3,4,5,10},1),"ABCDEFGHIJKLMNOPQRSTUVWXYZ")))=0,SUMPRODUCT(--ISERROR(FIND(MID(AO609,{6,7,8,9},1),"0123456789")))=0),"OK","Wrong format"))</f>
        <v/>
      </c>
      <c r="AL609" s="27">
        <f>IF(TRIM(H609)="","",IF(AND(LEN(UPPER(TRIM(H609)))=10,SUMPRODUCT(--ISERROR(FIND(MID(UPPER(TRIM(H609)),{1,2,3,4,10},1),"ABCDEFGHIJKLMNOPQRSTUVWXYZ")))=0,SUMPRODUCT(--ISERROR(FIND(MID(UPPER(TRIM(H609)),{5,6,7,8,9},1),"0123456789")))=0),"OK","Wrong format"))</f>
        <v/>
      </c>
      <c r="AM609" s="28">
        <f>IF(NOT(COUNTA(A609:AE609)&gt;0),"",IF(AS609&lt;&gt;"","✖ "&amp;LEFT(AS609,LEN(AS609)-2),IF(AR609&gt;0,"✔ Ready — client + "&amp;AR609&amp;" service(s)","✔ Ready — client only")))</f>
        <v/>
      </c>
      <c r="AN609" s="29">
        <f>UPPER(SUBSTITUTE(TRIM(F609)," ",""))</f>
        <v/>
      </c>
      <c r="AO609" s="29">
        <f>UPPER(SUBSTITUTE(TRIM(E609)," ",""))</f>
        <v/>
      </c>
      <c r="AP609" s="29">
        <f>IF(D609&lt;&gt;"",D609,IFERROR(VLOOKUP(MID(AG609,4,1),Lists!$E$2:$F$8,2,FALSE),""))</f>
        <v/>
      </c>
      <c r="AQ609" s="29">
        <f>IFERROR(VLOOKUP(AP609,Lists!$A$2:$C$12,3,FALSE),"")</f>
        <v/>
      </c>
      <c r="AR609" s="29">
        <f>COUNTIF(W609:AC609,"Yes")</f>
        <v/>
      </c>
      <c r="AS609" s="29">
        <f>IF(TRIM(B609)="","Legal name missing; ","")&amp;IF(AND(AJ609&lt;&gt;"",AJ609&lt;&gt;"OK"),"GSTIN: "&amp;AJ609&amp;"; ","")&amp;IF(AND(AK609&lt;&gt;"",AK609&lt;&gt;"OK"),"PAN wrong format; ","")&amp;IF(AND(AO609&lt;&gt;"",LEN(AN609)=15,MID(AN609,3,10)&lt;&gt;AO609),"PAN does not match GSTIN; ","")&amp;IF(AND(AL609&lt;&gt;"",AL609&lt;&gt;"OK"),"TAN wrong format; ","")&amp;IF(AG609="","PAN missing; ","")&amp;IF(AP609="","Entity type missing; ","")&amp;IF(AND(AN609&lt;&gt;"",COUNTIF($AN$6:$AN$1005,AN609)&gt;1),"GSTIN repeated in this sheet; ","")&amp;IF(AND(AG609&lt;&gt;"",COUNTIF($AG$6:$AG$1005,AG609)&gt;1),"PAN repeated in this sheet (same client? put extra GSTINs in Other GSTINs); ","")&amp;IF(AND(AR609&gt;0,V609=""),"Financial year missing; ","")&amp;IF(AND(AR609=0,V609&lt;&gt;""),"Financial year given but no service is Yes; ","")&amp;IF(AND(W609="Yes",AN609=""),"GST needs a GSTIN; ","")&amp;IF(AND(W609="Yes",X609=""),"GST return frequency missing; ","")&amp;IF(AND(Y609="Yes",TRIM(H609)=""),"TDS needs a TAN; ","")&amp;IF(AND(AA609="Yes",AQ609&lt;&gt;"",AQ609&lt;&gt;"company",AQ609&lt;&gt;"llp"),"ROC is only for a company / LLP; ","")&amp;IF(AND(AA609="Yes",OR(AQ609="company",AQ609="llp"),TRIM(I609)=""),"ROC needs the CIN / LLPIN; ","")</f>
        <v/>
      </c>
    </row>
    <row r="610">
      <c r="A610" s="30" t="n"/>
      <c r="B610" s="31" t="n"/>
      <c r="C610" s="31" t="n"/>
      <c r="D610" s="31" t="n"/>
      <c r="E610" s="30" t="n"/>
      <c r="F610" s="30" t="n"/>
      <c r="G610" s="30" t="n"/>
      <c r="H610" s="30" t="n"/>
      <c r="I610" s="30" t="n"/>
      <c r="J610" s="32" t="n"/>
      <c r="K610" s="31" t="n"/>
      <c r="L610" s="30" t="n"/>
      <c r="M610" s="31" t="n"/>
      <c r="N610" s="31" t="n"/>
      <c r="O610" s="31" t="n"/>
      <c r="P610" s="30" t="n"/>
      <c r="Q610" s="31" t="n"/>
      <c r="R610" s="31" t="n"/>
      <c r="S610" s="31" t="n"/>
      <c r="T610" s="31" t="n"/>
      <c r="U610" s="30" t="n"/>
      <c r="V610" s="31" t="n"/>
      <c r="W610" s="31" t="n"/>
      <c r="X610" s="31" t="n"/>
      <c r="Y610" s="31" t="n"/>
      <c r="Z610" s="31" t="n"/>
      <c r="AA610" s="31" t="n"/>
      <c r="AB610" s="31" t="n"/>
      <c r="AC610" s="31" t="n"/>
      <c r="AD610" s="31" t="n"/>
      <c r="AE610" s="31" t="n"/>
      <c r="AF610" s="27">
        <f>IF(NOT(COUNTA(A610:AE610)&gt;0),"",IF(A610="","New client","Update"))</f>
        <v/>
      </c>
      <c r="AG610" s="27">
        <f>IF(AO610&lt;&gt;"",AO610,IF(LEN(AN610)=15,MID(AN610,3,10),""))</f>
        <v/>
      </c>
      <c r="AH610" s="27">
        <f>IF(AP610="","",AP610&amp;IF(D610="","  (guessed from PAN)",""))</f>
        <v/>
      </c>
      <c r="AI610" s="27">
        <f>IF(AN610="","",IFERROR(INDEX(Lists!$L$2:$L$38,MATCH(LEFT(AN610,2),Lists!$K$2:$K$38,0)),"Unknown code"))</f>
        <v/>
      </c>
      <c r="AJ610" s="27">
        <f>IF(AN610="","",IFERROR(IF(NOT(AND(LEN(AN610)=15,ISNUMBER(MATCH(LEFT(AN610,2),Lists!$K$2:$K$38,0)),SUMPRODUCT(--ISERROR(FIND(MID(MID(AN610,3,10),{1,2,3,4,5,10},1),"ABCDEFGHIJKLMNOPQRSTUVWXYZ")))=0,SUMPRODUCT(--ISERROR(FIND(MID(MID(AN610,3,10),{6,7,8,9},1),"0123456789")))=0,ISNUMBER(FIND(MID(AN610,13,1),"123456789ABCDEFGHIJKLMNOPQRSTUVWXYZ")),MID(AN610,14,1)="Z")),"Wrong format",IF(MID("0123456789ABCDEFGHIJKLMNOPQRSTUVWXYZ",MOD(36-MOD(SUMPRODUCT(INT((FIND(MID(AN610,{1,2,3,4,5,6,7,8,9,10,11,12,13,14},1),"0123456789ABCDEFGHIJKLMNOPQRSTUVWXYZ")-1)*{1,2,1,2,1,2,1,2,1,2,1,2,1,2}/36)+MOD((FIND(MID(AN610,{1,2,3,4,5,6,7,8,9,10,11,12,13,14},1),"0123456789ABCDEFGHIJKLMNOPQRSTUVWXYZ")-1)*{1,2,1,2,1,2,1,2,1,2,1,2,1,2},36)),36),36)+1,1)=MID(AN610,15,1),"OK","Typo? check digit wrong")),"Wrong format"))</f>
        <v/>
      </c>
      <c r="AK610" s="27">
        <f>IF(AO610="","",IF(AND(LEN(AO610)=10,SUMPRODUCT(--ISERROR(FIND(MID(AO610,{1,2,3,4,5,10},1),"ABCDEFGHIJKLMNOPQRSTUVWXYZ")))=0,SUMPRODUCT(--ISERROR(FIND(MID(AO610,{6,7,8,9},1),"0123456789")))=0),"OK","Wrong format"))</f>
        <v/>
      </c>
      <c r="AL610" s="27">
        <f>IF(TRIM(H610)="","",IF(AND(LEN(UPPER(TRIM(H610)))=10,SUMPRODUCT(--ISERROR(FIND(MID(UPPER(TRIM(H610)),{1,2,3,4,10},1),"ABCDEFGHIJKLMNOPQRSTUVWXYZ")))=0,SUMPRODUCT(--ISERROR(FIND(MID(UPPER(TRIM(H610)),{5,6,7,8,9},1),"0123456789")))=0),"OK","Wrong format"))</f>
        <v/>
      </c>
      <c r="AM610" s="28">
        <f>IF(NOT(COUNTA(A610:AE610)&gt;0),"",IF(AS610&lt;&gt;"","✖ "&amp;LEFT(AS610,LEN(AS610)-2),IF(AR610&gt;0,"✔ Ready — client + "&amp;AR610&amp;" service(s)","✔ Ready — client only")))</f>
        <v/>
      </c>
      <c r="AN610" s="29">
        <f>UPPER(SUBSTITUTE(TRIM(F610)," ",""))</f>
        <v/>
      </c>
      <c r="AO610" s="29">
        <f>UPPER(SUBSTITUTE(TRIM(E610)," ",""))</f>
        <v/>
      </c>
      <c r="AP610" s="29">
        <f>IF(D610&lt;&gt;"",D610,IFERROR(VLOOKUP(MID(AG610,4,1),Lists!$E$2:$F$8,2,FALSE),""))</f>
        <v/>
      </c>
      <c r="AQ610" s="29">
        <f>IFERROR(VLOOKUP(AP610,Lists!$A$2:$C$12,3,FALSE),"")</f>
        <v/>
      </c>
      <c r="AR610" s="29">
        <f>COUNTIF(W610:AC610,"Yes")</f>
        <v/>
      </c>
      <c r="AS610" s="29">
        <f>IF(TRIM(B610)="","Legal name missing; ","")&amp;IF(AND(AJ610&lt;&gt;"",AJ610&lt;&gt;"OK"),"GSTIN: "&amp;AJ610&amp;"; ","")&amp;IF(AND(AK610&lt;&gt;"",AK610&lt;&gt;"OK"),"PAN wrong format; ","")&amp;IF(AND(AO610&lt;&gt;"",LEN(AN610)=15,MID(AN610,3,10)&lt;&gt;AO610),"PAN does not match GSTIN; ","")&amp;IF(AND(AL610&lt;&gt;"",AL610&lt;&gt;"OK"),"TAN wrong format; ","")&amp;IF(AG610="","PAN missing; ","")&amp;IF(AP610="","Entity type missing; ","")&amp;IF(AND(AN610&lt;&gt;"",COUNTIF($AN$6:$AN$1005,AN610)&gt;1),"GSTIN repeated in this sheet; ","")&amp;IF(AND(AG610&lt;&gt;"",COUNTIF($AG$6:$AG$1005,AG610)&gt;1),"PAN repeated in this sheet (same client? put extra GSTINs in Other GSTINs); ","")&amp;IF(AND(AR610&gt;0,V610=""),"Financial year missing; ","")&amp;IF(AND(AR610=0,V610&lt;&gt;""),"Financial year given but no service is Yes; ","")&amp;IF(AND(W610="Yes",AN610=""),"GST needs a GSTIN; ","")&amp;IF(AND(W610="Yes",X610=""),"GST return frequency missing; ","")&amp;IF(AND(Y610="Yes",TRIM(H610)=""),"TDS needs a TAN; ","")&amp;IF(AND(AA610="Yes",AQ610&lt;&gt;"",AQ610&lt;&gt;"company",AQ610&lt;&gt;"llp"),"ROC is only for a company / LLP; ","")&amp;IF(AND(AA610="Yes",OR(AQ610="company",AQ610="llp"),TRIM(I610)=""),"ROC needs the CIN / LLPIN; ","")</f>
        <v/>
      </c>
    </row>
    <row r="611">
      <c r="A611" s="30" t="n"/>
      <c r="B611" s="31" t="n"/>
      <c r="C611" s="31" t="n"/>
      <c r="D611" s="31" t="n"/>
      <c r="E611" s="30" t="n"/>
      <c r="F611" s="30" t="n"/>
      <c r="G611" s="30" t="n"/>
      <c r="H611" s="30" t="n"/>
      <c r="I611" s="30" t="n"/>
      <c r="J611" s="32" t="n"/>
      <c r="K611" s="31" t="n"/>
      <c r="L611" s="30" t="n"/>
      <c r="M611" s="31" t="n"/>
      <c r="N611" s="31" t="n"/>
      <c r="O611" s="31" t="n"/>
      <c r="P611" s="30" t="n"/>
      <c r="Q611" s="31" t="n"/>
      <c r="R611" s="31" t="n"/>
      <c r="S611" s="31" t="n"/>
      <c r="T611" s="31" t="n"/>
      <c r="U611" s="30" t="n"/>
      <c r="V611" s="31" t="n"/>
      <c r="W611" s="31" t="n"/>
      <c r="X611" s="31" t="n"/>
      <c r="Y611" s="31" t="n"/>
      <c r="Z611" s="31" t="n"/>
      <c r="AA611" s="31" t="n"/>
      <c r="AB611" s="31" t="n"/>
      <c r="AC611" s="31" t="n"/>
      <c r="AD611" s="31" t="n"/>
      <c r="AE611" s="31" t="n"/>
      <c r="AF611" s="27">
        <f>IF(NOT(COUNTA(A611:AE611)&gt;0),"",IF(A611="","New client","Update"))</f>
        <v/>
      </c>
      <c r="AG611" s="27">
        <f>IF(AO611&lt;&gt;"",AO611,IF(LEN(AN611)=15,MID(AN611,3,10),""))</f>
        <v/>
      </c>
      <c r="AH611" s="27">
        <f>IF(AP611="","",AP611&amp;IF(D611="","  (guessed from PAN)",""))</f>
        <v/>
      </c>
      <c r="AI611" s="27">
        <f>IF(AN611="","",IFERROR(INDEX(Lists!$L$2:$L$38,MATCH(LEFT(AN611,2),Lists!$K$2:$K$38,0)),"Unknown code"))</f>
        <v/>
      </c>
      <c r="AJ611" s="27">
        <f>IF(AN611="","",IFERROR(IF(NOT(AND(LEN(AN611)=15,ISNUMBER(MATCH(LEFT(AN611,2),Lists!$K$2:$K$38,0)),SUMPRODUCT(--ISERROR(FIND(MID(MID(AN611,3,10),{1,2,3,4,5,10},1),"ABCDEFGHIJKLMNOPQRSTUVWXYZ")))=0,SUMPRODUCT(--ISERROR(FIND(MID(MID(AN611,3,10),{6,7,8,9},1),"0123456789")))=0,ISNUMBER(FIND(MID(AN611,13,1),"123456789ABCDEFGHIJKLMNOPQRSTUVWXYZ")),MID(AN611,14,1)="Z")),"Wrong format",IF(MID("0123456789ABCDEFGHIJKLMNOPQRSTUVWXYZ",MOD(36-MOD(SUMPRODUCT(INT((FIND(MID(AN611,{1,2,3,4,5,6,7,8,9,10,11,12,13,14},1),"0123456789ABCDEFGHIJKLMNOPQRSTUVWXYZ")-1)*{1,2,1,2,1,2,1,2,1,2,1,2,1,2}/36)+MOD((FIND(MID(AN611,{1,2,3,4,5,6,7,8,9,10,11,12,13,14},1),"0123456789ABCDEFGHIJKLMNOPQRSTUVWXYZ")-1)*{1,2,1,2,1,2,1,2,1,2,1,2,1,2},36)),36),36)+1,1)=MID(AN611,15,1),"OK","Typo? check digit wrong")),"Wrong format"))</f>
        <v/>
      </c>
      <c r="AK611" s="27">
        <f>IF(AO611="","",IF(AND(LEN(AO611)=10,SUMPRODUCT(--ISERROR(FIND(MID(AO611,{1,2,3,4,5,10},1),"ABCDEFGHIJKLMNOPQRSTUVWXYZ")))=0,SUMPRODUCT(--ISERROR(FIND(MID(AO611,{6,7,8,9},1),"0123456789")))=0),"OK","Wrong format"))</f>
        <v/>
      </c>
      <c r="AL611" s="27">
        <f>IF(TRIM(H611)="","",IF(AND(LEN(UPPER(TRIM(H611)))=10,SUMPRODUCT(--ISERROR(FIND(MID(UPPER(TRIM(H611)),{1,2,3,4,10},1),"ABCDEFGHIJKLMNOPQRSTUVWXYZ")))=0,SUMPRODUCT(--ISERROR(FIND(MID(UPPER(TRIM(H611)),{5,6,7,8,9},1),"0123456789")))=0),"OK","Wrong format"))</f>
        <v/>
      </c>
      <c r="AM611" s="28">
        <f>IF(NOT(COUNTA(A611:AE611)&gt;0),"",IF(AS611&lt;&gt;"","✖ "&amp;LEFT(AS611,LEN(AS611)-2),IF(AR611&gt;0,"✔ Ready — client + "&amp;AR611&amp;" service(s)","✔ Ready — client only")))</f>
        <v/>
      </c>
      <c r="AN611" s="29">
        <f>UPPER(SUBSTITUTE(TRIM(F611)," ",""))</f>
        <v/>
      </c>
      <c r="AO611" s="29">
        <f>UPPER(SUBSTITUTE(TRIM(E611)," ",""))</f>
        <v/>
      </c>
      <c r="AP611" s="29">
        <f>IF(D611&lt;&gt;"",D611,IFERROR(VLOOKUP(MID(AG611,4,1),Lists!$E$2:$F$8,2,FALSE),""))</f>
        <v/>
      </c>
      <c r="AQ611" s="29">
        <f>IFERROR(VLOOKUP(AP611,Lists!$A$2:$C$12,3,FALSE),"")</f>
        <v/>
      </c>
      <c r="AR611" s="29">
        <f>COUNTIF(W611:AC611,"Yes")</f>
        <v/>
      </c>
      <c r="AS611" s="29">
        <f>IF(TRIM(B611)="","Legal name missing; ","")&amp;IF(AND(AJ611&lt;&gt;"",AJ611&lt;&gt;"OK"),"GSTIN: "&amp;AJ611&amp;"; ","")&amp;IF(AND(AK611&lt;&gt;"",AK611&lt;&gt;"OK"),"PAN wrong format; ","")&amp;IF(AND(AO611&lt;&gt;"",LEN(AN611)=15,MID(AN611,3,10)&lt;&gt;AO611),"PAN does not match GSTIN; ","")&amp;IF(AND(AL611&lt;&gt;"",AL611&lt;&gt;"OK"),"TAN wrong format; ","")&amp;IF(AG611="","PAN missing; ","")&amp;IF(AP611="","Entity type missing; ","")&amp;IF(AND(AN611&lt;&gt;"",COUNTIF($AN$6:$AN$1005,AN611)&gt;1),"GSTIN repeated in this sheet; ","")&amp;IF(AND(AG611&lt;&gt;"",COUNTIF($AG$6:$AG$1005,AG611)&gt;1),"PAN repeated in this sheet (same client? put extra GSTINs in Other GSTINs); ","")&amp;IF(AND(AR611&gt;0,V611=""),"Financial year missing; ","")&amp;IF(AND(AR611=0,V611&lt;&gt;""),"Financial year given but no service is Yes; ","")&amp;IF(AND(W611="Yes",AN611=""),"GST needs a GSTIN; ","")&amp;IF(AND(W611="Yes",X611=""),"GST return frequency missing; ","")&amp;IF(AND(Y611="Yes",TRIM(H611)=""),"TDS needs a TAN; ","")&amp;IF(AND(AA611="Yes",AQ611&lt;&gt;"",AQ611&lt;&gt;"company",AQ611&lt;&gt;"llp"),"ROC is only for a company / LLP; ","")&amp;IF(AND(AA611="Yes",OR(AQ611="company",AQ611="llp"),TRIM(I611)=""),"ROC needs the CIN / LLPIN; ","")</f>
        <v/>
      </c>
    </row>
    <row r="612">
      <c r="A612" s="30" t="n"/>
      <c r="B612" s="31" t="n"/>
      <c r="C612" s="31" t="n"/>
      <c r="D612" s="31" t="n"/>
      <c r="E612" s="30" t="n"/>
      <c r="F612" s="30" t="n"/>
      <c r="G612" s="30" t="n"/>
      <c r="H612" s="30" t="n"/>
      <c r="I612" s="30" t="n"/>
      <c r="J612" s="32" t="n"/>
      <c r="K612" s="31" t="n"/>
      <c r="L612" s="30" t="n"/>
      <c r="M612" s="31" t="n"/>
      <c r="N612" s="31" t="n"/>
      <c r="O612" s="31" t="n"/>
      <c r="P612" s="30" t="n"/>
      <c r="Q612" s="31" t="n"/>
      <c r="R612" s="31" t="n"/>
      <c r="S612" s="31" t="n"/>
      <c r="T612" s="31" t="n"/>
      <c r="U612" s="30" t="n"/>
      <c r="V612" s="31" t="n"/>
      <c r="W612" s="31" t="n"/>
      <c r="X612" s="31" t="n"/>
      <c r="Y612" s="31" t="n"/>
      <c r="Z612" s="31" t="n"/>
      <c r="AA612" s="31" t="n"/>
      <c r="AB612" s="31" t="n"/>
      <c r="AC612" s="31" t="n"/>
      <c r="AD612" s="31" t="n"/>
      <c r="AE612" s="31" t="n"/>
      <c r="AF612" s="27">
        <f>IF(NOT(COUNTA(A612:AE612)&gt;0),"",IF(A612="","New client","Update"))</f>
        <v/>
      </c>
      <c r="AG612" s="27">
        <f>IF(AO612&lt;&gt;"",AO612,IF(LEN(AN612)=15,MID(AN612,3,10),""))</f>
        <v/>
      </c>
      <c r="AH612" s="27">
        <f>IF(AP612="","",AP612&amp;IF(D612="","  (guessed from PAN)",""))</f>
        <v/>
      </c>
      <c r="AI612" s="27">
        <f>IF(AN612="","",IFERROR(INDEX(Lists!$L$2:$L$38,MATCH(LEFT(AN612,2),Lists!$K$2:$K$38,0)),"Unknown code"))</f>
        <v/>
      </c>
      <c r="AJ612" s="27">
        <f>IF(AN612="","",IFERROR(IF(NOT(AND(LEN(AN612)=15,ISNUMBER(MATCH(LEFT(AN612,2),Lists!$K$2:$K$38,0)),SUMPRODUCT(--ISERROR(FIND(MID(MID(AN612,3,10),{1,2,3,4,5,10},1),"ABCDEFGHIJKLMNOPQRSTUVWXYZ")))=0,SUMPRODUCT(--ISERROR(FIND(MID(MID(AN612,3,10),{6,7,8,9},1),"0123456789")))=0,ISNUMBER(FIND(MID(AN612,13,1),"123456789ABCDEFGHIJKLMNOPQRSTUVWXYZ")),MID(AN612,14,1)="Z")),"Wrong format",IF(MID("0123456789ABCDEFGHIJKLMNOPQRSTUVWXYZ",MOD(36-MOD(SUMPRODUCT(INT((FIND(MID(AN612,{1,2,3,4,5,6,7,8,9,10,11,12,13,14},1),"0123456789ABCDEFGHIJKLMNOPQRSTUVWXYZ")-1)*{1,2,1,2,1,2,1,2,1,2,1,2,1,2}/36)+MOD((FIND(MID(AN612,{1,2,3,4,5,6,7,8,9,10,11,12,13,14},1),"0123456789ABCDEFGHIJKLMNOPQRSTUVWXYZ")-1)*{1,2,1,2,1,2,1,2,1,2,1,2,1,2},36)),36),36)+1,1)=MID(AN612,15,1),"OK","Typo? check digit wrong")),"Wrong format"))</f>
        <v/>
      </c>
      <c r="AK612" s="27">
        <f>IF(AO612="","",IF(AND(LEN(AO612)=10,SUMPRODUCT(--ISERROR(FIND(MID(AO612,{1,2,3,4,5,10},1),"ABCDEFGHIJKLMNOPQRSTUVWXYZ")))=0,SUMPRODUCT(--ISERROR(FIND(MID(AO612,{6,7,8,9},1),"0123456789")))=0),"OK","Wrong format"))</f>
        <v/>
      </c>
      <c r="AL612" s="27">
        <f>IF(TRIM(H612)="","",IF(AND(LEN(UPPER(TRIM(H612)))=10,SUMPRODUCT(--ISERROR(FIND(MID(UPPER(TRIM(H612)),{1,2,3,4,10},1),"ABCDEFGHIJKLMNOPQRSTUVWXYZ")))=0,SUMPRODUCT(--ISERROR(FIND(MID(UPPER(TRIM(H612)),{5,6,7,8,9},1),"0123456789")))=0),"OK","Wrong format"))</f>
        <v/>
      </c>
      <c r="AM612" s="28">
        <f>IF(NOT(COUNTA(A612:AE612)&gt;0),"",IF(AS612&lt;&gt;"","✖ "&amp;LEFT(AS612,LEN(AS612)-2),IF(AR612&gt;0,"✔ Ready — client + "&amp;AR612&amp;" service(s)","✔ Ready — client only")))</f>
        <v/>
      </c>
      <c r="AN612" s="29">
        <f>UPPER(SUBSTITUTE(TRIM(F612)," ",""))</f>
        <v/>
      </c>
      <c r="AO612" s="29">
        <f>UPPER(SUBSTITUTE(TRIM(E612)," ",""))</f>
        <v/>
      </c>
      <c r="AP612" s="29">
        <f>IF(D612&lt;&gt;"",D612,IFERROR(VLOOKUP(MID(AG612,4,1),Lists!$E$2:$F$8,2,FALSE),""))</f>
        <v/>
      </c>
      <c r="AQ612" s="29">
        <f>IFERROR(VLOOKUP(AP612,Lists!$A$2:$C$12,3,FALSE),"")</f>
        <v/>
      </c>
      <c r="AR612" s="29">
        <f>COUNTIF(W612:AC612,"Yes")</f>
        <v/>
      </c>
      <c r="AS612" s="29">
        <f>IF(TRIM(B612)="","Legal name missing; ","")&amp;IF(AND(AJ612&lt;&gt;"",AJ612&lt;&gt;"OK"),"GSTIN: "&amp;AJ612&amp;"; ","")&amp;IF(AND(AK612&lt;&gt;"",AK612&lt;&gt;"OK"),"PAN wrong format; ","")&amp;IF(AND(AO612&lt;&gt;"",LEN(AN612)=15,MID(AN612,3,10)&lt;&gt;AO612),"PAN does not match GSTIN; ","")&amp;IF(AND(AL612&lt;&gt;"",AL612&lt;&gt;"OK"),"TAN wrong format; ","")&amp;IF(AG612="","PAN missing; ","")&amp;IF(AP612="","Entity type missing; ","")&amp;IF(AND(AN612&lt;&gt;"",COUNTIF($AN$6:$AN$1005,AN612)&gt;1),"GSTIN repeated in this sheet; ","")&amp;IF(AND(AG612&lt;&gt;"",COUNTIF($AG$6:$AG$1005,AG612)&gt;1),"PAN repeated in this sheet (same client? put extra GSTINs in Other GSTINs); ","")&amp;IF(AND(AR612&gt;0,V612=""),"Financial year missing; ","")&amp;IF(AND(AR612=0,V612&lt;&gt;""),"Financial year given but no service is Yes; ","")&amp;IF(AND(W612="Yes",AN612=""),"GST needs a GSTIN; ","")&amp;IF(AND(W612="Yes",X612=""),"GST return frequency missing; ","")&amp;IF(AND(Y612="Yes",TRIM(H612)=""),"TDS needs a TAN; ","")&amp;IF(AND(AA612="Yes",AQ612&lt;&gt;"",AQ612&lt;&gt;"company",AQ612&lt;&gt;"llp"),"ROC is only for a company / LLP; ","")&amp;IF(AND(AA612="Yes",OR(AQ612="company",AQ612="llp"),TRIM(I612)=""),"ROC needs the CIN / LLPIN; ","")</f>
        <v/>
      </c>
    </row>
    <row r="613">
      <c r="A613" s="30" t="n"/>
      <c r="B613" s="31" t="n"/>
      <c r="C613" s="31" t="n"/>
      <c r="D613" s="31" t="n"/>
      <c r="E613" s="30" t="n"/>
      <c r="F613" s="30" t="n"/>
      <c r="G613" s="30" t="n"/>
      <c r="H613" s="30" t="n"/>
      <c r="I613" s="30" t="n"/>
      <c r="J613" s="32" t="n"/>
      <c r="K613" s="31" t="n"/>
      <c r="L613" s="30" t="n"/>
      <c r="M613" s="31" t="n"/>
      <c r="N613" s="31" t="n"/>
      <c r="O613" s="31" t="n"/>
      <c r="P613" s="30" t="n"/>
      <c r="Q613" s="31" t="n"/>
      <c r="R613" s="31" t="n"/>
      <c r="S613" s="31" t="n"/>
      <c r="T613" s="31" t="n"/>
      <c r="U613" s="30" t="n"/>
      <c r="V613" s="31" t="n"/>
      <c r="W613" s="31" t="n"/>
      <c r="X613" s="31" t="n"/>
      <c r="Y613" s="31" t="n"/>
      <c r="Z613" s="31" t="n"/>
      <c r="AA613" s="31" t="n"/>
      <c r="AB613" s="31" t="n"/>
      <c r="AC613" s="31" t="n"/>
      <c r="AD613" s="31" t="n"/>
      <c r="AE613" s="31" t="n"/>
      <c r="AF613" s="27">
        <f>IF(NOT(COUNTA(A613:AE613)&gt;0),"",IF(A613="","New client","Update"))</f>
        <v/>
      </c>
      <c r="AG613" s="27">
        <f>IF(AO613&lt;&gt;"",AO613,IF(LEN(AN613)=15,MID(AN613,3,10),""))</f>
        <v/>
      </c>
      <c r="AH613" s="27">
        <f>IF(AP613="","",AP613&amp;IF(D613="","  (guessed from PAN)",""))</f>
        <v/>
      </c>
      <c r="AI613" s="27">
        <f>IF(AN613="","",IFERROR(INDEX(Lists!$L$2:$L$38,MATCH(LEFT(AN613,2),Lists!$K$2:$K$38,0)),"Unknown code"))</f>
        <v/>
      </c>
      <c r="AJ613" s="27">
        <f>IF(AN613="","",IFERROR(IF(NOT(AND(LEN(AN613)=15,ISNUMBER(MATCH(LEFT(AN613,2),Lists!$K$2:$K$38,0)),SUMPRODUCT(--ISERROR(FIND(MID(MID(AN613,3,10),{1,2,3,4,5,10},1),"ABCDEFGHIJKLMNOPQRSTUVWXYZ")))=0,SUMPRODUCT(--ISERROR(FIND(MID(MID(AN613,3,10),{6,7,8,9},1),"0123456789")))=0,ISNUMBER(FIND(MID(AN613,13,1),"123456789ABCDEFGHIJKLMNOPQRSTUVWXYZ")),MID(AN613,14,1)="Z")),"Wrong format",IF(MID("0123456789ABCDEFGHIJKLMNOPQRSTUVWXYZ",MOD(36-MOD(SUMPRODUCT(INT((FIND(MID(AN613,{1,2,3,4,5,6,7,8,9,10,11,12,13,14},1),"0123456789ABCDEFGHIJKLMNOPQRSTUVWXYZ")-1)*{1,2,1,2,1,2,1,2,1,2,1,2,1,2}/36)+MOD((FIND(MID(AN613,{1,2,3,4,5,6,7,8,9,10,11,12,13,14},1),"0123456789ABCDEFGHIJKLMNOPQRSTUVWXYZ")-1)*{1,2,1,2,1,2,1,2,1,2,1,2,1,2},36)),36),36)+1,1)=MID(AN613,15,1),"OK","Typo? check digit wrong")),"Wrong format"))</f>
        <v/>
      </c>
      <c r="AK613" s="27">
        <f>IF(AO613="","",IF(AND(LEN(AO613)=10,SUMPRODUCT(--ISERROR(FIND(MID(AO613,{1,2,3,4,5,10},1),"ABCDEFGHIJKLMNOPQRSTUVWXYZ")))=0,SUMPRODUCT(--ISERROR(FIND(MID(AO613,{6,7,8,9},1),"0123456789")))=0),"OK","Wrong format"))</f>
        <v/>
      </c>
      <c r="AL613" s="27">
        <f>IF(TRIM(H613)="","",IF(AND(LEN(UPPER(TRIM(H613)))=10,SUMPRODUCT(--ISERROR(FIND(MID(UPPER(TRIM(H613)),{1,2,3,4,10},1),"ABCDEFGHIJKLMNOPQRSTUVWXYZ")))=0,SUMPRODUCT(--ISERROR(FIND(MID(UPPER(TRIM(H613)),{5,6,7,8,9},1),"0123456789")))=0),"OK","Wrong format"))</f>
        <v/>
      </c>
      <c r="AM613" s="28">
        <f>IF(NOT(COUNTA(A613:AE613)&gt;0),"",IF(AS613&lt;&gt;"","✖ "&amp;LEFT(AS613,LEN(AS613)-2),IF(AR613&gt;0,"✔ Ready — client + "&amp;AR613&amp;" service(s)","✔ Ready — client only")))</f>
        <v/>
      </c>
      <c r="AN613" s="29">
        <f>UPPER(SUBSTITUTE(TRIM(F613)," ",""))</f>
        <v/>
      </c>
      <c r="AO613" s="29">
        <f>UPPER(SUBSTITUTE(TRIM(E613)," ",""))</f>
        <v/>
      </c>
      <c r="AP613" s="29">
        <f>IF(D613&lt;&gt;"",D613,IFERROR(VLOOKUP(MID(AG613,4,1),Lists!$E$2:$F$8,2,FALSE),""))</f>
        <v/>
      </c>
      <c r="AQ613" s="29">
        <f>IFERROR(VLOOKUP(AP613,Lists!$A$2:$C$12,3,FALSE),"")</f>
        <v/>
      </c>
      <c r="AR613" s="29">
        <f>COUNTIF(W613:AC613,"Yes")</f>
        <v/>
      </c>
      <c r="AS613" s="29">
        <f>IF(TRIM(B613)="","Legal name missing; ","")&amp;IF(AND(AJ613&lt;&gt;"",AJ613&lt;&gt;"OK"),"GSTIN: "&amp;AJ613&amp;"; ","")&amp;IF(AND(AK613&lt;&gt;"",AK613&lt;&gt;"OK"),"PAN wrong format; ","")&amp;IF(AND(AO613&lt;&gt;"",LEN(AN613)=15,MID(AN613,3,10)&lt;&gt;AO613),"PAN does not match GSTIN; ","")&amp;IF(AND(AL613&lt;&gt;"",AL613&lt;&gt;"OK"),"TAN wrong format; ","")&amp;IF(AG613="","PAN missing; ","")&amp;IF(AP613="","Entity type missing; ","")&amp;IF(AND(AN613&lt;&gt;"",COUNTIF($AN$6:$AN$1005,AN613)&gt;1),"GSTIN repeated in this sheet; ","")&amp;IF(AND(AG613&lt;&gt;"",COUNTIF($AG$6:$AG$1005,AG613)&gt;1),"PAN repeated in this sheet (same client? put extra GSTINs in Other GSTINs); ","")&amp;IF(AND(AR613&gt;0,V613=""),"Financial year missing; ","")&amp;IF(AND(AR613=0,V613&lt;&gt;""),"Financial year given but no service is Yes; ","")&amp;IF(AND(W613="Yes",AN613=""),"GST needs a GSTIN; ","")&amp;IF(AND(W613="Yes",X613=""),"GST return frequency missing; ","")&amp;IF(AND(Y613="Yes",TRIM(H613)=""),"TDS needs a TAN; ","")&amp;IF(AND(AA613="Yes",AQ613&lt;&gt;"",AQ613&lt;&gt;"company",AQ613&lt;&gt;"llp"),"ROC is only for a company / LLP; ","")&amp;IF(AND(AA613="Yes",OR(AQ613="company",AQ613="llp"),TRIM(I613)=""),"ROC needs the CIN / LLPIN; ","")</f>
        <v/>
      </c>
    </row>
    <row r="614">
      <c r="A614" s="30" t="n"/>
      <c r="B614" s="31" t="n"/>
      <c r="C614" s="31" t="n"/>
      <c r="D614" s="31" t="n"/>
      <c r="E614" s="30" t="n"/>
      <c r="F614" s="30" t="n"/>
      <c r="G614" s="30" t="n"/>
      <c r="H614" s="30" t="n"/>
      <c r="I614" s="30" t="n"/>
      <c r="J614" s="32" t="n"/>
      <c r="K614" s="31" t="n"/>
      <c r="L614" s="30" t="n"/>
      <c r="M614" s="31" t="n"/>
      <c r="N614" s="31" t="n"/>
      <c r="O614" s="31" t="n"/>
      <c r="P614" s="30" t="n"/>
      <c r="Q614" s="31" t="n"/>
      <c r="R614" s="31" t="n"/>
      <c r="S614" s="31" t="n"/>
      <c r="T614" s="31" t="n"/>
      <c r="U614" s="30" t="n"/>
      <c r="V614" s="31" t="n"/>
      <c r="W614" s="31" t="n"/>
      <c r="X614" s="31" t="n"/>
      <c r="Y614" s="31" t="n"/>
      <c r="Z614" s="31" t="n"/>
      <c r="AA614" s="31" t="n"/>
      <c r="AB614" s="31" t="n"/>
      <c r="AC614" s="31" t="n"/>
      <c r="AD614" s="31" t="n"/>
      <c r="AE614" s="31" t="n"/>
      <c r="AF614" s="27">
        <f>IF(NOT(COUNTA(A614:AE614)&gt;0),"",IF(A614="","New client","Update"))</f>
        <v/>
      </c>
      <c r="AG614" s="27">
        <f>IF(AO614&lt;&gt;"",AO614,IF(LEN(AN614)=15,MID(AN614,3,10),""))</f>
        <v/>
      </c>
      <c r="AH614" s="27">
        <f>IF(AP614="","",AP614&amp;IF(D614="","  (guessed from PAN)",""))</f>
        <v/>
      </c>
      <c r="AI614" s="27">
        <f>IF(AN614="","",IFERROR(INDEX(Lists!$L$2:$L$38,MATCH(LEFT(AN614,2),Lists!$K$2:$K$38,0)),"Unknown code"))</f>
        <v/>
      </c>
      <c r="AJ614" s="27">
        <f>IF(AN614="","",IFERROR(IF(NOT(AND(LEN(AN614)=15,ISNUMBER(MATCH(LEFT(AN614,2),Lists!$K$2:$K$38,0)),SUMPRODUCT(--ISERROR(FIND(MID(MID(AN614,3,10),{1,2,3,4,5,10},1),"ABCDEFGHIJKLMNOPQRSTUVWXYZ")))=0,SUMPRODUCT(--ISERROR(FIND(MID(MID(AN614,3,10),{6,7,8,9},1),"0123456789")))=0,ISNUMBER(FIND(MID(AN614,13,1),"123456789ABCDEFGHIJKLMNOPQRSTUVWXYZ")),MID(AN614,14,1)="Z")),"Wrong format",IF(MID("0123456789ABCDEFGHIJKLMNOPQRSTUVWXYZ",MOD(36-MOD(SUMPRODUCT(INT((FIND(MID(AN614,{1,2,3,4,5,6,7,8,9,10,11,12,13,14},1),"0123456789ABCDEFGHIJKLMNOPQRSTUVWXYZ")-1)*{1,2,1,2,1,2,1,2,1,2,1,2,1,2}/36)+MOD((FIND(MID(AN614,{1,2,3,4,5,6,7,8,9,10,11,12,13,14},1),"0123456789ABCDEFGHIJKLMNOPQRSTUVWXYZ")-1)*{1,2,1,2,1,2,1,2,1,2,1,2,1,2},36)),36),36)+1,1)=MID(AN614,15,1),"OK","Typo? check digit wrong")),"Wrong format"))</f>
        <v/>
      </c>
      <c r="AK614" s="27">
        <f>IF(AO614="","",IF(AND(LEN(AO614)=10,SUMPRODUCT(--ISERROR(FIND(MID(AO614,{1,2,3,4,5,10},1),"ABCDEFGHIJKLMNOPQRSTUVWXYZ")))=0,SUMPRODUCT(--ISERROR(FIND(MID(AO614,{6,7,8,9},1),"0123456789")))=0),"OK","Wrong format"))</f>
        <v/>
      </c>
      <c r="AL614" s="27">
        <f>IF(TRIM(H614)="","",IF(AND(LEN(UPPER(TRIM(H614)))=10,SUMPRODUCT(--ISERROR(FIND(MID(UPPER(TRIM(H614)),{1,2,3,4,10},1),"ABCDEFGHIJKLMNOPQRSTUVWXYZ")))=0,SUMPRODUCT(--ISERROR(FIND(MID(UPPER(TRIM(H614)),{5,6,7,8,9},1),"0123456789")))=0),"OK","Wrong format"))</f>
        <v/>
      </c>
      <c r="AM614" s="28">
        <f>IF(NOT(COUNTA(A614:AE614)&gt;0),"",IF(AS614&lt;&gt;"","✖ "&amp;LEFT(AS614,LEN(AS614)-2),IF(AR614&gt;0,"✔ Ready — client + "&amp;AR614&amp;" service(s)","✔ Ready — client only")))</f>
        <v/>
      </c>
      <c r="AN614" s="29">
        <f>UPPER(SUBSTITUTE(TRIM(F614)," ",""))</f>
        <v/>
      </c>
      <c r="AO614" s="29">
        <f>UPPER(SUBSTITUTE(TRIM(E614)," ",""))</f>
        <v/>
      </c>
      <c r="AP614" s="29">
        <f>IF(D614&lt;&gt;"",D614,IFERROR(VLOOKUP(MID(AG614,4,1),Lists!$E$2:$F$8,2,FALSE),""))</f>
        <v/>
      </c>
      <c r="AQ614" s="29">
        <f>IFERROR(VLOOKUP(AP614,Lists!$A$2:$C$12,3,FALSE),"")</f>
        <v/>
      </c>
      <c r="AR614" s="29">
        <f>COUNTIF(W614:AC614,"Yes")</f>
        <v/>
      </c>
      <c r="AS614" s="29">
        <f>IF(TRIM(B614)="","Legal name missing; ","")&amp;IF(AND(AJ614&lt;&gt;"",AJ614&lt;&gt;"OK"),"GSTIN: "&amp;AJ614&amp;"; ","")&amp;IF(AND(AK614&lt;&gt;"",AK614&lt;&gt;"OK"),"PAN wrong format; ","")&amp;IF(AND(AO614&lt;&gt;"",LEN(AN614)=15,MID(AN614,3,10)&lt;&gt;AO614),"PAN does not match GSTIN; ","")&amp;IF(AND(AL614&lt;&gt;"",AL614&lt;&gt;"OK"),"TAN wrong format; ","")&amp;IF(AG614="","PAN missing; ","")&amp;IF(AP614="","Entity type missing; ","")&amp;IF(AND(AN614&lt;&gt;"",COUNTIF($AN$6:$AN$1005,AN614)&gt;1),"GSTIN repeated in this sheet; ","")&amp;IF(AND(AG614&lt;&gt;"",COUNTIF($AG$6:$AG$1005,AG614)&gt;1),"PAN repeated in this sheet (same client? put extra GSTINs in Other GSTINs); ","")&amp;IF(AND(AR614&gt;0,V614=""),"Financial year missing; ","")&amp;IF(AND(AR614=0,V614&lt;&gt;""),"Financial year given but no service is Yes; ","")&amp;IF(AND(W614="Yes",AN614=""),"GST needs a GSTIN; ","")&amp;IF(AND(W614="Yes",X614=""),"GST return frequency missing; ","")&amp;IF(AND(Y614="Yes",TRIM(H614)=""),"TDS needs a TAN; ","")&amp;IF(AND(AA614="Yes",AQ614&lt;&gt;"",AQ614&lt;&gt;"company",AQ614&lt;&gt;"llp"),"ROC is only for a company / LLP; ","")&amp;IF(AND(AA614="Yes",OR(AQ614="company",AQ614="llp"),TRIM(I614)=""),"ROC needs the CIN / LLPIN; ","")</f>
        <v/>
      </c>
    </row>
    <row r="615">
      <c r="A615" s="30" t="n"/>
      <c r="B615" s="31" t="n"/>
      <c r="C615" s="31" t="n"/>
      <c r="D615" s="31" t="n"/>
      <c r="E615" s="30" t="n"/>
      <c r="F615" s="30" t="n"/>
      <c r="G615" s="30" t="n"/>
      <c r="H615" s="30" t="n"/>
      <c r="I615" s="30" t="n"/>
      <c r="J615" s="32" t="n"/>
      <c r="K615" s="31" t="n"/>
      <c r="L615" s="30" t="n"/>
      <c r="M615" s="31" t="n"/>
      <c r="N615" s="31" t="n"/>
      <c r="O615" s="31" t="n"/>
      <c r="P615" s="30" t="n"/>
      <c r="Q615" s="31" t="n"/>
      <c r="R615" s="31" t="n"/>
      <c r="S615" s="31" t="n"/>
      <c r="T615" s="31" t="n"/>
      <c r="U615" s="30" t="n"/>
      <c r="V615" s="31" t="n"/>
      <c r="W615" s="31" t="n"/>
      <c r="X615" s="31" t="n"/>
      <c r="Y615" s="31" t="n"/>
      <c r="Z615" s="31" t="n"/>
      <c r="AA615" s="31" t="n"/>
      <c r="AB615" s="31" t="n"/>
      <c r="AC615" s="31" t="n"/>
      <c r="AD615" s="31" t="n"/>
      <c r="AE615" s="31" t="n"/>
      <c r="AF615" s="27">
        <f>IF(NOT(COUNTA(A615:AE615)&gt;0),"",IF(A615="","New client","Update"))</f>
        <v/>
      </c>
      <c r="AG615" s="27">
        <f>IF(AO615&lt;&gt;"",AO615,IF(LEN(AN615)=15,MID(AN615,3,10),""))</f>
        <v/>
      </c>
      <c r="AH615" s="27">
        <f>IF(AP615="","",AP615&amp;IF(D615="","  (guessed from PAN)",""))</f>
        <v/>
      </c>
      <c r="AI615" s="27">
        <f>IF(AN615="","",IFERROR(INDEX(Lists!$L$2:$L$38,MATCH(LEFT(AN615,2),Lists!$K$2:$K$38,0)),"Unknown code"))</f>
        <v/>
      </c>
      <c r="AJ615" s="27">
        <f>IF(AN615="","",IFERROR(IF(NOT(AND(LEN(AN615)=15,ISNUMBER(MATCH(LEFT(AN615,2),Lists!$K$2:$K$38,0)),SUMPRODUCT(--ISERROR(FIND(MID(MID(AN615,3,10),{1,2,3,4,5,10},1),"ABCDEFGHIJKLMNOPQRSTUVWXYZ")))=0,SUMPRODUCT(--ISERROR(FIND(MID(MID(AN615,3,10),{6,7,8,9},1),"0123456789")))=0,ISNUMBER(FIND(MID(AN615,13,1),"123456789ABCDEFGHIJKLMNOPQRSTUVWXYZ")),MID(AN615,14,1)="Z")),"Wrong format",IF(MID("0123456789ABCDEFGHIJKLMNOPQRSTUVWXYZ",MOD(36-MOD(SUMPRODUCT(INT((FIND(MID(AN615,{1,2,3,4,5,6,7,8,9,10,11,12,13,14},1),"0123456789ABCDEFGHIJKLMNOPQRSTUVWXYZ")-1)*{1,2,1,2,1,2,1,2,1,2,1,2,1,2}/36)+MOD((FIND(MID(AN615,{1,2,3,4,5,6,7,8,9,10,11,12,13,14},1),"0123456789ABCDEFGHIJKLMNOPQRSTUVWXYZ")-1)*{1,2,1,2,1,2,1,2,1,2,1,2,1,2},36)),36),36)+1,1)=MID(AN615,15,1),"OK","Typo? check digit wrong")),"Wrong format"))</f>
        <v/>
      </c>
      <c r="AK615" s="27">
        <f>IF(AO615="","",IF(AND(LEN(AO615)=10,SUMPRODUCT(--ISERROR(FIND(MID(AO615,{1,2,3,4,5,10},1),"ABCDEFGHIJKLMNOPQRSTUVWXYZ")))=0,SUMPRODUCT(--ISERROR(FIND(MID(AO615,{6,7,8,9},1),"0123456789")))=0),"OK","Wrong format"))</f>
        <v/>
      </c>
      <c r="AL615" s="27">
        <f>IF(TRIM(H615)="","",IF(AND(LEN(UPPER(TRIM(H615)))=10,SUMPRODUCT(--ISERROR(FIND(MID(UPPER(TRIM(H615)),{1,2,3,4,10},1),"ABCDEFGHIJKLMNOPQRSTUVWXYZ")))=0,SUMPRODUCT(--ISERROR(FIND(MID(UPPER(TRIM(H615)),{5,6,7,8,9},1),"0123456789")))=0),"OK","Wrong format"))</f>
        <v/>
      </c>
      <c r="AM615" s="28">
        <f>IF(NOT(COUNTA(A615:AE615)&gt;0),"",IF(AS615&lt;&gt;"","✖ "&amp;LEFT(AS615,LEN(AS615)-2),IF(AR615&gt;0,"✔ Ready — client + "&amp;AR615&amp;" service(s)","✔ Ready — client only")))</f>
        <v/>
      </c>
      <c r="AN615" s="29">
        <f>UPPER(SUBSTITUTE(TRIM(F615)," ",""))</f>
        <v/>
      </c>
      <c r="AO615" s="29">
        <f>UPPER(SUBSTITUTE(TRIM(E615)," ",""))</f>
        <v/>
      </c>
      <c r="AP615" s="29">
        <f>IF(D615&lt;&gt;"",D615,IFERROR(VLOOKUP(MID(AG615,4,1),Lists!$E$2:$F$8,2,FALSE),""))</f>
        <v/>
      </c>
      <c r="AQ615" s="29">
        <f>IFERROR(VLOOKUP(AP615,Lists!$A$2:$C$12,3,FALSE),"")</f>
        <v/>
      </c>
      <c r="AR615" s="29">
        <f>COUNTIF(W615:AC615,"Yes")</f>
        <v/>
      </c>
      <c r="AS615" s="29">
        <f>IF(TRIM(B615)="","Legal name missing; ","")&amp;IF(AND(AJ615&lt;&gt;"",AJ615&lt;&gt;"OK"),"GSTIN: "&amp;AJ615&amp;"; ","")&amp;IF(AND(AK615&lt;&gt;"",AK615&lt;&gt;"OK"),"PAN wrong format; ","")&amp;IF(AND(AO615&lt;&gt;"",LEN(AN615)=15,MID(AN615,3,10)&lt;&gt;AO615),"PAN does not match GSTIN; ","")&amp;IF(AND(AL615&lt;&gt;"",AL615&lt;&gt;"OK"),"TAN wrong format; ","")&amp;IF(AG615="","PAN missing; ","")&amp;IF(AP615="","Entity type missing; ","")&amp;IF(AND(AN615&lt;&gt;"",COUNTIF($AN$6:$AN$1005,AN615)&gt;1),"GSTIN repeated in this sheet; ","")&amp;IF(AND(AG615&lt;&gt;"",COUNTIF($AG$6:$AG$1005,AG615)&gt;1),"PAN repeated in this sheet (same client? put extra GSTINs in Other GSTINs); ","")&amp;IF(AND(AR615&gt;0,V615=""),"Financial year missing; ","")&amp;IF(AND(AR615=0,V615&lt;&gt;""),"Financial year given but no service is Yes; ","")&amp;IF(AND(W615="Yes",AN615=""),"GST needs a GSTIN; ","")&amp;IF(AND(W615="Yes",X615=""),"GST return frequency missing; ","")&amp;IF(AND(Y615="Yes",TRIM(H615)=""),"TDS needs a TAN; ","")&amp;IF(AND(AA615="Yes",AQ615&lt;&gt;"",AQ615&lt;&gt;"company",AQ615&lt;&gt;"llp"),"ROC is only for a company / LLP; ","")&amp;IF(AND(AA615="Yes",OR(AQ615="company",AQ615="llp"),TRIM(I615)=""),"ROC needs the CIN / LLPIN; ","")</f>
        <v/>
      </c>
    </row>
    <row r="616">
      <c r="A616" s="30" t="n"/>
      <c r="B616" s="31" t="n"/>
      <c r="C616" s="31" t="n"/>
      <c r="D616" s="31" t="n"/>
      <c r="E616" s="30" t="n"/>
      <c r="F616" s="30" t="n"/>
      <c r="G616" s="30" t="n"/>
      <c r="H616" s="30" t="n"/>
      <c r="I616" s="30" t="n"/>
      <c r="J616" s="32" t="n"/>
      <c r="K616" s="31" t="n"/>
      <c r="L616" s="30" t="n"/>
      <c r="M616" s="31" t="n"/>
      <c r="N616" s="31" t="n"/>
      <c r="O616" s="31" t="n"/>
      <c r="P616" s="30" t="n"/>
      <c r="Q616" s="31" t="n"/>
      <c r="R616" s="31" t="n"/>
      <c r="S616" s="31" t="n"/>
      <c r="T616" s="31" t="n"/>
      <c r="U616" s="30" t="n"/>
      <c r="V616" s="31" t="n"/>
      <c r="W616" s="31" t="n"/>
      <c r="X616" s="31" t="n"/>
      <c r="Y616" s="31" t="n"/>
      <c r="Z616" s="31" t="n"/>
      <c r="AA616" s="31" t="n"/>
      <c r="AB616" s="31" t="n"/>
      <c r="AC616" s="31" t="n"/>
      <c r="AD616" s="31" t="n"/>
      <c r="AE616" s="31" t="n"/>
      <c r="AF616" s="27">
        <f>IF(NOT(COUNTA(A616:AE616)&gt;0),"",IF(A616="","New client","Update"))</f>
        <v/>
      </c>
      <c r="AG616" s="27">
        <f>IF(AO616&lt;&gt;"",AO616,IF(LEN(AN616)=15,MID(AN616,3,10),""))</f>
        <v/>
      </c>
      <c r="AH616" s="27">
        <f>IF(AP616="","",AP616&amp;IF(D616="","  (guessed from PAN)",""))</f>
        <v/>
      </c>
      <c r="AI616" s="27">
        <f>IF(AN616="","",IFERROR(INDEX(Lists!$L$2:$L$38,MATCH(LEFT(AN616,2),Lists!$K$2:$K$38,0)),"Unknown code"))</f>
        <v/>
      </c>
      <c r="AJ616" s="27">
        <f>IF(AN616="","",IFERROR(IF(NOT(AND(LEN(AN616)=15,ISNUMBER(MATCH(LEFT(AN616,2),Lists!$K$2:$K$38,0)),SUMPRODUCT(--ISERROR(FIND(MID(MID(AN616,3,10),{1,2,3,4,5,10},1),"ABCDEFGHIJKLMNOPQRSTUVWXYZ")))=0,SUMPRODUCT(--ISERROR(FIND(MID(MID(AN616,3,10),{6,7,8,9},1),"0123456789")))=0,ISNUMBER(FIND(MID(AN616,13,1),"123456789ABCDEFGHIJKLMNOPQRSTUVWXYZ")),MID(AN616,14,1)="Z")),"Wrong format",IF(MID("0123456789ABCDEFGHIJKLMNOPQRSTUVWXYZ",MOD(36-MOD(SUMPRODUCT(INT((FIND(MID(AN616,{1,2,3,4,5,6,7,8,9,10,11,12,13,14},1),"0123456789ABCDEFGHIJKLMNOPQRSTUVWXYZ")-1)*{1,2,1,2,1,2,1,2,1,2,1,2,1,2}/36)+MOD((FIND(MID(AN616,{1,2,3,4,5,6,7,8,9,10,11,12,13,14},1),"0123456789ABCDEFGHIJKLMNOPQRSTUVWXYZ")-1)*{1,2,1,2,1,2,1,2,1,2,1,2,1,2},36)),36),36)+1,1)=MID(AN616,15,1),"OK","Typo? check digit wrong")),"Wrong format"))</f>
        <v/>
      </c>
      <c r="AK616" s="27">
        <f>IF(AO616="","",IF(AND(LEN(AO616)=10,SUMPRODUCT(--ISERROR(FIND(MID(AO616,{1,2,3,4,5,10},1),"ABCDEFGHIJKLMNOPQRSTUVWXYZ")))=0,SUMPRODUCT(--ISERROR(FIND(MID(AO616,{6,7,8,9},1),"0123456789")))=0),"OK","Wrong format"))</f>
        <v/>
      </c>
      <c r="AL616" s="27">
        <f>IF(TRIM(H616)="","",IF(AND(LEN(UPPER(TRIM(H616)))=10,SUMPRODUCT(--ISERROR(FIND(MID(UPPER(TRIM(H616)),{1,2,3,4,10},1),"ABCDEFGHIJKLMNOPQRSTUVWXYZ")))=0,SUMPRODUCT(--ISERROR(FIND(MID(UPPER(TRIM(H616)),{5,6,7,8,9},1),"0123456789")))=0),"OK","Wrong format"))</f>
        <v/>
      </c>
      <c r="AM616" s="28">
        <f>IF(NOT(COUNTA(A616:AE616)&gt;0),"",IF(AS616&lt;&gt;"","✖ "&amp;LEFT(AS616,LEN(AS616)-2),IF(AR616&gt;0,"✔ Ready — client + "&amp;AR616&amp;" service(s)","✔ Ready — client only")))</f>
        <v/>
      </c>
      <c r="AN616" s="29">
        <f>UPPER(SUBSTITUTE(TRIM(F616)," ",""))</f>
        <v/>
      </c>
      <c r="AO616" s="29">
        <f>UPPER(SUBSTITUTE(TRIM(E616)," ",""))</f>
        <v/>
      </c>
      <c r="AP616" s="29">
        <f>IF(D616&lt;&gt;"",D616,IFERROR(VLOOKUP(MID(AG616,4,1),Lists!$E$2:$F$8,2,FALSE),""))</f>
        <v/>
      </c>
      <c r="AQ616" s="29">
        <f>IFERROR(VLOOKUP(AP616,Lists!$A$2:$C$12,3,FALSE),"")</f>
        <v/>
      </c>
      <c r="AR616" s="29">
        <f>COUNTIF(W616:AC616,"Yes")</f>
        <v/>
      </c>
      <c r="AS616" s="29">
        <f>IF(TRIM(B616)="","Legal name missing; ","")&amp;IF(AND(AJ616&lt;&gt;"",AJ616&lt;&gt;"OK"),"GSTIN: "&amp;AJ616&amp;"; ","")&amp;IF(AND(AK616&lt;&gt;"",AK616&lt;&gt;"OK"),"PAN wrong format; ","")&amp;IF(AND(AO616&lt;&gt;"",LEN(AN616)=15,MID(AN616,3,10)&lt;&gt;AO616),"PAN does not match GSTIN; ","")&amp;IF(AND(AL616&lt;&gt;"",AL616&lt;&gt;"OK"),"TAN wrong format; ","")&amp;IF(AG616="","PAN missing; ","")&amp;IF(AP616="","Entity type missing; ","")&amp;IF(AND(AN616&lt;&gt;"",COUNTIF($AN$6:$AN$1005,AN616)&gt;1),"GSTIN repeated in this sheet; ","")&amp;IF(AND(AG616&lt;&gt;"",COUNTIF($AG$6:$AG$1005,AG616)&gt;1),"PAN repeated in this sheet (same client? put extra GSTINs in Other GSTINs); ","")&amp;IF(AND(AR616&gt;0,V616=""),"Financial year missing; ","")&amp;IF(AND(AR616=0,V616&lt;&gt;""),"Financial year given but no service is Yes; ","")&amp;IF(AND(W616="Yes",AN616=""),"GST needs a GSTIN; ","")&amp;IF(AND(W616="Yes",X616=""),"GST return frequency missing; ","")&amp;IF(AND(Y616="Yes",TRIM(H616)=""),"TDS needs a TAN; ","")&amp;IF(AND(AA616="Yes",AQ616&lt;&gt;"",AQ616&lt;&gt;"company",AQ616&lt;&gt;"llp"),"ROC is only for a company / LLP; ","")&amp;IF(AND(AA616="Yes",OR(AQ616="company",AQ616="llp"),TRIM(I616)=""),"ROC needs the CIN / LLPIN; ","")</f>
        <v/>
      </c>
    </row>
    <row r="617">
      <c r="A617" s="30" t="n"/>
      <c r="B617" s="31" t="n"/>
      <c r="C617" s="31" t="n"/>
      <c r="D617" s="31" t="n"/>
      <c r="E617" s="30" t="n"/>
      <c r="F617" s="30" t="n"/>
      <c r="G617" s="30" t="n"/>
      <c r="H617" s="30" t="n"/>
      <c r="I617" s="30" t="n"/>
      <c r="J617" s="32" t="n"/>
      <c r="K617" s="31" t="n"/>
      <c r="L617" s="30" t="n"/>
      <c r="M617" s="31" t="n"/>
      <c r="N617" s="31" t="n"/>
      <c r="O617" s="31" t="n"/>
      <c r="P617" s="30" t="n"/>
      <c r="Q617" s="31" t="n"/>
      <c r="R617" s="31" t="n"/>
      <c r="S617" s="31" t="n"/>
      <c r="T617" s="31" t="n"/>
      <c r="U617" s="30" t="n"/>
      <c r="V617" s="31" t="n"/>
      <c r="W617" s="31" t="n"/>
      <c r="X617" s="31" t="n"/>
      <c r="Y617" s="31" t="n"/>
      <c r="Z617" s="31" t="n"/>
      <c r="AA617" s="31" t="n"/>
      <c r="AB617" s="31" t="n"/>
      <c r="AC617" s="31" t="n"/>
      <c r="AD617" s="31" t="n"/>
      <c r="AE617" s="31" t="n"/>
      <c r="AF617" s="27">
        <f>IF(NOT(COUNTA(A617:AE617)&gt;0),"",IF(A617="","New client","Update"))</f>
        <v/>
      </c>
      <c r="AG617" s="27">
        <f>IF(AO617&lt;&gt;"",AO617,IF(LEN(AN617)=15,MID(AN617,3,10),""))</f>
        <v/>
      </c>
      <c r="AH617" s="27">
        <f>IF(AP617="","",AP617&amp;IF(D617="","  (guessed from PAN)",""))</f>
        <v/>
      </c>
      <c r="AI617" s="27">
        <f>IF(AN617="","",IFERROR(INDEX(Lists!$L$2:$L$38,MATCH(LEFT(AN617,2),Lists!$K$2:$K$38,0)),"Unknown code"))</f>
        <v/>
      </c>
      <c r="AJ617" s="27">
        <f>IF(AN617="","",IFERROR(IF(NOT(AND(LEN(AN617)=15,ISNUMBER(MATCH(LEFT(AN617,2),Lists!$K$2:$K$38,0)),SUMPRODUCT(--ISERROR(FIND(MID(MID(AN617,3,10),{1,2,3,4,5,10},1),"ABCDEFGHIJKLMNOPQRSTUVWXYZ")))=0,SUMPRODUCT(--ISERROR(FIND(MID(MID(AN617,3,10),{6,7,8,9},1),"0123456789")))=0,ISNUMBER(FIND(MID(AN617,13,1),"123456789ABCDEFGHIJKLMNOPQRSTUVWXYZ")),MID(AN617,14,1)="Z")),"Wrong format",IF(MID("0123456789ABCDEFGHIJKLMNOPQRSTUVWXYZ",MOD(36-MOD(SUMPRODUCT(INT((FIND(MID(AN617,{1,2,3,4,5,6,7,8,9,10,11,12,13,14},1),"0123456789ABCDEFGHIJKLMNOPQRSTUVWXYZ")-1)*{1,2,1,2,1,2,1,2,1,2,1,2,1,2}/36)+MOD((FIND(MID(AN617,{1,2,3,4,5,6,7,8,9,10,11,12,13,14},1),"0123456789ABCDEFGHIJKLMNOPQRSTUVWXYZ")-1)*{1,2,1,2,1,2,1,2,1,2,1,2,1,2},36)),36),36)+1,1)=MID(AN617,15,1),"OK","Typo? check digit wrong")),"Wrong format"))</f>
        <v/>
      </c>
      <c r="AK617" s="27">
        <f>IF(AO617="","",IF(AND(LEN(AO617)=10,SUMPRODUCT(--ISERROR(FIND(MID(AO617,{1,2,3,4,5,10},1),"ABCDEFGHIJKLMNOPQRSTUVWXYZ")))=0,SUMPRODUCT(--ISERROR(FIND(MID(AO617,{6,7,8,9},1),"0123456789")))=0),"OK","Wrong format"))</f>
        <v/>
      </c>
      <c r="AL617" s="27">
        <f>IF(TRIM(H617)="","",IF(AND(LEN(UPPER(TRIM(H617)))=10,SUMPRODUCT(--ISERROR(FIND(MID(UPPER(TRIM(H617)),{1,2,3,4,10},1),"ABCDEFGHIJKLMNOPQRSTUVWXYZ")))=0,SUMPRODUCT(--ISERROR(FIND(MID(UPPER(TRIM(H617)),{5,6,7,8,9},1),"0123456789")))=0),"OK","Wrong format"))</f>
        <v/>
      </c>
      <c r="AM617" s="28">
        <f>IF(NOT(COUNTA(A617:AE617)&gt;0),"",IF(AS617&lt;&gt;"","✖ "&amp;LEFT(AS617,LEN(AS617)-2),IF(AR617&gt;0,"✔ Ready — client + "&amp;AR617&amp;" service(s)","✔ Ready — client only")))</f>
        <v/>
      </c>
      <c r="AN617" s="29">
        <f>UPPER(SUBSTITUTE(TRIM(F617)," ",""))</f>
        <v/>
      </c>
      <c r="AO617" s="29">
        <f>UPPER(SUBSTITUTE(TRIM(E617)," ",""))</f>
        <v/>
      </c>
      <c r="AP617" s="29">
        <f>IF(D617&lt;&gt;"",D617,IFERROR(VLOOKUP(MID(AG617,4,1),Lists!$E$2:$F$8,2,FALSE),""))</f>
        <v/>
      </c>
      <c r="AQ617" s="29">
        <f>IFERROR(VLOOKUP(AP617,Lists!$A$2:$C$12,3,FALSE),"")</f>
        <v/>
      </c>
      <c r="AR617" s="29">
        <f>COUNTIF(W617:AC617,"Yes")</f>
        <v/>
      </c>
      <c r="AS617" s="29">
        <f>IF(TRIM(B617)="","Legal name missing; ","")&amp;IF(AND(AJ617&lt;&gt;"",AJ617&lt;&gt;"OK"),"GSTIN: "&amp;AJ617&amp;"; ","")&amp;IF(AND(AK617&lt;&gt;"",AK617&lt;&gt;"OK"),"PAN wrong format; ","")&amp;IF(AND(AO617&lt;&gt;"",LEN(AN617)=15,MID(AN617,3,10)&lt;&gt;AO617),"PAN does not match GSTIN; ","")&amp;IF(AND(AL617&lt;&gt;"",AL617&lt;&gt;"OK"),"TAN wrong format; ","")&amp;IF(AG617="","PAN missing; ","")&amp;IF(AP617="","Entity type missing; ","")&amp;IF(AND(AN617&lt;&gt;"",COUNTIF($AN$6:$AN$1005,AN617)&gt;1),"GSTIN repeated in this sheet; ","")&amp;IF(AND(AG617&lt;&gt;"",COUNTIF($AG$6:$AG$1005,AG617)&gt;1),"PAN repeated in this sheet (same client? put extra GSTINs in Other GSTINs); ","")&amp;IF(AND(AR617&gt;0,V617=""),"Financial year missing; ","")&amp;IF(AND(AR617=0,V617&lt;&gt;""),"Financial year given but no service is Yes; ","")&amp;IF(AND(W617="Yes",AN617=""),"GST needs a GSTIN; ","")&amp;IF(AND(W617="Yes",X617=""),"GST return frequency missing; ","")&amp;IF(AND(Y617="Yes",TRIM(H617)=""),"TDS needs a TAN; ","")&amp;IF(AND(AA617="Yes",AQ617&lt;&gt;"",AQ617&lt;&gt;"company",AQ617&lt;&gt;"llp"),"ROC is only for a company / LLP; ","")&amp;IF(AND(AA617="Yes",OR(AQ617="company",AQ617="llp"),TRIM(I617)=""),"ROC needs the CIN / LLPIN; ","")</f>
        <v/>
      </c>
    </row>
    <row r="618">
      <c r="A618" s="30" t="n"/>
      <c r="B618" s="31" t="n"/>
      <c r="C618" s="31" t="n"/>
      <c r="D618" s="31" t="n"/>
      <c r="E618" s="30" t="n"/>
      <c r="F618" s="30" t="n"/>
      <c r="G618" s="30" t="n"/>
      <c r="H618" s="30" t="n"/>
      <c r="I618" s="30" t="n"/>
      <c r="J618" s="32" t="n"/>
      <c r="K618" s="31" t="n"/>
      <c r="L618" s="30" t="n"/>
      <c r="M618" s="31" t="n"/>
      <c r="N618" s="31" t="n"/>
      <c r="O618" s="31" t="n"/>
      <c r="P618" s="30" t="n"/>
      <c r="Q618" s="31" t="n"/>
      <c r="R618" s="31" t="n"/>
      <c r="S618" s="31" t="n"/>
      <c r="T618" s="31" t="n"/>
      <c r="U618" s="30" t="n"/>
      <c r="V618" s="31" t="n"/>
      <c r="W618" s="31" t="n"/>
      <c r="X618" s="31" t="n"/>
      <c r="Y618" s="31" t="n"/>
      <c r="Z618" s="31" t="n"/>
      <c r="AA618" s="31" t="n"/>
      <c r="AB618" s="31" t="n"/>
      <c r="AC618" s="31" t="n"/>
      <c r="AD618" s="31" t="n"/>
      <c r="AE618" s="31" t="n"/>
      <c r="AF618" s="27">
        <f>IF(NOT(COUNTA(A618:AE618)&gt;0),"",IF(A618="","New client","Update"))</f>
        <v/>
      </c>
      <c r="AG618" s="27">
        <f>IF(AO618&lt;&gt;"",AO618,IF(LEN(AN618)=15,MID(AN618,3,10),""))</f>
        <v/>
      </c>
      <c r="AH618" s="27">
        <f>IF(AP618="","",AP618&amp;IF(D618="","  (guessed from PAN)",""))</f>
        <v/>
      </c>
      <c r="AI618" s="27">
        <f>IF(AN618="","",IFERROR(INDEX(Lists!$L$2:$L$38,MATCH(LEFT(AN618,2),Lists!$K$2:$K$38,0)),"Unknown code"))</f>
        <v/>
      </c>
      <c r="AJ618" s="27">
        <f>IF(AN618="","",IFERROR(IF(NOT(AND(LEN(AN618)=15,ISNUMBER(MATCH(LEFT(AN618,2),Lists!$K$2:$K$38,0)),SUMPRODUCT(--ISERROR(FIND(MID(MID(AN618,3,10),{1,2,3,4,5,10},1),"ABCDEFGHIJKLMNOPQRSTUVWXYZ")))=0,SUMPRODUCT(--ISERROR(FIND(MID(MID(AN618,3,10),{6,7,8,9},1),"0123456789")))=0,ISNUMBER(FIND(MID(AN618,13,1),"123456789ABCDEFGHIJKLMNOPQRSTUVWXYZ")),MID(AN618,14,1)="Z")),"Wrong format",IF(MID("0123456789ABCDEFGHIJKLMNOPQRSTUVWXYZ",MOD(36-MOD(SUMPRODUCT(INT((FIND(MID(AN618,{1,2,3,4,5,6,7,8,9,10,11,12,13,14},1),"0123456789ABCDEFGHIJKLMNOPQRSTUVWXYZ")-1)*{1,2,1,2,1,2,1,2,1,2,1,2,1,2}/36)+MOD((FIND(MID(AN618,{1,2,3,4,5,6,7,8,9,10,11,12,13,14},1),"0123456789ABCDEFGHIJKLMNOPQRSTUVWXYZ")-1)*{1,2,1,2,1,2,1,2,1,2,1,2,1,2},36)),36),36)+1,1)=MID(AN618,15,1),"OK","Typo? check digit wrong")),"Wrong format"))</f>
        <v/>
      </c>
      <c r="AK618" s="27">
        <f>IF(AO618="","",IF(AND(LEN(AO618)=10,SUMPRODUCT(--ISERROR(FIND(MID(AO618,{1,2,3,4,5,10},1),"ABCDEFGHIJKLMNOPQRSTUVWXYZ")))=0,SUMPRODUCT(--ISERROR(FIND(MID(AO618,{6,7,8,9},1),"0123456789")))=0),"OK","Wrong format"))</f>
        <v/>
      </c>
      <c r="AL618" s="27">
        <f>IF(TRIM(H618)="","",IF(AND(LEN(UPPER(TRIM(H618)))=10,SUMPRODUCT(--ISERROR(FIND(MID(UPPER(TRIM(H618)),{1,2,3,4,10},1),"ABCDEFGHIJKLMNOPQRSTUVWXYZ")))=0,SUMPRODUCT(--ISERROR(FIND(MID(UPPER(TRIM(H618)),{5,6,7,8,9},1),"0123456789")))=0),"OK","Wrong format"))</f>
        <v/>
      </c>
      <c r="AM618" s="28">
        <f>IF(NOT(COUNTA(A618:AE618)&gt;0),"",IF(AS618&lt;&gt;"","✖ "&amp;LEFT(AS618,LEN(AS618)-2),IF(AR618&gt;0,"✔ Ready — client + "&amp;AR618&amp;" service(s)","✔ Ready — client only")))</f>
        <v/>
      </c>
      <c r="AN618" s="29">
        <f>UPPER(SUBSTITUTE(TRIM(F618)," ",""))</f>
        <v/>
      </c>
      <c r="AO618" s="29">
        <f>UPPER(SUBSTITUTE(TRIM(E618)," ",""))</f>
        <v/>
      </c>
      <c r="AP618" s="29">
        <f>IF(D618&lt;&gt;"",D618,IFERROR(VLOOKUP(MID(AG618,4,1),Lists!$E$2:$F$8,2,FALSE),""))</f>
        <v/>
      </c>
      <c r="AQ618" s="29">
        <f>IFERROR(VLOOKUP(AP618,Lists!$A$2:$C$12,3,FALSE),"")</f>
        <v/>
      </c>
      <c r="AR618" s="29">
        <f>COUNTIF(W618:AC618,"Yes")</f>
        <v/>
      </c>
      <c r="AS618" s="29">
        <f>IF(TRIM(B618)="","Legal name missing; ","")&amp;IF(AND(AJ618&lt;&gt;"",AJ618&lt;&gt;"OK"),"GSTIN: "&amp;AJ618&amp;"; ","")&amp;IF(AND(AK618&lt;&gt;"",AK618&lt;&gt;"OK"),"PAN wrong format; ","")&amp;IF(AND(AO618&lt;&gt;"",LEN(AN618)=15,MID(AN618,3,10)&lt;&gt;AO618),"PAN does not match GSTIN; ","")&amp;IF(AND(AL618&lt;&gt;"",AL618&lt;&gt;"OK"),"TAN wrong format; ","")&amp;IF(AG618="","PAN missing; ","")&amp;IF(AP618="","Entity type missing; ","")&amp;IF(AND(AN618&lt;&gt;"",COUNTIF($AN$6:$AN$1005,AN618)&gt;1),"GSTIN repeated in this sheet; ","")&amp;IF(AND(AG618&lt;&gt;"",COUNTIF($AG$6:$AG$1005,AG618)&gt;1),"PAN repeated in this sheet (same client? put extra GSTINs in Other GSTINs); ","")&amp;IF(AND(AR618&gt;0,V618=""),"Financial year missing; ","")&amp;IF(AND(AR618=0,V618&lt;&gt;""),"Financial year given but no service is Yes; ","")&amp;IF(AND(W618="Yes",AN618=""),"GST needs a GSTIN; ","")&amp;IF(AND(W618="Yes",X618=""),"GST return frequency missing; ","")&amp;IF(AND(Y618="Yes",TRIM(H618)=""),"TDS needs a TAN; ","")&amp;IF(AND(AA618="Yes",AQ618&lt;&gt;"",AQ618&lt;&gt;"company",AQ618&lt;&gt;"llp"),"ROC is only for a company / LLP; ","")&amp;IF(AND(AA618="Yes",OR(AQ618="company",AQ618="llp"),TRIM(I618)=""),"ROC needs the CIN / LLPIN; ","")</f>
        <v/>
      </c>
    </row>
    <row r="619">
      <c r="A619" s="30" t="n"/>
      <c r="B619" s="31" t="n"/>
      <c r="C619" s="31" t="n"/>
      <c r="D619" s="31" t="n"/>
      <c r="E619" s="30" t="n"/>
      <c r="F619" s="30" t="n"/>
      <c r="G619" s="30" t="n"/>
      <c r="H619" s="30" t="n"/>
      <c r="I619" s="30" t="n"/>
      <c r="J619" s="32" t="n"/>
      <c r="K619" s="31" t="n"/>
      <c r="L619" s="30" t="n"/>
      <c r="M619" s="31" t="n"/>
      <c r="N619" s="31" t="n"/>
      <c r="O619" s="31" t="n"/>
      <c r="P619" s="30" t="n"/>
      <c r="Q619" s="31" t="n"/>
      <c r="R619" s="31" t="n"/>
      <c r="S619" s="31" t="n"/>
      <c r="T619" s="31" t="n"/>
      <c r="U619" s="30" t="n"/>
      <c r="V619" s="31" t="n"/>
      <c r="W619" s="31" t="n"/>
      <c r="X619" s="31" t="n"/>
      <c r="Y619" s="31" t="n"/>
      <c r="Z619" s="31" t="n"/>
      <c r="AA619" s="31" t="n"/>
      <c r="AB619" s="31" t="n"/>
      <c r="AC619" s="31" t="n"/>
      <c r="AD619" s="31" t="n"/>
      <c r="AE619" s="31" t="n"/>
      <c r="AF619" s="27">
        <f>IF(NOT(COUNTA(A619:AE619)&gt;0),"",IF(A619="","New client","Update"))</f>
        <v/>
      </c>
      <c r="AG619" s="27">
        <f>IF(AO619&lt;&gt;"",AO619,IF(LEN(AN619)=15,MID(AN619,3,10),""))</f>
        <v/>
      </c>
      <c r="AH619" s="27">
        <f>IF(AP619="","",AP619&amp;IF(D619="","  (guessed from PAN)",""))</f>
        <v/>
      </c>
      <c r="AI619" s="27">
        <f>IF(AN619="","",IFERROR(INDEX(Lists!$L$2:$L$38,MATCH(LEFT(AN619,2),Lists!$K$2:$K$38,0)),"Unknown code"))</f>
        <v/>
      </c>
      <c r="AJ619" s="27">
        <f>IF(AN619="","",IFERROR(IF(NOT(AND(LEN(AN619)=15,ISNUMBER(MATCH(LEFT(AN619,2),Lists!$K$2:$K$38,0)),SUMPRODUCT(--ISERROR(FIND(MID(MID(AN619,3,10),{1,2,3,4,5,10},1),"ABCDEFGHIJKLMNOPQRSTUVWXYZ")))=0,SUMPRODUCT(--ISERROR(FIND(MID(MID(AN619,3,10),{6,7,8,9},1),"0123456789")))=0,ISNUMBER(FIND(MID(AN619,13,1),"123456789ABCDEFGHIJKLMNOPQRSTUVWXYZ")),MID(AN619,14,1)="Z")),"Wrong format",IF(MID("0123456789ABCDEFGHIJKLMNOPQRSTUVWXYZ",MOD(36-MOD(SUMPRODUCT(INT((FIND(MID(AN619,{1,2,3,4,5,6,7,8,9,10,11,12,13,14},1),"0123456789ABCDEFGHIJKLMNOPQRSTUVWXYZ")-1)*{1,2,1,2,1,2,1,2,1,2,1,2,1,2}/36)+MOD((FIND(MID(AN619,{1,2,3,4,5,6,7,8,9,10,11,12,13,14},1),"0123456789ABCDEFGHIJKLMNOPQRSTUVWXYZ")-1)*{1,2,1,2,1,2,1,2,1,2,1,2,1,2},36)),36),36)+1,1)=MID(AN619,15,1),"OK","Typo? check digit wrong")),"Wrong format"))</f>
        <v/>
      </c>
      <c r="AK619" s="27">
        <f>IF(AO619="","",IF(AND(LEN(AO619)=10,SUMPRODUCT(--ISERROR(FIND(MID(AO619,{1,2,3,4,5,10},1),"ABCDEFGHIJKLMNOPQRSTUVWXYZ")))=0,SUMPRODUCT(--ISERROR(FIND(MID(AO619,{6,7,8,9},1),"0123456789")))=0),"OK","Wrong format"))</f>
        <v/>
      </c>
      <c r="AL619" s="27">
        <f>IF(TRIM(H619)="","",IF(AND(LEN(UPPER(TRIM(H619)))=10,SUMPRODUCT(--ISERROR(FIND(MID(UPPER(TRIM(H619)),{1,2,3,4,10},1),"ABCDEFGHIJKLMNOPQRSTUVWXYZ")))=0,SUMPRODUCT(--ISERROR(FIND(MID(UPPER(TRIM(H619)),{5,6,7,8,9},1),"0123456789")))=0),"OK","Wrong format"))</f>
        <v/>
      </c>
      <c r="AM619" s="28">
        <f>IF(NOT(COUNTA(A619:AE619)&gt;0),"",IF(AS619&lt;&gt;"","✖ "&amp;LEFT(AS619,LEN(AS619)-2),IF(AR619&gt;0,"✔ Ready — client + "&amp;AR619&amp;" service(s)","✔ Ready — client only")))</f>
        <v/>
      </c>
      <c r="AN619" s="29">
        <f>UPPER(SUBSTITUTE(TRIM(F619)," ",""))</f>
        <v/>
      </c>
      <c r="AO619" s="29">
        <f>UPPER(SUBSTITUTE(TRIM(E619)," ",""))</f>
        <v/>
      </c>
      <c r="AP619" s="29">
        <f>IF(D619&lt;&gt;"",D619,IFERROR(VLOOKUP(MID(AG619,4,1),Lists!$E$2:$F$8,2,FALSE),""))</f>
        <v/>
      </c>
      <c r="AQ619" s="29">
        <f>IFERROR(VLOOKUP(AP619,Lists!$A$2:$C$12,3,FALSE),"")</f>
        <v/>
      </c>
      <c r="AR619" s="29">
        <f>COUNTIF(W619:AC619,"Yes")</f>
        <v/>
      </c>
      <c r="AS619" s="29">
        <f>IF(TRIM(B619)="","Legal name missing; ","")&amp;IF(AND(AJ619&lt;&gt;"",AJ619&lt;&gt;"OK"),"GSTIN: "&amp;AJ619&amp;"; ","")&amp;IF(AND(AK619&lt;&gt;"",AK619&lt;&gt;"OK"),"PAN wrong format; ","")&amp;IF(AND(AO619&lt;&gt;"",LEN(AN619)=15,MID(AN619,3,10)&lt;&gt;AO619),"PAN does not match GSTIN; ","")&amp;IF(AND(AL619&lt;&gt;"",AL619&lt;&gt;"OK"),"TAN wrong format; ","")&amp;IF(AG619="","PAN missing; ","")&amp;IF(AP619="","Entity type missing; ","")&amp;IF(AND(AN619&lt;&gt;"",COUNTIF($AN$6:$AN$1005,AN619)&gt;1),"GSTIN repeated in this sheet; ","")&amp;IF(AND(AG619&lt;&gt;"",COUNTIF($AG$6:$AG$1005,AG619)&gt;1),"PAN repeated in this sheet (same client? put extra GSTINs in Other GSTINs); ","")&amp;IF(AND(AR619&gt;0,V619=""),"Financial year missing; ","")&amp;IF(AND(AR619=0,V619&lt;&gt;""),"Financial year given but no service is Yes; ","")&amp;IF(AND(W619="Yes",AN619=""),"GST needs a GSTIN; ","")&amp;IF(AND(W619="Yes",X619=""),"GST return frequency missing; ","")&amp;IF(AND(Y619="Yes",TRIM(H619)=""),"TDS needs a TAN; ","")&amp;IF(AND(AA619="Yes",AQ619&lt;&gt;"",AQ619&lt;&gt;"company",AQ619&lt;&gt;"llp"),"ROC is only for a company / LLP; ","")&amp;IF(AND(AA619="Yes",OR(AQ619="company",AQ619="llp"),TRIM(I619)=""),"ROC needs the CIN / LLPIN; ","")</f>
        <v/>
      </c>
    </row>
    <row r="620">
      <c r="A620" s="30" t="n"/>
      <c r="B620" s="31" t="n"/>
      <c r="C620" s="31" t="n"/>
      <c r="D620" s="31" t="n"/>
      <c r="E620" s="30" t="n"/>
      <c r="F620" s="30" t="n"/>
      <c r="G620" s="30" t="n"/>
      <c r="H620" s="30" t="n"/>
      <c r="I620" s="30" t="n"/>
      <c r="J620" s="32" t="n"/>
      <c r="K620" s="31" t="n"/>
      <c r="L620" s="30" t="n"/>
      <c r="M620" s="31" t="n"/>
      <c r="N620" s="31" t="n"/>
      <c r="O620" s="31" t="n"/>
      <c r="P620" s="30" t="n"/>
      <c r="Q620" s="31" t="n"/>
      <c r="R620" s="31" t="n"/>
      <c r="S620" s="31" t="n"/>
      <c r="T620" s="31" t="n"/>
      <c r="U620" s="30" t="n"/>
      <c r="V620" s="31" t="n"/>
      <c r="W620" s="31" t="n"/>
      <c r="X620" s="31" t="n"/>
      <c r="Y620" s="31" t="n"/>
      <c r="Z620" s="31" t="n"/>
      <c r="AA620" s="31" t="n"/>
      <c r="AB620" s="31" t="n"/>
      <c r="AC620" s="31" t="n"/>
      <c r="AD620" s="31" t="n"/>
      <c r="AE620" s="31" t="n"/>
      <c r="AF620" s="27">
        <f>IF(NOT(COUNTA(A620:AE620)&gt;0),"",IF(A620="","New client","Update"))</f>
        <v/>
      </c>
      <c r="AG620" s="27">
        <f>IF(AO620&lt;&gt;"",AO620,IF(LEN(AN620)=15,MID(AN620,3,10),""))</f>
        <v/>
      </c>
      <c r="AH620" s="27">
        <f>IF(AP620="","",AP620&amp;IF(D620="","  (guessed from PAN)",""))</f>
        <v/>
      </c>
      <c r="AI620" s="27">
        <f>IF(AN620="","",IFERROR(INDEX(Lists!$L$2:$L$38,MATCH(LEFT(AN620,2),Lists!$K$2:$K$38,0)),"Unknown code"))</f>
        <v/>
      </c>
      <c r="AJ620" s="27">
        <f>IF(AN620="","",IFERROR(IF(NOT(AND(LEN(AN620)=15,ISNUMBER(MATCH(LEFT(AN620,2),Lists!$K$2:$K$38,0)),SUMPRODUCT(--ISERROR(FIND(MID(MID(AN620,3,10),{1,2,3,4,5,10},1),"ABCDEFGHIJKLMNOPQRSTUVWXYZ")))=0,SUMPRODUCT(--ISERROR(FIND(MID(MID(AN620,3,10),{6,7,8,9},1),"0123456789")))=0,ISNUMBER(FIND(MID(AN620,13,1),"123456789ABCDEFGHIJKLMNOPQRSTUVWXYZ")),MID(AN620,14,1)="Z")),"Wrong format",IF(MID("0123456789ABCDEFGHIJKLMNOPQRSTUVWXYZ",MOD(36-MOD(SUMPRODUCT(INT((FIND(MID(AN620,{1,2,3,4,5,6,7,8,9,10,11,12,13,14},1),"0123456789ABCDEFGHIJKLMNOPQRSTUVWXYZ")-1)*{1,2,1,2,1,2,1,2,1,2,1,2,1,2}/36)+MOD((FIND(MID(AN620,{1,2,3,4,5,6,7,8,9,10,11,12,13,14},1),"0123456789ABCDEFGHIJKLMNOPQRSTUVWXYZ")-1)*{1,2,1,2,1,2,1,2,1,2,1,2,1,2},36)),36),36)+1,1)=MID(AN620,15,1),"OK","Typo? check digit wrong")),"Wrong format"))</f>
        <v/>
      </c>
      <c r="AK620" s="27">
        <f>IF(AO620="","",IF(AND(LEN(AO620)=10,SUMPRODUCT(--ISERROR(FIND(MID(AO620,{1,2,3,4,5,10},1),"ABCDEFGHIJKLMNOPQRSTUVWXYZ")))=0,SUMPRODUCT(--ISERROR(FIND(MID(AO620,{6,7,8,9},1),"0123456789")))=0),"OK","Wrong format"))</f>
        <v/>
      </c>
      <c r="AL620" s="27">
        <f>IF(TRIM(H620)="","",IF(AND(LEN(UPPER(TRIM(H620)))=10,SUMPRODUCT(--ISERROR(FIND(MID(UPPER(TRIM(H620)),{1,2,3,4,10},1),"ABCDEFGHIJKLMNOPQRSTUVWXYZ")))=0,SUMPRODUCT(--ISERROR(FIND(MID(UPPER(TRIM(H620)),{5,6,7,8,9},1),"0123456789")))=0),"OK","Wrong format"))</f>
        <v/>
      </c>
      <c r="AM620" s="28">
        <f>IF(NOT(COUNTA(A620:AE620)&gt;0),"",IF(AS620&lt;&gt;"","✖ "&amp;LEFT(AS620,LEN(AS620)-2),IF(AR620&gt;0,"✔ Ready — client + "&amp;AR620&amp;" service(s)","✔ Ready — client only")))</f>
        <v/>
      </c>
      <c r="AN620" s="29">
        <f>UPPER(SUBSTITUTE(TRIM(F620)," ",""))</f>
        <v/>
      </c>
      <c r="AO620" s="29">
        <f>UPPER(SUBSTITUTE(TRIM(E620)," ",""))</f>
        <v/>
      </c>
      <c r="AP620" s="29">
        <f>IF(D620&lt;&gt;"",D620,IFERROR(VLOOKUP(MID(AG620,4,1),Lists!$E$2:$F$8,2,FALSE),""))</f>
        <v/>
      </c>
      <c r="AQ620" s="29">
        <f>IFERROR(VLOOKUP(AP620,Lists!$A$2:$C$12,3,FALSE),"")</f>
        <v/>
      </c>
      <c r="AR620" s="29">
        <f>COUNTIF(W620:AC620,"Yes")</f>
        <v/>
      </c>
      <c r="AS620" s="29">
        <f>IF(TRIM(B620)="","Legal name missing; ","")&amp;IF(AND(AJ620&lt;&gt;"",AJ620&lt;&gt;"OK"),"GSTIN: "&amp;AJ620&amp;"; ","")&amp;IF(AND(AK620&lt;&gt;"",AK620&lt;&gt;"OK"),"PAN wrong format; ","")&amp;IF(AND(AO620&lt;&gt;"",LEN(AN620)=15,MID(AN620,3,10)&lt;&gt;AO620),"PAN does not match GSTIN; ","")&amp;IF(AND(AL620&lt;&gt;"",AL620&lt;&gt;"OK"),"TAN wrong format; ","")&amp;IF(AG620="","PAN missing; ","")&amp;IF(AP620="","Entity type missing; ","")&amp;IF(AND(AN620&lt;&gt;"",COUNTIF($AN$6:$AN$1005,AN620)&gt;1),"GSTIN repeated in this sheet; ","")&amp;IF(AND(AG620&lt;&gt;"",COUNTIF($AG$6:$AG$1005,AG620)&gt;1),"PAN repeated in this sheet (same client? put extra GSTINs in Other GSTINs); ","")&amp;IF(AND(AR620&gt;0,V620=""),"Financial year missing; ","")&amp;IF(AND(AR620=0,V620&lt;&gt;""),"Financial year given but no service is Yes; ","")&amp;IF(AND(W620="Yes",AN620=""),"GST needs a GSTIN; ","")&amp;IF(AND(W620="Yes",X620=""),"GST return frequency missing; ","")&amp;IF(AND(Y620="Yes",TRIM(H620)=""),"TDS needs a TAN; ","")&amp;IF(AND(AA620="Yes",AQ620&lt;&gt;"",AQ620&lt;&gt;"company",AQ620&lt;&gt;"llp"),"ROC is only for a company / LLP; ","")&amp;IF(AND(AA620="Yes",OR(AQ620="company",AQ620="llp"),TRIM(I620)=""),"ROC needs the CIN / LLPIN; ","")</f>
        <v/>
      </c>
    </row>
    <row r="621">
      <c r="A621" s="30" t="n"/>
      <c r="B621" s="31" t="n"/>
      <c r="C621" s="31" t="n"/>
      <c r="D621" s="31" t="n"/>
      <c r="E621" s="30" t="n"/>
      <c r="F621" s="30" t="n"/>
      <c r="G621" s="30" t="n"/>
      <c r="H621" s="30" t="n"/>
      <c r="I621" s="30" t="n"/>
      <c r="J621" s="32" t="n"/>
      <c r="K621" s="31" t="n"/>
      <c r="L621" s="30" t="n"/>
      <c r="M621" s="31" t="n"/>
      <c r="N621" s="31" t="n"/>
      <c r="O621" s="31" t="n"/>
      <c r="P621" s="30" t="n"/>
      <c r="Q621" s="31" t="n"/>
      <c r="R621" s="31" t="n"/>
      <c r="S621" s="31" t="n"/>
      <c r="T621" s="31" t="n"/>
      <c r="U621" s="30" t="n"/>
      <c r="V621" s="31" t="n"/>
      <c r="W621" s="31" t="n"/>
      <c r="X621" s="31" t="n"/>
      <c r="Y621" s="31" t="n"/>
      <c r="Z621" s="31" t="n"/>
      <c r="AA621" s="31" t="n"/>
      <c r="AB621" s="31" t="n"/>
      <c r="AC621" s="31" t="n"/>
      <c r="AD621" s="31" t="n"/>
      <c r="AE621" s="31" t="n"/>
      <c r="AF621" s="27">
        <f>IF(NOT(COUNTA(A621:AE621)&gt;0),"",IF(A621="","New client","Update"))</f>
        <v/>
      </c>
      <c r="AG621" s="27">
        <f>IF(AO621&lt;&gt;"",AO621,IF(LEN(AN621)=15,MID(AN621,3,10),""))</f>
        <v/>
      </c>
      <c r="AH621" s="27">
        <f>IF(AP621="","",AP621&amp;IF(D621="","  (guessed from PAN)",""))</f>
        <v/>
      </c>
      <c r="AI621" s="27">
        <f>IF(AN621="","",IFERROR(INDEX(Lists!$L$2:$L$38,MATCH(LEFT(AN621,2),Lists!$K$2:$K$38,0)),"Unknown code"))</f>
        <v/>
      </c>
      <c r="AJ621" s="27">
        <f>IF(AN621="","",IFERROR(IF(NOT(AND(LEN(AN621)=15,ISNUMBER(MATCH(LEFT(AN621,2),Lists!$K$2:$K$38,0)),SUMPRODUCT(--ISERROR(FIND(MID(MID(AN621,3,10),{1,2,3,4,5,10},1),"ABCDEFGHIJKLMNOPQRSTUVWXYZ")))=0,SUMPRODUCT(--ISERROR(FIND(MID(MID(AN621,3,10),{6,7,8,9},1),"0123456789")))=0,ISNUMBER(FIND(MID(AN621,13,1),"123456789ABCDEFGHIJKLMNOPQRSTUVWXYZ")),MID(AN621,14,1)="Z")),"Wrong format",IF(MID("0123456789ABCDEFGHIJKLMNOPQRSTUVWXYZ",MOD(36-MOD(SUMPRODUCT(INT((FIND(MID(AN621,{1,2,3,4,5,6,7,8,9,10,11,12,13,14},1),"0123456789ABCDEFGHIJKLMNOPQRSTUVWXYZ")-1)*{1,2,1,2,1,2,1,2,1,2,1,2,1,2}/36)+MOD((FIND(MID(AN621,{1,2,3,4,5,6,7,8,9,10,11,12,13,14},1),"0123456789ABCDEFGHIJKLMNOPQRSTUVWXYZ")-1)*{1,2,1,2,1,2,1,2,1,2,1,2,1,2},36)),36),36)+1,1)=MID(AN621,15,1),"OK","Typo? check digit wrong")),"Wrong format"))</f>
        <v/>
      </c>
      <c r="AK621" s="27">
        <f>IF(AO621="","",IF(AND(LEN(AO621)=10,SUMPRODUCT(--ISERROR(FIND(MID(AO621,{1,2,3,4,5,10},1),"ABCDEFGHIJKLMNOPQRSTUVWXYZ")))=0,SUMPRODUCT(--ISERROR(FIND(MID(AO621,{6,7,8,9},1),"0123456789")))=0),"OK","Wrong format"))</f>
        <v/>
      </c>
      <c r="AL621" s="27">
        <f>IF(TRIM(H621)="","",IF(AND(LEN(UPPER(TRIM(H621)))=10,SUMPRODUCT(--ISERROR(FIND(MID(UPPER(TRIM(H621)),{1,2,3,4,10},1),"ABCDEFGHIJKLMNOPQRSTUVWXYZ")))=0,SUMPRODUCT(--ISERROR(FIND(MID(UPPER(TRIM(H621)),{5,6,7,8,9},1),"0123456789")))=0),"OK","Wrong format"))</f>
        <v/>
      </c>
      <c r="AM621" s="28">
        <f>IF(NOT(COUNTA(A621:AE621)&gt;0),"",IF(AS621&lt;&gt;"","✖ "&amp;LEFT(AS621,LEN(AS621)-2),IF(AR621&gt;0,"✔ Ready — client + "&amp;AR621&amp;" service(s)","✔ Ready — client only")))</f>
        <v/>
      </c>
      <c r="AN621" s="29">
        <f>UPPER(SUBSTITUTE(TRIM(F621)," ",""))</f>
        <v/>
      </c>
      <c r="AO621" s="29">
        <f>UPPER(SUBSTITUTE(TRIM(E621)," ",""))</f>
        <v/>
      </c>
      <c r="AP621" s="29">
        <f>IF(D621&lt;&gt;"",D621,IFERROR(VLOOKUP(MID(AG621,4,1),Lists!$E$2:$F$8,2,FALSE),""))</f>
        <v/>
      </c>
      <c r="AQ621" s="29">
        <f>IFERROR(VLOOKUP(AP621,Lists!$A$2:$C$12,3,FALSE),"")</f>
        <v/>
      </c>
      <c r="AR621" s="29">
        <f>COUNTIF(W621:AC621,"Yes")</f>
        <v/>
      </c>
      <c r="AS621" s="29">
        <f>IF(TRIM(B621)="","Legal name missing; ","")&amp;IF(AND(AJ621&lt;&gt;"",AJ621&lt;&gt;"OK"),"GSTIN: "&amp;AJ621&amp;"; ","")&amp;IF(AND(AK621&lt;&gt;"",AK621&lt;&gt;"OK"),"PAN wrong format; ","")&amp;IF(AND(AO621&lt;&gt;"",LEN(AN621)=15,MID(AN621,3,10)&lt;&gt;AO621),"PAN does not match GSTIN; ","")&amp;IF(AND(AL621&lt;&gt;"",AL621&lt;&gt;"OK"),"TAN wrong format; ","")&amp;IF(AG621="","PAN missing; ","")&amp;IF(AP621="","Entity type missing; ","")&amp;IF(AND(AN621&lt;&gt;"",COUNTIF($AN$6:$AN$1005,AN621)&gt;1),"GSTIN repeated in this sheet; ","")&amp;IF(AND(AG621&lt;&gt;"",COUNTIF($AG$6:$AG$1005,AG621)&gt;1),"PAN repeated in this sheet (same client? put extra GSTINs in Other GSTINs); ","")&amp;IF(AND(AR621&gt;0,V621=""),"Financial year missing; ","")&amp;IF(AND(AR621=0,V621&lt;&gt;""),"Financial year given but no service is Yes; ","")&amp;IF(AND(W621="Yes",AN621=""),"GST needs a GSTIN; ","")&amp;IF(AND(W621="Yes",X621=""),"GST return frequency missing; ","")&amp;IF(AND(Y621="Yes",TRIM(H621)=""),"TDS needs a TAN; ","")&amp;IF(AND(AA621="Yes",AQ621&lt;&gt;"",AQ621&lt;&gt;"company",AQ621&lt;&gt;"llp"),"ROC is only for a company / LLP; ","")&amp;IF(AND(AA621="Yes",OR(AQ621="company",AQ621="llp"),TRIM(I621)=""),"ROC needs the CIN / LLPIN; ","")</f>
        <v/>
      </c>
    </row>
    <row r="622">
      <c r="A622" s="30" t="n"/>
      <c r="B622" s="31" t="n"/>
      <c r="C622" s="31" t="n"/>
      <c r="D622" s="31" t="n"/>
      <c r="E622" s="30" t="n"/>
      <c r="F622" s="30" t="n"/>
      <c r="G622" s="30" t="n"/>
      <c r="H622" s="30" t="n"/>
      <c r="I622" s="30" t="n"/>
      <c r="J622" s="32" t="n"/>
      <c r="K622" s="31" t="n"/>
      <c r="L622" s="30" t="n"/>
      <c r="M622" s="31" t="n"/>
      <c r="N622" s="31" t="n"/>
      <c r="O622" s="31" t="n"/>
      <c r="P622" s="30" t="n"/>
      <c r="Q622" s="31" t="n"/>
      <c r="R622" s="31" t="n"/>
      <c r="S622" s="31" t="n"/>
      <c r="T622" s="31" t="n"/>
      <c r="U622" s="30" t="n"/>
      <c r="V622" s="31" t="n"/>
      <c r="W622" s="31" t="n"/>
      <c r="X622" s="31" t="n"/>
      <c r="Y622" s="31" t="n"/>
      <c r="Z622" s="31" t="n"/>
      <c r="AA622" s="31" t="n"/>
      <c r="AB622" s="31" t="n"/>
      <c r="AC622" s="31" t="n"/>
      <c r="AD622" s="31" t="n"/>
      <c r="AE622" s="31" t="n"/>
      <c r="AF622" s="27">
        <f>IF(NOT(COUNTA(A622:AE622)&gt;0),"",IF(A622="","New client","Update"))</f>
        <v/>
      </c>
      <c r="AG622" s="27">
        <f>IF(AO622&lt;&gt;"",AO622,IF(LEN(AN622)=15,MID(AN622,3,10),""))</f>
        <v/>
      </c>
      <c r="AH622" s="27">
        <f>IF(AP622="","",AP622&amp;IF(D622="","  (guessed from PAN)",""))</f>
        <v/>
      </c>
      <c r="AI622" s="27">
        <f>IF(AN622="","",IFERROR(INDEX(Lists!$L$2:$L$38,MATCH(LEFT(AN622,2),Lists!$K$2:$K$38,0)),"Unknown code"))</f>
        <v/>
      </c>
      <c r="AJ622" s="27">
        <f>IF(AN622="","",IFERROR(IF(NOT(AND(LEN(AN622)=15,ISNUMBER(MATCH(LEFT(AN622,2),Lists!$K$2:$K$38,0)),SUMPRODUCT(--ISERROR(FIND(MID(MID(AN622,3,10),{1,2,3,4,5,10},1),"ABCDEFGHIJKLMNOPQRSTUVWXYZ")))=0,SUMPRODUCT(--ISERROR(FIND(MID(MID(AN622,3,10),{6,7,8,9},1),"0123456789")))=0,ISNUMBER(FIND(MID(AN622,13,1),"123456789ABCDEFGHIJKLMNOPQRSTUVWXYZ")),MID(AN622,14,1)="Z")),"Wrong format",IF(MID("0123456789ABCDEFGHIJKLMNOPQRSTUVWXYZ",MOD(36-MOD(SUMPRODUCT(INT((FIND(MID(AN622,{1,2,3,4,5,6,7,8,9,10,11,12,13,14},1),"0123456789ABCDEFGHIJKLMNOPQRSTUVWXYZ")-1)*{1,2,1,2,1,2,1,2,1,2,1,2,1,2}/36)+MOD((FIND(MID(AN622,{1,2,3,4,5,6,7,8,9,10,11,12,13,14},1),"0123456789ABCDEFGHIJKLMNOPQRSTUVWXYZ")-1)*{1,2,1,2,1,2,1,2,1,2,1,2,1,2},36)),36),36)+1,1)=MID(AN622,15,1),"OK","Typo? check digit wrong")),"Wrong format"))</f>
        <v/>
      </c>
      <c r="AK622" s="27">
        <f>IF(AO622="","",IF(AND(LEN(AO622)=10,SUMPRODUCT(--ISERROR(FIND(MID(AO622,{1,2,3,4,5,10},1),"ABCDEFGHIJKLMNOPQRSTUVWXYZ")))=0,SUMPRODUCT(--ISERROR(FIND(MID(AO622,{6,7,8,9},1),"0123456789")))=0),"OK","Wrong format"))</f>
        <v/>
      </c>
      <c r="AL622" s="27">
        <f>IF(TRIM(H622)="","",IF(AND(LEN(UPPER(TRIM(H622)))=10,SUMPRODUCT(--ISERROR(FIND(MID(UPPER(TRIM(H622)),{1,2,3,4,10},1),"ABCDEFGHIJKLMNOPQRSTUVWXYZ")))=0,SUMPRODUCT(--ISERROR(FIND(MID(UPPER(TRIM(H622)),{5,6,7,8,9},1),"0123456789")))=0),"OK","Wrong format"))</f>
        <v/>
      </c>
      <c r="AM622" s="28">
        <f>IF(NOT(COUNTA(A622:AE622)&gt;0),"",IF(AS622&lt;&gt;"","✖ "&amp;LEFT(AS622,LEN(AS622)-2),IF(AR622&gt;0,"✔ Ready — client + "&amp;AR622&amp;" service(s)","✔ Ready — client only")))</f>
        <v/>
      </c>
      <c r="AN622" s="29">
        <f>UPPER(SUBSTITUTE(TRIM(F622)," ",""))</f>
        <v/>
      </c>
      <c r="AO622" s="29">
        <f>UPPER(SUBSTITUTE(TRIM(E622)," ",""))</f>
        <v/>
      </c>
      <c r="AP622" s="29">
        <f>IF(D622&lt;&gt;"",D622,IFERROR(VLOOKUP(MID(AG622,4,1),Lists!$E$2:$F$8,2,FALSE),""))</f>
        <v/>
      </c>
      <c r="AQ622" s="29">
        <f>IFERROR(VLOOKUP(AP622,Lists!$A$2:$C$12,3,FALSE),"")</f>
        <v/>
      </c>
      <c r="AR622" s="29">
        <f>COUNTIF(W622:AC622,"Yes")</f>
        <v/>
      </c>
      <c r="AS622" s="29">
        <f>IF(TRIM(B622)="","Legal name missing; ","")&amp;IF(AND(AJ622&lt;&gt;"",AJ622&lt;&gt;"OK"),"GSTIN: "&amp;AJ622&amp;"; ","")&amp;IF(AND(AK622&lt;&gt;"",AK622&lt;&gt;"OK"),"PAN wrong format; ","")&amp;IF(AND(AO622&lt;&gt;"",LEN(AN622)=15,MID(AN622,3,10)&lt;&gt;AO622),"PAN does not match GSTIN; ","")&amp;IF(AND(AL622&lt;&gt;"",AL622&lt;&gt;"OK"),"TAN wrong format; ","")&amp;IF(AG622="","PAN missing; ","")&amp;IF(AP622="","Entity type missing; ","")&amp;IF(AND(AN622&lt;&gt;"",COUNTIF($AN$6:$AN$1005,AN622)&gt;1),"GSTIN repeated in this sheet; ","")&amp;IF(AND(AG622&lt;&gt;"",COUNTIF($AG$6:$AG$1005,AG622)&gt;1),"PAN repeated in this sheet (same client? put extra GSTINs in Other GSTINs); ","")&amp;IF(AND(AR622&gt;0,V622=""),"Financial year missing; ","")&amp;IF(AND(AR622=0,V622&lt;&gt;""),"Financial year given but no service is Yes; ","")&amp;IF(AND(W622="Yes",AN622=""),"GST needs a GSTIN; ","")&amp;IF(AND(W622="Yes",X622=""),"GST return frequency missing; ","")&amp;IF(AND(Y622="Yes",TRIM(H622)=""),"TDS needs a TAN; ","")&amp;IF(AND(AA622="Yes",AQ622&lt;&gt;"",AQ622&lt;&gt;"company",AQ622&lt;&gt;"llp"),"ROC is only for a company / LLP; ","")&amp;IF(AND(AA622="Yes",OR(AQ622="company",AQ622="llp"),TRIM(I622)=""),"ROC needs the CIN / LLPIN; ","")</f>
        <v/>
      </c>
    </row>
    <row r="623">
      <c r="A623" s="30" t="n"/>
      <c r="B623" s="31" t="n"/>
      <c r="C623" s="31" t="n"/>
      <c r="D623" s="31" t="n"/>
      <c r="E623" s="30" t="n"/>
      <c r="F623" s="30" t="n"/>
      <c r="G623" s="30" t="n"/>
      <c r="H623" s="30" t="n"/>
      <c r="I623" s="30" t="n"/>
      <c r="J623" s="32" t="n"/>
      <c r="K623" s="31" t="n"/>
      <c r="L623" s="30" t="n"/>
      <c r="M623" s="31" t="n"/>
      <c r="N623" s="31" t="n"/>
      <c r="O623" s="31" t="n"/>
      <c r="P623" s="30" t="n"/>
      <c r="Q623" s="31" t="n"/>
      <c r="R623" s="31" t="n"/>
      <c r="S623" s="31" t="n"/>
      <c r="T623" s="31" t="n"/>
      <c r="U623" s="30" t="n"/>
      <c r="V623" s="31" t="n"/>
      <c r="W623" s="31" t="n"/>
      <c r="X623" s="31" t="n"/>
      <c r="Y623" s="31" t="n"/>
      <c r="Z623" s="31" t="n"/>
      <c r="AA623" s="31" t="n"/>
      <c r="AB623" s="31" t="n"/>
      <c r="AC623" s="31" t="n"/>
      <c r="AD623" s="31" t="n"/>
      <c r="AE623" s="31" t="n"/>
      <c r="AF623" s="27">
        <f>IF(NOT(COUNTA(A623:AE623)&gt;0),"",IF(A623="","New client","Update"))</f>
        <v/>
      </c>
      <c r="AG623" s="27">
        <f>IF(AO623&lt;&gt;"",AO623,IF(LEN(AN623)=15,MID(AN623,3,10),""))</f>
        <v/>
      </c>
      <c r="AH623" s="27">
        <f>IF(AP623="","",AP623&amp;IF(D623="","  (guessed from PAN)",""))</f>
        <v/>
      </c>
      <c r="AI623" s="27">
        <f>IF(AN623="","",IFERROR(INDEX(Lists!$L$2:$L$38,MATCH(LEFT(AN623,2),Lists!$K$2:$K$38,0)),"Unknown code"))</f>
        <v/>
      </c>
      <c r="AJ623" s="27">
        <f>IF(AN623="","",IFERROR(IF(NOT(AND(LEN(AN623)=15,ISNUMBER(MATCH(LEFT(AN623,2),Lists!$K$2:$K$38,0)),SUMPRODUCT(--ISERROR(FIND(MID(MID(AN623,3,10),{1,2,3,4,5,10},1),"ABCDEFGHIJKLMNOPQRSTUVWXYZ")))=0,SUMPRODUCT(--ISERROR(FIND(MID(MID(AN623,3,10),{6,7,8,9},1),"0123456789")))=0,ISNUMBER(FIND(MID(AN623,13,1),"123456789ABCDEFGHIJKLMNOPQRSTUVWXYZ")),MID(AN623,14,1)="Z")),"Wrong format",IF(MID("0123456789ABCDEFGHIJKLMNOPQRSTUVWXYZ",MOD(36-MOD(SUMPRODUCT(INT((FIND(MID(AN623,{1,2,3,4,5,6,7,8,9,10,11,12,13,14},1),"0123456789ABCDEFGHIJKLMNOPQRSTUVWXYZ")-1)*{1,2,1,2,1,2,1,2,1,2,1,2,1,2}/36)+MOD((FIND(MID(AN623,{1,2,3,4,5,6,7,8,9,10,11,12,13,14},1),"0123456789ABCDEFGHIJKLMNOPQRSTUVWXYZ")-1)*{1,2,1,2,1,2,1,2,1,2,1,2,1,2},36)),36),36)+1,1)=MID(AN623,15,1),"OK","Typo? check digit wrong")),"Wrong format"))</f>
        <v/>
      </c>
      <c r="AK623" s="27">
        <f>IF(AO623="","",IF(AND(LEN(AO623)=10,SUMPRODUCT(--ISERROR(FIND(MID(AO623,{1,2,3,4,5,10},1),"ABCDEFGHIJKLMNOPQRSTUVWXYZ")))=0,SUMPRODUCT(--ISERROR(FIND(MID(AO623,{6,7,8,9},1),"0123456789")))=0),"OK","Wrong format"))</f>
        <v/>
      </c>
      <c r="AL623" s="27">
        <f>IF(TRIM(H623)="","",IF(AND(LEN(UPPER(TRIM(H623)))=10,SUMPRODUCT(--ISERROR(FIND(MID(UPPER(TRIM(H623)),{1,2,3,4,10},1),"ABCDEFGHIJKLMNOPQRSTUVWXYZ")))=0,SUMPRODUCT(--ISERROR(FIND(MID(UPPER(TRIM(H623)),{5,6,7,8,9},1),"0123456789")))=0),"OK","Wrong format"))</f>
        <v/>
      </c>
      <c r="AM623" s="28">
        <f>IF(NOT(COUNTA(A623:AE623)&gt;0),"",IF(AS623&lt;&gt;"","✖ "&amp;LEFT(AS623,LEN(AS623)-2),IF(AR623&gt;0,"✔ Ready — client + "&amp;AR623&amp;" service(s)","✔ Ready — client only")))</f>
        <v/>
      </c>
      <c r="AN623" s="29">
        <f>UPPER(SUBSTITUTE(TRIM(F623)," ",""))</f>
        <v/>
      </c>
      <c r="AO623" s="29">
        <f>UPPER(SUBSTITUTE(TRIM(E623)," ",""))</f>
        <v/>
      </c>
      <c r="AP623" s="29">
        <f>IF(D623&lt;&gt;"",D623,IFERROR(VLOOKUP(MID(AG623,4,1),Lists!$E$2:$F$8,2,FALSE),""))</f>
        <v/>
      </c>
      <c r="AQ623" s="29">
        <f>IFERROR(VLOOKUP(AP623,Lists!$A$2:$C$12,3,FALSE),"")</f>
        <v/>
      </c>
      <c r="AR623" s="29">
        <f>COUNTIF(W623:AC623,"Yes")</f>
        <v/>
      </c>
      <c r="AS623" s="29">
        <f>IF(TRIM(B623)="","Legal name missing; ","")&amp;IF(AND(AJ623&lt;&gt;"",AJ623&lt;&gt;"OK"),"GSTIN: "&amp;AJ623&amp;"; ","")&amp;IF(AND(AK623&lt;&gt;"",AK623&lt;&gt;"OK"),"PAN wrong format; ","")&amp;IF(AND(AO623&lt;&gt;"",LEN(AN623)=15,MID(AN623,3,10)&lt;&gt;AO623),"PAN does not match GSTIN; ","")&amp;IF(AND(AL623&lt;&gt;"",AL623&lt;&gt;"OK"),"TAN wrong format; ","")&amp;IF(AG623="","PAN missing; ","")&amp;IF(AP623="","Entity type missing; ","")&amp;IF(AND(AN623&lt;&gt;"",COUNTIF($AN$6:$AN$1005,AN623)&gt;1),"GSTIN repeated in this sheet; ","")&amp;IF(AND(AG623&lt;&gt;"",COUNTIF($AG$6:$AG$1005,AG623)&gt;1),"PAN repeated in this sheet (same client? put extra GSTINs in Other GSTINs); ","")&amp;IF(AND(AR623&gt;0,V623=""),"Financial year missing; ","")&amp;IF(AND(AR623=0,V623&lt;&gt;""),"Financial year given but no service is Yes; ","")&amp;IF(AND(W623="Yes",AN623=""),"GST needs a GSTIN; ","")&amp;IF(AND(W623="Yes",X623=""),"GST return frequency missing; ","")&amp;IF(AND(Y623="Yes",TRIM(H623)=""),"TDS needs a TAN; ","")&amp;IF(AND(AA623="Yes",AQ623&lt;&gt;"",AQ623&lt;&gt;"company",AQ623&lt;&gt;"llp"),"ROC is only for a company / LLP; ","")&amp;IF(AND(AA623="Yes",OR(AQ623="company",AQ623="llp"),TRIM(I623)=""),"ROC needs the CIN / LLPIN; ","")</f>
        <v/>
      </c>
    </row>
    <row r="624">
      <c r="A624" s="30" t="n"/>
      <c r="B624" s="31" t="n"/>
      <c r="C624" s="31" t="n"/>
      <c r="D624" s="31" t="n"/>
      <c r="E624" s="30" t="n"/>
      <c r="F624" s="30" t="n"/>
      <c r="G624" s="30" t="n"/>
      <c r="H624" s="30" t="n"/>
      <c r="I624" s="30" t="n"/>
      <c r="J624" s="32" t="n"/>
      <c r="K624" s="31" t="n"/>
      <c r="L624" s="30" t="n"/>
      <c r="M624" s="31" t="n"/>
      <c r="N624" s="31" t="n"/>
      <c r="O624" s="31" t="n"/>
      <c r="P624" s="30" t="n"/>
      <c r="Q624" s="31" t="n"/>
      <c r="R624" s="31" t="n"/>
      <c r="S624" s="31" t="n"/>
      <c r="T624" s="31" t="n"/>
      <c r="U624" s="30" t="n"/>
      <c r="V624" s="31" t="n"/>
      <c r="W624" s="31" t="n"/>
      <c r="X624" s="31" t="n"/>
      <c r="Y624" s="31" t="n"/>
      <c r="Z624" s="31" t="n"/>
      <c r="AA624" s="31" t="n"/>
      <c r="AB624" s="31" t="n"/>
      <c r="AC624" s="31" t="n"/>
      <c r="AD624" s="31" t="n"/>
      <c r="AE624" s="31" t="n"/>
      <c r="AF624" s="27">
        <f>IF(NOT(COUNTA(A624:AE624)&gt;0),"",IF(A624="","New client","Update"))</f>
        <v/>
      </c>
      <c r="AG624" s="27">
        <f>IF(AO624&lt;&gt;"",AO624,IF(LEN(AN624)=15,MID(AN624,3,10),""))</f>
        <v/>
      </c>
      <c r="AH624" s="27">
        <f>IF(AP624="","",AP624&amp;IF(D624="","  (guessed from PAN)",""))</f>
        <v/>
      </c>
      <c r="AI624" s="27">
        <f>IF(AN624="","",IFERROR(INDEX(Lists!$L$2:$L$38,MATCH(LEFT(AN624,2),Lists!$K$2:$K$38,0)),"Unknown code"))</f>
        <v/>
      </c>
      <c r="AJ624" s="27">
        <f>IF(AN624="","",IFERROR(IF(NOT(AND(LEN(AN624)=15,ISNUMBER(MATCH(LEFT(AN624,2),Lists!$K$2:$K$38,0)),SUMPRODUCT(--ISERROR(FIND(MID(MID(AN624,3,10),{1,2,3,4,5,10},1),"ABCDEFGHIJKLMNOPQRSTUVWXYZ")))=0,SUMPRODUCT(--ISERROR(FIND(MID(MID(AN624,3,10),{6,7,8,9},1),"0123456789")))=0,ISNUMBER(FIND(MID(AN624,13,1),"123456789ABCDEFGHIJKLMNOPQRSTUVWXYZ")),MID(AN624,14,1)="Z")),"Wrong format",IF(MID("0123456789ABCDEFGHIJKLMNOPQRSTUVWXYZ",MOD(36-MOD(SUMPRODUCT(INT((FIND(MID(AN624,{1,2,3,4,5,6,7,8,9,10,11,12,13,14},1),"0123456789ABCDEFGHIJKLMNOPQRSTUVWXYZ")-1)*{1,2,1,2,1,2,1,2,1,2,1,2,1,2}/36)+MOD((FIND(MID(AN624,{1,2,3,4,5,6,7,8,9,10,11,12,13,14},1),"0123456789ABCDEFGHIJKLMNOPQRSTUVWXYZ")-1)*{1,2,1,2,1,2,1,2,1,2,1,2,1,2},36)),36),36)+1,1)=MID(AN624,15,1),"OK","Typo? check digit wrong")),"Wrong format"))</f>
        <v/>
      </c>
      <c r="AK624" s="27">
        <f>IF(AO624="","",IF(AND(LEN(AO624)=10,SUMPRODUCT(--ISERROR(FIND(MID(AO624,{1,2,3,4,5,10},1),"ABCDEFGHIJKLMNOPQRSTUVWXYZ")))=0,SUMPRODUCT(--ISERROR(FIND(MID(AO624,{6,7,8,9},1),"0123456789")))=0),"OK","Wrong format"))</f>
        <v/>
      </c>
      <c r="AL624" s="27">
        <f>IF(TRIM(H624)="","",IF(AND(LEN(UPPER(TRIM(H624)))=10,SUMPRODUCT(--ISERROR(FIND(MID(UPPER(TRIM(H624)),{1,2,3,4,10},1),"ABCDEFGHIJKLMNOPQRSTUVWXYZ")))=0,SUMPRODUCT(--ISERROR(FIND(MID(UPPER(TRIM(H624)),{5,6,7,8,9},1),"0123456789")))=0),"OK","Wrong format"))</f>
        <v/>
      </c>
      <c r="AM624" s="28">
        <f>IF(NOT(COUNTA(A624:AE624)&gt;0),"",IF(AS624&lt;&gt;"","✖ "&amp;LEFT(AS624,LEN(AS624)-2),IF(AR624&gt;0,"✔ Ready — client + "&amp;AR624&amp;" service(s)","✔ Ready — client only")))</f>
        <v/>
      </c>
      <c r="AN624" s="29">
        <f>UPPER(SUBSTITUTE(TRIM(F624)," ",""))</f>
        <v/>
      </c>
      <c r="AO624" s="29">
        <f>UPPER(SUBSTITUTE(TRIM(E624)," ",""))</f>
        <v/>
      </c>
      <c r="AP624" s="29">
        <f>IF(D624&lt;&gt;"",D624,IFERROR(VLOOKUP(MID(AG624,4,1),Lists!$E$2:$F$8,2,FALSE),""))</f>
        <v/>
      </c>
      <c r="AQ624" s="29">
        <f>IFERROR(VLOOKUP(AP624,Lists!$A$2:$C$12,3,FALSE),"")</f>
        <v/>
      </c>
      <c r="AR624" s="29">
        <f>COUNTIF(W624:AC624,"Yes")</f>
        <v/>
      </c>
      <c r="AS624" s="29">
        <f>IF(TRIM(B624)="","Legal name missing; ","")&amp;IF(AND(AJ624&lt;&gt;"",AJ624&lt;&gt;"OK"),"GSTIN: "&amp;AJ624&amp;"; ","")&amp;IF(AND(AK624&lt;&gt;"",AK624&lt;&gt;"OK"),"PAN wrong format; ","")&amp;IF(AND(AO624&lt;&gt;"",LEN(AN624)=15,MID(AN624,3,10)&lt;&gt;AO624),"PAN does not match GSTIN; ","")&amp;IF(AND(AL624&lt;&gt;"",AL624&lt;&gt;"OK"),"TAN wrong format; ","")&amp;IF(AG624="","PAN missing; ","")&amp;IF(AP624="","Entity type missing; ","")&amp;IF(AND(AN624&lt;&gt;"",COUNTIF($AN$6:$AN$1005,AN624)&gt;1),"GSTIN repeated in this sheet; ","")&amp;IF(AND(AG624&lt;&gt;"",COUNTIF($AG$6:$AG$1005,AG624)&gt;1),"PAN repeated in this sheet (same client? put extra GSTINs in Other GSTINs); ","")&amp;IF(AND(AR624&gt;0,V624=""),"Financial year missing; ","")&amp;IF(AND(AR624=0,V624&lt;&gt;""),"Financial year given but no service is Yes; ","")&amp;IF(AND(W624="Yes",AN624=""),"GST needs a GSTIN; ","")&amp;IF(AND(W624="Yes",X624=""),"GST return frequency missing; ","")&amp;IF(AND(Y624="Yes",TRIM(H624)=""),"TDS needs a TAN; ","")&amp;IF(AND(AA624="Yes",AQ624&lt;&gt;"",AQ624&lt;&gt;"company",AQ624&lt;&gt;"llp"),"ROC is only for a company / LLP; ","")&amp;IF(AND(AA624="Yes",OR(AQ624="company",AQ624="llp"),TRIM(I624)=""),"ROC needs the CIN / LLPIN; ","")</f>
        <v/>
      </c>
    </row>
    <row r="625">
      <c r="A625" s="30" t="n"/>
      <c r="B625" s="31" t="n"/>
      <c r="C625" s="31" t="n"/>
      <c r="D625" s="31" t="n"/>
      <c r="E625" s="30" t="n"/>
      <c r="F625" s="30" t="n"/>
      <c r="G625" s="30" t="n"/>
      <c r="H625" s="30" t="n"/>
      <c r="I625" s="30" t="n"/>
      <c r="J625" s="32" t="n"/>
      <c r="K625" s="31" t="n"/>
      <c r="L625" s="30" t="n"/>
      <c r="M625" s="31" t="n"/>
      <c r="N625" s="31" t="n"/>
      <c r="O625" s="31" t="n"/>
      <c r="P625" s="30" t="n"/>
      <c r="Q625" s="31" t="n"/>
      <c r="R625" s="31" t="n"/>
      <c r="S625" s="31" t="n"/>
      <c r="T625" s="31" t="n"/>
      <c r="U625" s="30" t="n"/>
      <c r="V625" s="31" t="n"/>
      <c r="W625" s="31" t="n"/>
      <c r="X625" s="31" t="n"/>
      <c r="Y625" s="31" t="n"/>
      <c r="Z625" s="31" t="n"/>
      <c r="AA625" s="31" t="n"/>
      <c r="AB625" s="31" t="n"/>
      <c r="AC625" s="31" t="n"/>
      <c r="AD625" s="31" t="n"/>
      <c r="AE625" s="31" t="n"/>
      <c r="AF625" s="27">
        <f>IF(NOT(COUNTA(A625:AE625)&gt;0),"",IF(A625="","New client","Update"))</f>
        <v/>
      </c>
      <c r="AG625" s="27">
        <f>IF(AO625&lt;&gt;"",AO625,IF(LEN(AN625)=15,MID(AN625,3,10),""))</f>
        <v/>
      </c>
      <c r="AH625" s="27">
        <f>IF(AP625="","",AP625&amp;IF(D625="","  (guessed from PAN)",""))</f>
        <v/>
      </c>
      <c r="AI625" s="27">
        <f>IF(AN625="","",IFERROR(INDEX(Lists!$L$2:$L$38,MATCH(LEFT(AN625,2),Lists!$K$2:$K$38,0)),"Unknown code"))</f>
        <v/>
      </c>
      <c r="AJ625" s="27">
        <f>IF(AN625="","",IFERROR(IF(NOT(AND(LEN(AN625)=15,ISNUMBER(MATCH(LEFT(AN625,2),Lists!$K$2:$K$38,0)),SUMPRODUCT(--ISERROR(FIND(MID(MID(AN625,3,10),{1,2,3,4,5,10},1),"ABCDEFGHIJKLMNOPQRSTUVWXYZ")))=0,SUMPRODUCT(--ISERROR(FIND(MID(MID(AN625,3,10),{6,7,8,9},1),"0123456789")))=0,ISNUMBER(FIND(MID(AN625,13,1),"123456789ABCDEFGHIJKLMNOPQRSTUVWXYZ")),MID(AN625,14,1)="Z")),"Wrong format",IF(MID("0123456789ABCDEFGHIJKLMNOPQRSTUVWXYZ",MOD(36-MOD(SUMPRODUCT(INT((FIND(MID(AN625,{1,2,3,4,5,6,7,8,9,10,11,12,13,14},1),"0123456789ABCDEFGHIJKLMNOPQRSTUVWXYZ")-1)*{1,2,1,2,1,2,1,2,1,2,1,2,1,2}/36)+MOD((FIND(MID(AN625,{1,2,3,4,5,6,7,8,9,10,11,12,13,14},1),"0123456789ABCDEFGHIJKLMNOPQRSTUVWXYZ")-1)*{1,2,1,2,1,2,1,2,1,2,1,2,1,2},36)),36),36)+1,1)=MID(AN625,15,1),"OK","Typo? check digit wrong")),"Wrong format"))</f>
        <v/>
      </c>
      <c r="AK625" s="27">
        <f>IF(AO625="","",IF(AND(LEN(AO625)=10,SUMPRODUCT(--ISERROR(FIND(MID(AO625,{1,2,3,4,5,10},1),"ABCDEFGHIJKLMNOPQRSTUVWXYZ")))=0,SUMPRODUCT(--ISERROR(FIND(MID(AO625,{6,7,8,9},1),"0123456789")))=0),"OK","Wrong format"))</f>
        <v/>
      </c>
      <c r="AL625" s="27">
        <f>IF(TRIM(H625)="","",IF(AND(LEN(UPPER(TRIM(H625)))=10,SUMPRODUCT(--ISERROR(FIND(MID(UPPER(TRIM(H625)),{1,2,3,4,10},1),"ABCDEFGHIJKLMNOPQRSTUVWXYZ")))=0,SUMPRODUCT(--ISERROR(FIND(MID(UPPER(TRIM(H625)),{5,6,7,8,9},1),"0123456789")))=0),"OK","Wrong format"))</f>
        <v/>
      </c>
      <c r="AM625" s="28">
        <f>IF(NOT(COUNTA(A625:AE625)&gt;0),"",IF(AS625&lt;&gt;"","✖ "&amp;LEFT(AS625,LEN(AS625)-2),IF(AR625&gt;0,"✔ Ready — client + "&amp;AR625&amp;" service(s)","✔ Ready — client only")))</f>
        <v/>
      </c>
      <c r="AN625" s="29">
        <f>UPPER(SUBSTITUTE(TRIM(F625)," ",""))</f>
        <v/>
      </c>
      <c r="AO625" s="29">
        <f>UPPER(SUBSTITUTE(TRIM(E625)," ",""))</f>
        <v/>
      </c>
      <c r="AP625" s="29">
        <f>IF(D625&lt;&gt;"",D625,IFERROR(VLOOKUP(MID(AG625,4,1),Lists!$E$2:$F$8,2,FALSE),""))</f>
        <v/>
      </c>
      <c r="AQ625" s="29">
        <f>IFERROR(VLOOKUP(AP625,Lists!$A$2:$C$12,3,FALSE),"")</f>
        <v/>
      </c>
      <c r="AR625" s="29">
        <f>COUNTIF(W625:AC625,"Yes")</f>
        <v/>
      </c>
      <c r="AS625" s="29">
        <f>IF(TRIM(B625)="","Legal name missing; ","")&amp;IF(AND(AJ625&lt;&gt;"",AJ625&lt;&gt;"OK"),"GSTIN: "&amp;AJ625&amp;"; ","")&amp;IF(AND(AK625&lt;&gt;"",AK625&lt;&gt;"OK"),"PAN wrong format; ","")&amp;IF(AND(AO625&lt;&gt;"",LEN(AN625)=15,MID(AN625,3,10)&lt;&gt;AO625),"PAN does not match GSTIN; ","")&amp;IF(AND(AL625&lt;&gt;"",AL625&lt;&gt;"OK"),"TAN wrong format; ","")&amp;IF(AG625="","PAN missing; ","")&amp;IF(AP625="","Entity type missing; ","")&amp;IF(AND(AN625&lt;&gt;"",COUNTIF($AN$6:$AN$1005,AN625)&gt;1),"GSTIN repeated in this sheet; ","")&amp;IF(AND(AG625&lt;&gt;"",COUNTIF($AG$6:$AG$1005,AG625)&gt;1),"PAN repeated in this sheet (same client? put extra GSTINs in Other GSTINs); ","")&amp;IF(AND(AR625&gt;0,V625=""),"Financial year missing; ","")&amp;IF(AND(AR625=0,V625&lt;&gt;""),"Financial year given but no service is Yes; ","")&amp;IF(AND(W625="Yes",AN625=""),"GST needs a GSTIN; ","")&amp;IF(AND(W625="Yes",X625=""),"GST return frequency missing; ","")&amp;IF(AND(Y625="Yes",TRIM(H625)=""),"TDS needs a TAN; ","")&amp;IF(AND(AA625="Yes",AQ625&lt;&gt;"",AQ625&lt;&gt;"company",AQ625&lt;&gt;"llp"),"ROC is only for a company / LLP; ","")&amp;IF(AND(AA625="Yes",OR(AQ625="company",AQ625="llp"),TRIM(I625)=""),"ROC needs the CIN / LLPIN; ","")</f>
        <v/>
      </c>
    </row>
    <row r="626">
      <c r="A626" s="30" t="n"/>
      <c r="B626" s="31" t="n"/>
      <c r="C626" s="31" t="n"/>
      <c r="D626" s="31" t="n"/>
      <c r="E626" s="30" t="n"/>
      <c r="F626" s="30" t="n"/>
      <c r="G626" s="30" t="n"/>
      <c r="H626" s="30" t="n"/>
      <c r="I626" s="30" t="n"/>
      <c r="J626" s="32" t="n"/>
      <c r="K626" s="31" t="n"/>
      <c r="L626" s="30" t="n"/>
      <c r="M626" s="31" t="n"/>
      <c r="N626" s="31" t="n"/>
      <c r="O626" s="31" t="n"/>
      <c r="P626" s="30" t="n"/>
      <c r="Q626" s="31" t="n"/>
      <c r="R626" s="31" t="n"/>
      <c r="S626" s="31" t="n"/>
      <c r="T626" s="31" t="n"/>
      <c r="U626" s="30" t="n"/>
      <c r="V626" s="31" t="n"/>
      <c r="W626" s="31" t="n"/>
      <c r="X626" s="31" t="n"/>
      <c r="Y626" s="31" t="n"/>
      <c r="Z626" s="31" t="n"/>
      <c r="AA626" s="31" t="n"/>
      <c r="AB626" s="31" t="n"/>
      <c r="AC626" s="31" t="n"/>
      <c r="AD626" s="31" t="n"/>
      <c r="AE626" s="31" t="n"/>
      <c r="AF626" s="27">
        <f>IF(NOT(COUNTA(A626:AE626)&gt;0),"",IF(A626="","New client","Update"))</f>
        <v/>
      </c>
      <c r="AG626" s="27">
        <f>IF(AO626&lt;&gt;"",AO626,IF(LEN(AN626)=15,MID(AN626,3,10),""))</f>
        <v/>
      </c>
      <c r="AH626" s="27">
        <f>IF(AP626="","",AP626&amp;IF(D626="","  (guessed from PAN)",""))</f>
        <v/>
      </c>
      <c r="AI626" s="27">
        <f>IF(AN626="","",IFERROR(INDEX(Lists!$L$2:$L$38,MATCH(LEFT(AN626,2),Lists!$K$2:$K$38,0)),"Unknown code"))</f>
        <v/>
      </c>
      <c r="AJ626" s="27">
        <f>IF(AN626="","",IFERROR(IF(NOT(AND(LEN(AN626)=15,ISNUMBER(MATCH(LEFT(AN626,2),Lists!$K$2:$K$38,0)),SUMPRODUCT(--ISERROR(FIND(MID(MID(AN626,3,10),{1,2,3,4,5,10},1),"ABCDEFGHIJKLMNOPQRSTUVWXYZ")))=0,SUMPRODUCT(--ISERROR(FIND(MID(MID(AN626,3,10),{6,7,8,9},1),"0123456789")))=0,ISNUMBER(FIND(MID(AN626,13,1),"123456789ABCDEFGHIJKLMNOPQRSTUVWXYZ")),MID(AN626,14,1)="Z")),"Wrong format",IF(MID("0123456789ABCDEFGHIJKLMNOPQRSTUVWXYZ",MOD(36-MOD(SUMPRODUCT(INT((FIND(MID(AN626,{1,2,3,4,5,6,7,8,9,10,11,12,13,14},1),"0123456789ABCDEFGHIJKLMNOPQRSTUVWXYZ")-1)*{1,2,1,2,1,2,1,2,1,2,1,2,1,2}/36)+MOD((FIND(MID(AN626,{1,2,3,4,5,6,7,8,9,10,11,12,13,14},1),"0123456789ABCDEFGHIJKLMNOPQRSTUVWXYZ")-1)*{1,2,1,2,1,2,1,2,1,2,1,2,1,2},36)),36),36)+1,1)=MID(AN626,15,1),"OK","Typo? check digit wrong")),"Wrong format"))</f>
        <v/>
      </c>
      <c r="AK626" s="27">
        <f>IF(AO626="","",IF(AND(LEN(AO626)=10,SUMPRODUCT(--ISERROR(FIND(MID(AO626,{1,2,3,4,5,10},1),"ABCDEFGHIJKLMNOPQRSTUVWXYZ")))=0,SUMPRODUCT(--ISERROR(FIND(MID(AO626,{6,7,8,9},1),"0123456789")))=0),"OK","Wrong format"))</f>
        <v/>
      </c>
      <c r="AL626" s="27">
        <f>IF(TRIM(H626)="","",IF(AND(LEN(UPPER(TRIM(H626)))=10,SUMPRODUCT(--ISERROR(FIND(MID(UPPER(TRIM(H626)),{1,2,3,4,10},1),"ABCDEFGHIJKLMNOPQRSTUVWXYZ")))=0,SUMPRODUCT(--ISERROR(FIND(MID(UPPER(TRIM(H626)),{5,6,7,8,9},1),"0123456789")))=0),"OK","Wrong format"))</f>
        <v/>
      </c>
      <c r="AM626" s="28">
        <f>IF(NOT(COUNTA(A626:AE626)&gt;0),"",IF(AS626&lt;&gt;"","✖ "&amp;LEFT(AS626,LEN(AS626)-2),IF(AR626&gt;0,"✔ Ready — client + "&amp;AR626&amp;" service(s)","✔ Ready — client only")))</f>
        <v/>
      </c>
      <c r="AN626" s="29">
        <f>UPPER(SUBSTITUTE(TRIM(F626)," ",""))</f>
        <v/>
      </c>
      <c r="AO626" s="29">
        <f>UPPER(SUBSTITUTE(TRIM(E626)," ",""))</f>
        <v/>
      </c>
      <c r="AP626" s="29">
        <f>IF(D626&lt;&gt;"",D626,IFERROR(VLOOKUP(MID(AG626,4,1),Lists!$E$2:$F$8,2,FALSE),""))</f>
        <v/>
      </c>
      <c r="AQ626" s="29">
        <f>IFERROR(VLOOKUP(AP626,Lists!$A$2:$C$12,3,FALSE),"")</f>
        <v/>
      </c>
      <c r="AR626" s="29">
        <f>COUNTIF(W626:AC626,"Yes")</f>
        <v/>
      </c>
      <c r="AS626" s="29">
        <f>IF(TRIM(B626)="","Legal name missing; ","")&amp;IF(AND(AJ626&lt;&gt;"",AJ626&lt;&gt;"OK"),"GSTIN: "&amp;AJ626&amp;"; ","")&amp;IF(AND(AK626&lt;&gt;"",AK626&lt;&gt;"OK"),"PAN wrong format; ","")&amp;IF(AND(AO626&lt;&gt;"",LEN(AN626)=15,MID(AN626,3,10)&lt;&gt;AO626),"PAN does not match GSTIN; ","")&amp;IF(AND(AL626&lt;&gt;"",AL626&lt;&gt;"OK"),"TAN wrong format; ","")&amp;IF(AG626="","PAN missing; ","")&amp;IF(AP626="","Entity type missing; ","")&amp;IF(AND(AN626&lt;&gt;"",COUNTIF($AN$6:$AN$1005,AN626)&gt;1),"GSTIN repeated in this sheet; ","")&amp;IF(AND(AG626&lt;&gt;"",COUNTIF($AG$6:$AG$1005,AG626)&gt;1),"PAN repeated in this sheet (same client? put extra GSTINs in Other GSTINs); ","")&amp;IF(AND(AR626&gt;0,V626=""),"Financial year missing; ","")&amp;IF(AND(AR626=0,V626&lt;&gt;""),"Financial year given but no service is Yes; ","")&amp;IF(AND(W626="Yes",AN626=""),"GST needs a GSTIN; ","")&amp;IF(AND(W626="Yes",X626=""),"GST return frequency missing; ","")&amp;IF(AND(Y626="Yes",TRIM(H626)=""),"TDS needs a TAN; ","")&amp;IF(AND(AA626="Yes",AQ626&lt;&gt;"",AQ626&lt;&gt;"company",AQ626&lt;&gt;"llp"),"ROC is only for a company / LLP; ","")&amp;IF(AND(AA626="Yes",OR(AQ626="company",AQ626="llp"),TRIM(I626)=""),"ROC needs the CIN / LLPIN; ","")</f>
        <v/>
      </c>
    </row>
    <row r="627">
      <c r="A627" s="30" t="n"/>
      <c r="B627" s="31" t="n"/>
      <c r="C627" s="31" t="n"/>
      <c r="D627" s="31" t="n"/>
      <c r="E627" s="30" t="n"/>
      <c r="F627" s="30" t="n"/>
      <c r="G627" s="30" t="n"/>
      <c r="H627" s="30" t="n"/>
      <c r="I627" s="30" t="n"/>
      <c r="J627" s="32" t="n"/>
      <c r="K627" s="31" t="n"/>
      <c r="L627" s="30" t="n"/>
      <c r="M627" s="31" t="n"/>
      <c r="N627" s="31" t="n"/>
      <c r="O627" s="31" t="n"/>
      <c r="P627" s="30" t="n"/>
      <c r="Q627" s="31" t="n"/>
      <c r="R627" s="31" t="n"/>
      <c r="S627" s="31" t="n"/>
      <c r="T627" s="31" t="n"/>
      <c r="U627" s="30" t="n"/>
      <c r="V627" s="31" t="n"/>
      <c r="W627" s="31" t="n"/>
      <c r="X627" s="31" t="n"/>
      <c r="Y627" s="31" t="n"/>
      <c r="Z627" s="31" t="n"/>
      <c r="AA627" s="31" t="n"/>
      <c r="AB627" s="31" t="n"/>
      <c r="AC627" s="31" t="n"/>
      <c r="AD627" s="31" t="n"/>
      <c r="AE627" s="31" t="n"/>
      <c r="AF627" s="27">
        <f>IF(NOT(COUNTA(A627:AE627)&gt;0),"",IF(A627="","New client","Update"))</f>
        <v/>
      </c>
      <c r="AG627" s="27">
        <f>IF(AO627&lt;&gt;"",AO627,IF(LEN(AN627)=15,MID(AN627,3,10),""))</f>
        <v/>
      </c>
      <c r="AH627" s="27">
        <f>IF(AP627="","",AP627&amp;IF(D627="","  (guessed from PAN)",""))</f>
        <v/>
      </c>
      <c r="AI627" s="27">
        <f>IF(AN627="","",IFERROR(INDEX(Lists!$L$2:$L$38,MATCH(LEFT(AN627,2),Lists!$K$2:$K$38,0)),"Unknown code"))</f>
        <v/>
      </c>
      <c r="AJ627" s="27">
        <f>IF(AN627="","",IFERROR(IF(NOT(AND(LEN(AN627)=15,ISNUMBER(MATCH(LEFT(AN627,2),Lists!$K$2:$K$38,0)),SUMPRODUCT(--ISERROR(FIND(MID(MID(AN627,3,10),{1,2,3,4,5,10},1),"ABCDEFGHIJKLMNOPQRSTUVWXYZ")))=0,SUMPRODUCT(--ISERROR(FIND(MID(MID(AN627,3,10),{6,7,8,9},1),"0123456789")))=0,ISNUMBER(FIND(MID(AN627,13,1),"123456789ABCDEFGHIJKLMNOPQRSTUVWXYZ")),MID(AN627,14,1)="Z")),"Wrong format",IF(MID("0123456789ABCDEFGHIJKLMNOPQRSTUVWXYZ",MOD(36-MOD(SUMPRODUCT(INT((FIND(MID(AN627,{1,2,3,4,5,6,7,8,9,10,11,12,13,14},1),"0123456789ABCDEFGHIJKLMNOPQRSTUVWXYZ")-1)*{1,2,1,2,1,2,1,2,1,2,1,2,1,2}/36)+MOD((FIND(MID(AN627,{1,2,3,4,5,6,7,8,9,10,11,12,13,14},1),"0123456789ABCDEFGHIJKLMNOPQRSTUVWXYZ")-1)*{1,2,1,2,1,2,1,2,1,2,1,2,1,2},36)),36),36)+1,1)=MID(AN627,15,1),"OK","Typo? check digit wrong")),"Wrong format"))</f>
        <v/>
      </c>
      <c r="AK627" s="27">
        <f>IF(AO627="","",IF(AND(LEN(AO627)=10,SUMPRODUCT(--ISERROR(FIND(MID(AO627,{1,2,3,4,5,10},1),"ABCDEFGHIJKLMNOPQRSTUVWXYZ")))=0,SUMPRODUCT(--ISERROR(FIND(MID(AO627,{6,7,8,9},1),"0123456789")))=0),"OK","Wrong format"))</f>
        <v/>
      </c>
      <c r="AL627" s="27">
        <f>IF(TRIM(H627)="","",IF(AND(LEN(UPPER(TRIM(H627)))=10,SUMPRODUCT(--ISERROR(FIND(MID(UPPER(TRIM(H627)),{1,2,3,4,10},1),"ABCDEFGHIJKLMNOPQRSTUVWXYZ")))=0,SUMPRODUCT(--ISERROR(FIND(MID(UPPER(TRIM(H627)),{5,6,7,8,9},1),"0123456789")))=0),"OK","Wrong format"))</f>
        <v/>
      </c>
      <c r="AM627" s="28">
        <f>IF(NOT(COUNTA(A627:AE627)&gt;0),"",IF(AS627&lt;&gt;"","✖ "&amp;LEFT(AS627,LEN(AS627)-2),IF(AR627&gt;0,"✔ Ready — client + "&amp;AR627&amp;" service(s)","✔ Ready — client only")))</f>
        <v/>
      </c>
      <c r="AN627" s="29">
        <f>UPPER(SUBSTITUTE(TRIM(F627)," ",""))</f>
        <v/>
      </c>
      <c r="AO627" s="29">
        <f>UPPER(SUBSTITUTE(TRIM(E627)," ",""))</f>
        <v/>
      </c>
      <c r="AP627" s="29">
        <f>IF(D627&lt;&gt;"",D627,IFERROR(VLOOKUP(MID(AG627,4,1),Lists!$E$2:$F$8,2,FALSE),""))</f>
        <v/>
      </c>
      <c r="AQ627" s="29">
        <f>IFERROR(VLOOKUP(AP627,Lists!$A$2:$C$12,3,FALSE),"")</f>
        <v/>
      </c>
      <c r="AR627" s="29">
        <f>COUNTIF(W627:AC627,"Yes")</f>
        <v/>
      </c>
      <c r="AS627" s="29">
        <f>IF(TRIM(B627)="","Legal name missing; ","")&amp;IF(AND(AJ627&lt;&gt;"",AJ627&lt;&gt;"OK"),"GSTIN: "&amp;AJ627&amp;"; ","")&amp;IF(AND(AK627&lt;&gt;"",AK627&lt;&gt;"OK"),"PAN wrong format; ","")&amp;IF(AND(AO627&lt;&gt;"",LEN(AN627)=15,MID(AN627,3,10)&lt;&gt;AO627),"PAN does not match GSTIN; ","")&amp;IF(AND(AL627&lt;&gt;"",AL627&lt;&gt;"OK"),"TAN wrong format; ","")&amp;IF(AG627="","PAN missing; ","")&amp;IF(AP627="","Entity type missing; ","")&amp;IF(AND(AN627&lt;&gt;"",COUNTIF($AN$6:$AN$1005,AN627)&gt;1),"GSTIN repeated in this sheet; ","")&amp;IF(AND(AG627&lt;&gt;"",COUNTIF($AG$6:$AG$1005,AG627)&gt;1),"PAN repeated in this sheet (same client? put extra GSTINs in Other GSTINs); ","")&amp;IF(AND(AR627&gt;0,V627=""),"Financial year missing; ","")&amp;IF(AND(AR627=0,V627&lt;&gt;""),"Financial year given but no service is Yes; ","")&amp;IF(AND(W627="Yes",AN627=""),"GST needs a GSTIN; ","")&amp;IF(AND(W627="Yes",X627=""),"GST return frequency missing; ","")&amp;IF(AND(Y627="Yes",TRIM(H627)=""),"TDS needs a TAN; ","")&amp;IF(AND(AA627="Yes",AQ627&lt;&gt;"",AQ627&lt;&gt;"company",AQ627&lt;&gt;"llp"),"ROC is only for a company / LLP; ","")&amp;IF(AND(AA627="Yes",OR(AQ627="company",AQ627="llp"),TRIM(I627)=""),"ROC needs the CIN / LLPIN; ","")</f>
        <v/>
      </c>
    </row>
    <row r="628">
      <c r="A628" s="30" t="n"/>
      <c r="B628" s="31" t="n"/>
      <c r="C628" s="31" t="n"/>
      <c r="D628" s="31" t="n"/>
      <c r="E628" s="30" t="n"/>
      <c r="F628" s="30" t="n"/>
      <c r="G628" s="30" t="n"/>
      <c r="H628" s="30" t="n"/>
      <c r="I628" s="30" t="n"/>
      <c r="J628" s="32" t="n"/>
      <c r="K628" s="31" t="n"/>
      <c r="L628" s="30" t="n"/>
      <c r="M628" s="31" t="n"/>
      <c r="N628" s="31" t="n"/>
      <c r="O628" s="31" t="n"/>
      <c r="P628" s="30" t="n"/>
      <c r="Q628" s="31" t="n"/>
      <c r="R628" s="31" t="n"/>
      <c r="S628" s="31" t="n"/>
      <c r="T628" s="31" t="n"/>
      <c r="U628" s="30" t="n"/>
      <c r="V628" s="31" t="n"/>
      <c r="W628" s="31" t="n"/>
      <c r="X628" s="31" t="n"/>
      <c r="Y628" s="31" t="n"/>
      <c r="Z628" s="31" t="n"/>
      <c r="AA628" s="31" t="n"/>
      <c r="AB628" s="31" t="n"/>
      <c r="AC628" s="31" t="n"/>
      <c r="AD628" s="31" t="n"/>
      <c r="AE628" s="31" t="n"/>
      <c r="AF628" s="27">
        <f>IF(NOT(COUNTA(A628:AE628)&gt;0),"",IF(A628="","New client","Update"))</f>
        <v/>
      </c>
      <c r="AG628" s="27">
        <f>IF(AO628&lt;&gt;"",AO628,IF(LEN(AN628)=15,MID(AN628,3,10),""))</f>
        <v/>
      </c>
      <c r="AH628" s="27">
        <f>IF(AP628="","",AP628&amp;IF(D628="","  (guessed from PAN)",""))</f>
        <v/>
      </c>
      <c r="AI628" s="27">
        <f>IF(AN628="","",IFERROR(INDEX(Lists!$L$2:$L$38,MATCH(LEFT(AN628,2),Lists!$K$2:$K$38,0)),"Unknown code"))</f>
        <v/>
      </c>
      <c r="AJ628" s="27">
        <f>IF(AN628="","",IFERROR(IF(NOT(AND(LEN(AN628)=15,ISNUMBER(MATCH(LEFT(AN628,2),Lists!$K$2:$K$38,0)),SUMPRODUCT(--ISERROR(FIND(MID(MID(AN628,3,10),{1,2,3,4,5,10},1),"ABCDEFGHIJKLMNOPQRSTUVWXYZ")))=0,SUMPRODUCT(--ISERROR(FIND(MID(MID(AN628,3,10),{6,7,8,9},1),"0123456789")))=0,ISNUMBER(FIND(MID(AN628,13,1),"123456789ABCDEFGHIJKLMNOPQRSTUVWXYZ")),MID(AN628,14,1)="Z")),"Wrong format",IF(MID("0123456789ABCDEFGHIJKLMNOPQRSTUVWXYZ",MOD(36-MOD(SUMPRODUCT(INT((FIND(MID(AN628,{1,2,3,4,5,6,7,8,9,10,11,12,13,14},1),"0123456789ABCDEFGHIJKLMNOPQRSTUVWXYZ")-1)*{1,2,1,2,1,2,1,2,1,2,1,2,1,2}/36)+MOD((FIND(MID(AN628,{1,2,3,4,5,6,7,8,9,10,11,12,13,14},1),"0123456789ABCDEFGHIJKLMNOPQRSTUVWXYZ")-1)*{1,2,1,2,1,2,1,2,1,2,1,2,1,2},36)),36),36)+1,1)=MID(AN628,15,1),"OK","Typo? check digit wrong")),"Wrong format"))</f>
        <v/>
      </c>
      <c r="AK628" s="27">
        <f>IF(AO628="","",IF(AND(LEN(AO628)=10,SUMPRODUCT(--ISERROR(FIND(MID(AO628,{1,2,3,4,5,10},1),"ABCDEFGHIJKLMNOPQRSTUVWXYZ")))=0,SUMPRODUCT(--ISERROR(FIND(MID(AO628,{6,7,8,9},1),"0123456789")))=0),"OK","Wrong format"))</f>
        <v/>
      </c>
      <c r="AL628" s="27">
        <f>IF(TRIM(H628)="","",IF(AND(LEN(UPPER(TRIM(H628)))=10,SUMPRODUCT(--ISERROR(FIND(MID(UPPER(TRIM(H628)),{1,2,3,4,10},1),"ABCDEFGHIJKLMNOPQRSTUVWXYZ")))=0,SUMPRODUCT(--ISERROR(FIND(MID(UPPER(TRIM(H628)),{5,6,7,8,9},1),"0123456789")))=0),"OK","Wrong format"))</f>
        <v/>
      </c>
      <c r="AM628" s="28">
        <f>IF(NOT(COUNTA(A628:AE628)&gt;0),"",IF(AS628&lt;&gt;"","✖ "&amp;LEFT(AS628,LEN(AS628)-2),IF(AR628&gt;0,"✔ Ready — client + "&amp;AR628&amp;" service(s)","✔ Ready — client only")))</f>
        <v/>
      </c>
      <c r="AN628" s="29">
        <f>UPPER(SUBSTITUTE(TRIM(F628)," ",""))</f>
        <v/>
      </c>
      <c r="AO628" s="29">
        <f>UPPER(SUBSTITUTE(TRIM(E628)," ",""))</f>
        <v/>
      </c>
      <c r="AP628" s="29">
        <f>IF(D628&lt;&gt;"",D628,IFERROR(VLOOKUP(MID(AG628,4,1),Lists!$E$2:$F$8,2,FALSE),""))</f>
        <v/>
      </c>
      <c r="AQ628" s="29">
        <f>IFERROR(VLOOKUP(AP628,Lists!$A$2:$C$12,3,FALSE),"")</f>
        <v/>
      </c>
      <c r="AR628" s="29">
        <f>COUNTIF(W628:AC628,"Yes")</f>
        <v/>
      </c>
      <c r="AS628" s="29">
        <f>IF(TRIM(B628)="","Legal name missing; ","")&amp;IF(AND(AJ628&lt;&gt;"",AJ628&lt;&gt;"OK"),"GSTIN: "&amp;AJ628&amp;"; ","")&amp;IF(AND(AK628&lt;&gt;"",AK628&lt;&gt;"OK"),"PAN wrong format; ","")&amp;IF(AND(AO628&lt;&gt;"",LEN(AN628)=15,MID(AN628,3,10)&lt;&gt;AO628),"PAN does not match GSTIN; ","")&amp;IF(AND(AL628&lt;&gt;"",AL628&lt;&gt;"OK"),"TAN wrong format; ","")&amp;IF(AG628="","PAN missing; ","")&amp;IF(AP628="","Entity type missing; ","")&amp;IF(AND(AN628&lt;&gt;"",COUNTIF($AN$6:$AN$1005,AN628)&gt;1),"GSTIN repeated in this sheet; ","")&amp;IF(AND(AG628&lt;&gt;"",COUNTIF($AG$6:$AG$1005,AG628)&gt;1),"PAN repeated in this sheet (same client? put extra GSTINs in Other GSTINs); ","")&amp;IF(AND(AR628&gt;0,V628=""),"Financial year missing; ","")&amp;IF(AND(AR628=0,V628&lt;&gt;""),"Financial year given but no service is Yes; ","")&amp;IF(AND(W628="Yes",AN628=""),"GST needs a GSTIN; ","")&amp;IF(AND(W628="Yes",X628=""),"GST return frequency missing; ","")&amp;IF(AND(Y628="Yes",TRIM(H628)=""),"TDS needs a TAN; ","")&amp;IF(AND(AA628="Yes",AQ628&lt;&gt;"",AQ628&lt;&gt;"company",AQ628&lt;&gt;"llp"),"ROC is only for a company / LLP; ","")&amp;IF(AND(AA628="Yes",OR(AQ628="company",AQ628="llp"),TRIM(I628)=""),"ROC needs the CIN / LLPIN; ","")</f>
        <v/>
      </c>
    </row>
    <row r="629">
      <c r="A629" s="30" t="n"/>
      <c r="B629" s="31" t="n"/>
      <c r="C629" s="31" t="n"/>
      <c r="D629" s="31" t="n"/>
      <c r="E629" s="30" t="n"/>
      <c r="F629" s="30" t="n"/>
      <c r="G629" s="30" t="n"/>
      <c r="H629" s="30" t="n"/>
      <c r="I629" s="30" t="n"/>
      <c r="J629" s="32" t="n"/>
      <c r="K629" s="31" t="n"/>
      <c r="L629" s="30" t="n"/>
      <c r="M629" s="31" t="n"/>
      <c r="N629" s="31" t="n"/>
      <c r="O629" s="31" t="n"/>
      <c r="P629" s="30" t="n"/>
      <c r="Q629" s="31" t="n"/>
      <c r="R629" s="31" t="n"/>
      <c r="S629" s="31" t="n"/>
      <c r="T629" s="31" t="n"/>
      <c r="U629" s="30" t="n"/>
      <c r="V629" s="31" t="n"/>
      <c r="W629" s="31" t="n"/>
      <c r="X629" s="31" t="n"/>
      <c r="Y629" s="31" t="n"/>
      <c r="Z629" s="31" t="n"/>
      <c r="AA629" s="31" t="n"/>
      <c r="AB629" s="31" t="n"/>
      <c r="AC629" s="31" t="n"/>
      <c r="AD629" s="31" t="n"/>
      <c r="AE629" s="31" t="n"/>
      <c r="AF629" s="27">
        <f>IF(NOT(COUNTA(A629:AE629)&gt;0),"",IF(A629="","New client","Update"))</f>
        <v/>
      </c>
      <c r="AG629" s="27">
        <f>IF(AO629&lt;&gt;"",AO629,IF(LEN(AN629)=15,MID(AN629,3,10),""))</f>
        <v/>
      </c>
      <c r="AH629" s="27">
        <f>IF(AP629="","",AP629&amp;IF(D629="","  (guessed from PAN)",""))</f>
        <v/>
      </c>
      <c r="AI629" s="27">
        <f>IF(AN629="","",IFERROR(INDEX(Lists!$L$2:$L$38,MATCH(LEFT(AN629,2),Lists!$K$2:$K$38,0)),"Unknown code"))</f>
        <v/>
      </c>
      <c r="AJ629" s="27">
        <f>IF(AN629="","",IFERROR(IF(NOT(AND(LEN(AN629)=15,ISNUMBER(MATCH(LEFT(AN629,2),Lists!$K$2:$K$38,0)),SUMPRODUCT(--ISERROR(FIND(MID(MID(AN629,3,10),{1,2,3,4,5,10},1),"ABCDEFGHIJKLMNOPQRSTUVWXYZ")))=0,SUMPRODUCT(--ISERROR(FIND(MID(MID(AN629,3,10),{6,7,8,9},1),"0123456789")))=0,ISNUMBER(FIND(MID(AN629,13,1),"123456789ABCDEFGHIJKLMNOPQRSTUVWXYZ")),MID(AN629,14,1)="Z")),"Wrong format",IF(MID("0123456789ABCDEFGHIJKLMNOPQRSTUVWXYZ",MOD(36-MOD(SUMPRODUCT(INT((FIND(MID(AN629,{1,2,3,4,5,6,7,8,9,10,11,12,13,14},1),"0123456789ABCDEFGHIJKLMNOPQRSTUVWXYZ")-1)*{1,2,1,2,1,2,1,2,1,2,1,2,1,2}/36)+MOD((FIND(MID(AN629,{1,2,3,4,5,6,7,8,9,10,11,12,13,14},1),"0123456789ABCDEFGHIJKLMNOPQRSTUVWXYZ")-1)*{1,2,1,2,1,2,1,2,1,2,1,2,1,2},36)),36),36)+1,1)=MID(AN629,15,1),"OK","Typo? check digit wrong")),"Wrong format"))</f>
        <v/>
      </c>
      <c r="AK629" s="27">
        <f>IF(AO629="","",IF(AND(LEN(AO629)=10,SUMPRODUCT(--ISERROR(FIND(MID(AO629,{1,2,3,4,5,10},1),"ABCDEFGHIJKLMNOPQRSTUVWXYZ")))=0,SUMPRODUCT(--ISERROR(FIND(MID(AO629,{6,7,8,9},1),"0123456789")))=0),"OK","Wrong format"))</f>
        <v/>
      </c>
      <c r="AL629" s="27">
        <f>IF(TRIM(H629)="","",IF(AND(LEN(UPPER(TRIM(H629)))=10,SUMPRODUCT(--ISERROR(FIND(MID(UPPER(TRIM(H629)),{1,2,3,4,10},1),"ABCDEFGHIJKLMNOPQRSTUVWXYZ")))=0,SUMPRODUCT(--ISERROR(FIND(MID(UPPER(TRIM(H629)),{5,6,7,8,9},1),"0123456789")))=0),"OK","Wrong format"))</f>
        <v/>
      </c>
      <c r="AM629" s="28">
        <f>IF(NOT(COUNTA(A629:AE629)&gt;0),"",IF(AS629&lt;&gt;"","✖ "&amp;LEFT(AS629,LEN(AS629)-2),IF(AR629&gt;0,"✔ Ready — client + "&amp;AR629&amp;" service(s)","✔ Ready — client only")))</f>
        <v/>
      </c>
      <c r="AN629" s="29">
        <f>UPPER(SUBSTITUTE(TRIM(F629)," ",""))</f>
        <v/>
      </c>
      <c r="AO629" s="29">
        <f>UPPER(SUBSTITUTE(TRIM(E629)," ",""))</f>
        <v/>
      </c>
      <c r="AP629" s="29">
        <f>IF(D629&lt;&gt;"",D629,IFERROR(VLOOKUP(MID(AG629,4,1),Lists!$E$2:$F$8,2,FALSE),""))</f>
        <v/>
      </c>
      <c r="AQ629" s="29">
        <f>IFERROR(VLOOKUP(AP629,Lists!$A$2:$C$12,3,FALSE),"")</f>
        <v/>
      </c>
      <c r="AR629" s="29">
        <f>COUNTIF(W629:AC629,"Yes")</f>
        <v/>
      </c>
      <c r="AS629" s="29">
        <f>IF(TRIM(B629)="","Legal name missing; ","")&amp;IF(AND(AJ629&lt;&gt;"",AJ629&lt;&gt;"OK"),"GSTIN: "&amp;AJ629&amp;"; ","")&amp;IF(AND(AK629&lt;&gt;"",AK629&lt;&gt;"OK"),"PAN wrong format; ","")&amp;IF(AND(AO629&lt;&gt;"",LEN(AN629)=15,MID(AN629,3,10)&lt;&gt;AO629),"PAN does not match GSTIN; ","")&amp;IF(AND(AL629&lt;&gt;"",AL629&lt;&gt;"OK"),"TAN wrong format; ","")&amp;IF(AG629="","PAN missing; ","")&amp;IF(AP629="","Entity type missing; ","")&amp;IF(AND(AN629&lt;&gt;"",COUNTIF($AN$6:$AN$1005,AN629)&gt;1),"GSTIN repeated in this sheet; ","")&amp;IF(AND(AG629&lt;&gt;"",COUNTIF($AG$6:$AG$1005,AG629)&gt;1),"PAN repeated in this sheet (same client? put extra GSTINs in Other GSTINs); ","")&amp;IF(AND(AR629&gt;0,V629=""),"Financial year missing; ","")&amp;IF(AND(AR629=0,V629&lt;&gt;""),"Financial year given but no service is Yes; ","")&amp;IF(AND(W629="Yes",AN629=""),"GST needs a GSTIN; ","")&amp;IF(AND(W629="Yes",X629=""),"GST return frequency missing; ","")&amp;IF(AND(Y629="Yes",TRIM(H629)=""),"TDS needs a TAN; ","")&amp;IF(AND(AA629="Yes",AQ629&lt;&gt;"",AQ629&lt;&gt;"company",AQ629&lt;&gt;"llp"),"ROC is only for a company / LLP; ","")&amp;IF(AND(AA629="Yes",OR(AQ629="company",AQ629="llp"),TRIM(I629)=""),"ROC needs the CIN / LLPIN; ","")</f>
        <v/>
      </c>
    </row>
    <row r="630">
      <c r="A630" s="30" t="n"/>
      <c r="B630" s="31" t="n"/>
      <c r="C630" s="31" t="n"/>
      <c r="D630" s="31" t="n"/>
      <c r="E630" s="30" t="n"/>
      <c r="F630" s="30" t="n"/>
      <c r="G630" s="30" t="n"/>
      <c r="H630" s="30" t="n"/>
      <c r="I630" s="30" t="n"/>
      <c r="J630" s="32" t="n"/>
      <c r="K630" s="31" t="n"/>
      <c r="L630" s="30" t="n"/>
      <c r="M630" s="31" t="n"/>
      <c r="N630" s="31" t="n"/>
      <c r="O630" s="31" t="n"/>
      <c r="P630" s="30" t="n"/>
      <c r="Q630" s="31" t="n"/>
      <c r="R630" s="31" t="n"/>
      <c r="S630" s="31" t="n"/>
      <c r="T630" s="31" t="n"/>
      <c r="U630" s="30" t="n"/>
      <c r="V630" s="31" t="n"/>
      <c r="W630" s="31" t="n"/>
      <c r="X630" s="31" t="n"/>
      <c r="Y630" s="31" t="n"/>
      <c r="Z630" s="31" t="n"/>
      <c r="AA630" s="31" t="n"/>
      <c r="AB630" s="31" t="n"/>
      <c r="AC630" s="31" t="n"/>
      <c r="AD630" s="31" t="n"/>
      <c r="AE630" s="31" t="n"/>
      <c r="AF630" s="27">
        <f>IF(NOT(COUNTA(A630:AE630)&gt;0),"",IF(A630="","New client","Update"))</f>
        <v/>
      </c>
      <c r="AG630" s="27">
        <f>IF(AO630&lt;&gt;"",AO630,IF(LEN(AN630)=15,MID(AN630,3,10),""))</f>
        <v/>
      </c>
      <c r="AH630" s="27">
        <f>IF(AP630="","",AP630&amp;IF(D630="","  (guessed from PAN)",""))</f>
        <v/>
      </c>
      <c r="AI630" s="27">
        <f>IF(AN630="","",IFERROR(INDEX(Lists!$L$2:$L$38,MATCH(LEFT(AN630,2),Lists!$K$2:$K$38,0)),"Unknown code"))</f>
        <v/>
      </c>
      <c r="AJ630" s="27">
        <f>IF(AN630="","",IFERROR(IF(NOT(AND(LEN(AN630)=15,ISNUMBER(MATCH(LEFT(AN630,2),Lists!$K$2:$K$38,0)),SUMPRODUCT(--ISERROR(FIND(MID(MID(AN630,3,10),{1,2,3,4,5,10},1),"ABCDEFGHIJKLMNOPQRSTUVWXYZ")))=0,SUMPRODUCT(--ISERROR(FIND(MID(MID(AN630,3,10),{6,7,8,9},1),"0123456789")))=0,ISNUMBER(FIND(MID(AN630,13,1),"123456789ABCDEFGHIJKLMNOPQRSTUVWXYZ")),MID(AN630,14,1)="Z")),"Wrong format",IF(MID("0123456789ABCDEFGHIJKLMNOPQRSTUVWXYZ",MOD(36-MOD(SUMPRODUCT(INT((FIND(MID(AN630,{1,2,3,4,5,6,7,8,9,10,11,12,13,14},1),"0123456789ABCDEFGHIJKLMNOPQRSTUVWXYZ")-1)*{1,2,1,2,1,2,1,2,1,2,1,2,1,2}/36)+MOD((FIND(MID(AN630,{1,2,3,4,5,6,7,8,9,10,11,12,13,14},1),"0123456789ABCDEFGHIJKLMNOPQRSTUVWXYZ")-1)*{1,2,1,2,1,2,1,2,1,2,1,2,1,2},36)),36),36)+1,1)=MID(AN630,15,1),"OK","Typo? check digit wrong")),"Wrong format"))</f>
        <v/>
      </c>
      <c r="AK630" s="27">
        <f>IF(AO630="","",IF(AND(LEN(AO630)=10,SUMPRODUCT(--ISERROR(FIND(MID(AO630,{1,2,3,4,5,10},1),"ABCDEFGHIJKLMNOPQRSTUVWXYZ")))=0,SUMPRODUCT(--ISERROR(FIND(MID(AO630,{6,7,8,9},1),"0123456789")))=0),"OK","Wrong format"))</f>
        <v/>
      </c>
      <c r="AL630" s="27">
        <f>IF(TRIM(H630)="","",IF(AND(LEN(UPPER(TRIM(H630)))=10,SUMPRODUCT(--ISERROR(FIND(MID(UPPER(TRIM(H630)),{1,2,3,4,10},1),"ABCDEFGHIJKLMNOPQRSTUVWXYZ")))=0,SUMPRODUCT(--ISERROR(FIND(MID(UPPER(TRIM(H630)),{5,6,7,8,9},1),"0123456789")))=0),"OK","Wrong format"))</f>
        <v/>
      </c>
      <c r="AM630" s="28">
        <f>IF(NOT(COUNTA(A630:AE630)&gt;0),"",IF(AS630&lt;&gt;"","✖ "&amp;LEFT(AS630,LEN(AS630)-2),IF(AR630&gt;0,"✔ Ready — client + "&amp;AR630&amp;" service(s)","✔ Ready — client only")))</f>
        <v/>
      </c>
      <c r="AN630" s="29">
        <f>UPPER(SUBSTITUTE(TRIM(F630)," ",""))</f>
        <v/>
      </c>
      <c r="AO630" s="29">
        <f>UPPER(SUBSTITUTE(TRIM(E630)," ",""))</f>
        <v/>
      </c>
      <c r="AP630" s="29">
        <f>IF(D630&lt;&gt;"",D630,IFERROR(VLOOKUP(MID(AG630,4,1),Lists!$E$2:$F$8,2,FALSE),""))</f>
        <v/>
      </c>
      <c r="AQ630" s="29">
        <f>IFERROR(VLOOKUP(AP630,Lists!$A$2:$C$12,3,FALSE),"")</f>
        <v/>
      </c>
      <c r="AR630" s="29">
        <f>COUNTIF(W630:AC630,"Yes")</f>
        <v/>
      </c>
      <c r="AS630" s="29">
        <f>IF(TRIM(B630)="","Legal name missing; ","")&amp;IF(AND(AJ630&lt;&gt;"",AJ630&lt;&gt;"OK"),"GSTIN: "&amp;AJ630&amp;"; ","")&amp;IF(AND(AK630&lt;&gt;"",AK630&lt;&gt;"OK"),"PAN wrong format; ","")&amp;IF(AND(AO630&lt;&gt;"",LEN(AN630)=15,MID(AN630,3,10)&lt;&gt;AO630),"PAN does not match GSTIN; ","")&amp;IF(AND(AL630&lt;&gt;"",AL630&lt;&gt;"OK"),"TAN wrong format; ","")&amp;IF(AG630="","PAN missing; ","")&amp;IF(AP630="","Entity type missing; ","")&amp;IF(AND(AN630&lt;&gt;"",COUNTIF($AN$6:$AN$1005,AN630)&gt;1),"GSTIN repeated in this sheet; ","")&amp;IF(AND(AG630&lt;&gt;"",COUNTIF($AG$6:$AG$1005,AG630)&gt;1),"PAN repeated in this sheet (same client? put extra GSTINs in Other GSTINs); ","")&amp;IF(AND(AR630&gt;0,V630=""),"Financial year missing; ","")&amp;IF(AND(AR630=0,V630&lt;&gt;""),"Financial year given but no service is Yes; ","")&amp;IF(AND(W630="Yes",AN630=""),"GST needs a GSTIN; ","")&amp;IF(AND(W630="Yes",X630=""),"GST return frequency missing; ","")&amp;IF(AND(Y630="Yes",TRIM(H630)=""),"TDS needs a TAN; ","")&amp;IF(AND(AA630="Yes",AQ630&lt;&gt;"",AQ630&lt;&gt;"company",AQ630&lt;&gt;"llp"),"ROC is only for a company / LLP; ","")&amp;IF(AND(AA630="Yes",OR(AQ630="company",AQ630="llp"),TRIM(I630)=""),"ROC needs the CIN / LLPIN; ","")</f>
        <v/>
      </c>
    </row>
    <row r="631">
      <c r="A631" s="30" t="n"/>
      <c r="B631" s="31" t="n"/>
      <c r="C631" s="31" t="n"/>
      <c r="D631" s="31" t="n"/>
      <c r="E631" s="30" t="n"/>
      <c r="F631" s="30" t="n"/>
      <c r="G631" s="30" t="n"/>
      <c r="H631" s="30" t="n"/>
      <c r="I631" s="30" t="n"/>
      <c r="J631" s="32" t="n"/>
      <c r="K631" s="31" t="n"/>
      <c r="L631" s="30" t="n"/>
      <c r="M631" s="31" t="n"/>
      <c r="N631" s="31" t="n"/>
      <c r="O631" s="31" t="n"/>
      <c r="P631" s="30" t="n"/>
      <c r="Q631" s="31" t="n"/>
      <c r="R631" s="31" t="n"/>
      <c r="S631" s="31" t="n"/>
      <c r="T631" s="31" t="n"/>
      <c r="U631" s="30" t="n"/>
      <c r="V631" s="31" t="n"/>
      <c r="W631" s="31" t="n"/>
      <c r="X631" s="31" t="n"/>
      <c r="Y631" s="31" t="n"/>
      <c r="Z631" s="31" t="n"/>
      <c r="AA631" s="31" t="n"/>
      <c r="AB631" s="31" t="n"/>
      <c r="AC631" s="31" t="n"/>
      <c r="AD631" s="31" t="n"/>
      <c r="AE631" s="31" t="n"/>
      <c r="AF631" s="27">
        <f>IF(NOT(COUNTA(A631:AE631)&gt;0),"",IF(A631="","New client","Update"))</f>
        <v/>
      </c>
      <c r="AG631" s="27">
        <f>IF(AO631&lt;&gt;"",AO631,IF(LEN(AN631)=15,MID(AN631,3,10),""))</f>
        <v/>
      </c>
      <c r="AH631" s="27">
        <f>IF(AP631="","",AP631&amp;IF(D631="","  (guessed from PAN)",""))</f>
        <v/>
      </c>
      <c r="AI631" s="27">
        <f>IF(AN631="","",IFERROR(INDEX(Lists!$L$2:$L$38,MATCH(LEFT(AN631,2),Lists!$K$2:$K$38,0)),"Unknown code"))</f>
        <v/>
      </c>
      <c r="AJ631" s="27">
        <f>IF(AN631="","",IFERROR(IF(NOT(AND(LEN(AN631)=15,ISNUMBER(MATCH(LEFT(AN631,2),Lists!$K$2:$K$38,0)),SUMPRODUCT(--ISERROR(FIND(MID(MID(AN631,3,10),{1,2,3,4,5,10},1),"ABCDEFGHIJKLMNOPQRSTUVWXYZ")))=0,SUMPRODUCT(--ISERROR(FIND(MID(MID(AN631,3,10),{6,7,8,9},1),"0123456789")))=0,ISNUMBER(FIND(MID(AN631,13,1),"123456789ABCDEFGHIJKLMNOPQRSTUVWXYZ")),MID(AN631,14,1)="Z")),"Wrong format",IF(MID("0123456789ABCDEFGHIJKLMNOPQRSTUVWXYZ",MOD(36-MOD(SUMPRODUCT(INT((FIND(MID(AN631,{1,2,3,4,5,6,7,8,9,10,11,12,13,14},1),"0123456789ABCDEFGHIJKLMNOPQRSTUVWXYZ")-1)*{1,2,1,2,1,2,1,2,1,2,1,2,1,2}/36)+MOD((FIND(MID(AN631,{1,2,3,4,5,6,7,8,9,10,11,12,13,14},1),"0123456789ABCDEFGHIJKLMNOPQRSTUVWXYZ")-1)*{1,2,1,2,1,2,1,2,1,2,1,2,1,2},36)),36),36)+1,1)=MID(AN631,15,1),"OK","Typo? check digit wrong")),"Wrong format"))</f>
        <v/>
      </c>
      <c r="AK631" s="27">
        <f>IF(AO631="","",IF(AND(LEN(AO631)=10,SUMPRODUCT(--ISERROR(FIND(MID(AO631,{1,2,3,4,5,10},1),"ABCDEFGHIJKLMNOPQRSTUVWXYZ")))=0,SUMPRODUCT(--ISERROR(FIND(MID(AO631,{6,7,8,9},1),"0123456789")))=0),"OK","Wrong format"))</f>
        <v/>
      </c>
      <c r="AL631" s="27">
        <f>IF(TRIM(H631)="","",IF(AND(LEN(UPPER(TRIM(H631)))=10,SUMPRODUCT(--ISERROR(FIND(MID(UPPER(TRIM(H631)),{1,2,3,4,10},1),"ABCDEFGHIJKLMNOPQRSTUVWXYZ")))=0,SUMPRODUCT(--ISERROR(FIND(MID(UPPER(TRIM(H631)),{5,6,7,8,9},1),"0123456789")))=0),"OK","Wrong format"))</f>
        <v/>
      </c>
      <c r="AM631" s="28">
        <f>IF(NOT(COUNTA(A631:AE631)&gt;0),"",IF(AS631&lt;&gt;"","✖ "&amp;LEFT(AS631,LEN(AS631)-2),IF(AR631&gt;0,"✔ Ready — client + "&amp;AR631&amp;" service(s)","✔ Ready — client only")))</f>
        <v/>
      </c>
      <c r="AN631" s="29">
        <f>UPPER(SUBSTITUTE(TRIM(F631)," ",""))</f>
        <v/>
      </c>
      <c r="AO631" s="29">
        <f>UPPER(SUBSTITUTE(TRIM(E631)," ",""))</f>
        <v/>
      </c>
      <c r="AP631" s="29">
        <f>IF(D631&lt;&gt;"",D631,IFERROR(VLOOKUP(MID(AG631,4,1),Lists!$E$2:$F$8,2,FALSE),""))</f>
        <v/>
      </c>
      <c r="AQ631" s="29">
        <f>IFERROR(VLOOKUP(AP631,Lists!$A$2:$C$12,3,FALSE),"")</f>
        <v/>
      </c>
      <c r="AR631" s="29">
        <f>COUNTIF(W631:AC631,"Yes")</f>
        <v/>
      </c>
      <c r="AS631" s="29">
        <f>IF(TRIM(B631)="","Legal name missing; ","")&amp;IF(AND(AJ631&lt;&gt;"",AJ631&lt;&gt;"OK"),"GSTIN: "&amp;AJ631&amp;"; ","")&amp;IF(AND(AK631&lt;&gt;"",AK631&lt;&gt;"OK"),"PAN wrong format; ","")&amp;IF(AND(AO631&lt;&gt;"",LEN(AN631)=15,MID(AN631,3,10)&lt;&gt;AO631),"PAN does not match GSTIN; ","")&amp;IF(AND(AL631&lt;&gt;"",AL631&lt;&gt;"OK"),"TAN wrong format; ","")&amp;IF(AG631="","PAN missing; ","")&amp;IF(AP631="","Entity type missing; ","")&amp;IF(AND(AN631&lt;&gt;"",COUNTIF($AN$6:$AN$1005,AN631)&gt;1),"GSTIN repeated in this sheet; ","")&amp;IF(AND(AG631&lt;&gt;"",COUNTIF($AG$6:$AG$1005,AG631)&gt;1),"PAN repeated in this sheet (same client? put extra GSTINs in Other GSTINs); ","")&amp;IF(AND(AR631&gt;0,V631=""),"Financial year missing; ","")&amp;IF(AND(AR631=0,V631&lt;&gt;""),"Financial year given but no service is Yes; ","")&amp;IF(AND(W631="Yes",AN631=""),"GST needs a GSTIN; ","")&amp;IF(AND(W631="Yes",X631=""),"GST return frequency missing; ","")&amp;IF(AND(Y631="Yes",TRIM(H631)=""),"TDS needs a TAN; ","")&amp;IF(AND(AA631="Yes",AQ631&lt;&gt;"",AQ631&lt;&gt;"company",AQ631&lt;&gt;"llp"),"ROC is only for a company / LLP; ","")&amp;IF(AND(AA631="Yes",OR(AQ631="company",AQ631="llp"),TRIM(I631)=""),"ROC needs the CIN / LLPIN; ","")</f>
        <v/>
      </c>
    </row>
    <row r="632">
      <c r="A632" s="30" t="n"/>
      <c r="B632" s="31" t="n"/>
      <c r="C632" s="31" t="n"/>
      <c r="D632" s="31" t="n"/>
      <c r="E632" s="30" t="n"/>
      <c r="F632" s="30" t="n"/>
      <c r="G632" s="30" t="n"/>
      <c r="H632" s="30" t="n"/>
      <c r="I632" s="30" t="n"/>
      <c r="J632" s="32" t="n"/>
      <c r="K632" s="31" t="n"/>
      <c r="L632" s="30" t="n"/>
      <c r="M632" s="31" t="n"/>
      <c r="N632" s="31" t="n"/>
      <c r="O632" s="31" t="n"/>
      <c r="P632" s="30" t="n"/>
      <c r="Q632" s="31" t="n"/>
      <c r="R632" s="31" t="n"/>
      <c r="S632" s="31" t="n"/>
      <c r="T632" s="31" t="n"/>
      <c r="U632" s="30" t="n"/>
      <c r="V632" s="31" t="n"/>
      <c r="W632" s="31" t="n"/>
      <c r="X632" s="31" t="n"/>
      <c r="Y632" s="31" t="n"/>
      <c r="Z632" s="31" t="n"/>
      <c r="AA632" s="31" t="n"/>
      <c r="AB632" s="31" t="n"/>
      <c r="AC632" s="31" t="n"/>
      <c r="AD632" s="31" t="n"/>
      <c r="AE632" s="31" t="n"/>
      <c r="AF632" s="27">
        <f>IF(NOT(COUNTA(A632:AE632)&gt;0),"",IF(A632="","New client","Update"))</f>
        <v/>
      </c>
      <c r="AG632" s="27">
        <f>IF(AO632&lt;&gt;"",AO632,IF(LEN(AN632)=15,MID(AN632,3,10),""))</f>
        <v/>
      </c>
      <c r="AH632" s="27">
        <f>IF(AP632="","",AP632&amp;IF(D632="","  (guessed from PAN)",""))</f>
        <v/>
      </c>
      <c r="AI632" s="27">
        <f>IF(AN632="","",IFERROR(INDEX(Lists!$L$2:$L$38,MATCH(LEFT(AN632,2),Lists!$K$2:$K$38,0)),"Unknown code"))</f>
        <v/>
      </c>
      <c r="AJ632" s="27">
        <f>IF(AN632="","",IFERROR(IF(NOT(AND(LEN(AN632)=15,ISNUMBER(MATCH(LEFT(AN632,2),Lists!$K$2:$K$38,0)),SUMPRODUCT(--ISERROR(FIND(MID(MID(AN632,3,10),{1,2,3,4,5,10},1),"ABCDEFGHIJKLMNOPQRSTUVWXYZ")))=0,SUMPRODUCT(--ISERROR(FIND(MID(MID(AN632,3,10),{6,7,8,9},1),"0123456789")))=0,ISNUMBER(FIND(MID(AN632,13,1),"123456789ABCDEFGHIJKLMNOPQRSTUVWXYZ")),MID(AN632,14,1)="Z")),"Wrong format",IF(MID("0123456789ABCDEFGHIJKLMNOPQRSTUVWXYZ",MOD(36-MOD(SUMPRODUCT(INT((FIND(MID(AN632,{1,2,3,4,5,6,7,8,9,10,11,12,13,14},1),"0123456789ABCDEFGHIJKLMNOPQRSTUVWXYZ")-1)*{1,2,1,2,1,2,1,2,1,2,1,2,1,2}/36)+MOD((FIND(MID(AN632,{1,2,3,4,5,6,7,8,9,10,11,12,13,14},1),"0123456789ABCDEFGHIJKLMNOPQRSTUVWXYZ")-1)*{1,2,1,2,1,2,1,2,1,2,1,2,1,2},36)),36),36)+1,1)=MID(AN632,15,1),"OK","Typo? check digit wrong")),"Wrong format"))</f>
        <v/>
      </c>
      <c r="AK632" s="27">
        <f>IF(AO632="","",IF(AND(LEN(AO632)=10,SUMPRODUCT(--ISERROR(FIND(MID(AO632,{1,2,3,4,5,10},1),"ABCDEFGHIJKLMNOPQRSTUVWXYZ")))=0,SUMPRODUCT(--ISERROR(FIND(MID(AO632,{6,7,8,9},1),"0123456789")))=0),"OK","Wrong format"))</f>
        <v/>
      </c>
      <c r="AL632" s="27">
        <f>IF(TRIM(H632)="","",IF(AND(LEN(UPPER(TRIM(H632)))=10,SUMPRODUCT(--ISERROR(FIND(MID(UPPER(TRIM(H632)),{1,2,3,4,10},1),"ABCDEFGHIJKLMNOPQRSTUVWXYZ")))=0,SUMPRODUCT(--ISERROR(FIND(MID(UPPER(TRIM(H632)),{5,6,7,8,9},1),"0123456789")))=0),"OK","Wrong format"))</f>
        <v/>
      </c>
      <c r="AM632" s="28">
        <f>IF(NOT(COUNTA(A632:AE632)&gt;0),"",IF(AS632&lt;&gt;"","✖ "&amp;LEFT(AS632,LEN(AS632)-2),IF(AR632&gt;0,"✔ Ready — client + "&amp;AR632&amp;" service(s)","✔ Ready — client only")))</f>
        <v/>
      </c>
      <c r="AN632" s="29">
        <f>UPPER(SUBSTITUTE(TRIM(F632)," ",""))</f>
        <v/>
      </c>
      <c r="AO632" s="29">
        <f>UPPER(SUBSTITUTE(TRIM(E632)," ",""))</f>
        <v/>
      </c>
      <c r="AP632" s="29">
        <f>IF(D632&lt;&gt;"",D632,IFERROR(VLOOKUP(MID(AG632,4,1),Lists!$E$2:$F$8,2,FALSE),""))</f>
        <v/>
      </c>
      <c r="AQ632" s="29">
        <f>IFERROR(VLOOKUP(AP632,Lists!$A$2:$C$12,3,FALSE),"")</f>
        <v/>
      </c>
      <c r="AR632" s="29">
        <f>COUNTIF(W632:AC632,"Yes")</f>
        <v/>
      </c>
      <c r="AS632" s="29">
        <f>IF(TRIM(B632)="","Legal name missing; ","")&amp;IF(AND(AJ632&lt;&gt;"",AJ632&lt;&gt;"OK"),"GSTIN: "&amp;AJ632&amp;"; ","")&amp;IF(AND(AK632&lt;&gt;"",AK632&lt;&gt;"OK"),"PAN wrong format; ","")&amp;IF(AND(AO632&lt;&gt;"",LEN(AN632)=15,MID(AN632,3,10)&lt;&gt;AO632),"PAN does not match GSTIN; ","")&amp;IF(AND(AL632&lt;&gt;"",AL632&lt;&gt;"OK"),"TAN wrong format; ","")&amp;IF(AG632="","PAN missing; ","")&amp;IF(AP632="","Entity type missing; ","")&amp;IF(AND(AN632&lt;&gt;"",COUNTIF($AN$6:$AN$1005,AN632)&gt;1),"GSTIN repeated in this sheet; ","")&amp;IF(AND(AG632&lt;&gt;"",COUNTIF($AG$6:$AG$1005,AG632)&gt;1),"PAN repeated in this sheet (same client? put extra GSTINs in Other GSTINs); ","")&amp;IF(AND(AR632&gt;0,V632=""),"Financial year missing; ","")&amp;IF(AND(AR632=0,V632&lt;&gt;""),"Financial year given but no service is Yes; ","")&amp;IF(AND(W632="Yes",AN632=""),"GST needs a GSTIN; ","")&amp;IF(AND(W632="Yes",X632=""),"GST return frequency missing; ","")&amp;IF(AND(Y632="Yes",TRIM(H632)=""),"TDS needs a TAN; ","")&amp;IF(AND(AA632="Yes",AQ632&lt;&gt;"",AQ632&lt;&gt;"company",AQ632&lt;&gt;"llp"),"ROC is only for a company / LLP; ","")&amp;IF(AND(AA632="Yes",OR(AQ632="company",AQ632="llp"),TRIM(I632)=""),"ROC needs the CIN / LLPIN; ","")</f>
        <v/>
      </c>
    </row>
    <row r="633">
      <c r="A633" s="30" t="n"/>
      <c r="B633" s="31" t="n"/>
      <c r="C633" s="31" t="n"/>
      <c r="D633" s="31" t="n"/>
      <c r="E633" s="30" t="n"/>
      <c r="F633" s="30" t="n"/>
      <c r="G633" s="30" t="n"/>
      <c r="H633" s="30" t="n"/>
      <c r="I633" s="30" t="n"/>
      <c r="J633" s="32" t="n"/>
      <c r="K633" s="31" t="n"/>
      <c r="L633" s="30" t="n"/>
      <c r="M633" s="31" t="n"/>
      <c r="N633" s="31" t="n"/>
      <c r="O633" s="31" t="n"/>
      <c r="P633" s="30" t="n"/>
      <c r="Q633" s="31" t="n"/>
      <c r="R633" s="31" t="n"/>
      <c r="S633" s="31" t="n"/>
      <c r="T633" s="31" t="n"/>
      <c r="U633" s="30" t="n"/>
      <c r="V633" s="31" t="n"/>
      <c r="W633" s="31" t="n"/>
      <c r="X633" s="31" t="n"/>
      <c r="Y633" s="31" t="n"/>
      <c r="Z633" s="31" t="n"/>
      <c r="AA633" s="31" t="n"/>
      <c r="AB633" s="31" t="n"/>
      <c r="AC633" s="31" t="n"/>
      <c r="AD633" s="31" t="n"/>
      <c r="AE633" s="31" t="n"/>
      <c r="AF633" s="27">
        <f>IF(NOT(COUNTA(A633:AE633)&gt;0),"",IF(A633="","New client","Update"))</f>
        <v/>
      </c>
      <c r="AG633" s="27">
        <f>IF(AO633&lt;&gt;"",AO633,IF(LEN(AN633)=15,MID(AN633,3,10),""))</f>
        <v/>
      </c>
      <c r="AH633" s="27">
        <f>IF(AP633="","",AP633&amp;IF(D633="","  (guessed from PAN)",""))</f>
        <v/>
      </c>
      <c r="AI633" s="27">
        <f>IF(AN633="","",IFERROR(INDEX(Lists!$L$2:$L$38,MATCH(LEFT(AN633,2),Lists!$K$2:$K$38,0)),"Unknown code"))</f>
        <v/>
      </c>
      <c r="AJ633" s="27">
        <f>IF(AN633="","",IFERROR(IF(NOT(AND(LEN(AN633)=15,ISNUMBER(MATCH(LEFT(AN633,2),Lists!$K$2:$K$38,0)),SUMPRODUCT(--ISERROR(FIND(MID(MID(AN633,3,10),{1,2,3,4,5,10},1),"ABCDEFGHIJKLMNOPQRSTUVWXYZ")))=0,SUMPRODUCT(--ISERROR(FIND(MID(MID(AN633,3,10),{6,7,8,9},1),"0123456789")))=0,ISNUMBER(FIND(MID(AN633,13,1),"123456789ABCDEFGHIJKLMNOPQRSTUVWXYZ")),MID(AN633,14,1)="Z")),"Wrong format",IF(MID("0123456789ABCDEFGHIJKLMNOPQRSTUVWXYZ",MOD(36-MOD(SUMPRODUCT(INT((FIND(MID(AN633,{1,2,3,4,5,6,7,8,9,10,11,12,13,14},1),"0123456789ABCDEFGHIJKLMNOPQRSTUVWXYZ")-1)*{1,2,1,2,1,2,1,2,1,2,1,2,1,2}/36)+MOD((FIND(MID(AN633,{1,2,3,4,5,6,7,8,9,10,11,12,13,14},1),"0123456789ABCDEFGHIJKLMNOPQRSTUVWXYZ")-1)*{1,2,1,2,1,2,1,2,1,2,1,2,1,2},36)),36),36)+1,1)=MID(AN633,15,1),"OK","Typo? check digit wrong")),"Wrong format"))</f>
        <v/>
      </c>
      <c r="AK633" s="27">
        <f>IF(AO633="","",IF(AND(LEN(AO633)=10,SUMPRODUCT(--ISERROR(FIND(MID(AO633,{1,2,3,4,5,10},1),"ABCDEFGHIJKLMNOPQRSTUVWXYZ")))=0,SUMPRODUCT(--ISERROR(FIND(MID(AO633,{6,7,8,9},1),"0123456789")))=0),"OK","Wrong format"))</f>
        <v/>
      </c>
      <c r="AL633" s="27">
        <f>IF(TRIM(H633)="","",IF(AND(LEN(UPPER(TRIM(H633)))=10,SUMPRODUCT(--ISERROR(FIND(MID(UPPER(TRIM(H633)),{1,2,3,4,10},1),"ABCDEFGHIJKLMNOPQRSTUVWXYZ")))=0,SUMPRODUCT(--ISERROR(FIND(MID(UPPER(TRIM(H633)),{5,6,7,8,9},1),"0123456789")))=0),"OK","Wrong format"))</f>
        <v/>
      </c>
      <c r="AM633" s="28">
        <f>IF(NOT(COUNTA(A633:AE633)&gt;0),"",IF(AS633&lt;&gt;"","✖ "&amp;LEFT(AS633,LEN(AS633)-2),IF(AR633&gt;0,"✔ Ready — client + "&amp;AR633&amp;" service(s)","✔ Ready — client only")))</f>
        <v/>
      </c>
      <c r="AN633" s="29">
        <f>UPPER(SUBSTITUTE(TRIM(F633)," ",""))</f>
        <v/>
      </c>
      <c r="AO633" s="29">
        <f>UPPER(SUBSTITUTE(TRIM(E633)," ",""))</f>
        <v/>
      </c>
      <c r="AP633" s="29">
        <f>IF(D633&lt;&gt;"",D633,IFERROR(VLOOKUP(MID(AG633,4,1),Lists!$E$2:$F$8,2,FALSE),""))</f>
        <v/>
      </c>
      <c r="AQ633" s="29">
        <f>IFERROR(VLOOKUP(AP633,Lists!$A$2:$C$12,3,FALSE),"")</f>
        <v/>
      </c>
      <c r="AR633" s="29">
        <f>COUNTIF(W633:AC633,"Yes")</f>
        <v/>
      </c>
      <c r="AS633" s="29">
        <f>IF(TRIM(B633)="","Legal name missing; ","")&amp;IF(AND(AJ633&lt;&gt;"",AJ633&lt;&gt;"OK"),"GSTIN: "&amp;AJ633&amp;"; ","")&amp;IF(AND(AK633&lt;&gt;"",AK633&lt;&gt;"OK"),"PAN wrong format; ","")&amp;IF(AND(AO633&lt;&gt;"",LEN(AN633)=15,MID(AN633,3,10)&lt;&gt;AO633),"PAN does not match GSTIN; ","")&amp;IF(AND(AL633&lt;&gt;"",AL633&lt;&gt;"OK"),"TAN wrong format; ","")&amp;IF(AG633="","PAN missing; ","")&amp;IF(AP633="","Entity type missing; ","")&amp;IF(AND(AN633&lt;&gt;"",COUNTIF($AN$6:$AN$1005,AN633)&gt;1),"GSTIN repeated in this sheet; ","")&amp;IF(AND(AG633&lt;&gt;"",COUNTIF($AG$6:$AG$1005,AG633)&gt;1),"PAN repeated in this sheet (same client? put extra GSTINs in Other GSTINs); ","")&amp;IF(AND(AR633&gt;0,V633=""),"Financial year missing; ","")&amp;IF(AND(AR633=0,V633&lt;&gt;""),"Financial year given but no service is Yes; ","")&amp;IF(AND(W633="Yes",AN633=""),"GST needs a GSTIN; ","")&amp;IF(AND(W633="Yes",X633=""),"GST return frequency missing; ","")&amp;IF(AND(Y633="Yes",TRIM(H633)=""),"TDS needs a TAN; ","")&amp;IF(AND(AA633="Yes",AQ633&lt;&gt;"",AQ633&lt;&gt;"company",AQ633&lt;&gt;"llp"),"ROC is only for a company / LLP; ","")&amp;IF(AND(AA633="Yes",OR(AQ633="company",AQ633="llp"),TRIM(I633)=""),"ROC needs the CIN / LLPIN; ","")</f>
        <v/>
      </c>
    </row>
    <row r="634">
      <c r="A634" s="30" t="n"/>
      <c r="B634" s="31" t="n"/>
      <c r="C634" s="31" t="n"/>
      <c r="D634" s="31" t="n"/>
      <c r="E634" s="30" t="n"/>
      <c r="F634" s="30" t="n"/>
      <c r="G634" s="30" t="n"/>
      <c r="H634" s="30" t="n"/>
      <c r="I634" s="30" t="n"/>
      <c r="J634" s="32" t="n"/>
      <c r="K634" s="31" t="n"/>
      <c r="L634" s="30" t="n"/>
      <c r="M634" s="31" t="n"/>
      <c r="N634" s="31" t="n"/>
      <c r="O634" s="31" t="n"/>
      <c r="P634" s="30" t="n"/>
      <c r="Q634" s="31" t="n"/>
      <c r="R634" s="31" t="n"/>
      <c r="S634" s="31" t="n"/>
      <c r="T634" s="31" t="n"/>
      <c r="U634" s="30" t="n"/>
      <c r="V634" s="31" t="n"/>
      <c r="W634" s="31" t="n"/>
      <c r="X634" s="31" t="n"/>
      <c r="Y634" s="31" t="n"/>
      <c r="Z634" s="31" t="n"/>
      <c r="AA634" s="31" t="n"/>
      <c r="AB634" s="31" t="n"/>
      <c r="AC634" s="31" t="n"/>
      <c r="AD634" s="31" t="n"/>
      <c r="AE634" s="31" t="n"/>
      <c r="AF634" s="27">
        <f>IF(NOT(COUNTA(A634:AE634)&gt;0),"",IF(A634="","New client","Update"))</f>
        <v/>
      </c>
      <c r="AG634" s="27">
        <f>IF(AO634&lt;&gt;"",AO634,IF(LEN(AN634)=15,MID(AN634,3,10),""))</f>
        <v/>
      </c>
      <c r="AH634" s="27">
        <f>IF(AP634="","",AP634&amp;IF(D634="","  (guessed from PAN)",""))</f>
        <v/>
      </c>
      <c r="AI634" s="27">
        <f>IF(AN634="","",IFERROR(INDEX(Lists!$L$2:$L$38,MATCH(LEFT(AN634,2),Lists!$K$2:$K$38,0)),"Unknown code"))</f>
        <v/>
      </c>
      <c r="AJ634" s="27">
        <f>IF(AN634="","",IFERROR(IF(NOT(AND(LEN(AN634)=15,ISNUMBER(MATCH(LEFT(AN634,2),Lists!$K$2:$K$38,0)),SUMPRODUCT(--ISERROR(FIND(MID(MID(AN634,3,10),{1,2,3,4,5,10},1),"ABCDEFGHIJKLMNOPQRSTUVWXYZ")))=0,SUMPRODUCT(--ISERROR(FIND(MID(MID(AN634,3,10),{6,7,8,9},1),"0123456789")))=0,ISNUMBER(FIND(MID(AN634,13,1),"123456789ABCDEFGHIJKLMNOPQRSTUVWXYZ")),MID(AN634,14,1)="Z")),"Wrong format",IF(MID("0123456789ABCDEFGHIJKLMNOPQRSTUVWXYZ",MOD(36-MOD(SUMPRODUCT(INT((FIND(MID(AN634,{1,2,3,4,5,6,7,8,9,10,11,12,13,14},1),"0123456789ABCDEFGHIJKLMNOPQRSTUVWXYZ")-1)*{1,2,1,2,1,2,1,2,1,2,1,2,1,2}/36)+MOD((FIND(MID(AN634,{1,2,3,4,5,6,7,8,9,10,11,12,13,14},1),"0123456789ABCDEFGHIJKLMNOPQRSTUVWXYZ")-1)*{1,2,1,2,1,2,1,2,1,2,1,2,1,2},36)),36),36)+1,1)=MID(AN634,15,1),"OK","Typo? check digit wrong")),"Wrong format"))</f>
        <v/>
      </c>
      <c r="AK634" s="27">
        <f>IF(AO634="","",IF(AND(LEN(AO634)=10,SUMPRODUCT(--ISERROR(FIND(MID(AO634,{1,2,3,4,5,10},1),"ABCDEFGHIJKLMNOPQRSTUVWXYZ")))=0,SUMPRODUCT(--ISERROR(FIND(MID(AO634,{6,7,8,9},1),"0123456789")))=0),"OK","Wrong format"))</f>
        <v/>
      </c>
      <c r="AL634" s="27">
        <f>IF(TRIM(H634)="","",IF(AND(LEN(UPPER(TRIM(H634)))=10,SUMPRODUCT(--ISERROR(FIND(MID(UPPER(TRIM(H634)),{1,2,3,4,10},1),"ABCDEFGHIJKLMNOPQRSTUVWXYZ")))=0,SUMPRODUCT(--ISERROR(FIND(MID(UPPER(TRIM(H634)),{5,6,7,8,9},1),"0123456789")))=0),"OK","Wrong format"))</f>
        <v/>
      </c>
      <c r="AM634" s="28">
        <f>IF(NOT(COUNTA(A634:AE634)&gt;0),"",IF(AS634&lt;&gt;"","✖ "&amp;LEFT(AS634,LEN(AS634)-2),IF(AR634&gt;0,"✔ Ready — client + "&amp;AR634&amp;" service(s)","✔ Ready — client only")))</f>
        <v/>
      </c>
      <c r="AN634" s="29">
        <f>UPPER(SUBSTITUTE(TRIM(F634)," ",""))</f>
        <v/>
      </c>
      <c r="AO634" s="29">
        <f>UPPER(SUBSTITUTE(TRIM(E634)," ",""))</f>
        <v/>
      </c>
      <c r="AP634" s="29">
        <f>IF(D634&lt;&gt;"",D634,IFERROR(VLOOKUP(MID(AG634,4,1),Lists!$E$2:$F$8,2,FALSE),""))</f>
        <v/>
      </c>
      <c r="AQ634" s="29">
        <f>IFERROR(VLOOKUP(AP634,Lists!$A$2:$C$12,3,FALSE),"")</f>
        <v/>
      </c>
      <c r="AR634" s="29">
        <f>COUNTIF(W634:AC634,"Yes")</f>
        <v/>
      </c>
      <c r="AS634" s="29">
        <f>IF(TRIM(B634)="","Legal name missing; ","")&amp;IF(AND(AJ634&lt;&gt;"",AJ634&lt;&gt;"OK"),"GSTIN: "&amp;AJ634&amp;"; ","")&amp;IF(AND(AK634&lt;&gt;"",AK634&lt;&gt;"OK"),"PAN wrong format; ","")&amp;IF(AND(AO634&lt;&gt;"",LEN(AN634)=15,MID(AN634,3,10)&lt;&gt;AO634),"PAN does not match GSTIN; ","")&amp;IF(AND(AL634&lt;&gt;"",AL634&lt;&gt;"OK"),"TAN wrong format; ","")&amp;IF(AG634="","PAN missing; ","")&amp;IF(AP634="","Entity type missing; ","")&amp;IF(AND(AN634&lt;&gt;"",COUNTIF($AN$6:$AN$1005,AN634)&gt;1),"GSTIN repeated in this sheet; ","")&amp;IF(AND(AG634&lt;&gt;"",COUNTIF($AG$6:$AG$1005,AG634)&gt;1),"PAN repeated in this sheet (same client? put extra GSTINs in Other GSTINs); ","")&amp;IF(AND(AR634&gt;0,V634=""),"Financial year missing; ","")&amp;IF(AND(AR634=0,V634&lt;&gt;""),"Financial year given but no service is Yes; ","")&amp;IF(AND(W634="Yes",AN634=""),"GST needs a GSTIN; ","")&amp;IF(AND(W634="Yes",X634=""),"GST return frequency missing; ","")&amp;IF(AND(Y634="Yes",TRIM(H634)=""),"TDS needs a TAN; ","")&amp;IF(AND(AA634="Yes",AQ634&lt;&gt;"",AQ634&lt;&gt;"company",AQ634&lt;&gt;"llp"),"ROC is only for a company / LLP; ","")&amp;IF(AND(AA634="Yes",OR(AQ634="company",AQ634="llp"),TRIM(I634)=""),"ROC needs the CIN / LLPIN; ","")</f>
        <v/>
      </c>
    </row>
    <row r="635">
      <c r="A635" s="30" t="n"/>
      <c r="B635" s="31" t="n"/>
      <c r="C635" s="31" t="n"/>
      <c r="D635" s="31" t="n"/>
      <c r="E635" s="30" t="n"/>
      <c r="F635" s="30" t="n"/>
      <c r="G635" s="30" t="n"/>
      <c r="H635" s="30" t="n"/>
      <c r="I635" s="30" t="n"/>
      <c r="J635" s="32" t="n"/>
      <c r="K635" s="31" t="n"/>
      <c r="L635" s="30" t="n"/>
      <c r="M635" s="31" t="n"/>
      <c r="N635" s="31" t="n"/>
      <c r="O635" s="31" t="n"/>
      <c r="P635" s="30" t="n"/>
      <c r="Q635" s="31" t="n"/>
      <c r="R635" s="31" t="n"/>
      <c r="S635" s="31" t="n"/>
      <c r="T635" s="31" t="n"/>
      <c r="U635" s="30" t="n"/>
      <c r="V635" s="31" t="n"/>
      <c r="W635" s="31" t="n"/>
      <c r="X635" s="31" t="n"/>
      <c r="Y635" s="31" t="n"/>
      <c r="Z635" s="31" t="n"/>
      <c r="AA635" s="31" t="n"/>
      <c r="AB635" s="31" t="n"/>
      <c r="AC635" s="31" t="n"/>
      <c r="AD635" s="31" t="n"/>
      <c r="AE635" s="31" t="n"/>
      <c r="AF635" s="27">
        <f>IF(NOT(COUNTA(A635:AE635)&gt;0),"",IF(A635="","New client","Update"))</f>
        <v/>
      </c>
      <c r="AG635" s="27">
        <f>IF(AO635&lt;&gt;"",AO635,IF(LEN(AN635)=15,MID(AN635,3,10),""))</f>
        <v/>
      </c>
      <c r="AH635" s="27">
        <f>IF(AP635="","",AP635&amp;IF(D635="","  (guessed from PAN)",""))</f>
        <v/>
      </c>
      <c r="AI635" s="27">
        <f>IF(AN635="","",IFERROR(INDEX(Lists!$L$2:$L$38,MATCH(LEFT(AN635,2),Lists!$K$2:$K$38,0)),"Unknown code"))</f>
        <v/>
      </c>
      <c r="AJ635" s="27">
        <f>IF(AN635="","",IFERROR(IF(NOT(AND(LEN(AN635)=15,ISNUMBER(MATCH(LEFT(AN635,2),Lists!$K$2:$K$38,0)),SUMPRODUCT(--ISERROR(FIND(MID(MID(AN635,3,10),{1,2,3,4,5,10},1),"ABCDEFGHIJKLMNOPQRSTUVWXYZ")))=0,SUMPRODUCT(--ISERROR(FIND(MID(MID(AN635,3,10),{6,7,8,9},1),"0123456789")))=0,ISNUMBER(FIND(MID(AN635,13,1),"123456789ABCDEFGHIJKLMNOPQRSTUVWXYZ")),MID(AN635,14,1)="Z")),"Wrong format",IF(MID("0123456789ABCDEFGHIJKLMNOPQRSTUVWXYZ",MOD(36-MOD(SUMPRODUCT(INT((FIND(MID(AN635,{1,2,3,4,5,6,7,8,9,10,11,12,13,14},1),"0123456789ABCDEFGHIJKLMNOPQRSTUVWXYZ")-1)*{1,2,1,2,1,2,1,2,1,2,1,2,1,2}/36)+MOD((FIND(MID(AN635,{1,2,3,4,5,6,7,8,9,10,11,12,13,14},1),"0123456789ABCDEFGHIJKLMNOPQRSTUVWXYZ")-1)*{1,2,1,2,1,2,1,2,1,2,1,2,1,2},36)),36),36)+1,1)=MID(AN635,15,1),"OK","Typo? check digit wrong")),"Wrong format"))</f>
        <v/>
      </c>
      <c r="AK635" s="27">
        <f>IF(AO635="","",IF(AND(LEN(AO635)=10,SUMPRODUCT(--ISERROR(FIND(MID(AO635,{1,2,3,4,5,10},1),"ABCDEFGHIJKLMNOPQRSTUVWXYZ")))=0,SUMPRODUCT(--ISERROR(FIND(MID(AO635,{6,7,8,9},1),"0123456789")))=0),"OK","Wrong format"))</f>
        <v/>
      </c>
      <c r="AL635" s="27">
        <f>IF(TRIM(H635)="","",IF(AND(LEN(UPPER(TRIM(H635)))=10,SUMPRODUCT(--ISERROR(FIND(MID(UPPER(TRIM(H635)),{1,2,3,4,10},1),"ABCDEFGHIJKLMNOPQRSTUVWXYZ")))=0,SUMPRODUCT(--ISERROR(FIND(MID(UPPER(TRIM(H635)),{5,6,7,8,9},1),"0123456789")))=0),"OK","Wrong format"))</f>
        <v/>
      </c>
      <c r="AM635" s="28">
        <f>IF(NOT(COUNTA(A635:AE635)&gt;0),"",IF(AS635&lt;&gt;"","✖ "&amp;LEFT(AS635,LEN(AS635)-2),IF(AR635&gt;0,"✔ Ready — client + "&amp;AR635&amp;" service(s)","✔ Ready — client only")))</f>
        <v/>
      </c>
      <c r="AN635" s="29">
        <f>UPPER(SUBSTITUTE(TRIM(F635)," ",""))</f>
        <v/>
      </c>
      <c r="AO635" s="29">
        <f>UPPER(SUBSTITUTE(TRIM(E635)," ",""))</f>
        <v/>
      </c>
      <c r="AP635" s="29">
        <f>IF(D635&lt;&gt;"",D635,IFERROR(VLOOKUP(MID(AG635,4,1),Lists!$E$2:$F$8,2,FALSE),""))</f>
        <v/>
      </c>
      <c r="AQ635" s="29">
        <f>IFERROR(VLOOKUP(AP635,Lists!$A$2:$C$12,3,FALSE),"")</f>
        <v/>
      </c>
      <c r="AR635" s="29">
        <f>COUNTIF(W635:AC635,"Yes")</f>
        <v/>
      </c>
      <c r="AS635" s="29">
        <f>IF(TRIM(B635)="","Legal name missing; ","")&amp;IF(AND(AJ635&lt;&gt;"",AJ635&lt;&gt;"OK"),"GSTIN: "&amp;AJ635&amp;"; ","")&amp;IF(AND(AK635&lt;&gt;"",AK635&lt;&gt;"OK"),"PAN wrong format; ","")&amp;IF(AND(AO635&lt;&gt;"",LEN(AN635)=15,MID(AN635,3,10)&lt;&gt;AO635),"PAN does not match GSTIN; ","")&amp;IF(AND(AL635&lt;&gt;"",AL635&lt;&gt;"OK"),"TAN wrong format; ","")&amp;IF(AG635="","PAN missing; ","")&amp;IF(AP635="","Entity type missing; ","")&amp;IF(AND(AN635&lt;&gt;"",COUNTIF($AN$6:$AN$1005,AN635)&gt;1),"GSTIN repeated in this sheet; ","")&amp;IF(AND(AG635&lt;&gt;"",COUNTIF($AG$6:$AG$1005,AG635)&gt;1),"PAN repeated in this sheet (same client? put extra GSTINs in Other GSTINs); ","")&amp;IF(AND(AR635&gt;0,V635=""),"Financial year missing; ","")&amp;IF(AND(AR635=0,V635&lt;&gt;""),"Financial year given but no service is Yes; ","")&amp;IF(AND(W635="Yes",AN635=""),"GST needs a GSTIN; ","")&amp;IF(AND(W635="Yes",X635=""),"GST return frequency missing; ","")&amp;IF(AND(Y635="Yes",TRIM(H635)=""),"TDS needs a TAN; ","")&amp;IF(AND(AA635="Yes",AQ635&lt;&gt;"",AQ635&lt;&gt;"company",AQ635&lt;&gt;"llp"),"ROC is only for a company / LLP; ","")&amp;IF(AND(AA635="Yes",OR(AQ635="company",AQ635="llp"),TRIM(I635)=""),"ROC needs the CIN / LLPIN; ","")</f>
        <v/>
      </c>
    </row>
    <row r="636">
      <c r="A636" s="30" t="n"/>
      <c r="B636" s="31" t="n"/>
      <c r="C636" s="31" t="n"/>
      <c r="D636" s="31" t="n"/>
      <c r="E636" s="30" t="n"/>
      <c r="F636" s="30" t="n"/>
      <c r="G636" s="30" t="n"/>
      <c r="H636" s="30" t="n"/>
      <c r="I636" s="30" t="n"/>
      <c r="J636" s="32" t="n"/>
      <c r="K636" s="31" t="n"/>
      <c r="L636" s="30" t="n"/>
      <c r="M636" s="31" t="n"/>
      <c r="N636" s="31" t="n"/>
      <c r="O636" s="31" t="n"/>
      <c r="P636" s="30" t="n"/>
      <c r="Q636" s="31" t="n"/>
      <c r="R636" s="31" t="n"/>
      <c r="S636" s="31" t="n"/>
      <c r="T636" s="31" t="n"/>
      <c r="U636" s="30" t="n"/>
      <c r="V636" s="31" t="n"/>
      <c r="W636" s="31" t="n"/>
      <c r="X636" s="31" t="n"/>
      <c r="Y636" s="31" t="n"/>
      <c r="Z636" s="31" t="n"/>
      <c r="AA636" s="31" t="n"/>
      <c r="AB636" s="31" t="n"/>
      <c r="AC636" s="31" t="n"/>
      <c r="AD636" s="31" t="n"/>
      <c r="AE636" s="31" t="n"/>
      <c r="AF636" s="27">
        <f>IF(NOT(COUNTA(A636:AE636)&gt;0),"",IF(A636="","New client","Update"))</f>
        <v/>
      </c>
      <c r="AG636" s="27">
        <f>IF(AO636&lt;&gt;"",AO636,IF(LEN(AN636)=15,MID(AN636,3,10),""))</f>
        <v/>
      </c>
      <c r="AH636" s="27">
        <f>IF(AP636="","",AP636&amp;IF(D636="","  (guessed from PAN)",""))</f>
        <v/>
      </c>
      <c r="AI636" s="27">
        <f>IF(AN636="","",IFERROR(INDEX(Lists!$L$2:$L$38,MATCH(LEFT(AN636,2),Lists!$K$2:$K$38,0)),"Unknown code"))</f>
        <v/>
      </c>
      <c r="AJ636" s="27">
        <f>IF(AN636="","",IFERROR(IF(NOT(AND(LEN(AN636)=15,ISNUMBER(MATCH(LEFT(AN636,2),Lists!$K$2:$K$38,0)),SUMPRODUCT(--ISERROR(FIND(MID(MID(AN636,3,10),{1,2,3,4,5,10},1),"ABCDEFGHIJKLMNOPQRSTUVWXYZ")))=0,SUMPRODUCT(--ISERROR(FIND(MID(MID(AN636,3,10),{6,7,8,9},1),"0123456789")))=0,ISNUMBER(FIND(MID(AN636,13,1),"123456789ABCDEFGHIJKLMNOPQRSTUVWXYZ")),MID(AN636,14,1)="Z")),"Wrong format",IF(MID("0123456789ABCDEFGHIJKLMNOPQRSTUVWXYZ",MOD(36-MOD(SUMPRODUCT(INT((FIND(MID(AN636,{1,2,3,4,5,6,7,8,9,10,11,12,13,14},1),"0123456789ABCDEFGHIJKLMNOPQRSTUVWXYZ")-1)*{1,2,1,2,1,2,1,2,1,2,1,2,1,2}/36)+MOD((FIND(MID(AN636,{1,2,3,4,5,6,7,8,9,10,11,12,13,14},1),"0123456789ABCDEFGHIJKLMNOPQRSTUVWXYZ")-1)*{1,2,1,2,1,2,1,2,1,2,1,2,1,2},36)),36),36)+1,1)=MID(AN636,15,1),"OK","Typo? check digit wrong")),"Wrong format"))</f>
        <v/>
      </c>
      <c r="AK636" s="27">
        <f>IF(AO636="","",IF(AND(LEN(AO636)=10,SUMPRODUCT(--ISERROR(FIND(MID(AO636,{1,2,3,4,5,10},1),"ABCDEFGHIJKLMNOPQRSTUVWXYZ")))=0,SUMPRODUCT(--ISERROR(FIND(MID(AO636,{6,7,8,9},1),"0123456789")))=0),"OK","Wrong format"))</f>
        <v/>
      </c>
      <c r="AL636" s="27">
        <f>IF(TRIM(H636)="","",IF(AND(LEN(UPPER(TRIM(H636)))=10,SUMPRODUCT(--ISERROR(FIND(MID(UPPER(TRIM(H636)),{1,2,3,4,10},1),"ABCDEFGHIJKLMNOPQRSTUVWXYZ")))=0,SUMPRODUCT(--ISERROR(FIND(MID(UPPER(TRIM(H636)),{5,6,7,8,9},1),"0123456789")))=0),"OK","Wrong format"))</f>
        <v/>
      </c>
      <c r="AM636" s="28">
        <f>IF(NOT(COUNTA(A636:AE636)&gt;0),"",IF(AS636&lt;&gt;"","✖ "&amp;LEFT(AS636,LEN(AS636)-2),IF(AR636&gt;0,"✔ Ready — client + "&amp;AR636&amp;" service(s)","✔ Ready — client only")))</f>
        <v/>
      </c>
      <c r="AN636" s="29">
        <f>UPPER(SUBSTITUTE(TRIM(F636)," ",""))</f>
        <v/>
      </c>
      <c r="AO636" s="29">
        <f>UPPER(SUBSTITUTE(TRIM(E636)," ",""))</f>
        <v/>
      </c>
      <c r="AP636" s="29">
        <f>IF(D636&lt;&gt;"",D636,IFERROR(VLOOKUP(MID(AG636,4,1),Lists!$E$2:$F$8,2,FALSE),""))</f>
        <v/>
      </c>
      <c r="AQ636" s="29">
        <f>IFERROR(VLOOKUP(AP636,Lists!$A$2:$C$12,3,FALSE),"")</f>
        <v/>
      </c>
      <c r="AR636" s="29">
        <f>COUNTIF(W636:AC636,"Yes")</f>
        <v/>
      </c>
      <c r="AS636" s="29">
        <f>IF(TRIM(B636)="","Legal name missing; ","")&amp;IF(AND(AJ636&lt;&gt;"",AJ636&lt;&gt;"OK"),"GSTIN: "&amp;AJ636&amp;"; ","")&amp;IF(AND(AK636&lt;&gt;"",AK636&lt;&gt;"OK"),"PAN wrong format; ","")&amp;IF(AND(AO636&lt;&gt;"",LEN(AN636)=15,MID(AN636,3,10)&lt;&gt;AO636),"PAN does not match GSTIN; ","")&amp;IF(AND(AL636&lt;&gt;"",AL636&lt;&gt;"OK"),"TAN wrong format; ","")&amp;IF(AG636="","PAN missing; ","")&amp;IF(AP636="","Entity type missing; ","")&amp;IF(AND(AN636&lt;&gt;"",COUNTIF($AN$6:$AN$1005,AN636)&gt;1),"GSTIN repeated in this sheet; ","")&amp;IF(AND(AG636&lt;&gt;"",COUNTIF($AG$6:$AG$1005,AG636)&gt;1),"PAN repeated in this sheet (same client? put extra GSTINs in Other GSTINs); ","")&amp;IF(AND(AR636&gt;0,V636=""),"Financial year missing; ","")&amp;IF(AND(AR636=0,V636&lt;&gt;""),"Financial year given but no service is Yes; ","")&amp;IF(AND(W636="Yes",AN636=""),"GST needs a GSTIN; ","")&amp;IF(AND(W636="Yes",X636=""),"GST return frequency missing; ","")&amp;IF(AND(Y636="Yes",TRIM(H636)=""),"TDS needs a TAN; ","")&amp;IF(AND(AA636="Yes",AQ636&lt;&gt;"",AQ636&lt;&gt;"company",AQ636&lt;&gt;"llp"),"ROC is only for a company / LLP; ","")&amp;IF(AND(AA636="Yes",OR(AQ636="company",AQ636="llp"),TRIM(I636)=""),"ROC needs the CIN / LLPIN; ","")</f>
        <v/>
      </c>
    </row>
    <row r="637">
      <c r="A637" s="30" t="n"/>
      <c r="B637" s="31" t="n"/>
      <c r="C637" s="31" t="n"/>
      <c r="D637" s="31" t="n"/>
      <c r="E637" s="30" t="n"/>
      <c r="F637" s="30" t="n"/>
      <c r="G637" s="30" t="n"/>
      <c r="H637" s="30" t="n"/>
      <c r="I637" s="30" t="n"/>
      <c r="J637" s="32" t="n"/>
      <c r="K637" s="31" t="n"/>
      <c r="L637" s="30" t="n"/>
      <c r="M637" s="31" t="n"/>
      <c r="N637" s="31" t="n"/>
      <c r="O637" s="31" t="n"/>
      <c r="P637" s="30" t="n"/>
      <c r="Q637" s="31" t="n"/>
      <c r="R637" s="31" t="n"/>
      <c r="S637" s="31" t="n"/>
      <c r="T637" s="31" t="n"/>
      <c r="U637" s="30" t="n"/>
      <c r="V637" s="31" t="n"/>
      <c r="W637" s="31" t="n"/>
      <c r="X637" s="31" t="n"/>
      <c r="Y637" s="31" t="n"/>
      <c r="Z637" s="31" t="n"/>
      <c r="AA637" s="31" t="n"/>
      <c r="AB637" s="31" t="n"/>
      <c r="AC637" s="31" t="n"/>
      <c r="AD637" s="31" t="n"/>
      <c r="AE637" s="31" t="n"/>
      <c r="AF637" s="27">
        <f>IF(NOT(COUNTA(A637:AE637)&gt;0),"",IF(A637="","New client","Update"))</f>
        <v/>
      </c>
      <c r="AG637" s="27">
        <f>IF(AO637&lt;&gt;"",AO637,IF(LEN(AN637)=15,MID(AN637,3,10),""))</f>
        <v/>
      </c>
      <c r="AH637" s="27">
        <f>IF(AP637="","",AP637&amp;IF(D637="","  (guessed from PAN)",""))</f>
        <v/>
      </c>
      <c r="AI637" s="27">
        <f>IF(AN637="","",IFERROR(INDEX(Lists!$L$2:$L$38,MATCH(LEFT(AN637,2),Lists!$K$2:$K$38,0)),"Unknown code"))</f>
        <v/>
      </c>
      <c r="AJ637" s="27">
        <f>IF(AN637="","",IFERROR(IF(NOT(AND(LEN(AN637)=15,ISNUMBER(MATCH(LEFT(AN637,2),Lists!$K$2:$K$38,0)),SUMPRODUCT(--ISERROR(FIND(MID(MID(AN637,3,10),{1,2,3,4,5,10},1),"ABCDEFGHIJKLMNOPQRSTUVWXYZ")))=0,SUMPRODUCT(--ISERROR(FIND(MID(MID(AN637,3,10),{6,7,8,9},1),"0123456789")))=0,ISNUMBER(FIND(MID(AN637,13,1),"123456789ABCDEFGHIJKLMNOPQRSTUVWXYZ")),MID(AN637,14,1)="Z")),"Wrong format",IF(MID("0123456789ABCDEFGHIJKLMNOPQRSTUVWXYZ",MOD(36-MOD(SUMPRODUCT(INT((FIND(MID(AN637,{1,2,3,4,5,6,7,8,9,10,11,12,13,14},1),"0123456789ABCDEFGHIJKLMNOPQRSTUVWXYZ")-1)*{1,2,1,2,1,2,1,2,1,2,1,2,1,2}/36)+MOD((FIND(MID(AN637,{1,2,3,4,5,6,7,8,9,10,11,12,13,14},1),"0123456789ABCDEFGHIJKLMNOPQRSTUVWXYZ")-1)*{1,2,1,2,1,2,1,2,1,2,1,2,1,2},36)),36),36)+1,1)=MID(AN637,15,1),"OK","Typo? check digit wrong")),"Wrong format"))</f>
        <v/>
      </c>
      <c r="AK637" s="27">
        <f>IF(AO637="","",IF(AND(LEN(AO637)=10,SUMPRODUCT(--ISERROR(FIND(MID(AO637,{1,2,3,4,5,10},1),"ABCDEFGHIJKLMNOPQRSTUVWXYZ")))=0,SUMPRODUCT(--ISERROR(FIND(MID(AO637,{6,7,8,9},1),"0123456789")))=0),"OK","Wrong format"))</f>
        <v/>
      </c>
      <c r="AL637" s="27">
        <f>IF(TRIM(H637)="","",IF(AND(LEN(UPPER(TRIM(H637)))=10,SUMPRODUCT(--ISERROR(FIND(MID(UPPER(TRIM(H637)),{1,2,3,4,10},1),"ABCDEFGHIJKLMNOPQRSTUVWXYZ")))=0,SUMPRODUCT(--ISERROR(FIND(MID(UPPER(TRIM(H637)),{5,6,7,8,9},1),"0123456789")))=0),"OK","Wrong format"))</f>
        <v/>
      </c>
      <c r="AM637" s="28">
        <f>IF(NOT(COUNTA(A637:AE637)&gt;0),"",IF(AS637&lt;&gt;"","✖ "&amp;LEFT(AS637,LEN(AS637)-2),IF(AR637&gt;0,"✔ Ready — client + "&amp;AR637&amp;" service(s)","✔ Ready — client only")))</f>
        <v/>
      </c>
      <c r="AN637" s="29">
        <f>UPPER(SUBSTITUTE(TRIM(F637)," ",""))</f>
        <v/>
      </c>
      <c r="AO637" s="29">
        <f>UPPER(SUBSTITUTE(TRIM(E637)," ",""))</f>
        <v/>
      </c>
      <c r="AP637" s="29">
        <f>IF(D637&lt;&gt;"",D637,IFERROR(VLOOKUP(MID(AG637,4,1),Lists!$E$2:$F$8,2,FALSE),""))</f>
        <v/>
      </c>
      <c r="AQ637" s="29">
        <f>IFERROR(VLOOKUP(AP637,Lists!$A$2:$C$12,3,FALSE),"")</f>
        <v/>
      </c>
      <c r="AR637" s="29">
        <f>COUNTIF(W637:AC637,"Yes")</f>
        <v/>
      </c>
      <c r="AS637" s="29">
        <f>IF(TRIM(B637)="","Legal name missing; ","")&amp;IF(AND(AJ637&lt;&gt;"",AJ637&lt;&gt;"OK"),"GSTIN: "&amp;AJ637&amp;"; ","")&amp;IF(AND(AK637&lt;&gt;"",AK637&lt;&gt;"OK"),"PAN wrong format; ","")&amp;IF(AND(AO637&lt;&gt;"",LEN(AN637)=15,MID(AN637,3,10)&lt;&gt;AO637),"PAN does not match GSTIN; ","")&amp;IF(AND(AL637&lt;&gt;"",AL637&lt;&gt;"OK"),"TAN wrong format; ","")&amp;IF(AG637="","PAN missing; ","")&amp;IF(AP637="","Entity type missing; ","")&amp;IF(AND(AN637&lt;&gt;"",COUNTIF($AN$6:$AN$1005,AN637)&gt;1),"GSTIN repeated in this sheet; ","")&amp;IF(AND(AG637&lt;&gt;"",COUNTIF($AG$6:$AG$1005,AG637)&gt;1),"PAN repeated in this sheet (same client? put extra GSTINs in Other GSTINs); ","")&amp;IF(AND(AR637&gt;0,V637=""),"Financial year missing; ","")&amp;IF(AND(AR637=0,V637&lt;&gt;""),"Financial year given but no service is Yes; ","")&amp;IF(AND(W637="Yes",AN637=""),"GST needs a GSTIN; ","")&amp;IF(AND(W637="Yes",X637=""),"GST return frequency missing; ","")&amp;IF(AND(Y637="Yes",TRIM(H637)=""),"TDS needs a TAN; ","")&amp;IF(AND(AA637="Yes",AQ637&lt;&gt;"",AQ637&lt;&gt;"company",AQ637&lt;&gt;"llp"),"ROC is only for a company / LLP; ","")&amp;IF(AND(AA637="Yes",OR(AQ637="company",AQ637="llp"),TRIM(I637)=""),"ROC needs the CIN / LLPIN; ","")</f>
        <v/>
      </c>
    </row>
    <row r="638">
      <c r="A638" s="30" t="n"/>
      <c r="B638" s="31" t="n"/>
      <c r="C638" s="31" t="n"/>
      <c r="D638" s="31" t="n"/>
      <c r="E638" s="30" t="n"/>
      <c r="F638" s="30" t="n"/>
      <c r="G638" s="30" t="n"/>
      <c r="H638" s="30" t="n"/>
      <c r="I638" s="30" t="n"/>
      <c r="J638" s="32" t="n"/>
      <c r="K638" s="31" t="n"/>
      <c r="L638" s="30" t="n"/>
      <c r="M638" s="31" t="n"/>
      <c r="N638" s="31" t="n"/>
      <c r="O638" s="31" t="n"/>
      <c r="P638" s="30" t="n"/>
      <c r="Q638" s="31" t="n"/>
      <c r="R638" s="31" t="n"/>
      <c r="S638" s="31" t="n"/>
      <c r="T638" s="31" t="n"/>
      <c r="U638" s="30" t="n"/>
      <c r="V638" s="31" t="n"/>
      <c r="W638" s="31" t="n"/>
      <c r="X638" s="31" t="n"/>
      <c r="Y638" s="31" t="n"/>
      <c r="Z638" s="31" t="n"/>
      <c r="AA638" s="31" t="n"/>
      <c r="AB638" s="31" t="n"/>
      <c r="AC638" s="31" t="n"/>
      <c r="AD638" s="31" t="n"/>
      <c r="AE638" s="31" t="n"/>
      <c r="AF638" s="27">
        <f>IF(NOT(COUNTA(A638:AE638)&gt;0),"",IF(A638="","New client","Update"))</f>
        <v/>
      </c>
      <c r="AG638" s="27">
        <f>IF(AO638&lt;&gt;"",AO638,IF(LEN(AN638)=15,MID(AN638,3,10),""))</f>
        <v/>
      </c>
      <c r="AH638" s="27">
        <f>IF(AP638="","",AP638&amp;IF(D638="","  (guessed from PAN)",""))</f>
        <v/>
      </c>
      <c r="AI638" s="27">
        <f>IF(AN638="","",IFERROR(INDEX(Lists!$L$2:$L$38,MATCH(LEFT(AN638,2),Lists!$K$2:$K$38,0)),"Unknown code"))</f>
        <v/>
      </c>
      <c r="AJ638" s="27">
        <f>IF(AN638="","",IFERROR(IF(NOT(AND(LEN(AN638)=15,ISNUMBER(MATCH(LEFT(AN638,2),Lists!$K$2:$K$38,0)),SUMPRODUCT(--ISERROR(FIND(MID(MID(AN638,3,10),{1,2,3,4,5,10},1),"ABCDEFGHIJKLMNOPQRSTUVWXYZ")))=0,SUMPRODUCT(--ISERROR(FIND(MID(MID(AN638,3,10),{6,7,8,9},1),"0123456789")))=0,ISNUMBER(FIND(MID(AN638,13,1),"123456789ABCDEFGHIJKLMNOPQRSTUVWXYZ")),MID(AN638,14,1)="Z")),"Wrong format",IF(MID("0123456789ABCDEFGHIJKLMNOPQRSTUVWXYZ",MOD(36-MOD(SUMPRODUCT(INT((FIND(MID(AN638,{1,2,3,4,5,6,7,8,9,10,11,12,13,14},1),"0123456789ABCDEFGHIJKLMNOPQRSTUVWXYZ")-1)*{1,2,1,2,1,2,1,2,1,2,1,2,1,2}/36)+MOD((FIND(MID(AN638,{1,2,3,4,5,6,7,8,9,10,11,12,13,14},1),"0123456789ABCDEFGHIJKLMNOPQRSTUVWXYZ")-1)*{1,2,1,2,1,2,1,2,1,2,1,2,1,2},36)),36),36)+1,1)=MID(AN638,15,1),"OK","Typo? check digit wrong")),"Wrong format"))</f>
        <v/>
      </c>
      <c r="AK638" s="27">
        <f>IF(AO638="","",IF(AND(LEN(AO638)=10,SUMPRODUCT(--ISERROR(FIND(MID(AO638,{1,2,3,4,5,10},1),"ABCDEFGHIJKLMNOPQRSTUVWXYZ")))=0,SUMPRODUCT(--ISERROR(FIND(MID(AO638,{6,7,8,9},1),"0123456789")))=0),"OK","Wrong format"))</f>
        <v/>
      </c>
      <c r="AL638" s="27">
        <f>IF(TRIM(H638)="","",IF(AND(LEN(UPPER(TRIM(H638)))=10,SUMPRODUCT(--ISERROR(FIND(MID(UPPER(TRIM(H638)),{1,2,3,4,10},1),"ABCDEFGHIJKLMNOPQRSTUVWXYZ")))=0,SUMPRODUCT(--ISERROR(FIND(MID(UPPER(TRIM(H638)),{5,6,7,8,9},1),"0123456789")))=0),"OK","Wrong format"))</f>
        <v/>
      </c>
      <c r="AM638" s="28">
        <f>IF(NOT(COUNTA(A638:AE638)&gt;0),"",IF(AS638&lt;&gt;"","✖ "&amp;LEFT(AS638,LEN(AS638)-2),IF(AR638&gt;0,"✔ Ready — client + "&amp;AR638&amp;" service(s)","✔ Ready — client only")))</f>
        <v/>
      </c>
      <c r="AN638" s="29">
        <f>UPPER(SUBSTITUTE(TRIM(F638)," ",""))</f>
        <v/>
      </c>
      <c r="AO638" s="29">
        <f>UPPER(SUBSTITUTE(TRIM(E638)," ",""))</f>
        <v/>
      </c>
      <c r="AP638" s="29">
        <f>IF(D638&lt;&gt;"",D638,IFERROR(VLOOKUP(MID(AG638,4,1),Lists!$E$2:$F$8,2,FALSE),""))</f>
        <v/>
      </c>
      <c r="AQ638" s="29">
        <f>IFERROR(VLOOKUP(AP638,Lists!$A$2:$C$12,3,FALSE),"")</f>
        <v/>
      </c>
      <c r="AR638" s="29">
        <f>COUNTIF(W638:AC638,"Yes")</f>
        <v/>
      </c>
      <c r="AS638" s="29">
        <f>IF(TRIM(B638)="","Legal name missing; ","")&amp;IF(AND(AJ638&lt;&gt;"",AJ638&lt;&gt;"OK"),"GSTIN: "&amp;AJ638&amp;"; ","")&amp;IF(AND(AK638&lt;&gt;"",AK638&lt;&gt;"OK"),"PAN wrong format; ","")&amp;IF(AND(AO638&lt;&gt;"",LEN(AN638)=15,MID(AN638,3,10)&lt;&gt;AO638),"PAN does not match GSTIN; ","")&amp;IF(AND(AL638&lt;&gt;"",AL638&lt;&gt;"OK"),"TAN wrong format; ","")&amp;IF(AG638="","PAN missing; ","")&amp;IF(AP638="","Entity type missing; ","")&amp;IF(AND(AN638&lt;&gt;"",COUNTIF($AN$6:$AN$1005,AN638)&gt;1),"GSTIN repeated in this sheet; ","")&amp;IF(AND(AG638&lt;&gt;"",COUNTIF($AG$6:$AG$1005,AG638)&gt;1),"PAN repeated in this sheet (same client? put extra GSTINs in Other GSTINs); ","")&amp;IF(AND(AR638&gt;0,V638=""),"Financial year missing; ","")&amp;IF(AND(AR638=0,V638&lt;&gt;""),"Financial year given but no service is Yes; ","")&amp;IF(AND(W638="Yes",AN638=""),"GST needs a GSTIN; ","")&amp;IF(AND(W638="Yes",X638=""),"GST return frequency missing; ","")&amp;IF(AND(Y638="Yes",TRIM(H638)=""),"TDS needs a TAN; ","")&amp;IF(AND(AA638="Yes",AQ638&lt;&gt;"",AQ638&lt;&gt;"company",AQ638&lt;&gt;"llp"),"ROC is only for a company / LLP; ","")&amp;IF(AND(AA638="Yes",OR(AQ638="company",AQ638="llp"),TRIM(I638)=""),"ROC needs the CIN / LLPIN; ","")</f>
        <v/>
      </c>
    </row>
    <row r="639">
      <c r="A639" s="30" t="n"/>
      <c r="B639" s="31" t="n"/>
      <c r="C639" s="31" t="n"/>
      <c r="D639" s="31" t="n"/>
      <c r="E639" s="30" t="n"/>
      <c r="F639" s="30" t="n"/>
      <c r="G639" s="30" t="n"/>
      <c r="H639" s="30" t="n"/>
      <c r="I639" s="30" t="n"/>
      <c r="J639" s="32" t="n"/>
      <c r="K639" s="31" t="n"/>
      <c r="L639" s="30" t="n"/>
      <c r="M639" s="31" t="n"/>
      <c r="N639" s="31" t="n"/>
      <c r="O639" s="31" t="n"/>
      <c r="P639" s="30" t="n"/>
      <c r="Q639" s="31" t="n"/>
      <c r="R639" s="31" t="n"/>
      <c r="S639" s="31" t="n"/>
      <c r="T639" s="31" t="n"/>
      <c r="U639" s="30" t="n"/>
      <c r="V639" s="31" t="n"/>
      <c r="W639" s="31" t="n"/>
      <c r="X639" s="31" t="n"/>
      <c r="Y639" s="31" t="n"/>
      <c r="Z639" s="31" t="n"/>
      <c r="AA639" s="31" t="n"/>
      <c r="AB639" s="31" t="n"/>
      <c r="AC639" s="31" t="n"/>
      <c r="AD639" s="31" t="n"/>
      <c r="AE639" s="31" t="n"/>
      <c r="AF639" s="27">
        <f>IF(NOT(COUNTA(A639:AE639)&gt;0),"",IF(A639="","New client","Update"))</f>
        <v/>
      </c>
      <c r="AG639" s="27">
        <f>IF(AO639&lt;&gt;"",AO639,IF(LEN(AN639)=15,MID(AN639,3,10),""))</f>
        <v/>
      </c>
      <c r="AH639" s="27">
        <f>IF(AP639="","",AP639&amp;IF(D639="","  (guessed from PAN)",""))</f>
        <v/>
      </c>
      <c r="AI639" s="27">
        <f>IF(AN639="","",IFERROR(INDEX(Lists!$L$2:$L$38,MATCH(LEFT(AN639,2),Lists!$K$2:$K$38,0)),"Unknown code"))</f>
        <v/>
      </c>
      <c r="AJ639" s="27">
        <f>IF(AN639="","",IFERROR(IF(NOT(AND(LEN(AN639)=15,ISNUMBER(MATCH(LEFT(AN639,2),Lists!$K$2:$K$38,0)),SUMPRODUCT(--ISERROR(FIND(MID(MID(AN639,3,10),{1,2,3,4,5,10},1),"ABCDEFGHIJKLMNOPQRSTUVWXYZ")))=0,SUMPRODUCT(--ISERROR(FIND(MID(MID(AN639,3,10),{6,7,8,9},1),"0123456789")))=0,ISNUMBER(FIND(MID(AN639,13,1),"123456789ABCDEFGHIJKLMNOPQRSTUVWXYZ")),MID(AN639,14,1)="Z")),"Wrong format",IF(MID("0123456789ABCDEFGHIJKLMNOPQRSTUVWXYZ",MOD(36-MOD(SUMPRODUCT(INT((FIND(MID(AN639,{1,2,3,4,5,6,7,8,9,10,11,12,13,14},1),"0123456789ABCDEFGHIJKLMNOPQRSTUVWXYZ")-1)*{1,2,1,2,1,2,1,2,1,2,1,2,1,2}/36)+MOD((FIND(MID(AN639,{1,2,3,4,5,6,7,8,9,10,11,12,13,14},1),"0123456789ABCDEFGHIJKLMNOPQRSTUVWXYZ")-1)*{1,2,1,2,1,2,1,2,1,2,1,2,1,2},36)),36),36)+1,1)=MID(AN639,15,1),"OK","Typo? check digit wrong")),"Wrong format"))</f>
        <v/>
      </c>
      <c r="AK639" s="27">
        <f>IF(AO639="","",IF(AND(LEN(AO639)=10,SUMPRODUCT(--ISERROR(FIND(MID(AO639,{1,2,3,4,5,10},1),"ABCDEFGHIJKLMNOPQRSTUVWXYZ")))=0,SUMPRODUCT(--ISERROR(FIND(MID(AO639,{6,7,8,9},1),"0123456789")))=0),"OK","Wrong format"))</f>
        <v/>
      </c>
      <c r="AL639" s="27">
        <f>IF(TRIM(H639)="","",IF(AND(LEN(UPPER(TRIM(H639)))=10,SUMPRODUCT(--ISERROR(FIND(MID(UPPER(TRIM(H639)),{1,2,3,4,10},1),"ABCDEFGHIJKLMNOPQRSTUVWXYZ")))=0,SUMPRODUCT(--ISERROR(FIND(MID(UPPER(TRIM(H639)),{5,6,7,8,9},1),"0123456789")))=0),"OK","Wrong format"))</f>
        <v/>
      </c>
      <c r="AM639" s="28">
        <f>IF(NOT(COUNTA(A639:AE639)&gt;0),"",IF(AS639&lt;&gt;"","✖ "&amp;LEFT(AS639,LEN(AS639)-2),IF(AR639&gt;0,"✔ Ready — client + "&amp;AR639&amp;" service(s)","✔ Ready — client only")))</f>
        <v/>
      </c>
      <c r="AN639" s="29">
        <f>UPPER(SUBSTITUTE(TRIM(F639)," ",""))</f>
        <v/>
      </c>
      <c r="AO639" s="29">
        <f>UPPER(SUBSTITUTE(TRIM(E639)," ",""))</f>
        <v/>
      </c>
      <c r="AP639" s="29">
        <f>IF(D639&lt;&gt;"",D639,IFERROR(VLOOKUP(MID(AG639,4,1),Lists!$E$2:$F$8,2,FALSE),""))</f>
        <v/>
      </c>
      <c r="AQ639" s="29">
        <f>IFERROR(VLOOKUP(AP639,Lists!$A$2:$C$12,3,FALSE),"")</f>
        <v/>
      </c>
      <c r="AR639" s="29">
        <f>COUNTIF(W639:AC639,"Yes")</f>
        <v/>
      </c>
      <c r="AS639" s="29">
        <f>IF(TRIM(B639)="","Legal name missing; ","")&amp;IF(AND(AJ639&lt;&gt;"",AJ639&lt;&gt;"OK"),"GSTIN: "&amp;AJ639&amp;"; ","")&amp;IF(AND(AK639&lt;&gt;"",AK639&lt;&gt;"OK"),"PAN wrong format; ","")&amp;IF(AND(AO639&lt;&gt;"",LEN(AN639)=15,MID(AN639,3,10)&lt;&gt;AO639),"PAN does not match GSTIN; ","")&amp;IF(AND(AL639&lt;&gt;"",AL639&lt;&gt;"OK"),"TAN wrong format; ","")&amp;IF(AG639="","PAN missing; ","")&amp;IF(AP639="","Entity type missing; ","")&amp;IF(AND(AN639&lt;&gt;"",COUNTIF($AN$6:$AN$1005,AN639)&gt;1),"GSTIN repeated in this sheet; ","")&amp;IF(AND(AG639&lt;&gt;"",COUNTIF($AG$6:$AG$1005,AG639)&gt;1),"PAN repeated in this sheet (same client? put extra GSTINs in Other GSTINs); ","")&amp;IF(AND(AR639&gt;0,V639=""),"Financial year missing; ","")&amp;IF(AND(AR639=0,V639&lt;&gt;""),"Financial year given but no service is Yes; ","")&amp;IF(AND(W639="Yes",AN639=""),"GST needs a GSTIN; ","")&amp;IF(AND(W639="Yes",X639=""),"GST return frequency missing; ","")&amp;IF(AND(Y639="Yes",TRIM(H639)=""),"TDS needs a TAN; ","")&amp;IF(AND(AA639="Yes",AQ639&lt;&gt;"",AQ639&lt;&gt;"company",AQ639&lt;&gt;"llp"),"ROC is only for a company / LLP; ","")&amp;IF(AND(AA639="Yes",OR(AQ639="company",AQ639="llp"),TRIM(I639)=""),"ROC needs the CIN / LLPIN; ","")</f>
        <v/>
      </c>
    </row>
    <row r="640">
      <c r="A640" s="30" t="n"/>
      <c r="B640" s="31" t="n"/>
      <c r="C640" s="31" t="n"/>
      <c r="D640" s="31" t="n"/>
      <c r="E640" s="30" t="n"/>
      <c r="F640" s="30" t="n"/>
      <c r="G640" s="30" t="n"/>
      <c r="H640" s="30" t="n"/>
      <c r="I640" s="30" t="n"/>
      <c r="J640" s="32" t="n"/>
      <c r="K640" s="31" t="n"/>
      <c r="L640" s="30" t="n"/>
      <c r="M640" s="31" t="n"/>
      <c r="N640" s="31" t="n"/>
      <c r="O640" s="31" t="n"/>
      <c r="P640" s="30" t="n"/>
      <c r="Q640" s="31" t="n"/>
      <c r="R640" s="31" t="n"/>
      <c r="S640" s="31" t="n"/>
      <c r="T640" s="31" t="n"/>
      <c r="U640" s="30" t="n"/>
      <c r="V640" s="31" t="n"/>
      <c r="W640" s="31" t="n"/>
      <c r="X640" s="31" t="n"/>
      <c r="Y640" s="31" t="n"/>
      <c r="Z640" s="31" t="n"/>
      <c r="AA640" s="31" t="n"/>
      <c r="AB640" s="31" t="n"/>
      <c r="AC640" s="31" t="n"/>
      <c r="AD640" s="31" t="n"/>
      <c r="AE640" s="31" t="n"/>
      <c r="AF640" s="27">
        <f>IF(NOT(COUNTA(A640:AE640)&gt;0),"",IF(A640="","New client","Update"))</f>
        <v/>
      </c>
      <c r="AG640" s="27">
        <f>IF(AO640&lt;&gt;"",AO640,IF(LEN(AN640)=15,MID(AN640,3,10),""))</f>
        <v/>
      </c>
      <c r="AH640" s="27">
        <f>IF(AP640="","",AP640&amp;IF(D640="","  (guessed from PAN)",""))</f>
        <v/>
      </c>
      <c r="AI640" s="27">
        <f>IF(AN640="","",IFERROR(INDEX(Lists!$L$2:$L$38,MATCH(LEFT(AN640,2),Lists!$K$2:$K$38,0)),"Unknown code"))</f>
        <v/>
      </c>
      <c r="AJ640" s="27">
        <f>IF(AN640="","",IFERROR(IF(NOT(AND(LEN(AN640)=15,ISNUMBER(MATCH(LEFT(AN640,2),Lists!$K$2:$K$38,0)),SUMPRODUCT(--ISERROR(FIND(MID(MID(AN640,3,10),{1,2,3,4,5,10},1),"ABCDEFGHIJKLMNOPQRSTUVWXYZ")))=0,SUMPRODUCT(--ISERROR(FIND(MID(MID(AN640,3,10),{6,7,8,9},1),"0123456789")))=0,ISNUMBER(FIND(MID(AN640,13,1),"123456789ABCDEFGHIJKLMNOPQRSTUVWXYZ")),MID(AN640,14,1)="Z")),"Wrong format",IF(MID("0123456789ABCDEFGHIJKLMNOPQRSTUVWXYZ",MOD(36-MOD(SUMPRODUCT(INT((FIND(MID(AN640,{1,2,3,4,5,6,7,8,9,10,11,12,13,14},1),"0123456789ABCDEFGHIJKLMNOPQRSTUVWXYZ")-1)*{1,2,1,2,1,2,1,2,1,2,1,2,1,2}/36)+MOD((FIND(MID(AN640,{1,2,3,4,5,6,7,8,9,10,11,12,13,14},1),"0123456789ABCDEFGHIJKLMNOPQRSTUVWXYZ")-1)*{1,2,1,2,1,2,1,2,1,2,1,2,1,2},36)),36),36)+1,1)=MID(AN640,15,1),"OK","Typo? check digit wrong")),"Wrong format"))</f>
        <v/>
      </c>
      <c r="AK640" s="27">
        <f>IF(AO640="","",IF(AND(LEN(AO640)=10,SUMPRODUCT(--ISERROR(FIND(MID(AO640,{1,2,3,4,5,10},1),"ABCDEFGHIJKLMNOPQRSTUVWXYZ")))=0,SUMPRODUCT(--ISERROR(FIND(MID(AO640,{6,7,8,9},1),"0123456789")))=0),"OK","Wrong format"))</f>
        <v/>
      </c>
      <c r="AL640" s="27">
        <f>IF(TRIM(H640)="","",IF(AND(LEN(UPPER(TRIM(H640)))=10,SUMPRODUCT(--ISERROR(FIND(MID(UPPER(TRIM(H640)),{1,2,3,4,10},1),"ABCDEFGHIJKLMNOPQRSTUVWXYZ")))=0,SUMPRODUCT(--ISERROR(FIND(MID(UPPER(TRIM(H640)),{5,6,7,8,9},1),"0123456789")))=0),"OK","Wrong format"))</f>
        <v/>
      </c>
      <c r="AM640" s="28">
        <f>IF(NOT(COUNTA(A640:AE640)&gt;0),"",IF(AS640&lt;&gt;"","✖ "&amp;LEFT(AS640,LEN(AS640)-2),IF(AR640&gt;0,"✔ Ready — client + "&amp;AR640&amp;" service(s)","✔ Ready — client only")))</f>
        <v/>
      </c>
      <c r="AN640" s="29">
        <f>UPPER(SUBSTITUTE(TRIM(F640)," ",""))</f>
        <v/>
      </c>
      <c r="AO640" s="29">
        <f>UPPER(SUBSTITUTE(TRIM(E640)," ",""))</f>
        <v/>
      </c>
      <c r="AP640" s="29">
        <f>IF(D640&lt;&gt;"",D640,IFERROR(VLOOKUP(MID(AG640,4,1),Lists!$E$2:$F$8,2,FALSE),""))</f>
        <v/>
      </c>
      <c r="AQ640" s="29">
        <f>IFERROR(VLOOKUP(AP640,Lists!$A$2:$C$12,3,FALSE),"")</f>
        <v/>
      </c>
      <c r="AR640" s="29">
        <f>COUNTIF(W640:AC640,"Yes")</f>
        <v/>
      </c>
      <c r="AS640" s="29">
        <f>IF(TRIM(B640)="","Legal name missing; ","")&amp;IF(AND(AJ640&lt;&gt;"",AJ640&lt;&gt;"OK"),"GSTIN: "&amp;AJ640&amp;"; ","")&amp;IF(AND(AK640&lt;&gt;"",AK640&lt;&gt;"OK"),"PAN wrong format; ","")&amp;IF(AND(AO640&lt;&gt;"",LEN(AN640)=15,MID(AN640,3,10)&lt;&gt;AO640),"PAN does not match GSTIN; ","")&amp;IF(AND(AL640&lt;&gt;"",AL640&lt;&gt;"OK"),"TAN wrong format; ","")&amp;IF(AG640="","PAN missing; ","")&amp;IF(AP640="","Entity type missing; ","")&amp;IF(AND(AN640&lt;&gt;"",COUNTIF($AN$6:$AN$1005,AN640)&gt;1),"GSTIN repeated in this sheet; ","")&amp;IF(AND(AG640&lt;&gt;"",COUNTIF($AG$6:$AG$1005,AG640)&gt;1),"PAN repeated in this sheet (same client? put extra GSTINs in Other GSTINs); ","")&amp;IF(AND(AR640&gt;0,V640=""),"Financial year missing; ","")&amp;IF(AND(AR640=0,V640&lt;&gt;""),"Financial year given but no service is Yes; ","")&amp;IF(AND(W640="Yes",AN640=""),"GST needs a GSTIN; ","")&amp;IF(AND(W640="Yes",X640=""),"GST return frequency missing; ","")&amp;IF(AND(Y640="Yes",TRIM(H640)=""),"TDS needs a TAN; ","")&amp;IF(AND(AA640="Yes",AQ640&lt;&gt;"",AQ640&lt;&gt;"company",AQ640&lt;&gt;"llp"),"ROC is only for a company / LLP; ","")&amp;IF(AND(AA640="Yes",OR(AQ640="company",AQ640="llp"),TRIM(I640)=""),"ROC needs the CIN / LLPIN; ","")</f>
        <v/>
      </c>
    </row>
    <row r="641">
      <c r="A641" s="30" t="n"/>
      <c r="B641" s="31" t="n"/>
      <c r="C641" s="31" t="n"/>
      <c r="D641" s="31" t="n"/>
      <c r="E641" s="30" t="n"/>
      <c r="F641" s="30" t="n"/>
      <c r="G641" s="30" t="n"/>
      <c r="H641" s="30" t="n"/>
      <c r="I641" s="30" t="n"/>
      <c r="J641" s="32" t="n"/>
      <c r="K641" s="31" t="n"/>
      <c r="L641" s="30" t="n"/>
      <c r="M641" s="31" t="n"/>
      <c r="N641" s="31" t="n"/>
      <c r="O641" s="31" t="n"/>
      <c r="P641" s="30" t="n"/>
      <c r="Q641" s="31" t="n"/>
      <c r="R641" s="31" t="n"/>
      <c r="S641" s="31" t="n"/>
      <c r="T641" s="31" t="n"/>
      <c r="U641" s="30" t="n"/>
      <c r="V641" s="31" t="n"/>
      <c r="W641" s="31" t="n"/>
      <c r="X641" s="31" t="n"/>
      <c r="Y641" s="31" t="n"/>
      <c r="Z641" s="31" t="n"/>
      <c r="AA641" s="31" t="n"/>
      <c r="AB641" s="31" t="n"/>
      <c r="AC641" s="31" t="n"/>
      <c r="AD641" s="31" t="n"/>
      <c r="AE641" s="31" t="n"/>
      <c r="AF641" s="27">
        <f>IF(NOT(COUNTA(A641:AE641)&gt;0),"",IF(A641="","New client","Update"))</f>
        <v/>
      </c>
      <c r="AG641" s="27">
        <f>IF(AO641&lt;&gt;"",AO641,IF(LEN(AN641)=15,MID(AN641,3,10),""))</f>
        <v/>
      </c>
      <c r="AH641" s="27">
        <f>IF(AP641="","",AP641&amp;IF(D641="","  (guessed from PAN)",""))</f>
        <v/>
      </c>
      <c r="AI641" s="27">
        <f>IF(AN641="","",IFERROR(INDEX(Lists!$L$2:$L$38,MATCH(LEFT(AN641,2),Lists!$K$2:$K$38,0)),"Unknown code"))</f>
        <v/>
      </c>
      <c r="AJ641" s="27">
        <f>IF(AN641="","",IFERROR(IF(NOT(AND(LEN(AN641)=15,ISNUMBER(MATCH(LEFT(AN641,2),Lists!$K$2:$K$38,0)),SUMPRODUCT(--ISERROR(FIND(MID(MID(AN641,3,10),{1,2,3,4,5,10},1),"ABCDEFGHIJKLMNOPQRSTUVWXYZ")))=0,SUMPRODUCT(--ISERROR(FIND(MID(MID(AN641,3,10),{6,7,8,9},1),"0123456789")))=0,ISNUMBER(FIND(MID(AN641,13,1),"123456789ABCDEFGHIJKLMNOPQRSTUVWXYZ")),MID(AN641,14,1)="Z")),"Wrong format",IF(MID("0123456789ABCDEFGHIJKLMNOPQRSTUVWXYZ",MOD(36-MOD(SUMPRODUCT(INT((FIND(MID(AN641,{1,2,3,4,5,6,7,8,9,10,11,12,13,14},1),"0123456789ABCDEFGHIJKLMNOPQRSTUVWXYZ")-1)*{1,2,1,2,1,2,1,2,1,2,1,2,1,2}/36)+MOD((FIND(MID(AN641,{1,2,3,4,5,6,7,8,9,10,11,12,13,14},1),"0123456789ABCDEFGHIJKLMNOPQRSTUVWXYZ")-1)*{1,2,1,2,1,2,1,2,1,2,1,2,1,2},36)),36),36)+1,1)=MID(AN641,15,1),"OK","Typo? check digit wrong")),"Wrong format"))</f>
        <v/>
      </c>
      <c r="AK641" s="27">
        <f>IF(AO641="","",IF(AND(LEN(AO641)=10,SUMPRODUCT(--ISERROR(FIND(MID(AO641,{1,2,3,4,5,10},1),"ABCDEFGHIJKLMNOPQRSTUVWXYZ")))=0,SUMPRODUCT(--ISERROR(FIND(MID(AO641,{6,7,8,9},1),"0123456789")))=0),"OK","Wrong format"))</f>
        <v/>
      </c>
      <c r="AL641" s="27">
        <f>IF(TRIM(H641)="","",IF(AND(LEN(UPPER(TRIM(H641)))=10,SUMPRODUCT(--ISERROR(FIND(MID(UPPER(TRIM(H641)),{1,2,3,4,10},1),"ABCDEFGHIJKLMNOPQRSTUVWXYZ")))=0,SUMPRODUCT(--ISERROR(FIND(MID(UPPER(TRIM(H641)),{5,6,7,8,9},1),"0123456789")))=0),"OK","Wrong format"))</f>
        <v/>
      </c>
      <c r="AM641" s="28">
        <f>IF(NOT(COUNTA(A641:AE641)&gt;0),"",IF(AS641&lt;&gt;"","✖ "&amp;LEFT(AS641,LEN(AS641)-2),IF(AR641&gt;0,"✔ Ready — client + "&amp;AR641&amp;" service(s)","✔ Ready — client only")))</f>
        <v/>
      </c>
      <c r="AN641" s="29">
        <f>UPPER(SUBSTITUTE(TRIM(F641)," ",""))</f>
        <v/>
      </c>
      <c r="AO641" s="29">
        <f>UPPER(SUBSTITUTE(TRIM(E641)," ",""))</f>
        <v/>
      </c>
      <c r="AP641" s="29">
        <f>IF(D641&lt;&gt;"",D641,IFERROR(VLOOKUP(MID(AG641,4,1),Lists!$E$2:$F$8,2,FALSE),""))</f>
        <v/>
      </c>
      <c r="AQ641" s="29">
        <f>IFERROR(VLOOKUP(AP641,Lists!$A$2:$C$12,3,FALSE),"")</f>
        <v/>
      </c>
      <c r="AR641" s="29">
        <f>COUNTIF(W641:AC641,"Yes")</f>
        <v/>
      </c>
      <c r="AS641" s="29">
        <f>IF(TRIM(B641)="","Legal name missing; ","")&amp;IF(AND(AJ641&lt;&gt;"",AJ641&lt;&gt;"OK"),"GSTIN: "&amp;AJ641&amp;"; ","")&amp;IF(AND(AK641&lt;&gt;"",AK641&lt;&gt;"OK"),"PAN wrong format; ","")&amp;IF(AND(AO641&lt;&gt;"",LEN(AN641)=15,MID(AN641,3,10)&lt;&gt;AO641),"PAN does not match GSTIN; ","")&amp;IF(AND(AL641&lt;&gt;"",AL641&lt;&gt;"OK"),"TAN wrong format; ","")&amp;IF(AG641="","PAN missing; ","")&amp;IF(AP641="","Entity type missing; ","")&amp;IF(AND(AN641&lt;&gt;"",COUNTIF($AN$6:$AN$1005,AN641)&gt;1),"GSTIN repeated in this sheet; ","")&amp;IF(AND(AG641&lt;&gt;"",COUNTIF($AG$6:$AG$1005,AG641)&gt;1),"PAN repeated in this sheet (same client? put extra GSTINs in Other GSTINs); ","")&amp;IF(AND(AR641&gt;0,V641=""),"Financial year missing; ","")&amp;IF(AND(AR641=0,V641&lt;&gt;""),"Financial year given but no service is Yes; ","")&amp;IF(AND(W641="Yes",AN641=""),"GST needs a GSTIN; ","")&amp;IF(AND(W641="Yes",X641=""),"GST return frequency missing; ","")&amp;IF(AND(Y641="Yes",TRIM(H641)=""),"TDS needs a TAN; ","")&amp;IF(AND(AA641="Yes",AQ641&lt;&gt;"",AQ641&lt;&gt;"company",AQ641&lt;&gt;"llp"),"ROC is only for a company / LLP; ","")&amp;IF(AND(AA641="Yes",OR(AQ641="company",AQ641="llp"),TRIM(I641)=""),"ROC needs the CIN / LLPIN; ","")</f>
        <v/>
      </c>
    </row>
    <row r="642">
      <c r="A642" s="30" t="n"/>
      <c r="B642" s="31" t="n"/>
      <c r="C642" s="31" t="n"/>
      <c r="D642" s="31" t="n"/>
      <c r="E642" s="30" t="n"/>
      <c r="F642" s="30" t="n"/>
      <c r="G642" s="30" t="n"/>
      <c r="H642" s="30" t="n"/>
      <c r="I642" s="30" t="n"/>
      <c r="J642" s="32" t="n"/>
      <c r="K642" s="31" t="n"/>
      <c r="L642" s="30" t="n"/>
      <c r="M642" s="31" t="n"/>
      <c r="N642" s="31" t="n"/>
      <c r="O642" s="31" t="n"/>
      <c r="P642" s="30" t="n"/>
      <c r="Q642" s="31" t="n"/>
      <c r="R642" s="31" t="n"/>
      <c r="S642" s="31" t="n"/>
      <c r="T642" s="31" t="n"/>
      <c r="U642" s="30" t="n"/>
      <c r="V642" s="31" t="n"/>
      <c r="W642" s="31" t="n"/>
      <c r="X642" s="31" t="n"/>
      <c r="Y642" s="31" t="n"/>
      <c r="Z642" s="31" t="n"/>
      <c r="AA642" s="31" t="n"/>
      <c r="AB642" s="31" t="n"/>
      <c r="AC642" s="31" t="n"/>
      <c r="AD642" s="31" t="n"/>
      <c r="AE642" s="31" t="n"/>
      <c r="AF642" s="27">
        <f>IF(NOT(COUNTA(A642:AE642)&gt;0),"",IF(A642="","New client","Update"))</f>
        <v/>
      </c>
      <c r="AG642" s="27">
        <f>IF(AO642&lt;&gt;"",AO642,IF(LEN(AN642)=15,MID(AN642,3,10),""))</f>
        <v/>
      </c>
      <c r="AH642" s="27">
        <f>IF(AP642="","",AP642&amp;IF(D642="","  (guessed from PAN)",""))</f>
        <v/>
      </c>
      <c r="AI642" s="27">
        <f>IF(AN642="","",IFERROR(INDEX(Lists!$L$2:$L$38,MATCH(LEFT(AN642,2),Lists!$K$2:$K$38,0)),"Unknown code"))</f>
        <v/>
      </c>
      <c r="AJ642" s="27">
        <f>IF(AN642="","",IFERROR(IF(NOT(AND(LEN(AN642)=15,ISNUMBER(MATCH(LEFT(AN642,2),Lists!$K$2:$K$38,0)),SUMPRODUCT(--ISERROR(FIND(MID(MID(AN642,3,10),{1,2,3,4,5,10},1),"ABCDEFGHIJKLMNOPQRSTUVWXYZ")))=0,SUMPRODUCT(--ISERROR(FIND(MID(MID(AN642,3,10),{6,7,8,9},1),"0123456789")))=0,ISNUMBER(FIND(MID(AN642,13,1),"123456789ABCDEFGHIJKLMNOPQRSTUVWXYZ")),MID(AN642,14,1)="Z")),"Wrong format",IF(MID("0123456789ABCDEFGHIJKLMNOPQRSTUVWXYZ",MOD(36-MOD(SUMPRODUCT(INT((FIND(MID(AN642,{1,2,3,4,5,6,7,8,9,10,11,12,13,14},1),"0123456789ABCDEFGHIJKLMNOPQRSTUVWXYZ")-1)*{1,2,1,2,1,2,1,2,1,2,1,2,1,2}/36)+MOD((FIND(MID(AN642,{1,2,3,4,5,6,7,8,9,10,11,12,13,14},1),"0123456789ABCDEFGHIJKLMNOPQRSTUVWXYZ")-1)*{1,2,1,2,1,2,1,2,1,2,1,2,1,2},36)),36),36)+1,1)=MID(AN642,15,1),"OK","Typo? check digit wrong")),"Wrong format"))</f>
        <v/>
      </c>
      <c r="AK642" s="27">
        <f>IF(AO642="","",IF(AND(LEN(AO642)=10,SUMPRODUCT(--ISERROR(FIND(MID(AO642,{1,2,3,4,5,10},1),"ABCDEFGHIJKLMNOPQRSTUVWXYZ")))=0,SUMPRODUCT(--ISERROR(FIND(MID(AO642,{6,7,8,9},1),"0123456789")))=0),"OK","Wrong format"))</f>
        <v/>
      </c>
      <c r="AL642" s="27">
        <f>IF(TRIM(H642)="","",IF(AND(LEN(UPPER(TRIM(H642)))=10,SUMPRODUCT(--ISERROR(FIND(MID(UPPER(TRIM(H642)),{1,2,3,4,10},1),"ABCDEFGHIJKLMNOPQRSTUVWXYZ")))=0,SUMPRODUCT(--ISERROR(FIND(MID(UPPER(TRIM(H642)),{5,6,7,8,9},1),"0123456789")))=0),"OK","Wrong format"))</f>
        <v/>
      </c>
      <c r="AM642" s="28">
        <f>IF(NOT(COUNTA(A642:AE642)&gt;0),"",IF(AS642&lt;&gt;"","✖ "&amp;LEFT(AS642,LEN(AS642)-2),IF(AR642&gt;0,"✔ Ready — client + "&amp;AR642&amp;" service(s)","✔ Ready — client only")))</f>
        <v/>
      </c>
      <c r="AN642" s="29">
        <f>UPPER(SUBSTITUTE(TRIM(F642)," ",""))</f>
        <v/>
      </c>
      <c r="AO642" s="29">
        <f>UPPER(SUBSTITUTE(TRIM(E642)," ",""))</f>
        <v/>
      </c>
      <c r="AP642" s="29">
        <f>IF(D642&lt;&gt;"",D642,IFERROR(VLOOKUP(MID(AG642,4,1),Lists!$E$2:$F$8,2,FALSE),""))</f>
        <v/>
      </c>
      <c r="AQ642" s="29">
        <f>IFERROR(VLOOKUP(AP642,Lists!$A$2:$C$12,3,FALSE),"")</f>
        <v/>
      </c>
      <c r="AR642" s="29">
        <f>COUNTIF(W642:AC642,"Yes")</f>
        <v/>
      </c>
      <c r="AS642" s="29">
        <f>IF(TRIM(B642)="","Legal name missing; ","")&amp;IF(AND(AJ642&lt;&gt;"",AJ642&lt;&gt;"OK"),"GSTIN: "&amp;AJ642&amp;"; ","")&amp;IF(AND(AK642&lt;&gt;"",AK642&lt;&gt;"OK"),"PAN wrong format; ","")&amp;IF(AND(AO642&lt;&gt;"",LEN(AN642)=15,MID(AN642,3,10)&lt;&gt;AO642),"PAN does not match GSTIN; ","")&amp;IF(AND(AL642&lt;&gt;"",AL642&lt;&gt;"OK"),"TAN wrong format; ","")&amp;IF(AG642="","PAN missing; ","")&amp;IF(AP642="","Entity type missing; ","")&amp;IF(AND(AN642&lt;&gt;"",COUNTIF($AN$6:$AN$1005,AN642)&gt;1),"GSTIN repeated in this sheet; ","")&amp;IF(AND(AG642&lt;&gt;"",COUNTIF($AG$6:$AG$1005,AG642)&gt;1),"PAN repeated in this sheet (same client? put extra GSTINs in Other GSTINs); ","")&amp;IF(AND(AR642&gt;0,V642=""),"Financial year missing; ","")&amp;IF(AND(AR642=0,V642&lt;&gt;""),"Financial year given but no service is Yes; ","")&amp;IF(AND(W642="Yes",AN642=""),"GST needs a GSTIN; ","")&amp;IF(AND(W642="Yes",X642=""),"GST return frequency missing; ","")&amp;IF(AND(Y642="Yes",TRIM(H642)=""),"TDS needs a TAN; ","")&amp;IF(AND(AA642="Yes",AQ642&lt;&gt;"",AQ642&lt;&gt;"company",AQ642&lt;&gt;"llp"),"ROC is only for a company / LLP; ","")&amp;IF(AND(AA642="Yes",OR(AQ642="company",AQ642="llp"),TRIM(I642)=""),"ROC needs the CIN / LLPIN; ","")</f>
        <v/>
      </c>
    </row>
    <row r="643">
      <c r="A643" s="30" t="n"/>
      <c r="B643" s="31" t="n"/>
      <c r="C643" s="31" t="n"/>
      <c r="D643" s="31" t="n"/>
      <c r="E643" s="30" t="n"/>
      <c r="F643" s="30" t="n"/>
      <c r="G643" s="30" t="n"/>
      <c r="H643" s="30" t="n"/>
      <c r="I643" s="30" t="n"/>
      <c r="J643" s="32" t="n"/>
      <c r="K643" s="31" t="n"/>
      <c r="L643" s="30" t="n"/>
      <c r="M643" s="31" t="n"/>
      <c r="N643" s="31" t="n"/>
      <c r="O643" s="31" t="n"/>
      <c r="P643" s="30" t="n"/>
      <c r="Q643" s="31" t="n"/>
      <c r="R643" s="31" t="n"/>
      <c r="S643" s="31" t="n"/>
      <c r="T643" s="31" t="n"/>
      <c r="U643" s="30" t="n"/>
      <c r="V643" s="31" t="n"/>
      <c r="W643" s="31" t="n"/>
      <c r="X643" s="31" t="n"/>
      <c r="Y643" s="31" t="n"/>
      <c r="Z643" s="31" t="n"/>
      <c r="AA643" s="31" t="n"/>
      <c r="AB643" s="31" t="n"/>
      <c r="AC643" s="31" t="n"/>
      <c r="AD643" s="31" t="n"/>
      <c r="AE643" s="31" t="n"/>
      <c r="AF643" s="27">
        <f>IF(NOT(COUNTA(A643:AE643)&gt;0),"",IF(A643="","New client","Update"))</f>
        <v/>
      </c>
      <c r="AG643" s="27">
        <f>IF(AO643&lt;&gt;"",AO643,IF(LEN(AN643)=15,MID(AN643,3,10),""))</f>
        <v/>
      </c>
      <c r="AH643" s="27">
        <f>IF(AP643="","",AP643&amp;IF(D643="","  (guessed from PAN)",""))</f>
        <v/>
      </c>
      <c r="AI643" s="27">
        <f>IF(AN643="","",IFERROR(INDEX(Lists!$L$2:$L$38,MATCH(LEFT(AN643,2),Lists!$K$2:$K$38,0)),"Unknown code"))</f>
        <v/>
      </c>
      <c r="AJ643" s="27">
        <f>IF(AN643="","",IFERROR(IF(NOT(AND(LEN(AN643)=15,ISNUMBER(MATCH(LEFT(AN643,2),Lists!$K$2:$K$38,0)),SUMPRODUCT(--ISERROR(FIND(MID(MID(AN643,3,10),{1,2,3,4,5,10},1),"ABCDEFGHIJKLMNOPQRSTUVWXYZ")))=0,SUMPRODUCT(--ISERROR(FIND(MID(MID(AN643,3,10),{6,7,8,9},1),"0123456789")))=0,ISNUMBER(FIND(MID(AN643,13,1),"123456789ABCDEFGHIJKLMNOPQRSTUVWXYZ")),MID(AN643,14,1)="Z")),"Wrong format",IF(MID("0123456789ABCDEFGHIJKLMNOPQRSTUVWXYZ",MOD(36-MOD(SUMPRODUCT(INT((FIND(MID(AN643,{1,2,3,4,5,6,7,8,9,10,11,12,13,14},1),"0123456789ABCDEFGHIJKLMNOPQRSTUVWXYZ")-1)*{1,2,1,2,1,2,1,2,1,2,1,2,1,2}/36)+MOD((FIND(MID(AN643,{1,2,3,4,5,6,7,8,9,10,11,12,13,14},1),"0123456789ABCDEFGHIJKLMNOPQRSTUVWXYZ")-1)*{1,2,1,2,1,2,1,2,1,2,1,2,1,2},36)),36),36)+1,1)=MID(AN643,15,1),"OK","Typo? check digit wrong")),"Wrong format"))</f>
        <v/>
      </c>
      <c r="AK643" s="27">
        <f>IF(AO643="","",IF(AND(LEN(AO643)=10,SUMPRODUCT(--ISERROR(FIND(MID(AO643,{1,2,3,4,5,10},1),"ABCDEFGHIJKLMNOPQRSTUVWXYZ")))=0,SUMPRODUCT(--ISERROR(FIND(MID(AO643,{6,7,8,9},1),"0123456789")))=0),"OK","Wrong format"))</f>
        <v/>
      </c>
      <c r="AL643" s="27">
        <f>IF(TRIM(H643)="","",IF(AND(LEN(UPPER(TRIM(H643)))=10,SUMPRODUCT(--ISERROR(FIND(MID(UPPER(TRIM(H643)),{1,2,3,4,10},1),"ABCDEFGHIJKLMNOPQRSTUVWXYZ")))=0,SUMPRODUCT(--ISERROR(FIND(MID(UPPER(TRIM(H643)),{5,6,7,8,9},1),"0123456789")))=0),"OK","Wrong format"))</f>
        <v/>
      </c>
      <c r="AM643" s="28">
        <f>IF(NOT(COUNTA(A643:AE643)&gt;0),"",IF(AS643&lt;&gt;"","✖ "&amp;LEFT(AS643,LEN(AS643)-2),IF(AR643&gt;0,"✔ Ready — client + "&amp;AR643&amp;" service(s)","✔ Ready — client only")))</f>
        <v/>
      </c>
      <c r="AN643" s="29">
        <f>UPPER(SUBSTITUTE(TRIM(F643)," ",""))</f>
        <v/>
      </c>
      <c r="AO643" s="29">
        <f>UPPER(SUBSTITUTE(TRIM(E643)," ",""))</f>
        <v/>
      </c>
      <c r="AP643" s="29">
        <f>IF(D643&lt;&gt;"",D643,IFERROR(VLOOKUP(MID(AG643,4,1),Lists!$E$2:$F$8,2,FALSE),""))</f>
        <v/>
      </c>
      <c r="AQ643" s="29">
        <f>IFERROR(VLOOKUP(AP643,Lists!$A$2:$C$12,3,FALSE),"")</f>
        <v/>
      </c>
      <c r="AR643" s="29">
        <f>COUNTIF(W643:AC643,"Yes")</f>
        <v/>
      </c>
      <c r="AS643" s="29">
        <f>IF(TRIM(B643)="","Legal name missing; ","")&amp;IF(AND(AJ643&lt;&gt;"",AJ643&lt;&gt;"OK"),"GSTIN: "&amp;AJ643&amp;"; ","")&amp;IF(AND(AK643&lt;&gt;"",AK643&lt;&gt;"OK"),"PAN wrong format; ","")&amp;IF(AND(AO643&lt;&gt;"",LEN(AN643)=15,MID(AN643,3,10)&lt;&gt;AO643),"PAN does not match GSTIN; ","")&amp;IF(AND(AL643&lt;&gt;"",AL643&lt;&gt;"OK"),"TAN wrong format; ","")&amp;IF(AG643="","PAN missing; ","")&amp;IF(AP643="","Entity type missing; ","")&amp;IF(AND(AN643&lt;&gt;"",COUNTIF($AN$6:$AN$1005,AN643)&gt;1),"GSTIN repeated in this sheet; ","")&amp;IF(AND(AG643&lt;&gt;"",COUNTIF($AG$6:$AG$1005,AG643)&gt;1),"PAN repeated in this sheet (same client? put extra GSTINs in Other GSTINs); ","")&amp;IF(AND(AR643&gt;0,V643=""),"Financial year missing; ","")&amp;IF(AND(AR643=0,V643&lt;&gt;""),"Financial year given but no service is Yes; ","")&amp;IF(AND(W643="Yes",AN643=""),"GST needs a GSTIN; ","")&amp;IF(AND(W643="Yes",X643=""),"GST return frequency missing; ","")&amp;IF(AND(Y643="Yes",TRIM(H643)=""),"TDS needs a TAN; ","")&amp;IF(AND(AA643="Yes",AQ643&lt;&gt;"",AQ643&lt;&gt;"company",AQ643&lt;&gt;"llp"),"ROC is only for a company / LLP; ","")&amp;IF(AND(AA643="Yes",OR(AQ643="company",AQ643="llp"),TRIM(I643)=""),"ROC needs the CIN / LLPIN; ","")</f>
        <v/>
      </c>
    </row>
    <row r="644">
      <c r="A644" s="30" t="n"/>
      <c r="B644" s="31" t="n"/>
      <c r="C644" s="31" t="n"/>
      <c r="D644" s="31" t="n"/>
      <c r="E644" s="30" t="n"/>
      <c r="F644" s="30" t="n"/>
      <c r="G644" s="30" t="n"/>
      <c r="H644" s="30" t="n"/>
      <c r="I644" s="30" t="n"/>
      <c r="J644" s="32" t="n"/>
      <c r="K644" s="31" t="n"/>
      <c r="L644" s="30" t="n"/>
      <c r="M644" s="31" t="n"/>
      <c r="N644" s="31" t="n"/>
      <c r="O644" s="31" t="n"/>
      <c r="P644" s="30" t="n"/>
      <c r="Q644" s="31" t="n"/>
      <c r="R644" s="31" t="n"/>
      <c r="S644" s="31" t="n"/>
      <c r="T644" s="31" t="n"/>
      <c r="U644" s="30" t="n"/>
      <c r="V644" s="31" t="n"/>
      <c r="W644" s="31" t="n"/>
      <c r="X644" s="31" t="n"/>
      <c r="Y644" s="31" t="n"/>
      <c r="Z644" s="31" t="n"/>
      <c r="AA644" s="31" t="n"/>
      <c r="AB644" s="31" t="n"/>
      <c r="AC644" s="31" t="n"/>
      <c r="AD644" s="31" t="n"/>
      <c r="AE644" s="31" t="n"/>
      <c r="AF644" s="27">
        <f>IF(NOT(COUNTA(A644:AE644)&gt;0),"",IF(A644="","New client","Update"))</f>
        <v/>
      </c>
      <c r="AG644" s="27">
        <f>IF(AO644&lt;&gt;"",AO644,IF(LEN(AN644)=15,MID(AN644,3,10),""))</f>
        <v/>
      </c>
      <c r="AH644" s="27">
        <f>IF(AP644="","",AP644&amp;IF(D644="","  (guessed from PAN)",""))</f>
        <v/>
      </c>
      <c r="AI644" s="27">
        <f>IF(AN644="","",IFERROR(INDEX(Lists!$L$2:$L$38,MATCH(LEFT(AN644,2),Lists!$K$2:$K$38,0)),"Unknown code"))</f>
        <v/>
      </c>
      <c r="AJ644" s="27">
        <f>IF(AN644="","",IFERROR(IF(NOT(AND(LEN(AN644)=15,ISNUMBER(MATCH(LEFT(AN644,2),Lists!$K$2:$K$38,0)),SUMPRODUCT(--ISERROR(FIND(MID(MID(AN644,3,10),{1,2,3,4,5,10},1),"ABCDEFGHIJKLMNOPQRSTUVWXYZ")))=0,SUMPRODUCT(--ISERROR(FIND(MID(MID(AN644,3,10),{6,7,8,9},1),"0123456789")))=0,ISNUMBER(FIND(MID(AN644,13,1),"123456789ABCDEFGHIJKLMNOPQRSTUVWXYZ")),MID(AN644,14,1)="Z")),"Wrong format",IF(MID("0123456789ABCDEFGHIJKLMNOPQRSTUVWXYZ",MOD(36-MOD(SUMPRODUCT(INT((FIND(MID(AN644,{1,2,3,4,5,6,7,8,9,10,11,12,13,14},1),"0123456789ABCDEFGHIJKLMNOPQRSTUVWXYZ")-1)*{1,2,1,2,1,2,1,2,1,2,1,2,1,2}/36)+MOD((FIND(MID(AN644,{1,2,3,4,5,6,7,8,9,10,11,12,13,14},1),"0123456789ABCDEFGHIJKLMNOPQRSTUVWXYZ")-1)*{1,2,1,2,1,2,1,2,1,2,1,2,1,2},36)),36),36)+1,1)=MID(AN644,15,1),"OK","Typo? check digit wrong")),"Wrong format"))</f>
        <v/>
      </c>
      <c r="AK644" s="27">
        <f>IF(AO644="","",IF(AND(LEN(AO644)=10,SUMPRODUCT(--ISERROR(FIND(MID(AO644,{1,2,3,4,5,10},1),"ABCDEFGHIJKLMNOPQRSTUVWXYZ")))=0,SUMPRODUCT(--ISERROR(FIND(MID(AO644,{6,7,8,9},1),"0123456789")))=0),"OK","Wrong format"))</f>
        <v/>
      </c>
      <c r="AL644" s="27">
        <f>IF(TRIM(H644)="","",IF(AND(LEN(UPPER(TRIM(H644)))=10,SUMPRODUCT(--ISERROR(FIND(MID(UPPER(TRIM(H644)),{1,2,3,4,10},1),"ABCDEFGHIJKLMNOPQRSTUVWXYZ")))=0,SUMPRODUCT(--ISERROR(FIND(MID(UPPER(TRIM(H644)),{5,6,7,8,9},1),"0123456789")))=0),"OK","Wrong format"))</f>
        <v/>
      </c>
      <c r="AM644" s="28">
        <f>IF(NOT(COUNTA(A644:AE644)&gt;0),"",IF(AS644&lt;&gt;"","✖ "&amp;LEFT(AS644,LEN(AS644)-2),IF(AR644&gt;0,"✔ Ready — client + "&amp;AR644&amp;" service(s)","✔ Ready — client only")))</f>
        <v/>
      </c>
      <c r="AN644" s="29">
        <f>UPPER(SUBSTITUTE(TRIM(F644)," ",""))</f>
        <v/>
      </c>
      <c r="AO644" s="29">
        <f>UPPER(SUBSTITUTE(TRIM(E644)," ",""))</f>
        <v/>
      </c>
      <c r="AP644" s="29">
        <f>IF(D644&lt;&gt;"",D644,IFERROR(VLOOKUP(MID(AG644,4,1),Lists!$E$2:$F$8,2,FALSE),""))</f>
        <v/>
      </c>
      <c r="AQ644" s="29">
        <f>IFERROR(VLOOKUP(AP644,Lists!$A$2:$C$12,3,FALSE),"")</f>
        <v/>
      </c>
      <c r="AR644" s="29">
        <f>COUNTIF(W644:AC644,"Yes")</f>
        <v/>
      </c>
      <c r="AS644" s="29">
        <f>IF(TRIM(B644)="","Legal name missing; ","")&amp;IF(AND(AJ644&lt;&gt;"",AJ644&lt;&gt;"OK"),"GSTIN: "&amp;AJ644&amp;"; ","")&amp;IF(AND(AK644&lt;&gt;"",AK644&lt;&gt;"OK"),"PAN wrong format; ","")&amp;IF(AND(AO644&lt;&gt;"",LEN(AN644)=15,MID(AN644,3,10)&lt;&gt;AO644),"PAN does not match GSTIN; ","")&amp;IF(AND(AL644&lt;&gt;"",AL644&lt;&gt;"OK"),"TAN wrong format; ","")&amp;IF(AG644="","PAN missing; ","")&amp;IF(AP644="","Entity type missing; ","")&amp;IF(AND(AN644&lt;&gt;"",COUNTIF($AN$6:$AN$1005,AN644)&gt;1),"GSTIN repeated in this sheet; ","")&amp;IF(AND(AG644&lt;&gt;"",COUNTIF($AG$6:$AG$1005,AG644)&gt;1),"PAN repeated in this sheet (same client? put extra GSTINs in Other GSTINs); ","")&amp;IF(AND(AR644&gt;0,V644=""),"Financial year missing; ","")&amp;IF(AND(AR644=0,V644&lt;&gt;""),"Financial year given but no service is Yes; ","")&amp;IF(AND(W644="Yes",AN644=""),"GST needs a GSTIN; ","")&amp;IF(AND(W644="Yes",X644=""),"GST return frequency missing; ","")&amp;IF(AND(Y644="Yes",TRIM(H644)=""),"TDS needs a TAN; ","")&amp;IF(AND(AA644="Yes",AQ644&lt;&gt;"",AQ644&lt;&gt;"company",AQ644&lt;&gt;"llp"),"ROC is only for a company / LLP; ","")&amp;IF(AND(AA644="Yes",OR(AQ644="company",AQ644="llp"),TRIM(I644)=""),"ROC needs the CIN / LLPIN; ","")</f>
        <v/>
      </c>
    </row>
    <row r="645">
      <c r="A645" s="30" t="n"/>
      <c r="B645" s="31" t="n"/>
      <c r="C645" s="31" t="n"/>
      <c r="D645" s="31" t="n"/>
      <c r="E645" s="30" t="n"/>
      <c r="F645" s="30" t="n"/>
      <c r="G645" s="30" t="n"/>
      <c r="H645" s="30" t="n"/>
      <c r="I645" s="30" t="n"/>
      <c r="J645" s="32" t="n"/>
      <c r="K645" s="31" t="n"/>
      <c r="L645" s="30" t="n"/>
      <c r="M645" s="31" t="n"/>
      <c r="N645" s="31" t="n"/>
      <c r="O645" s="31" t="n"/>
      <c r="P645" s="30" t="n"/>
      <c r="Q645" s="31" t="n"/>
      <c r="R645" s="31" t="n"/>
      <c r="S645" s="31" t="n"/>
      <c r="T645" s="31" t="n"/>
      <c r="U645" s="30" t="n"/>
      <c r="V645" s="31" t="n"/>
      <c r="W645" s="31" t="n"/>
      <c r="X645" s="31" t="n"/>
      <c r="Y645" s="31" t="n"/>
      <c r="Z645" s="31" t="n"/>
      <c r="AA645" s="31" t="n"/>
      <c r="AB645" s="31" t="n"/>
      <c r="AC645" s="31" t="n"/>
      <c r="AD645" s="31" t="n"/>
      <c r="AE645" s="31" t="n"/>
      <c r="AF645" s="27">
        <f>IF(NOT(COUNTA(A645:AE645)&gt;0),"",IF(A645="","New client","Update"))</f>
        <v/>
      </c>
      <c r="AG645" s="27">
        <f>IF(AO645&lt;&gt;"",AO645,IF(LEN(AN645)=15,MID(AN645,3,10),""))</f>
        <v/>
      </c>
      <c r="AH645" s="27">
        <f>IF(AP645="","",AP645&amp;IF(D645="","  (guessed from PAN)",""))</f>
        <v/>
      </c>
      <c r="AI645" s="27">
        <f>IF(AN645="","",IFERROR(INDEX(Lists!$L$2:$L$38,MATCH(LEFT(AN645,2),Lists!$K$2:$K$38,0)),"Unknown code"))</f>
        <v/>
      </c>
      <c r="AJ645" s="27">
        <f>IF(AN645="","",IFERROR(IF(NOT(AND(LEN(AN645)=15,ISNUMBER(MATCH(LEFT(AN645,2),Lists!$K$2:$K$38,0)),SUMPRODUCT(--ISERROR(FIND(MID(MID(AN645,3,10),{1,2,3,4,5,10},1),"ABCDEFGHIJKLMNOPQRSTUVWXYZ")))=0,SUMPRODUCT(--ISERROR(FIND(MID(MID(AN645,3,10),{6,7,8,9},1),"0123456789")))=0,ISNUMBER(FIND(MID(AN645,13,1),"123456789ABCDEFGHIJKLMNOPQRSTUVWXYZ")),MID(AN645,14,1)="Z")),"Wrong format",IF(MID("0123456789ABCDEFGHIJKLMNOPQRSTUVWXYZ",MOD(36-MOD(SUMPRODUCT(INT((FIND(MID(AN645,{1,2,3,4,5,6,7,8,9,10,11,12,13,14},1),"0123456789ABCDEFGHIJKLMNOPQRSTUVWXYZ")-1)*{1,2,1,2,1,2,1,2,1,2,1,2,1,2}/36)+MOD((FIND(MID(AN645,{1,2,3,4,5,6,7,8,9,10,11,12,13,14},1),"0123456789ABCDEFGHIJKLMNOPQRSTUVWXYZ")-1)*{1,2,1,2,1,2,1,2,1,2,1,2,1,2},36)),36),36)+1,1)=MID(AN645,15,1),"OK","Typo? check digit wrong")),"Wrong format"))</f>
        <v/>
      </c>
      <c r="AK645" s="27">
        <f>IF(AO645="","",IF(AND(LEN(AO645)=10,SUMPRODUCT(--ISERROR(FIND(MID(AO645,{1,2,3,4,5,10},1),"ABCDEFGHIJKLMNOPQRSTUVWXYZ")))=0,SUMPRODUCT(--ISERROR(FIND(MID(AO645,{6,7,8,9},1),"0123456789")))=0),"OK","Wrong format"))</f>
        <v/>
      </c>
      <c r="AL645" s="27">
        <f>IF(TRIM(H645)="","",IF(AND(LEN(UPPER(TRIM(H645)))=10,SUMPRODUCT(--ISERROR(FIND(MID(UPPER(TRIM(H645)),{1,2,3,4,10},1),"ABCDEFGHIJKLMNOPQRSTUVWXYZ")))=0,SUMPRODUCT(--ISERROR(FIND(MID(UPPER(TRIM(H645)),{5,6,7,8,9},1),"0123456789")))=0),"OK","Wrong format"))</f>
        <v/>
      </c>
      <c r="AM645" s="28">
        <f>IF(NOT(COUNTA(A645:AE645)&gt;0),"",IF(AS645&lt;&gt;"","✖ "&amp;LEFT(AS645,LEN(AS645)-2),IF(AR645&gt;0,"✔ Ready — client + "&amp;AR645&amp;" service(s)","✔ Ready — client only")))</f>
        <v/>
      </c>
      <c r="AN645" s="29">
        <f>UPPER(SUBSTITUTE(TRIM(F645)," ",""))</f>
        <v/>
      </c>
      <c r="AO645" s="29">
        <f>UPPER(SUBSTITUTE(TRIM(E645)," ",""))</f>
        <v/>
      </c>
      <c r="AP645" s="29">
        <f>IF(D645&lt;&gt;"",D645,IFERROR(VLOOKUP(MID(AG645,4,1),Lists!$E$2:$F$8,2,FALSE),""))</f>
        <v/>
      </c>
      <c r="AQ645" s="29">
        <f>IFERROR(VLOOKUP(AP645,Lists!$A$2:$C$12,3,FALSE),"")</f>
        <v/>
      </c>
      <c r="AR645" s="29">
        <f>COUNTIF(W645:AC645,"Yes")</f>
        <v/>
      </c>
      <c r="AS645" s="29">
        <f>IF(TRIM(B645)="","Legal name missing; ","")&amp;IF(AND(AJ645&lt;&gt;"",AJ645&lt;&gt;"OK"),"GSTIN: "&amp;AJ645&amp;"; ","")&amp;IF(AND(AK645&lt;&gt;"",AK645&lt;&gt;"OK"),"PAN wrong format; ","")&amp;IF(AND(AO645&lt;&gt;"",LEN(AN645)=15,MID(AN645,3,10)&lt;&gt;AO645),"PAN does not match GSTIN; ","")&amp;IF(AND(AL645&lt;&gt;"",AL645&lt;&gt;"OK"),"TAN wrong format; ","")&amp;IF(AG645="","PAN missing; ","")&amp;IF(AP645="","Entity type missing; ","")&amp;IF(AND(AN645&lt;&gt;"",COUNTIF($AN$6:$AN$1005,AN645)&gt;1),"GSTIN repeated in this sheet; ","")&amp;IF(AND(AG645&lt;&gt;"",COUNTIF($AG$6:$AG$1005,AG645)&gt;1),"PAN repeated in this sheet (same client? put extra GSTINs in Other GSTINs); ","")&amp;IF(AND(AR645&gt;0,V645=""),"Financial year missing; ","")&amp;IF(AND(AR645=0,V645&lt;&gt;""),"Financial year given but no service is Yes; ","")&amp;IF(AND(W645="Yes",AN645=""),"GST needs a GSTIN; ","")&amp;IF(AND(W645="Yes",X645=""),"GST return frequency missing; ","")&amp;IF(AND(Y645="Yes",TRIM(H645)=""),"TDS needs a TAN; ","")&amp;IF(AND(AA645="Yes",AQ645&lt;&gt;"",AQ645&lt;&gt;"company",AQ645&lt;&gt;"llp"),"ROC is only for a company / LLP; ","")&amp;IF(AND(AA645="Yes",OR(AQ645="company",AQ645="llp"),TRIM(I645)=""),"ROC needs the CIN / LLPIN; ","")</f>
        <v/>
      </c>
    </row>
    <row r="646">
      <c r="A646" s="30" t="n"/>
      <c r="B646" s="31" t="n"/>
      <c r="C646" s="31" t="n"/>
      <c r="D646" s="31" t="n"/>
      <c r="E646" s="30" t="n"/>
      <c r="F646" s="30" t="n"/>
      <c r="G646" s="30" t="n"/>
      <c r="H646" s="30" t="n"/>
      <c r="I646" s="30" t="n"/>
      <c r="J646" s="32" t="n"/>
      <c r="K646" s="31" t="n"/>
      <c r="L646" s="30" t="n"/>
      <c r="M646" s="31" t="n"/>
      <c r="N646" s="31" t="n"/>
      <c r="O646" s="31" t="n"/>
      <c r="P646" s="30" t="n"/>
      <c r="Q646" s="31" t="n"/>
      <c r="R646" s="31" t="n"/>
      <c r="S646" s="31" t="n"/>
      <c r="T646" s="31" t="n"/>
      <c r="U646" s="30" t="n"/>
      <c r="V646" s="31" t="n"/>
      <c r="W646" s="31" t="n"/>
      <c r="X646" s="31" t="n"/>
      <c r="Y646" s="31" t="n"/>
      <c r="Z646" s="31" t="n"/>
      <c r="AA646" s="31" t="n"/>
      <c r="AB646" s="31" t="n"/>
      <c r="AC646" s="31" t="n"/>
      <c r="AD646" s="31" t="n"/>
      <c r="AE646" s="31" t="n"/>
      <c r="AF646" s="27">
        <f>IF(NOT(COUNTA(A646:AE646)&gt;0),"",IF(A646="","New client","Update"))</f>
        <v/>
      </c>
      <c r="AG646" s="27">
        <f>IF(AO646&lt;&gt;"",AO646,IF(LEN(AN646)=15,MID(AN646,3,10),""))</f>
        <v/>
      </c>
      <c r="AH646" s="27">
        <f>IF(AP646="","",AP646&amp;IF(D646="","  (guessed from PAN)",""))</f>
        <v/>
      </c>
      <c r="AI646" s="27">
        <f>IF(AN646="","",IFERROR(INDEX(Lists!$L$2:$L$38,MATCH(LEFT(AN646,2),Lists!$K$2:$K$38,0)),"Unknown code"))</f>
        <v/>
      </c>
      <c r="AJ646" s="27">
        <f>IF(AN646="","",IFERROR(IF(NOT(AND(LEN(AN646)=15,ISNUMBER(MATCH(LEFT(AN646,2),Lists!$K$2:$K$38,0)),SUMPRODUCT(--ISERROR(FIND(MID(MID(AN646,3,10),{1,2,3,4,5,10},1),"ABCDEFGHIJKLMNOPQRSTUVWXYZ")))=0,SUMPRODUCT(--ISERROR(FIND(MID(MID(AN646,3,10),{6,7,8,9},1),"0123456789")))=0,ISNUMBER(FIND(MID(AN646,13,1),"123456789ABCDEFGHIJKLMNOPQRSTUVWXYZ")),MID(AN646,14,1)="Z")),"Wrong format",IF(MID("0123456789ABCDEFGHIJKLMNOPQRSTUVWXYZ",MOD(36-MOD(SUMPRODUCT(INT((FIND(MID(AN646,{1,2,3,4,5,6,7,8,9,10,11,12,13,14},1),"0123456789ABCDEFGHIJKLMNOPQRSTUVWXYZ")-1)*{1,2,1,2,1,2,1,2,1,2,1,2,1,2}/36)+MOD((FIND(MID(AN646,{1,2,3,4,5,6,7,8,9,10,11,12,13,14},1),"0123456789ABCDEFGHIJKLMNOPQRSTUVWXYZ")-1)*{1,2,1,2,1,2,1,2,1,2,1,2,1,2},36)),36),36)+1,1)=MID(AN646,15,1),"OK","Typo? check digit wrong")),"Wrong format"))</f>
        <v/>
      </c>
      <c r="AK646" s="27">
        <f>IF(AO646="","",IF(AND(LEN(AO646)=10,SUMPRODUCT(--ISERROR(FIND(MID(AO646,{1,2,3,4,5,10},1),"ABCDEFGHIJKLMNOPQRSTUVWXYZ")))=0,SUMPRODUCT(--ISERROR(FIND(MID(AO646,{6,7,8,9},1),"0123456789")))=0),"OK","Wrong format"))</f>
        <v/>
      </c>
      <c r="AL646" s="27">
        <f>IF(TRIM(H646)="","",IF(AND(LEN(UPPER(TRIM(H646)))=10,SUMPRODUCT(--ISERROR(FIND(MID(UPPER(TRIM(H646)),{1,2,3,4,10},1),"ABCDEFGHIJKLMNOPQRSTUVWXYZ")))=0,SUMPRODUCT(--ISERROR(FIND(MID(UPPER(TRIM(H646)),{5,6,7,8,9},1),"0123456789")))=0),"OK","Wrong format"))</f>
        <v/>
      </c>
      <c r="AM646" s="28">
        <f>IF(NOT(COUNTA(A646:AE646)&gt;0),"",IF(AS646&lt;&gt;"","✖ "&amp;LEFT(AS646,LEN(AS646)-2),IF(AR646&gt;0,"✔ Ready — client + "&amp;AR646&amp;" service(s)","✔ Ready — client only")))</f>
        <v/>
      </c>
      <c r="AN646" s="29">
        <f>UPPER(SUBSTITUTE(TRIM(F646)," ",""))</f>
        <v/>
      </c>
      <c r="AO646" s="29">
        <f>UPPER(SUBSTITUTE(TRIM(E646)," ",""))</f>
        <v/>
      </c>
      <c r="AP646" s="29">
        <f>IF(D646&lt;&gt;"",D646,IFERROR(VLOOKUP(MID(AG646,4,1),Lists!$E$2:$F$8,2,FALSE),""))</f>
        <v/>
      </c>
      <c r="AQ646" s="29">
        <f>IFERROR(VLOOKUP(AP646,Lists!$A$2:$C$12,3,FALSE),"")</f>
        <v/>
      </c>
      <c r="AR646" s="29">
        <f>COUNTIF(W646:AC646,"Yes")</f>
        <v/>
      </c>
      <c r="AS646" s="29">
        <f>IF(TRIM(B646)="","Legal name missing; ","")&amp;IF(AND(AJ646&lt;&gt;"",AJ646&lt;&gt;"OK"),"GSTIN: "&amp;AJ646&amp;"; ","")&amp;IF(AND(AK646&lt;&gt;"",AK646&lt;&gt;"OK"),"PAN wrong format; ","")&amp;IF(AND(AO646&lt;&gt;"",LEN(AN646)=15,MID(AN646,3,10)&lt;&gt;AO646),"PAN does not match GSTIN; ","")&amp;IF(AND(AL646&lt;&gt;"",AL646&lt;&gt;"OK"),"TAN wrong format; ","")&amp;IF(AG646="","PAN missing; ","")&amp;IF(AP646="","Entity type missing; ","")&amp;IF(AND(AN646&lt;&gt;"",COUNTIF($AN$6:$AN$1005,AN646)&gt;1),"GSTIN repeated in this sheet; ","")&amp;IF(AND(AG646&lt;&gt;"",COUNTIF($AG$6:$AG$1005,AG646)&gt;1),"PAN repeated in this sheet (same client? put extra GSTINs in Other GSTINs); ","")&amp;IF(AND(AR646&gt;0,V646=""),"Financial year missing; ","")&amp;IF(AND(AR646=0,V646&lt;&gt;""),"Financial year given but no service is Yes; ","")&amp;IF(AND(W646="Yes",AN646=""),"GST needs a GSTIN; ","")&amp;IF(AND(W646="Yes",X646=""),"GST return frequency missing; ","")&amp;IF(AND(Y646="Yes",TRIM(H646)=""),"TDS needs a TAN; ","")&amp;IF(AND(AA646="Yes",AQ646&lt;&gt;"",AQ646&lt;&gt;"company",AQ646&lt;&gt;"llp"),"ROC is only for a company / LLP; ","")&amp;IF(AND(AA646="Yes",OR(AQ646="company",AQ646="llp"),TRIM(I646)=""),"ROC needs the CIN / LLPIN; ","")</f>
        <v/>
      </c>
    </row>
    <row r="647">
      <c r="A647" s="30" t="n"/>
      <c r="B647" s="31" t="n"/>
      <c r="C647" s="31" t="n"/>
      <c r="D647" s="31" t="n"/>
      <c r="E647" s="30" t="n"/>
      <c r="F647" s="30" t="n"/>
      <c r="G647" s="30" t="n"/>
      <c r="H647" s="30" t="n"/>
      <c r="I647" s="30" t="n"/>
      <c r="J647" s="32" t="n"/>
      <c r="K647" s="31" t="n"/>
      <c r="L647" s="30" t="n"/>
      <c r="M647" s="31" t="n"/>
      <c r="N647" s="31" t="n"/>
      <c r="O647" s="31" t="n"/>
      <c r="P647" s="30" t="n"/>
      <c r="Q647" s="31" t="n"/>
      <c r="R647" s="31" t="n"/>
      <c r="S647" s="31" t="n"/>
      <c r="T647" s="31" t="n"/>
      <c r="U647" s="30" t="n"/>
      <c r="V647" s="31" t="n"/>
      <c r="W647" s="31" t="n"/>
      <c r="X647" s="31" t="n"/>
      <c r="Y647" s="31" t="n"/>
      <c r="Z647" s="31" t="n"/>
      <c r="AA647" s="31" t="n"/>
      <c r="AB647" s="31" t="n"/>
      <c r="AC647" s="31" t="n"/>
      <c r="AD647" s="31" t="n"/>
      <c r="AE647" s="31" t="n"/>
      <c r="AF647" s="27">
        <f>IF(NOT(COUNTA(A647:AE647)&gt;0),"",IF(A647="","New client","Update"))</f>
        <v/>
      </c>
      <c r="AG647" s="27">
        <f>IF(AO647&lt;&gt;"",AO647,IF(LEN(AN647)=15,MID(AN647,3,10),""))</f>
        <v/>
      </c>
      <c r="AH647" s="27">
        <f>IF(AP647="","",AP647&amp;IF(D647="","  (guessed from PAN)",""))</f>
        <v/>
      </c>
      <c r="AI647" s="27">
        <f>IF(AN647="","",IFERROR(INDEX(Lists!$L$2:$L$38,MATCH(LEFT(AN647,2),Lists!$K$2:$K$38,0)),"Unknown code"))</f>
        <v/>
      </c>
      <c r="AJ647" s="27">
        <f>IF(AN647="","",IFERROR(IF(NOT(AND(LEN(AN647)=15,ISNUMBER(MATCH(LEFT(AN647,2),Lists!$K$2:$K$38,0)),SUMPRODUCT(--ISERROR(FIND(MID(MID(AN647,3,10),{1,2,3,4,5,10},1),"ABCDEFGHIJKLMNOPQRSTUVWXYZ")))=0,SUMPRODUCT(--ISERROR(FIND(MID(MID(AN647,3,10),{6,7,8,9},1),"0123456789")))=0,ISNUMBER(FIND(MID(AN647,13,1),"123456789ABCDEFGHIJKLMNOPQRSTUVWXYZ")),MID(AN647,14,1)="Z")),"Wrong format",IF(MID("0123456789ABCDEFGHIJKLMNOPQRSTUVWXYZ",MOD(36-MOD(SUMPRODUCT(INT((FIND(MID(AN647,{1,2,3,4,5,6,7,8,9,10,11,12,13,14},1),"0123456789ABCDEFGHIJKLMNOPQRSTUVWXYZ")-1)*{1,2,1,2,1,2,1,2,1,2,1,2,1,2}/36)+MOD((FIND(MID(AN647,{1,2,3,4,5,6,7,8,9,10,11,12,13,14},1),"0123456789ABCDEFGHIJKLMNOPQRSTUVWXYZ")-1)*{1,2,1,2,1,2,1,2,1,2,1,2,1,2},36)),36),36)+1,1)=MID(AN647,15,1),"OK","Typo? check digit wrong")),"Wrong format"))</f>
        <v/>
      </c>
      <c r="AK647" s="27">
        <f>IF(AO647="","",IF(AND(LEN(AO647)=10,SUMPRODUCT(--ISERROR(FIND(MID(AO647,{1,2,3,4,5,10},1),"ABCDEFGHIJKLMNOPQRSTUVWXYZ")))=0,SUMPRODUCT(--ISERROR(FIND(MID(AO647,{6,7,8,9},1),"0123456789")))=0),"OK","Wrong format"))</f>
        <v/>
      </c>
      <c r="AL647" s="27">
        <f>IF(TRIM(H647)="","",IF(AND(LEN(UPPER(TRIM(H647)))=10,SUMPRODUCT(--ISERROR(FIND(MID(UPPER(TRIM(H647)),{1,2,3,4,10},1),"ABCDEFGHIJKLMNOPQRSTUVWXYZ")))=0,SUMPRODUCT(--ISERROR(FIND(MID(UPPER(TRIM(H647)),{5,6,7,8,9},1),"0123456789")))=0),"OK","Wrong format"))</f>
        <v/>
      </c>
      <c r="AM647" s="28">
        <f>IF(NOT(COUNTA(A647:AE647)&gt;0),"",IF(AS647&lt;&gt;"","✖ "&amp;LEFT(AS647,LEN(AS647)-2),IF(AR647&gt;0,"✔ Ready — client + "&amp;AR647&amp;" service(s)","✔ Ready — client only")))</f>
        <v/>
      </c>
      <c r="AN647" s="29">
        <f>UPPER(SUBSTITUTE(TRIM(F647)," ",""))</f>
        <v/>
      </c>
      <c r="AO647" s="29">
        <f>UPPER(SUBSTITUTE(TRIM(E647)," ",""))</f>
        <v/>
      </c>
      <c r="AP647" s="29">
        <f>IF(D647&lt;&gt;"",D647,IFERROR(VLOOKUP(MID(AG647,4,1),Lists!$E$2:$F$8,2,FALSE),""))</f>
        <v/>
      </c>
      <c r="AQ647" s="29">
        <f>IFERROR(VLOOKUP(AP647,Lists!$A$2:$C$12,3,FALSE),"")</f>
        <v/>
      </c>
      <c r="AR647" s="29">
        <f>COUNTIF(W647:AC647,"Yes")</f>
        <v/>
      </c>
      <c r="AS647" s="29">
        <f>IF(TRIM(B647)="","Legal name missing; ","")&amp;IF(AND(AJ647&lt;&gt;"",AJ647&lt;&gt;"OK"),"GSTIN: "&amp;AJ647&amp;"; ","")&amp;IF(AND(AK647&lt;&gt;"",AK647&lt;&gt;"OK"),"PAN wrong format; ","")&amp;IF(AND(AO647&lt;&gt;"",LEN(AN647)=15,MID(AN647,3,10)&lt;&gt;AO647),"PAN does not match GSTIN; ","")&amp;IF(AND(AL647&lt;&gt;"",AL647&lt;&gt;"OK"),"TAN wrong format; ","")&amp;IF(AG647="","PAN missing; ","")&amp;IF(AP647="","Entity type missing; ","")&amp;IF(AND(AN647&lt;&gt;"",COUNTIF($AN$6:$AN$1005,AN647)&gt;1),"GSTIN repeated in this sheet; ","")&amp;IF(AND(AG647&lt;&gt;"",COUNTIF($AG$6:$AG$1005,AG647)&gt;1),"PAN repeated in this sheet (same client? put extra GSTINs in Other GSTINs); ","")&amp;IF(AND(AR647&gt;0,V647=""),"Financial year missing; ","")&amp;IF(AND(AR647=0,V647&lt;&gt;""),"Financial year given but no service is Yes; ","")&amp;IF(AND(W647="Yes",AN647=""),"GST needs a GSTIN; ","")&amp;IF(AND(W647="Yes",X647=""),"GST return frequency missing; ","")&amp;IF(AND(Y647="Yes",TRIM(H647)=""),"TDS needs a TAN; ","")&amp;IF(AND(AA647="Yes",AQ647&lt;&gt;"",AQ647&lt;&gt;"company",AQ647&lt;&gt;"llp"),"ROC is only for a company / LLP; ","")&amp;IF(AND(AA647="Yes",OR(AQ647="company",AQ647="llp"),TRIM(I647)=""),"ROC needs the CIN / LLPIN; ","")</f>
        <v/>
      </c>
    </row>
    <row r="648">
      <c r="A648" s="30" t="n"/>
      <c r="B648" s="31" t="n"/>
      <c r="C648" s="31" t="n"/>
      <c r="D648" s="31" t="n"/>
      <c r="E648" s="30" t="n"/>
      <c r="F648" s="30" t="n"/>
      <c r="G648" s="30" t="n"/>
      <c r="H648" s="30" t="n"/>
      <c r="I648" s="30" t="n"/>
      <c r="J648" s="32" t="n"/>
      <c r="K648" s="31" t="n"/>
      <c r="L648" s="30" t="n"/>
      <c r="M648" s="31" t="n"/>
      <c r="N648" s="31" t="n"/>
      <c r="O648" s="31" t="n"/>
      <c r="P648" s="30" t="n"/>
      <c r="Q648" s="31" t="n"/>
      <c r="R648" s="31" t="n"/>
      <c r="S648" s="31" t="n"/>
      <c r="T648" s="31" t="n"/>
      <c r="U648" s="30" t="n"/>
      <c r="V648" s="31" t="n"/>
      <c r="W648" s="31" t="n"/>
      <c r="X648" s="31" t="n"/>
      <c r="Y648" s="31" t="n"/>
      <c r="Z648" s="31" t="n"/>
      <c r="AA648" s="31" t="n"/>
      <c r="AB648" s="31" t="n"/>
      <c r="AC648" s="31" t="n"/>
      <c r="AD648" s="31" t="n"/>
      <c r="AE648" s="31" t="n"/>
      <c r="AF648" s="27">
        <f>IF(NOT(COUNTA(A648:AE648)&gt;0),"",IF(A648="","New client","Update"))</f>
        <v/>
      </c>
      <c r="AG648" s="27">
        <f>IF(AO648&lt;&gt;"",AO648,IF(LEN(AN648)=15,MID(AN648,3,10),""))</f>
        <v/>
      </c>
      <c r="AH648" s="27">
        <f>IF(AP648="","",AP648&amp;IF(D648="","  (guessed from PAN)",""))</f>
        <v/>
      </c>
      <c r="AI648" s="27">
        <f>IF(AN648="","",IFERROR(INDEX(Lists!$L$2:$L$38,MATCH(LEFT(AN648,2),Lists!$K$2:$K$38,0)),"Unknown code"))</f>
        <v/>
      </c>
      <c r="AJ648" s="27">
        <f>IF(AN648="","",IFERROR(IF(NOT(AND(LEN(AN648)=15,ISNUMBER(MATCH(LEFT(AN648,2),Lists!$K$2:$K$38,0)),SUMPRODUCT(--ISERROR(FIND(MID(MID(AN648,3,10),{1,2,3,4,5,10},1),"ABCDEFGHIJKLMNOPQRSTUVWXYZ")))=0,SUMPRODUCT(--ISERROR(FIND(MID(MID(AN648,3,10),{6,7,8,9},1),"0123456789")))=0,ISNUMBER(FIND(MID(AN648,13,1),"123456789ABCDEFGHIJKLMNOPQRSTUVWXYZ")),MID(AN648,14,1)="Z")),"Wrong format",IF(MID("0123456789ABCDEFGHIJKLMNOPQRSTUVWXYZ",MOD(36-MOD(SUMPRODUCT(INT((FIND(MID(AN648,{1,2,3,4,5,6,7,8,9,10,11,12,13,14},1),"0123456789ABCDEFGHIJKLMNOPQRSTUVWXYZ")-1)*{1,2,1,2,1,2,1,2,1,2,1,2,1,2}/36)+MOD((FIND(MID(AN648,{1,2,3,4,5,6,7,8,9,10,11,12,13,14},1),"0123456789ABCDEFGHIJKLMNOPQRSTUVWXYZ")-1)*{1,2,1,2,1,2,1,2,1,2,1,2,1,2},36)),36),36)+1,1)=MID(AN648,15,1),"OK","Typo? check digit wrong")),"Wrong format"))</f>
        <v/>
      </c>
      <c r="AK648" s="27">
        <f>IF(AO648="","",IF(AND(LEN(AO648)=10,SUMPRODUCT(--ISERROR(FIND(MID(AO648,{1,2,3,4,5,10},1),"ABCDEFGHIJKLMNOPQRSTUVWXYZ")))=0,SUMPRODUCT(--ISERROR(FIND(MID(AO648,{6,7,8,9},1),"0123456789")))=0),"OK","Wrong format"))</f>
        <v/>
      </c>
      <c r="AL648" s="27">
        <f>IF(TRIM(H648)="","",IF(AND(LEN(UPPER(TRIM(H648)))=10,SUMPRODUCT(--ISERROR(FIND(MID(UPPER(TRIM(H648)),{1,2,3,4,10},1),"ABCDEFGHIJKLMNOPQRSTUVWXYZ")))=0,SUMPRODUCT(--ISERROR(FIND(MID(UPPER(TRIM(H648)),{5,6,7,8,9},1),"0123456789")))=0),"OK","Wrong format"))</f>
        <v/>
      </c>
      <c r="AM648" s="28">
        <f>IF(NOT(COUNTA(A648:AE648)&gt;0),"",IF(AS648&lt;&gt;"","✖ "&amp;LEFT(AS648,LEN(AS648)-2),IF(AR648&gt;0,"✔ Ready — client + "&amp;AR648&amp;" service(s)","✔ Ready — client only")))</f>
        <v/>
      </c>
      <c r="AN648" s="29">
        <f>UPPER(SUBSTITUTE(TRIM(F648)," ",""))</f>
        <v/>
      </c>
      <c r="AO648" s="29">
        <f>UPPER(SUBSTITUTE(TRIM(E648)," ",""))</f>
        <v/>
      </c>
      <c r="AP648" s="29">
        <f>IF(D648&lt;&gt;"",D648,IFERROR(VLOOKUP(MID(AG648,4,1),Lists!$E$2:$F$8,2,FALSE),""))</f>
        <v/>
      </c>
      <c r="AQ648" s="29">
        <f>IFERROR(VLOOKUP(AP648,Lists!$A$2:$C$12,3,FALSE),"")</f>
        <v/>
      </c>
      <c r="AR648" s="29">
        <f>COUNTIF(W648:AC648,"Yes")</f>
        <v/>
      </c>
      <c r="AS648" s="29">
        <f>IF(TRIM(B648)="","Legal name missing; ","")&amp;IF(AND(AJ648&lt;&gt;"",AJ648&lt;&gt;"OK"),"GSTIN: "&amp;AJ648&amp;"; ","")&amp;IF(AND(AK648&lt;&gt;"",AK648&lt;&gt;"OK"),"PAN wrong format; ","")&amp;IF(AND(AO648&lt;&gt;"",LEN(AN648)=15,MID(AN648,3,10)&lt;&gt;AO648),"PAN does not match GSTIN; ","")&amp;IF(AND(AL648&lt;&gt;"",AL648&lt;&gt;"OK"),"TAN wrong format; ","")&amp;IF(AG648="","PAN missing; ","")&amp;IF(AP648="","Entity type missing; ","")&amp;IF(AND(AN648&lt;&gt;"",COUNTIF($AN$6:$AN$1005,AN648)&gt;1),"GSTIN repeated in this sheet; ","")&amp;IF(AND(AG648&lt;&gt;"",COUNTIF($AG$6:$AG$1005,AG648)&gt;1),"PAN repeated in this sheet (same client? put extra GSTINs in Other GSTINs); ","")&amp;IF(AND(AR648&gt;0,V648=""),"Financial year missing; ","")&amp;IF(AND(AR648=0,V648&lt;&gt;""),"Financial year given but no service is Yes; ","")&amp;IF(AND(W648="Yes",AN648=""),"GST needs a GSTIN; ","")&amp;IF(AND(W648="Yes",X648=""),"GST return frequency missing; ","")&amp;IF(AND(Y648="Yes",TRIM(H648)=""),"TDS needs a TAN; ","")&amp;IF(AND(AA648="Yes",AQ648&lt;&gt;"",AQ648&lt;&gt;"company",AQ648&lt;&gt;"llp"),"ROC is only for a company / LLP; ","")&amp;IF(AND(AA648="Yes",OR(AQ648="company",AQ648="llp"),TRIM(I648)=""),"ROC needs the CIN / LLPIN; ","")</f>
        <v/>
      </c>
    </row>
    <row r="649">
      <c r="A649" s="30" t="n"/>
      <c r="B649" s="31" t="n"/>
      <c r="C649" s="31" t="n"/>
      <c r="D649" s="31" t="n"/>
      <c r="E649" s="30" t="n"/>
      <c r="F649" s="30" t="n"/>
      <c r="G649" s="30" t="n"/>
      <c r="H649" s="30" t="n"/>
      <c r="I649" s="30" t="n"/>
      <c r="J649" s="32" t="n"/>
      <c r="K649" s="31" t="n"/>
      <c r="L649" s="30" t="n"/>
      <c r="M649" s="31" t="n"/>
      <c r="N649" s="31" t="n"/>
      <c r="O649" s="31" t="n"/>
      <c r="P649" s="30" t="n"/>
      <c r="Q649" s="31" t="n"/>
      <c r="R649" s="31" t="n"/>
      <c r="S649" s="31" t="n"/>
      <c r="T649" s="31" t="n"/>
      <c r="U649" s="30" t="n"/>
      <c r="V649" s="31" t="n"/>
      <c r="W649" s="31" t="n"/>
      <c r="X649" s="31" t="n"/>
      <c r="Y649" s="31" t="n"/>
      <c r="Z649" s="31" t="n"/>
      <c r="AA649" s="31" t="n"/>
      <c r="AB649" s="31" t="n"/>
      <c r="AC649" s="31" t="n"/>
      <c r="AD649" s="31" t="n"/>
      <c r="AE649" s="31" t="n"/>
      <c r="AF649" s="27">
        <f>IF(NOT(COUNTA(A649:AE649)&gt;0),"",IF(A649="","New client","Update"))</f>
        <v/>
      </c>
      <c r="AG649" s="27">
        <f>IF(AO649&lt;&gt;"",AO649,IF(LEN(AN649)=15,MID(AN649,3,10),""))</f>
        <v/>
      </c>
      <c r="AH649" s="27">
        <f>IF(AP649="","",AP649&amp;IF(D649="","  (guessed from PAN)",""))</f>
        <v/>
      </c>
      <c r="AI649" s="27">
        <f>IF(AN649="","",IFERROR(INDEX(Lists!$L$2:$L$38,MATCH(LEFT(AN649,2),Lists!$K$2:$K$38,0)),"Unknown code"))</f>
        <v/>
      </c>
      <c r="AJ649" s="27">
        <f>IF(AN649="","",IFERROR(IF(NOT(AND(LEN(AN649)=15,ISNUMBER(MATCH(LEFT(AN649,2),Lists!$K$2:$K$38,0)),SUMPRODUCT(--ISERROR(FIND(MID(MID(AN649,3,10),{1,2,3,4,5,10},1),"ABCDEFGHIJKLMNOPQRSTUVWXYZ")))=0,SUMPRODUCT(--ISERROR(FIND(MID(MID(AN649,3,10),{6,7,8,9},1),"0123456789")))=0,ISNUMBER(FIND(MID(AN649,13,1),"123456789ABCDEFGHIJKLMNOPQRSTUVWXYZ")),MID(AN649,14,1)="Z")),"Wrong format",IF(MID("0123456789ABCDEFGHIJKLMNOPQRSTUVWXYZ",MOD(36-MOD(SUMPRODUCT(INT((FIND(MID(AN649,{1,2,3,4,5,6,7,8,9,10,11,12,13,14},1),"0123456789ABCDEFGHIJKLMNOPQRSTUVWXYZ")-1)*{1,2,1,2,1,2,1,2,1,2,1,2,1,2}/36)+MOD((FIND(MID(AN649,{1,2,3,4,5,6,7,8,9,10,11,12,13,14},1),"0123456789ABCDEFGHIJKLMNOPQRSTUVWXYZ")-1)*{1,2,1,2,1,2,1,2,1,2,1,2,1,2},36)),36),36)+1,1)=MID(AN649,15,1),"OK","Typo? check digit wrong")),"Wrong format"))</f>
        <v/>
      </c>
      <c r="AK649" s="27">
        <f>IF(AO649="","",IF(AND(LEN(AO649)=10,SUMPRODUCT(--ISERROR(FIND(MID(AO649,{1,2,3,4,5,10},1),"ABCDEFGHIJKLMNOPQRSTUVWXYZ")))=0,SUMPRODUCT(--ISERROR(FIND(MID(AO649,{6,7,8,9},1),"0123456789")))=0),"OK","Wrong format"))</f>
        <v/>
      </c>
      <c r="AL649" s="27">
        <f>IF(TRIM(H649)="","",IF(AND(LEN(UPPER(TRIM(H649)))=10,SUMPRODUCT(--ISERROR(FIND(MID(UPPER(TRIM(H649)),{1,2,3,4,10},1),"ABCDEFGHIJKLMNOPQRSTUVWXYZ")))=0,SUMPRODUCT(--ISERROR(FIND(MID(UPPER(TRIM(H649)),{5,6,7,8,9},1),"0123456789")))=0),"OK","Wrong format"))</f>
        <v/>
      </c>
      <c r="AM649" s="28">
        <f>IF(NOT(COUNTA(A649:AE649)&gt;0),"",IF(AS649&lt;&gt;"","✖ "&amp;LEFT(AS649,LEN(AS649)-2),IF(AR649&gt;0,"✔ Ready — client + "&amp;AR649&amp;" service(s)","✔ Ready — client only")))</f>
        <v/>
      </c>
      <c r="AN649" s="29">
        <f>UPPER(SUBSTITUTE(TRIM(F649)," ",""))</f>
        <v/>
      </c>
      <c r="AO649" s="29">
        <f>UPPER(SUBSTITUTE(TRIM(E649)," ",""))</f>
        <v/>
      </c>
      <c r="AP649" s="29">
        <f>IF(D649&lt;&gt;"",D649,IFERROR(VLOOKUP(MID(AG649,4,1),Lists!$E$2:$F$8,2,FALSE),""))</f>
        <v/>
      </c>
      <c r="AQ649" s="29">
        <f>IFERROR(VLOOKUP(AP649,Lists!$A$2:$C$12,3,FALSE),"")</f>
        <v/>
      </c>
      <c r="AR649" s="29">
        <f>COUNTIF(W649:AC649,"Yes")</f>
        <v/>
      </c>
      <c r="AS649" s="29">
        <f>IF(TRIM(B649)="","Legal name missing; ","")&amp;IF(AND(AJ649&lt;&gt;"",AJ649&lt;&gt;"OK"),"GSTIN: "&amp;AJ649&amp;"; ","")&amp;IF(AND(AK649&lt;&gt;"",AK649&lt;&gt;"OK"),"PAN wrong format; ","")&amp;IF(AND(AO649&lt;&gt;"",LEN(AN649)=15,MID(AN649,3,10)&lt;&gt;AO649),"PAN does not match GSTIN; ","")&amp;IF(AND(AL649&lt;&gt;"",AL649&lt;&gt;"OK"),"TAN wrong format; ","")&amp;IF(AG649="","PAN missing; ","")&amp;IF(AP649="","Entity type missing; ","")&amp;IF(AND(AN649&lt;&gt;"",COUNTIF($AN$6:$AN$1005,AN649)&gt;1),"GSTIN repeated in this sheet; ","")&amp;IF(AND(AG649&lt;&gt;"",COUNTIF($AG$6:$AG$1005,AG649)&gt;1),"PAN repeated in this sheet (same client? put extra GSTINs in Other GSTINs); ","")&amp;IF(AND(AR649&gt;0,V649=""),"Financial year missing; ","")&amp;IF(AND(AR649=0,V649&lt;&gt;""),"Financial year given but no service is Yes; ","")&amp;IF(AND(W649="Yes",AN649=""),"GST needs a GSTIN; ","")&amp;IF(AND(W649="Yes",X649=""),"GST return frequency missing; ","")&amp;IF(AND(Y649="Yes",TRIM(H649)=""),"TDS needs a TAN; ","")&amp;IF(AND(AA649="Yes",AQ649&lt;&gt;"",AQ649&lt;&gt;"company",AQ649&lt;&gt;"llp"),"ROC is only for a company / LLP; ","")&amp;IF(AND(AA649="Yes",OR(AQ649="company",AQ649="llp"),TRIM(I649)=""),"ROC needs the CIN / LLPIN; ","")</f>
        <v/>
      </c>
    </row>
    <row r="650">
      <c r="A650" s="30" t="n"/>
      <c r="B650" s="31" t="n"/>
      <c r="C650" s="31" t="n"/>
      <c r="D650" s="31" t="n"/>
      <c r="E650" s="30" t="n"/>
      <c r="F650" s="30" t="n"/>
      <c r="G650" s="30" t="n"/>
      <c r="H650" s="30" t="n"/>
      <c r="I650" s="30" t="n"/>
      <c r="J650" s="32" t="n"/>
      <c r="K650" s="31" t="n"/>
      <c r="L650" s="30" t="n"/>
      <c r="M650" s="31" t="n"/>
      <c r="N650" s="31" t="n"/>
      <c r="O650" s="31" t="n"/>
      <c r="P650" s="30" t="n"/>
      <c r="Q650" s="31" t="n"/>
      <c r="R650" s="31" t="n"/>
      <c r="S650" s="31" t="n"/>
      <c r="T650" s="31" t="n"/>
      <c r="U650" s="30" t="n"/>
      <c r="V650" s="31" t="n"/>
      <c r="W650" s="31" t="n"/>
      <c r="X650" s="31" t="n"/>
      <c r="Y650" s="31" t="n"/>
      <c r="Z650" s="31" t="n"/>
      <c r="AA650" s="31" t="n"/>
      <c r="AB650" s="31" t="n"/>
      <c r="AC650" s="31" t="n"/>
      <c r="AD650" s="31" t="n"/>
      <c r="AE650" s="31" t="n"/>
      <c r="AF650" s="27">
        <f>IF(NOT(COUNTA(A650:AE650)&gt;0),"",IF(A650="","New client","Update"))</f>
        <v/>
      </c>
      <c r="AG650" s="27">
        <f>IF(AO650&lt;&gt;"",AO650,IF(LEN(AN650)=15,MID(AN650,3,10),""))</f>
        <v/>
      </c>
      <c r="AH650" s="27">
        <f>IF(AP650="","",AP650&amp;IF(D650="","  (guessed from PAN)",""))</f>
        <v/>
      </c>
      <c r="AI650" s="27">
        <f>IF(AN650="","",IFERROR(INDEX(Lists!$L$2:$L$38,MATCH(LEFT(AN650,2),Lists!$K$2:$K$38,0)),"Unknown code"))</f>
        <v/>
      </c>
      <c r="AJ650" s="27">
        <f>IF(AN650="","",IFERROR(IF(NOT(AND(LEN(AN650)=15,ISNUMBER(MATCH(LEFT(AN650,2),Lists!$K$2:$K$38,0)),SUMPRODUCT(--ISERROR(FIND(MID(MID(AN650,3,10),{1,2,3,4,5,10},1),"ABCDEFGHIJKLMNOPQRSTUVWXYZ")))=0,SUMPRODUCT(--ISERROR(FIND(MID(MID(AN650,3,10),{6,7,8,9},1),"0123456789")))=0,ISNUMBER(FIND(MID(AN650,13,1),"123456789ABCDEFGHIJKLMNOPQRSTUVWXYZ")),MID(AN650,14,1)="Z")),"Wrong format",IF(MID("0123456789ABCDEFGHIJKLMNOPQRSTUVWXYZ",MOD(36-MOD(SUMPRODUCT(INT((FIND(MID(AN650,{1,2,3,4,5,6,7,8,9,10,11,12,13,14},1),"0123456789ABCDEFGHIJKLMNOPQRSTUVWXYZ")-1)*{1,2,1,2,1,2,1,2,1,2,1,2,1,2}/36)+MOD((FIND(MID(AN650,{1,2,3,4,5,6,7,8,9,10,11,12,13,14},1),"0123456789ABCDEFGHIJKLMNOPQRSTUVWXYZ")-1)*{1,2,1,2,1,2,1,2,1,2,1,2,1,2},36)),36),36)+1,1)=MID(AN650,15,1),"OK","Typo? check digit wrong")),"Wrong format"))</f>
        <v/>
      </c>
      <c r="AK650" s="27">
        <f>IF(AO650="","",IF(AND(LEN(AO650)=10,SUMPRODUCT(--ISERROR(FIND(MID(AO650,{1,2,3,4,5,10},1),"ABCDEFGHIJKLMNOPQRSTUVWXYZ")))=0,SUMPRODUCT(--ISERROR(FIND(MID(AO650,{6,7,8,9},1),"0123456789")))=0),"OK","Wrong format"))</f>
        <v/>
      </c>
      <c r="AL650" s="27">
        <f>IF(TRIM(H650)="","",IF(AND(LEN(UPPER(TRIM(H650)))=10,SUMPRODUCT(--ISERROR(FIND(MID(UPPER(TRIM(H650)),{1,2,3,4,10},1),"ABCDEFGHIJKLMNOPQRSTUVWXYZ")))=0,SUMPRODUCT(--ISERROR(FIND(MID(UPPER(TRIM(H650)),{5,6,7,8,9},1),"0123456789")))=0),"OK","Wrong format"))</f>
        <v/>
      </c>
      <c r="AM650" s="28">
        <f>IF(NOT(COUNTA(A650:AE650)&gt;0),"",IF(AS650&lt;&gt;"","✖ "&amp;LEFT(AS650,LEN(AS650)-2),IF(AR650&gt;0,"✔ Ready — client + "&amp;AR650&amp;" service(s)","✔ Ready — client only")))</f>
        <v/>
      </c>
      <c r="AN650" s="29">
        <f>UPPER(SUBSTITUTE(TRIM(F650)," ",""))</f>
        <v/>
      </c>
      <c r="AO650" s="29">
        <f>UPPER(SUBSTITUTE(TRIM(E650)," ",""))</f>
        <v/>
      </c>
      <c r="AP650" s="29">
        <f>IF(D650&lt;&gt;"",D650,IFERROR(VLOOKUP(MID(AG650,4,1),Lists!$E$2:$F$8,2,FALSE),""))</f>
        <v/>
      </c>
      <c r="AQ650" s="29">
        <f>IFERROR(VLOOKUP(AP650,Lists!$A$2:$C$12,3,FALSE),"")</f>
        <v/>
      </c>
      <c r="AR650" s="29">
        <f>COUNTIF(W650:AC650,"Yes")</f>
        <v/>
      </c>
      <c r="AS650" s="29">
        <f>IF(TRIM(B650)="","Legal name missing; ","")&amp;IF(AND(AJ650&lt;&gt;"",AJ650&lt;&gt;"OK"),"GSTIN: "&amp;AJ650&amp;"; ","")&amp;IF(AND(AK650&lt;&gt;"",AK650&lt;&gt;"OK"),"PAN wrong format; ","")&amp;IF(AND(AO650&lt;&gt;"",LEN(AN650)=15,MID(AN650,3,10)&lt;&gt;AO650),"PAN does not match GSTIN; ","")&amp;IF(AND(AL650&lt;&gt;"",AL650&lt;&gt;"OK"),"TAN wrong format; ","")&amp;IF(AG650="","PAN missing; ","")&amp;IF(AP650="","Entity type missing; ","")&amp;IF(AND(AN650&lt;&gt;"",COUNTIF($AN$6:$AN$1005,AN650)&gt;1),"GSTIN repeated in this sheet; ","")&amp;IF(AND(AG650&lt;&gt;"",COUNTIF($AG$6:$AG$1005,AG650)&gt;1),"PAN repeated in this sheet (same client? put extra GSTINs in Other GSTINs); ","")&amp;IF(AND(AR650&gt;0,V650=""),"Financial year missing; ","")&amp;IF(AND(AR650=0,V650&lt;&gt;""),"Financial year given but no service is Yes; ","")&amp;IF(AND(W650="Yes",AN650=""),"GST needs a GSTIN; ","")&amp;IF(AND(W650="Yes",X650=""),"GST return frequency missing; ","")&amp;IF(AND(Y650="Yes",TRIM(H650)=""),"TDS needs a TAN; ","")&amp;IF(AND(AA650="Yes",AQ650&lt;&gt;"",AQ650&lt;&gt;"company",AQ650&lt;&gt;"llp"),"ROC is only for a company / LLP; ","")&amp;IF(AND(AA650="Yes",OR(AQ650="company",AQ650="llp"),TRIM(I650)=""),"ROC needs the CIN / LLPIN; ","")</f>
        <v/>
      </c>
    </row>
    <row r="651">
      <c r="A651" s="30" t="n"/>
      <c r="B651" s="31" t="n"/>
      <c r="C651" s="31" t="n"/>
      <c r="D651" s="31" t="n"/>
      <c r="E651" s="30" t="n"/>
      <c r="F651" s="30" t="n"/>
      <c r="G651" s="30" t="n"/>
      <c r="H651" s="30" t="n"/>
      <c r="I651" s="30" t="n"/>
      <c r="J651" s="32" t="n"/>
      <c r="K651" s="31" t="n"/>
      <c r="L651" s="30" t="n"/>
      <c r="M651" s="31" t="n"/>
      <c r="N651" s="31" t="n"/>
      <c r="O651" s="31" t="n"/>
      <c r="P651" s="30" t="n"/>
      <c r="Q651" s="31" t="n"/>
      <c r="R651" s="31" t="n"/>
      <c r="S651" s="31" t="n"/>
      <c r="T651" s="31" t="n"/>
      <c r="U651" s="30" t="n"/>
      <c r="V651" s="31" t="n"/>
      <c r="W651" s="31" t="n"/>
      <c r="X651" s="31" t="n"/>
      <c r="Y651" s="31" t="n"/>
      <c r="Z651" s="31" t="n"/>
      <c r="AA651" s="31" t="n"/>
      <c r="AB651" s="31" t="n"/>
      <c r="AC651" s="31" t="n"/>
      <c r="AD651" s="31" t="n"/>
      <c r="AE651" s="31" t="n"/>
      <c r="AF651" s="27">
        <f>IF(NOT(COUNTA(A651:AE651)&gt;0),"",IF(A651="","New client","Update"))</f>
        <v/>
      </c>
      <c r="AG651" s="27">
        <f>IF(AO651&lt;&gt;"",AO651,IF(LEN(AN651)=15,MID(AN651,3,10),""))</f>
        <v/>
      </c>
      <c r="AH651" s="27">
        <f>IF(AP651="","",AP651&amp;IF(D651="","  (guessed from PAN)",""))</f>
        <v/>
      </c>
      <c r="AI651" s="27">
        <f>IF(AN651="","",IFERROR(INDEX(Lists!$L$2:$L$38,MATCH(LEFT(AN651,2),Lists!$K$2:$K$38,0)),"Unknown code"))</f>
        <v/>
      </c>
      <c r="AJ651" s="27">
        <f>IF(AN651="","",IFERROR(IF(NOT(AND(LEN(AN651)=15,ISNUMBER(MATCH(LEFT(AN651,2),Lists!$K$2:$K$38,0)),SUMPRODUCT(--ISERROR(FIND(MID(MID(AN651,3,10),{1,2,3,4,5,10},1),"ABCDEFGHIJKLMNOPQRSTUVWXYZ")))=0,SUMPRODUCT(--ISERROR(FIND(MID(MID(AN651,3,10),{6,7,8,9},1),"0123456789")))=0,ISNUMBER(FIND(MID(AN651,13,1),"123456789ABCDEFGHIJKLMNOPQRSTUVWXYZ")),MID(AN651,14,1)="Z")),"Wrong format",IF(MID("0123456789ABCDEFGHIJKLMNOPQRSTUVWXYZ",MOD(36-MOD(SUMPRODUCT(INT((FIND(MID(AN651,{1,2,3,4,5,6,7,8,9,10,11,12,13,14},1),"0123456789ABCDEFGHIJKLMNOPQRSTUVWXYZ")-1)*{1,2,1,2,1,2,1,2,1,2,1,2,1,2}/36)+MOD((FIND(MID(AN651,{1,2,3,4,5,6,7,8,9,10,11,12,13,14},1),"0123456789ABCDEFGHIJKLMNOPQRSTUVWXYZ")-1)*{1,2,1,2,1,2,1,2,1,2,1,2,1,2},36)),36),36)+1,1)=MID(AN651,15,1),"OK","Typo? check digit wrong")),"Wrong format"))</f>
        <v/>
      </c>
      <c r="AK651" s="27">
        <f>IF(AO651="","",IF(AND(LEN(AO651)=10,SUMPRODUCT(--ISERROR(FIND(MID(AO651,{1,2,3,4,5,10},1),"ABCDEFGHIJKLMNOPQRSTUVWXYZ")))=0,SUMPRODUCT(--ISERROR(FIND(MID(AO651,{6,7,8,9},1),"0123456789")))=0),"OK","Wrong format"))</f>
        <v/>
      </c>
      <c r="AL651" s="27">
        <f>IF(TRIM(H651)="","",IF(AND(LEN(UPPER(TRIM(H651)))=10,SUMPRODUCT(--ISERROR(FIND(MID(UPPER(TRIM(H651)),{1,2,3,4,10},1),"ABCDEFGHIJKLMNOPQRSTUVWXYZ")))=0,SUMPRODUCT(--ISERROR(FIND(MID(UPPER(TRIM(H651)),{5,6,7,8,9},1),"0123456789")))=0),"OK","Wrong format"))</f>
        <v/>
      </c>
      <c r="AM651" s="28">
        <f>IF(NOT(COUNTA(A651:AE651)&gt;0),"",IF(AS651&lt;&gt;"","✖ "&amp;LEFT(AS651,LEN(AS651)-2),IF(AR651&gt;0,"✔ Ready — client + "&amp;AR651&amp;" service(s)","✔ Ready — client only")))</f>
        <v/>
      </c>
      <c r="AN651" s="29">
        <f>UPPER(SUBSTITUTE(TRIM(F651)," ",""))</f>
        <v/>
      </c>
      <c r="AO651" s="29">
        <f>UPPER(SUBSTITUTE(TRIM(E651)," ",""))</f>
        <v/>
      </c>
      <c r="AP651" s="29">
        <f>IF(D651&lt;&gt;"",D651,IFERROR(VLOOKUP(MID(AG651,4,1),Lists!$E$2:$F$8,2,FALSE),""))</f>
        <v/>
      </c>
      <c r="AQ651" s="29">
        <f>IFERROR(VLOOKUP(AP651,Lists!$A$2:$C$12,3,FALSE),"")</f>
        <v/>
      </c>
      <c r="AR651" s="29">
        <f>COUNTIF(W651:AC651,"Yes")</f>
        <v/>
      </c>
      <c r="AS651" s="29">
        <f>IF(TRIM(B651)="","Legal name missing; ","")&amp;IF(AND(AJ651&lt;&gt;"",AJ651&lt;&gt;"OK"),"GSTIN: "&amp;AJ651&amp;"; ","")&amp;IF(AND(AK651&lt;&gt;"",AK651&lt;&gt;"OK"),"PAN wrong format; ","")&amp;IF(AND(AO651&lt;&gt;"",LEN(AN651)=15,MID(AN651,3,10)&lt;&gt;AO651),"PAN does not match GSTIN; ","")&amp;IF(AND(AL651&lt;&gt;"",AL651&lt;&gt;"OK"),"TAN wrong format; ","")&amp;IF(AG651="","PAN missing; ","")&amp;IF(AP651="","Entity type missing; ","")&amp;IF(AND(AN651&lt;&gt;"",COUNTIF($AN$6:$AN$1005,AN651)&gt;1),"GSTIN repeated in this sheet; ","")&amp;IF(AND(AG651&lt;&gt;"",COUNTIF($AG$6:$AG$1005,AG651)&gt;1),"PAN repeated in this sheet (same client? put extra GSTINs in Other GSTINs); ","")&amp;IF(AND(AR651&gt;0,V651=""),"Financial year missing; ","")&amp;IF(AND(AR651=0,V651&lt;&gt;""),"Financial year given but no service is Yes; ","")&amp;IF(AND(W651="Yes",AN651=""),"GST needs a GSTIN; ","")&amp;IF(AND(W651="Yes",X651=""),"GST return frequency missing; ","")&amp;IF(AND(Y651="Yes",TRIM(H651)=""),"TDS needs a TAN; ","")&amp;IF(AND(AA651="Yes",AQ651&lt;&gt;"",AQ651&lt;&gt;"company",AQ651&lt;&gt;"llp"),"ROC is only for a company / LLP; ","")&amp;IF(AND(AA651="Yes",OR(AQ651="company",AQ651="llp"),TRIM(I651)=""),"ROC needs the CIN / LLPIN; ","")</f>
        <v/>
      </c>
    </row>
    <row r="652">
      <c r="A652" s="30" t="n"/>
      <c r="B652" s="31" t="n"/>
      <c r="C652" s="31" t="n"/>
      <c r="D652" s="31" t="n"/>
      <c r="E652" s="30" t="n"/>
      <c r="F652" s="30" t="n"/>
      <c r="G652" s="30" t="n"/>
      <c r="H652" s="30" t="n"/>
      <c r="I652" s="30" t="n"/>
      <c r="J652" s="32" t="n"/>
      <c r="K652" s="31" t="n"/>
      <c r="L652" s="30" t="n"/>
      <c r="M652" s="31" t="n"/>
      <c r="N652" s="31" t="n"/>
      <c r="O652" s="31" t="n"/>
      <c r="P652" s="30" t="n"/>
      <c r="Q652" s="31" t="n"/>
      <c r="R652" s="31" t="n"/>
      <c r="S652" s="31" t="n"/>
      <c r="T652" s="31" t="n"/>
      <c r="U652" s="30" t="n"/>
      <c r="V652" s="31" t="n"/>
      <c r="W652" s="31" t="n"/>
      <c r="X652" s="31" t="n"/>
      <c r="Y652" s="31" t="n"/>
      <c r="Z652" s="31" t="n"/>
      <c r="AA652" s="31" t="n"/>
      <c r="AB652" s="31" t="n"/>
      <c r="AC652" s="31" t="n"/>
      <c r="AD652" s="31" t="n"/>
      <c r="AE652" s="31" t="n"/>
      <c r="AF652" s="27">
        <f>IF(NOT(COUNTA(A652:AE652)&gt;0),"",IF(A652="","New client","Update"))</f>
        <v/>
      </c>
      <c r="AG652" s="27">
        <f>IF(AO652&lt;&gt;"",AO652,IF(LEN(AN652)=15,MID(AN652,3,10),""))</f>
        <v/>
      </c>
      <c r="AH652" s="27">
        <f>IF(AP652="","",AP652&amp;IF(D652="","  (guessed from PAN)",""))</f>
        <v/>
      </c>
      <c r="AI652" s="27">
        <f>IF(AN652="","",IFERROR(INDEX(Lists!$L$2:$L$38,MATCH(LEFT(AN652,2),Lists!$K$2:$K$38,0)),"Unknown code"))</f>
        <v/>
      </c>
      <c r="AJ652" s="27">
        <f>IF(AN652="","",IFERROR(IF(NOT(AND(LEN(AN652)=15,ISNUMBER(MATCH(LEFT(AN652,2),Lists!$K$2:$K$38,0)),SUMPRODUCT(--ISERROR(FIND(MID(MID(AN652,3,10),{1,2,3,4,5,10},1),"ABCDEFGHIJKLMNOPQRSTUVWXYZ")))=0,SUMPRODUCT(--ISERROR(FIND(MID(MID(AN652,3,10),{6,7,8,9},1),"0123456789")))=0,ISNUMBER(FIND(MID(AN652,13,1),"123456789ABCDEFGHIJKLMNOPQRSTUVWXYZ")),MID(AN652,14,1)="Z")),"Wrong format",IF(MID("0123456789ABCDEFGHIJKLMNOPQRSTUVWXYZ",MOD(36-MOD(SUMPRODUCT(INT((FIND(MID(AN652,{1,2,3,4,5,6,7,8,9,10,11,12,13,14},1),"0123456789ABCDEFGHIJKLMNOPQRSTUVWXYZ")-1)*{1,2,1,2,1,2,1,2,1,2,1,2,1,2}/36)+MOD((FIND(MID(AN652,{1,2,3,4,5,6,7,8,9,10,11,12,13,14},1),"0123456789ABCDEFGHIJKLMNOPQRSTUVWXYZ")-1)*{1,2,1,2,1,2,1,2,1,2,1,2,1,2},36)),36),36)+1,1)=MID(AN652,15,1),"OK","Typo? check digit wrong")),"Wrong format"))</f>
        <v/>
      </c>
      <c r="AK652" s="27">
        <f>IF(AO652="","",IF(AND(LEN(AO652)=10,SUMPRODUCT(--ISERROR(FIND(MID(AO652,{1,2,3,4,5,10},1),"ABCDEFGHIJKLMNOPQRSTUVWXYZ")))=0,SUMPRODUCT(--ISERROR(FIND(MID(AO652,{6,7,8,9},1),"0123456789")))=0),"OK","Wrong format"))</f>
        <v/>
      </c>
      <c r="AL652" s="27">
        <f>IF(TRIM(H652)="","",IF(AND(LEN(UPPER(TRIM(H652)))=10,SUMPRODUCT(--ISERROR(FIND(MID(UPPER(TRIM(H652)),{1,2,3,4,10},1),"ABCDEFGHIJKLMNOPQRSTUVWXYZ")))=0,SUMPRODUCT(--ISERROR(FIND(MID(UPPER(TRIM(H652)),{5,6,7,8,9},1),"0123456789")))=0),"OK","Wrong format"))</f>
        <v/>
      </c>
      <c r="AM652" s="28">
        <f>IF(NOT(COUNTA(A652:AE652)&gt;0),"",IF(AS652&lt;&gt;"","✖ "&amp;LEFT(AS652,LEN(AS652)-2),IF(AR652&gt;0,"✔ Ready — client + "&amp;AR652&amp;" service(s)","✔ Ready — client only")))</f>
        <v/>
      </c>
      <c r="AN652" s="29">
        <f>UPPER(SUBSTITUTE(TRIM(F652)," ",""))</f>
        <v/>
      </c>
      <c r="AO652" s="29">
        <f>UPPER(SUBSTITUTE(TRIM(E652)," ",""))</f>
        <v/>
      </c>
      <c r="AP652" s="29">
        <f>IF(D652&lt;&gt;"",D652,IFERROR(VLOOKUP(MID(AG652,4,1),Lists!$E$2:$F$8,2,FALSE),""))</f>
        <v/>
      </c>
      <c r="AQ652" s="29">
        <f>IFERROR(VLOOKUP(AP652,Lists!$A$2:$C$12,3,FALSE),"")</f>
        <v/>
      </c>
      <c r="AR652" s="29">
        <f>COUNTIF(W652:AC652,"Yes")</f>
        <v/>
      </c>
      <c r="AS652" s="29">
        <f>IF(TRIM(B652)="","Legal name missing; ","")&amp;IF(AND(AJ652&lt;&gt;"",AJ652&lt;&gt;"OK"),"GSTIN: "&amp;AJ652&amp;"; ","")&amp;IF(AND(AK652&lt;&gt;"",AK652&lt;&gt;"OK"),"PAN wrong format; ","")&amp;IF(AND(AO652&lt;&gt;"",LEN(AN652)=15,MID(AN652,3,10)&lt;&gt;AO652),"PAN does not match GSTIN; ","")&amp;IF(AND(AL652&lt;&gt;"",AL652&lt;&gt;"OK"),"TAN wrong format; ","")&amp;IF(AG652="","PAN missing; ","")&amp;IF(AP652="","Entity type missing; ","")&amp;IF(AND(AN652&lt;&gt;"",COUNTIF($AN$6:$AN$1005,AN652)&gt;1),"GSTIN repeated in this sheet; ","")&amp;IF(AND(AG652&lt;&gt;"",COUNTIF($AG$6:$AG$1005,AG652)&gt;1),"PAN repeated in this sheet (same client? put extra GSTINs in Other GSTINs); ","")&amp;IF(AND(AR652&gt;0,V652=""),"Financial year missing; ","")&amp;IF(AND(AR652=0,V652&lt;&gt;""),"Financial year given but no service is Yes; ","")&amp;IF(AND(W652="Yes",AN652=""),"GST needs a GSTIN; ","")&amp;IF(AND(W652="Yes",X652=""),"GST return frequency missing; ","")&amp;IF(AND(Y652="Yes",TRIM(H652)=""),"TDS needs a TAN; ","")&amp;IF(AND(AA652="Yes",AQ652&lt;&gt;"",AQ652&lt;&gt;"company",AQ652&lt;&gt;"llp"),"ROC is only for a company / LLP; ","")&amp;IF(AND(AA652="Yes",OR(AQ652="company",AQ652="llp"),TRIM(I652)=""),"ROC needs the CIN / LLPIN; ","")</f>
        <v/>
      </c>
    </row>
    <row r="653">
      <c r="A653" s="30" t="n"/>
      <c r="B653" s="31" t="n"/>
      <c r="C653" s="31" t="n"/>
      <c r="D653" s="31" t="n"/>
      <c r="E653" s="30" t="n"/>
      <c r="F653" s="30" t="n"/>
      <c r="G653" s="30" t="n"/>
      <c r="H653" s="30" t="n"/>
      <c r="I653" s="30" t="n"/>
      <c r="J653" s="32" t="n"/>
      <c r="K653" s="31" t="n"/>
      <c r="L653" s="30" t="n"/>
      <c r="M653" s="31" t="n"/>
      <c r="N653" s="31" t="n"/>
      <c r="O653" s="31" t="n"/>
      <c r="P653" s="30" t="n"/>
      <c r="Q653" s="31" t="n"/>
      <c r="R653" s="31" t="n"/>
      <c r="S653" s="31" t="n"/>
      <c r="T653" s="31" t="n"/>
      <c r="U653" s="30" t="n"/>
      <c r="V653" s="31" t="n"/>
      <c r="W653" s="31" t="n"/>
      <c r="X653" s="31" t="n"/>
      <c r="Y653" s="31" t="n"/>
      <c r="Z653" s="31" t="n"/>
      <c r="AA653" s="31" t="n"/>
      <c r="AB653" s="31" t="n"/>
      <c r="AC653" s="31" t="n"/>
      <c r="AD653" s="31" t="n"/>
      <c r="AE653" s="31" t="n"/>
      <c r="AF653" s="27">
        <f>IF(NOT(COUNTA(A653:AE653)&gt;0),"",IF(A653="","New client","Update"))</f>
        <v/>
      </c>
      <c r="AG653" s="27">
        <f>IF(AO653&lt;&gt;"",AO653,IF(LEN(AN653)=15,MID(AN653,3,10),""))</f>
        <v/>
      </c>
      <c r="AH653" s="27">
        <f>IF(AP653="","",AP653&amp;IF(D653="","  (guessed from PAN)",""))</f>
        <v/>
      </c>
      <c r="AI653" s="27">
        <f>IF(AN653="","",IFERROR(INDEX(Lists!$L$2:$L$38,MATCH(LEFT(AN653,2),Lists!$K$2:$K$38,0)),"Unknown code"))</f>
        <v/>
      </c>
      <c r="AJ653" s="27">
        <f>IF(AN653="","",IFERROR(IF(NOT(AND(LEN(AN653)=15,ISNUMBER(MATCH(LEFT(AN653,2),Lists!$K$2:$K$38,0)),SUMPRODUCT(--ISERROR(FIND(MID(MID(AN653,3,10),{1,2,3,4,5,10},1),"ABCDEFGHIJKLMNOPQRSTUVWXYZ")))=0,SUMPRODUCT(--ISERROR(FIND(MID(MID(AN653,3,10),{6,7,8,9},1),"0123456789")))=0,ISNUMBER(FIND(MID(AN653,13,1),"123456789ABCDEFGHIJKLMNOPQRSTUVWXYZ")),MID(AN653,14,1)="Z")),"Wrong format",IF(MID("0123456789ABCDEFGHIJKLMNOPQRSTUVWXYZ",MOD(36-MOD(SUMPRODUCT(INT((FIND(MID(AN653,{1,2,3,4,5,6,7,8,9,10,11,12,13,14},1),"0123456789ABCDEFGHIJKLMNOPQRSTUVWXYZ")-1)*{1,2,1,2,1,2,1,2,1,2,1,2,1,2}/36)+MOD((FIND(MID(AN653,{1,2,3,4,5,6,7,8,9,10,11,12,13,14},1),"0123456789ABCDEFGHIJKLMNOPQRSTUVWXYZ")-1)*{1,2,1,2,1,2,1,2,1,2,1,2,1,2},36)),36),36)+1,1)=MID(AN653,15,1),"OK","Typo? check digit wrong")),"Wrong format"))</f>
        <v/>
      </c>
      <c r="AK653" s="27">
        <f>IF(AO653="","",IF(AND(LEN(AO653)=10,SUMPRODUCT(--ISERROR(FIND(MID(AO653,{1,2,3,4,5,10},1),"ABCDEFGHIJKLMNOPQRSTUVWXYZ")))=0,SUMPRODUCT(--ISERROR(FIND(MID(AO653,{6,7,8,9},1),"0123456789")))=0),"OK","Wrong format"))</f>
        <v/>
      </c>
      <c r="AL653" s="27">
        <f>IF(TRIM(H653)="","",IF(AND(LEN(UPPER(TRIM(H653)))=10,SUMPRODUCT(--ISERROR(FIND(MID(UPPER(TRIM(H653)),{1,2,3,4,10},1),"ABCDEFGHIJKLMNOPQRSTUVWXYZ")))=0,SUMPRODUCT(--ISERROR(FIND(MID(UPPER(TRIM(H653)),{5,6,7,8,9},1),"0123456789")))=0),"OK","Wrong format"))</f>
        <v/>
      </c>
      <c r="AM653" s="28">
        <f>IF(NOT(COUNTA(A653:AE653)&gt;0),"",IF(AS653&lt;&gt;"","✖ "&amp;LEFT(AS653,LEN(AS653)-2),IF(AR653&gt;0,"✔ Ready — client + "&amp;AR653&amp;" service(s)","✔ Ready — client only")))</f>
        <v/>
      </c>
      <c r="AN653" s="29">
        <f>UPPER(SUBSTITUTE(TRIM(F653)," ",""))</f>
        <v/>
      </c>
      <c r="AO653" s="29">
        <f>UPPER(SUBSTITUTE(TRIM(E653)," ",""))</f>
        <v/>
      </c>
      <c r="AP653" s="29">
        <f>IF(D653&lt;&gt;"",D653,IFERROR(VLOOKUP(MID(AG653,4,1),Lists!$E$2:$F$8,2,FALSE),""))</f>
        <v/>
      </c>
      <c r="AQ653" s="29">
        <f>IFERROR(VLOOKUP(AP653,Lists!$A$2:$C$12,3,FALSE),"")</f>
        <v/>
      </c>
      <c r="AR653" s="29">
        <f>COUNTIF(W653:AC653,"Yes")</f>
        <v/>
      </c>
      <c r="AS653" s="29">
        <f>IF(TRIM(B653)="","Legal name missing; ","")&amp;IF(AND(AJ653&lt;&gt;"",AJ653&lt;&gt;"OK"),"GSTIN: "&amp;AJ653&amp;"; ","")&amp;IF(AND(AK653&lt;&gt;"",AK653&lt;&gt;"OK"),"PAN wrong format; ","")&amp;IF(AND(AO653&lt;&gt;"",LEN(AN653)=15,MID(AN653,3,10)&lt;&gt;AO653),"PAN does not match GSTIN; ","")&amp;IF(AND(AL653&lt;&gt;"",AL653&lt;&gt;"OK"),"TAN wrong format; ","")&amp;IF(AG653="","PAN missing; ","")&amp;IF(AP653="","Entity type missing; ","")&amp;IF(AND(AN653&lt;&gt;"",COUNTIF($AN$6:$AN$1005,AN653)&gt;1),"GSTIN repeated in this sheet; ","")&amp;IF(AND(AG653&lt;&gt;"",COUNTIF($AG$6:$AG$1005,AG653)&gt;1),"PAN repeated in this sheet (same client? put extra GSTINs in Other GSTINs); ","")&amp;IF(AND(AR653&gt;0,V653=""),"Financial year missing; ","")&amp;IF(AND(AR653=0,V653&lt;&gt;""),"Financial year given but no service is Yes; ","")&amp;IF(AND(W653="Yes",AN653=""),"GST needs a GSTIN; ","")&amp;IF(AND(W653="Yes",X653=""),"GST return frequency missing; ","")&amp;IF(AND(Y653="Yes",TRIM(H653)=""),"TDS needs a TAN; ","")&amp;IF(AND(AA653="Yes",AQ653&lt;&gt;"",AQ653&lt;&gt;"company",AQ653&lt;&gt;"llp"),"ROC is only for a company / LLP; ","")&amp;IF(AND(AA653="Yes",OR(AQ653="company",AQ653="llp"),TRIM(I653)=""),"ROC needs the CIN / LLPIN; ","")</f>
        <v/>
      </c>
    </row>
    <row r="654">
      <c r="A654" s="30" t="n"/>
      <c r="B654" s="31" t="n"/>
      <c r="C654" s="31" t="n"/>
      <c r="D654" s="31" t="n"/>
      <c r="E654" s="30" t="n"/>
      <c r="F654" s="30" t="n"/>
      <c r="G654" s="30" t="n"/>
      <c r="H654" s="30" t="n"/>
      <c r="I654" s="30" t="n"/>
      <c r="J654" s="32" t="n"/>
      <c r="K654" s="31" t="n"/>
      <c r="L654" s="30" t="n"/>
      <c r="M654" s="31" t="n"/>
      <c r="N654" s="31" t="n"/>
      <c r="O654" s="31" t="n"/>
      <c r="P654" s="30" t="n"/>
      <c r="Q654" s="31" t="n"/>
      <c r="R654" s="31" t="n"/>
      <c r="S654" s="31" t="n"/>
      <c r="T654" s="31" t="n"/>
      <c r="U654" s="30" t="n"/>
      <c r="V654" s="31" t="n"/>
      <c r="W654" s="31" t="n"/>
      <c r="X654" s="31" t="n"/>
      <c r="Y654" s="31" t="n"/>
      <c r="Z654" s="31" t="n"/>
      <c r="AA654" s="31" t="n"/>
      <c r="AB654" s="31" t="n"/>
      <c r="AC654" s="31" t="n"/>
      <c r="AD654" s="31" t="n"/>
      <c r="AE654" s="31" t="n"/>
      <c r="AF654" s="27">
        <f>IF(NOT(COUNTA(A654:AE654)&gt;0),"",IF(A654="","New client","Update"))</f>
        <v/>
      </c>
      <c r="AG654" s="27">
        <f>IF(AO654&lt;&gt;"",AO654,IF(LEN(AN654)=15,MID(AN654,3,10),""))</f>
        <v/>
      </c>
      <c r="AH654" s="27">
        <f>IF(AP654="","",AP654&amp;IF(D654="","  (guessed from PAN)",""))</f>
        <v/>
      </c>
      <c r="AI654" s="27">
        <f>IF(AN654="","",IFERROR(INDEX(Lists!$L$2:$L$38,MATCH(LEFT(AN654,2),Lists!$K$2:$K$38,0)),"Unknown code"))</f>
        <v/>
      </c>
      <c r="AJ654" s="27">
        <f>IF(AN654="","",IFERROR(IF(NOT(AND(LEN(AN654)=15,ISNUMBER(MATCH(LEFT(AN654,2),Lists!$K$2:$K$38,0)),SUMPRODUCT(--ISERROR(FIND(MID(MID(AN654,3,10),{1,2,3,4,5,10},1),"ABCDEFGHIJKLMNOPQRSTUVWXYZ")))=0,SUMPRODUCT(--ISERROR(FIND(MID(MID(AN654,3,10),{6,7,8,9},1),"0123456789")))=0,ISNUMBER(FIND(MID(AN654,13,1),"123456789ABCDEFGHIJKLMNOPQRSTUVWXYZ")),MID(AN654,14,1)="Z")),"Wrong format",IF(MID("0123456789ABCDEFGHIJKLMNOPQRSTUVWXYZ",MOD(36-MOD(SUMPRODUCT(INT((FIND(MID(AN654,{1,2,3,4,5,6,7,8,9,10,11,12,13,14},1),"0123456789ABCDEFGHIJKLMNOPQRSTUVWXYZ")-1)*{1,2,1,2,1,2,1,2,1,2,1,2,1,2}/36)+MOD((FIND(MID(AN654,{1,2,3,4,5,6,7,8,9,10,11,12,13,14},1),"0123456789ABCDEFGHIJKLMNOPQRSTUVWXYZ")-1)*{1,2,1,2,1,2,1,2,1,2,1,2,1,2},36)),36),36)+1,1)=MID(AN654,15,1),"OK","Typo? check digit wrong")),"Wrong format"))</f>
        <v/>
      </c>
      <c r="AK654" s="27">
        <f>IF(AO654="","",IF(AND(LEN(AO654)=10,SUMPRODUCT(--ISERROR(FIND(MID(AO654,{1,2,3,4,5,10},1),"ABCDEFGHIJKLMNOPQRSTUVWXYZ")))=0,SUMPRODUCT(--ISERROR(FIND(MID(AO654,{6,7,8,9},1),"0123456789")))=0),"OK","Wrong format"))</f>
        <v/>
      </c>
      <c r="AL654" s="27">
        <f>IF(TRIM(H654)="","",IF(AND(LEN(UPPER(TRIM(H654)))=10,SUMPRODUCT(--ISERROR(FIND(MID(UPPER(TRIM(H654)),{1,2,3,4,10},1),"ABCDEFGHIJKLMNOPQRSTUVWXYZ")))=0,SUMPRODUCT(--ISERROR(FIND(MID(UPPER(TRIM(H654)),{5,6,7,8,9},1),"0123456789")))=0),"OK","Wrong format"))</f>
        <v/>
      </c>
      <c r="AM654" s="28">
        <f>IF(NOT(COUNTA(A654:AE654)&gt;0),"",IF(AS654&lt;&gt;"","✖ "&amp;LEFT(AS654,LEN(AS654)-2),IF(AR654&gt;0,"✔ Ready — client + "&amp;AR654&amp;" service(s)","✔ Ready — client only")))</f>
        <v/>
      </c>
      <c r="AN654" s="29">
        <f>UPPER(SUBSTITUTE(TRIM(F654)," ",""))</f>
        <v/>
      </c>
      <c r="AO654" s="29">
        <f>UPPER(SUBSTITUTE(TRIM(E654)," ",""))</f>
        <v/>
      </c>
      <c r="AP654" s="29">
        <f>IF(D654&lt;&gt;"",D654,IFERROR(VLOOKUP(MID(AG654,4,1),Lists!$E$2:$F$8,2,FALSE),""))</f>
        <v/>
      </c>
      <c r="AQ654" s="29">
        <f>IFERROR(VLOOKUP(AP654,Lists!$A$2:$C$12,3,FALSE),"")</f>
        <v/>
      </c>
      <c r="AR654" s="29">
        <f>COUNTIF(W654:AC654,"Yes")</f>
        <v/>
      </c>
      <c r="AS654" s="29">
        <f>IF(TRIM(B654)="","Legal name missing; ","")&amp;IF(AND(AJ654&lt;&gt;"",AJ654&lt;&gt;"OK"),"GSTIN: "&amp;AJ654&amp;"; ","")&amp;IF(AND(AK654&lt;&gt;"",AK654&lt;&gt;"OK"),"PAN wrong format; ","")&amp;IF(AND(AO654&lt;&gt;"",LEN(AN654)=15,MID(AN654,3,10)&lt;&gt;AO654),"PAN does not match GSTIN; ","")&amp;IF(AND(AL654&lt;&gt;"",AL654&lt;&gt;"OK"),"TAN wrong format; ","")&amp;IF(AG654="","PAN missing; ","")&amp;IF(AP654="","Entity type missing; ","")&amp;IF(AND(AN654&lt;&gt;"",COUNTIF($AN$6:$AN$1005,AN654)&gt;1),"GSTIN repeated in this sheet; ","")&amp;IF(AND(AG654&lt;&gt;"",COUNTIF($AG$6:$AG$1005,AG654)&gt;1),"PAN repeated in this sheet (same client? put extra GSTINs in Other GSTINs); ","")&amp;IF(AND(AR654&gt;0,V654=""),"Financial year missing; ","")&amp;IF(AND(AR654=0,V654&lt;&gt;""),"Financial year given but no service is Yes; ","")&amp;IF(AND(W654="Yes",AN654=""),"GST needs a GSTIN; ","")&amp;IF(AND(W654="Yes",X654=""),"GST return frequency missing; ","")&amp;IF(AND(Y654="Yes",TRIM(H654)=""),"TDS needs a TAN; ","")&amp;IF(AND(AA654="Yes",AQ654&lt;&gt;"",AQ654&lt;&gt;"company",AQ654&lt;&gt;"llp"),"ROC is only for a company / LLP; ","")&amp;IF(AND(AA654="Yes",OR(AQ654="company",AQ654="llp"),TRIM(I654)=""),"ROC needs the CIN / LLPIN; ","")</f>
        <v/>
      </c>
    </row>
    <row r="655">
      <c r="A655" s="30" t="n"/>
      <c r="B655" s="31" t="n"/>
      <c r="C655" s="31" t="n"/>
      <c r="D655" s="31" t="n"/>
      <c r="E655" s="30" t="n"/>
      <c r="F655" s="30" t="n"/>
      <c r="G655" s="30" t="n"/>
      <c r="H655" s="30" t="n"/>
      <c r="I655" s="30" t="n"/>
      <c r="J655" s="32" t="n"/>
      <c r="K655" s="31" t="n"/>
      <c r="L655" s="30" t="n"/>
      <c r="M655" s="31" t="n"/>
      <c r="N655" s="31" t="n"/>
      <c r="O655" s="31" t="n"/>
      <c r="P655" s="30" t="n"/>
      <c r="Q655" s="31" t="n"/>
      <c r="R655" s="31" t="n"/>
      <c r="S655" s="31" t="n"/>
      <c r="T655" s="31" t="n"/>
      <c r="U655" s="30" t="n"/>
      <c r="V655" s="31" t="n"/>
      <c r="W655" s="31" t="n"/>
      <c r="X655" s="31" t="n"/>
      <c r="Y655" s="31" t="n"/>
      <c r="Z655" s="31" t="n"/>
      <c r="AA655" s="31" t="n"/>
      <c r="AB655" s="31" t="n"/>
      <c r="AC655" s="31" t="n"/>
      <c r="AD655" s="31" t="n"/>
      <c r="AE655" s="31" t="n"/>
      <c r="AF655" s="27">
        <f>IF(NOT(COUNTA(A655:AE655)&gt;0),"",IF(A655="","New client","Update"))</f>
        <v/>
      </c>
      <c r="AG655" s="27">
        <f>IF(AO655&lt;&gt;"",AO655,IF(LEN(AN655)=15,MID(AN655,3,10),""))</f>
        <v/>
      </c>
      <c r="AH655" s="27">
        <f>IF(AP655="","",AP655&amp;IF(D655="","  (guessed from PAN)",""))</f>
        <v/>
      </c>
      <c r="AI655" s="27">
        <f>IF(AN655="","",IFERROR(INDEX(Lists!$L$2:$L$38,MATCH(LEFT(AN655,2),Lists!$K$2:$K$38,0)),"Unknown code"))</f>
        <v/>
      </c>
      <c r="AJ655" s="27">
        <f>IF(AN655="","",IFERROR(IF(NOT(AND(LEN(AN655)=15,ISNUMBER(MATCH(LEFT(AN655,2),Lists!$K$2:$K$38,0)),SUMPRODUCT(--ISERROR(FIND(MID(MID(AN655,3,10),{1,2,3,4,5,10},1),"ABCDEFGHIJKLMNOPQRSTUVWXYZ")))=0,SUMPRODUCT(--ISERROR(FIND(MID(MID(AN655,3,10),{6,7,8,9},1),"0123456789")))=0,ISNUMBER(FIND(MID(AN655,13,1),"123456789ABCDEFGHIJKLMNOPQRSTUVWXYZ")),MID(AN655,14,1)="Z")),"Wrong format",IF(MID("0123456789ABCDEFGHIJKLMNOPQRSTUVWXYZ",MOD(36-MOD(SUMPRODUCT(INT((FIND(MID(AN655,{1,2,3,4,5,6,7,8,9,10,11,12,13,14},1),"0123456789ABCDEFGHIJKLMNOPQRSTUVWXYZ")-1)*{1,2,1,2,1,2,1,2,1,2,1,2,1,2}/36)+MOD((FIND(MID(AN655,{1,2,3,4,5,6,7,8,9,10,11,12,13,14},1),"0123456789ABCDEFGHIJKLMNOPQRSTUVWXYZ")-1)*{1,2,1,2,1,2,1,2,1,2,1,2,1,2},36)),36),36)+1,1)=MID(AN655,15,1),"OK","Typo? check digit wrong")),"Wrong format"))</f>
        <v/>
      </c>
      <c r="AK655" s="27">
        <f>IF(AO655="","",IF(AND(LEN(AO655)=10,SUMPRODUCT(--ISERROR(FIND(MID(AO655,{1,2,3,4,5,10},1),"ABCDEFGHIJKLMNOPQRSTUVWXYZ")))=0,SUMPRODUCT(--ISERROR(FIND(MID(AO655,{6,7,8,9},1),"0123456789")))=0),"OK","Wrong format"))</f>
        <v/>
      </c>
      <c r="AL655" s="27">
        <f>IF(TRIM(H655)="","",IF(AND(LEN(UPPER(TRIM(H655)))=10,SUMPRODUCT(--ISERROR(FIND(MID(UPPER(TRIM(H655)),{1,2,3,4,10},1),"ABCDEFGHIJKLMNOPQRSTUVWXYZ")))=0,SUMPRODUCT(--ISERROR(FIND(MID(UPPER(TRIM(H655)),{5,6,7,8,9},1),"0123456789")))=0),"OK","Wrong format"))</f>
        <v/>
      </c>
      <c r="AM655" s="28">
        <f>IF(NOT(COUNTA(A655:AE655)&gt;0),"",IF(AS655&lt;&gt;"","✖ "&amp;LEFT(AS655,LEN(AS655)-2),IF(AR655&gt;0,"✔ Ready — client + "&amp;AR655&amp;" service(s)","✔ Ready — client only")))</f>
        <v/>
      </c>
      <c r="AN655" s="29">
        <f>UPPER(SUBSTITUTE(TRIM(F655)," ",""))</f>
        <v/>
      </c>
      <c r="AO655" s="29">
        <f>UPPER(SUBSTITUTE(TRIM(E655)," ",""))</f>
        <v/>
      </c>
      <c r="AP655" s="29">
        <f>IF(D655&lt;&gt;"",D655,IFERROR(VLOOKUP(MID(AG655,4,1),Lists!$E$2:$F$8,2,FALSE),""))</f>
        <v/>
      </c>
      <c r="AQ655" s="29">
        <f>IFERROR(VLOOKUP(AP655,Lists!$A$2:$C$12,3,FALSE),"")</f>
        <v/>
      </c>
      <c r="AR655" s="29">
        <f>COUNTIF(W655:AC655,"Yes")</f>
        <v/>
      </c>
      <c r="AS655" s="29">
        <f>IF(TRIM(B655)="","Legal name missing; ","")&amp;IF(AND(AJ655&lt;&gt;"",AJ655&lt;&gt;"OK"),"GSTIN: "&amp;AJ655&amp;"; ","")&amp;IF(AND(AK655&lt;&gt;"",AK655&lt;&gt;"OK"),"PAN wrong format; ","")&amp;IF(AND(AO655&lt;&gt;"",LEN(AN655)=15,MID(AN655,3,10)&lt;&gt;AO655),"PAN does not match GSTIN; ","")&amp;IF(AND(AL655&lt;&gt;"",AL655&lt;&gt;"OK"),"TAN wrong format; ","")&amp;IF(AG655="","PAN missing; ","")&amp;IF(AP655="","Entity type missing; ","")&amp;IF(AND(AN655&lt;&gt;"",COUNTIF($AN$6:$AN$1005,AN655)&gt;1),"GSTIN repeated in this sheet; ","")&amp;IF(AND(AG655&lt;&gt;"",COUNTIF($AG$6:$AG$1005,AG655)&gt;1),"PAN repeated in this sheet (same client? put extra GSTINs in Other GSTINs); ","")&amp;IF(AND(AR655&gt;0,V655=""),"Financial year missing; ","")&amp;IF(AND(AR655=0,V655&lt;&gt;""),"Financial year given but no service is Yes; ","")&amp;IF(AND(W655="Yes",AN655=""),"GST needs a GSTIN; ","")&amp;IF(AND(W655="Yes",X655=""),"GST return frequency missing; ","")&amp;IF(AND(Y655="Yes",TRIM(H655)=""),"TDS needs a TAN; ","")&amp;IF(AND(AA655="Yes",AQ655&lt;&gt;"",AQ655&lt;&gt;"company",AQ655&lt;&gt;"llp"),"ROC is only for a company / LLP; ","")&amp;IF(AND(AA655="Yes",OR(AQ655="company",AQ655="llp"),TRIM(I655)=""),"ROC needs the CIN / LLPIN; ","")</f>
        <v/>
      </c>
    </row>
    <row r="656">
      <c r="A656" s="30" t="n"/>
      <c r="B656" s="31" t="n"/>
      <c r="C656" s="31" t="n"/>
      <c r="D656" s="31" t="n"/>
      <c r="E656" s="30" t="n"/>
      <c r="F656" s="30" t="n"/>
      <c r="G656" s="30" t="n"/>
      <c r="H656" s="30" t="n"/>
      <c r="I656" s="30" t="n"/>
      <c r="J656" s="32" t="n"/>
      <c r="K656" s="31" t="n"/>
      <c r="L656" s="30" t="n"/>
      <c r="M656" s="31" t="n"/>
      <c r="N656" s="31" t="n"/>
      <c r="O656" s="31" t="n"/>
      <c r="P656" s="30" t="n"/>
      <c r="Q656" s="31" t="n"/>
      <c r="R656" s="31" t="n"/>
      <c r="S656" s="31" t="n"/>
      <c r="T656" s="31" t="n"/>
      <c r="U656" s="30" t="n"/>
      <c r="V656" s="31" t="n"/>
      <c r="W656" s="31" t="n"/>
      <c r="X656" s="31" t="n"/>
      <c r="Y656" s="31" t="n"/>
      <c r="Z656" s="31" t="n"/>
      <c r="AA656" s="31" t="n"/>
      <c r="AB656" s="31" t="n"/>
      <c r="AC656" s="31" t="n"/>
      <c r="AD656" s="31" t="n"/>
      <c r="AE656" s="31" t="n"/>
      <c r="AF656" s="27">
        <f>IF(NOT(COUNTA(A656:AE656)&gt;0),"",IF(A656="","New client","Update"))</f>
        <v/>
      </c>
      <c r="AG656" s="27">
        <f>IF(AO656&lt;&gt;"",AO656,IF(LEN(AN656)=15,MID(AN656,3,10),""))</f>
        <v/>
      </c>
      <c r="AH656" s="27">
        <f>IF(AP656="","",AP656&amp;IF(D656="","  (guessed from PAN)",""))</f>
        <v/>
      </c>
      <c r="AI656" s="27">
        <f>IF(AN656="","",IFERROR(INDEX(Lists!$L$2:$L$38,MATCH(LEFT(AN656,2),Lists!$K$2:$K$38,0)),"Unknown code"))</f>
        <v/>
      </c>
      <c r="AJ656" s="27">
        <f>IF(AN656="","",IFERROR(IF(NOT(AND(LEN(AN656)=15,ISNUMBER(MATCH(LEFT(AN656,2),Lists!$K$2:$K$38,0)),SUMPRODUCT(--ISERROR(FIND(MID(MID(AN656,3,10),{1,2,3,4,5,10},1),"ABCDEFGHIJKLMNOPQRSTUVWXYZ")))=0,SUMPRODUCT(--ISERROR(FIND(MID(MID(AN656,3,10),{6,7,8,9},1),"0123456789")))=0,ISNUMBER(FIND(MID(AN656,13,1),"123456789ABCDEFGHIJKLMNOPQRSTUVWXYZ")),MID(AN656,14,1)="Z")),"Wrong format",IF(MID("0123456789ABCDEFGHIJKLMNOPQRSTUVWXYZ",MOD(36-MOD(SUMPRODUCT(INT((FIND(MID(AN656,{1,2,3,4,5,6,7,8,9,10,11,12,13,14},1),"0123456789ABCDEFGHIJKLMNOPQRSTUVWXYZ")-1)*{1,2,1,2,1,2,1,2,1,2,1,2,1,2}/36)+MOD((FIND(MID(AN656,{1,2,3,4,5,6,7,8,9,10,11,12,13,14},1),"0123456789ABCDEFGHIJKLMNOPQRSTUVWXYZ")-1)*{1,2,1,2,1,2,1,2,1,2,1,2,1,2},36)),36),36)+1,1)=MID(AN656,15,1),"OK","Typo? check digit wrong")),"Wrong format"))</f>
        <v/>
      </c>
      <c r="AK656" s="27">
        <f>IF(AO656="","",IF(AND(LEN(AO656)=10,SUMPRODUCT(--ISERROR(FIND(MID(AO656,{1,2,3,4,5,10},1),"ABCDEFGHIJKLMNOPQRSTUVWXYZ")))=0,SUMPRODUCT(--ISERROR(FIND(MID(AO656,{6,7,8,9},1),"0123456789")))=0),"OK","Wrong format"))</f>
        <v/>
      </c>
      <c r="AL656" s="27">
        <f>IF(TRIM(H656)="","",IF(AND(LEN(UPPER(TRIM(H656)))=10,SUMPRODUCT(--ISERROR(FIND(MID(UPPER(TRIM(H656)),{1,2,3,4,10},1),"ABCDEFGHIJKLMNOPQRSTUVWXYZ")))=0,SUMPRODUCT(--ISERROR(FIND(MID(UPPER(TRIM(H656)),{5,6,7,8,9},1),"0123456789")))=0),"OK","Wrong format"))</f>
        <v/>
      </c>
      <c r="AM656" s="28">
        <f>IF(NOT(COUNTA(A656:AE656)&gt;0),"",IF(AS656&lt;&gt;"","✖ "&amp;LEFT(AS656,LEN(AS656)-2),IF(AR656&gt;0,"✔ Ready — client + "&amp;AR656&amp;" service(s)","✔ Ready — client only")))</f>
        <v/>
      </c>
      <c r="AN656" s="29">
        <f>UPPER(SUBSTITUTE(TRIM(F656)," ",""))</f>
        <v/>
      </c>
      <c r="AO656" s="29">
        <f>UPPER(SUBSTITUTE(TRIM(E656)," ",""))</f>
        <v/>
      </c>
      <c r="AP656" s="29">
        <f>IF(D656&lt;&gt;"",D656,IFERROR(VLOOKUP(MID(AG656,4,1),Lists!$E$2:$F$8,2,FALSE),""))</f>
        <v/>
      </c>
      <c r="AQ656" s="29">
        <f>IFERROR(VLOOKUP(AP656,Lists!$A$2:$C$12,3,FALSE),"")</f>
        <v/>
      </c>
      <c r="AR656" s="29">
        <f>COUNTIF(W656:AC656,"Yes")</f>
        <v/>
      </c>
      <c r="AS656" s="29">
        <f>IF(TRIM(B656)="","Legal name missing; ","")&amp;IF(AND(AJ656&lt;&gt;"",AJ656&lt;&gt;"OK"),"GSTIN: "&amp;AJ656&amp;"; ","")&amp;IF(AND(AK656&lt;&gt;"",AK656&lt;&gt;"OK"),"PAN wrong format; ","")&amp;IF(AND(AO656&lt;&gt;"",LEN(AN656)=15,MID(AN656,3,10)&lt;&gt;AO656),"PAN does not match GSTIN; ","")&amp;IF(AND(AL656&lt;&gt;"",AL656&lt;&gt;"OK"),"TAN wrong format; ","")&amp;IF(AG656="","PAN missing; ","")&amp;IF(AP656="","Entity type missing; ","")&amp;IF(AND(AN656&lt;&gt;"",COUNTIF($AN$6:$AN$1005,AN656)&gt;1),"GSTIN repeated in this sheet; ","")&amp;IF(AND(AG656&lt;&gt;"",COUNTIF($AG$6:$AG$1005,AG656)&gt;1),"PAN repeated in this sheet (same client? put extra GSTINs in Other GSTINs); ","")&amp;IF(AND(AR656&gt;0,V656=""),"Financial year missing; ","")&amp;IF(AND(AR656=0,V656&lt;&gt;""),"Financial year given but no service is Yes; ","")&amp;IF(AND(W656="Yes",AN656=""),"GST needs a GSTIN; ","")&amp;IF(AND(W656="Yes",X656=""),"GST return frequency missing; ","")&amp;IF(AND(Y656="Yes",TRIM(H656)=""),"TDS needs a TAN; ","")&amp;IF(AND(AA656="Yes",AQ656&lt;&gt;"",AQ656&lt;&gt;"company",AQ656&lt;&gt;"llp"),"ROC is only for a company / LLP; ","")&amp;IF(AND(AA656="Yes",OR(AQ656="company",AQ656="llp"),TRIM(I656)=""),"ROC needs the CIN / LLPIN; ","")</f>
        <v/>
      </c>
    </row>
    <row r="657">
      <c r="A657" s="30" t="n"/>
      <c r="B657" s="31" t="n"/>
      <c r="C657" s="31" t="n"/>
      <c r="D657" s="31" t="n"/>
      <c r="E657" s="30" t="n"/>
      <c r="F657" s="30" t="n"/>
      <c r="G657" s="30" t="n"/>
      <c r="H657" s="30" t="n"/>
      <c r="I657" s="30" t="n"/>
      <c r="J657" s="32" t="n"/>
      <c r="K657" s="31" t="n"/>
      <c r="L657" s="30" t="n"/>
      <c r="M657" s="31" t="n"/>
      <c r="N657" s="31" t="n"/>
      <c r="O657" s="31" t="n"/>
      <c r="P657" s="30" t="n"/>
      <c r="Q657" s="31" t="n"/>
      <c r="R657" s="31" t="n"/>
      <c r="S657" s="31" t="n"/>
      <c r="T657" s="31" t="n"/>
      <c r="U657" s="30" t="n"/>
      <c r="V657" s="31" t="n"/>
      <c r="W657" s="31" t="n"/>
      <c r="X657" s="31" t="n"/>
      <c r="Y657" s="31" t="n"/>
      <c r="Z657" s="31" t="n"/>
      <c r="AA657" s="31" t="n"/>
      <c r="AB657" s="31" t="n"/>
      <c r="AC657" s="31" t="n"/>
      <c r="AD657" s="31" t="n"/>
      <c r="AE657" s="31" t="n"/>
      <c r="AF657" s="27">
        <f>IF(NOT(COUNTA(A657:AE657)&gt;0),"",IF(A657="","New client","Update"))</f>
        <v/>
      </c>
      <c r="AG657" s="27">
        <f>IF(AO657&lt;&gt;"",AO657,IF(LEN(AN657)=15,MID(AN657,3,10),""))</f>
        <v/>
      </c>
      <c r="AH657" s="27">
        <f>IF(AP657="","",AP657&amp;IF(D657="","  (guessed from PAN)",""))</f>
        <v/>
      </c>
      <c r="AI657" s="27">
        <f>IF(AN657="","",IFERROR(INDEX(Lists!$L$2:$L$38,MATCH(LEFT(AN657,2),Lists!$K$2:$K$38,0)),"Unknown code"))</f>
        <v/>
      </c>
      <c r="AJ657" s="27">
        <f>IF(AN657="","",IFERROR(IF(NOT(AND(LEN(AN657)=15,ISNUMBER(MATCH(LEFT(AN657,2),Lists!$K$2:$K$38,0)),SUMPRODUCT(--ISERROR(FIND(MID(MID(AN657,3,10),{1,2,3,4,5,10},1),"ABCDEFGHIJKLMNOPQRSTUVWXYZ")))=0,SUMPRODUCT(--ISERROR(FIND(MID(MID(AN657,3,10),{6,7,8,9},1),"0123456789")))=0,ISNUMBER(FIND(MID(AN657,13,1),"123456789ABCDEFGHIJKLMNOPQRSTUVWXYZ")),MID(AN657,14,1)="Z")),"Wrong format",IF(MID("0123456789ABCDEFGHIJKLMNOPQRSTUVWXYZ",MOD(36-MOD(SUMPRODUCT(INT((FIND(MID(AN657,{1,2,3,4,5,6,7,8,9,10,11,12,13,14},1),"0123456789ABCDEFGHIJKLMNOPQRSTUVWXYZ")-1)*{1,2,1,2,1,2,1,2,1,2,1,2,1,2}/36)+MOD((FIND(MID(AN657,{1,2,3,4,5,6,7,8,9,10,11,12,13,14},1),"0123456789ABCDEFGHIJKLMNOPQRSTUVWXYZ")-1)*{1,2,1,2,1,2,1,2,1,2,1,2,1,2},36)),36),36)+1,1)=MID(AN657,15,1),"OK","Typo? check digit wrong")),"Wrong format"))</f>
        <v/>
      </c>
      <c r="AK657" s="27">
        <f>IF(AO657="","",IF(AND(LEN(AO657)=10,SUMPRODUCT(--ISERROR(FIND(MID(AO657,{1,2,3,4,5,10},1),"ABCDEFGHIJKLMNOPQRSTUVWXYZ")))=0,SUMPRODUCT(--ISERROR(FIND(MID(AO657,{6,7,8,9},1),"0123456789")))=0),"OK","Wrong format"))</f>
        <v/>
      </c>
      <c r="AL657" s="27">
        <f>IF(TRIM(H657)="","",IF(AND(LEN(UPPER(TRIM(H657)))=10,SUMPRODUCT(--ISERROR(FIND(MID(UPPER(TRIM(H657)),{1,2,3,4,10},1),"ABCDEFGHIJKLMNOPQRSTUVWXYZ")))=0,SUMPRODUCT(--ISERROR(FIND(MID(UPPER(TRIM(H657)),{5,6,7,8,9},1),"0123456789")))=0),"OK","Wrong format"))</f>
        <v/>
      </c>
      <c r="AM657" s="28">
        <f>IF(NOT(COUNTA(A657:AE657)&gt;0),"",IF(AS657&lt;&gt;"","✖ "&amp;LEFT(AS657,LEN(AS657)-2),IF(AR657&gt;0,"✔ Ready — client + "&amp;AR657&amp;" service(s)","✔ Ready — client only")))</f>
        <v/>
      </c>
      <c r="AN657" s="29">
        <f>UPPER(SUBSTITUTE(TRIM(F657)," ",""))</f>
        <v/>
      </c>
      <c r="AO657" s="29">
        <f>UPPER(SUBSTITUTE(TRIM(E657)," ",""))</f>
        <v/>
      </c>
      <c r="AP657" s="29">
        <f>IF(D657&lt;&gt;"",D657,IFERROR(VLOOKUP(MID(AG657,4,1),Lists!$E$2:$F$8,2,FALSE),""))</f>
        <v/>
      </c>
      <c r="AQ657" s="29">
        <f>IFERROR(VLOOKUP(AP657,Lists!$A$2:$C$12,3,FALSE),"")</f>
        <v/>
      </c>
      <c r="AR657" s="29">
        <f>COUNTIF(W657:AC657,"Yes")</f>
        <v/>
      </c>
      <c r="AS657" s="29">
        <f>IF(TRIM(B657)="","Legal name missing; ","")&amp;IF(AND(AJ657&lt;&gt;"",AJ657&lt;&gt;"OK"),"GSTIN: "&amp;AJ657&amp;"; ","")&amp;IF(AND(AK657&lt;&gt;"",AK657&lt;&gt;"OK"),"PAN wrong format; ","")&amp;IF(AND(AO657&lt;&gt;"",LEN(AN657)=15,MID(AN657,3,10)&lt;&gt;AO657),"PAN does not match GSTIN; ","")&amp;IF(AND(AL657&lt;&gt;"",AL657&lt;&gt;"OK"),"TAN wrong format; ","")&amp;IF(AG657="","PAN missing; ","")&amp;IF(AP657="","Entity type missing; ","")&amp;IF(AND(AN657&lt;&gt;"",COUNTIF($AN$6:$AN$1005,AN657)&gt;1),"GSTIN repeated in this sheet; ","")&amp;IF(AND(AG657&lt;&gt;"",COUNTIF($AG$6:$AG$1005,AG657)&gt;1),"PAN repeated in this sheet (same client? put extra GSTINs in Other GSTINs); ","")&amp;IF(AND(AR657&gt;0,V657=""),"Financial year missing; ","")&amp;IF(AND(AR657=0,V657&lt;&gt;""),"Financial year given but no service is Yes; ","")&amp;IF(AND(W657="Yes",AN657=""),"GST needs a GSTIN; ","")&amp;IF(AND(W657="Yes",X657=""),"GST return frequency missing; ","")&amp;IF(AND(Y657="Yes",TRIM(H657)=""),"TDS needs a TAN; ","")&amp;IF(AND(AA657="Yes",AQ657&lt;&gt;"",AQ657&lt;&gt;"company",AQ657&lt;&gt;"llp"),"ROC is only for a company / LLP; ","")&amp;IF(AND(AA657="Yes",OR(AQ657="company",AQ657="llp"),TRIM(I657)=""),"ROC needs the CIN / LLPIN; ","")</f>
        <v/>
      </c>
    </row>
    <row r="658">
      <c r="A658" s="30" t="n"/>
      <c r="B658" s="31" t="n"/>
      <c r="C658" s="31" t="n"/>
      <c r="D658" s="31" t="n"/>
      <c r="E658" s="30" t="n"/>
      <c r="F658" s="30" t="n"/>
      <c r="G658" s="30" t="n"/>
      <c r="H658" s="30" t="n"/>
      <c r="I658" s="30" t="n"/>
      <c r="J658" s="32" t="n"/>
      <c r="K658" s="31" t="n"/>
      <c r="L658" s="30" t="n"/>
      <c r="M658" s="31" t="n"/>
      <c r="N658" s="31" t="n"/>
      <c r="O658" s="31" t="n"/>
      <c r="P658" s="30" t="n"/>
      <c r="Q658" s="31" t="n"/>
      <c r="R658" s="31" t="n"/>
      <c r="S658" s="31" t="n"/>
      <c r="T658" s="31" t="n"/>
      <c r="U658" s="30" t="n"/>
      <c r="V658" s="31" t="n"/>
      <c r="W658" s="31" t="n"/>
      <c r="X658" s="31" t="n"/>
      <c r="Y658" s="31" t="n"/>
      <c r="Z658" s="31" t="n"/>
      <c r="AA658" s="31" t="n"/>
      <c r="AB658" s="31" t="n"/>
      <c r="AC658" s="31" t="n"/>
      <c r="AD658" s="31" t="n"/>
      <c r="AE658" s="31" t="n"/>
      <c r="AF658" s="27">
        <f>IF(NOT(COUNTA(A658:AE658)&gt;0),"",IF(A658="","New client","Update"))</f>
        <v/>
      </c>
      <c r="AG658" s="27">
        <f>IF(AO658&lt;&gt;"",AO658,IF(LEN(AN658)=15,MID(AN658,3,10),""))</f>
        <v/>
      </c>
      <c r="AH658" s="27">
        <f>IF(AP658="","",AP658&amp;IF(D658="","  (guessed from PAN)",""))</f>
        <v/>
      </c>
      <c r="AI658" s="27">
        <f>IF(AN658="","",IFERROR(INDEX(Lists!$L$2:$L$38,MATCH(LEFT(AN658,2),Lists!$K$2:$K$38,0)),"Unknown code"))</f>
        <v/>
      </c>
      <c r="AJ658" s="27">
        <f>IF(AN658="","",IFERROR(IF(NOT(AND(LEN(AN658)=15,ISNUMBER(MATCH(LEFT(AN658,2),Lists!$K$2:$K$38,0)),SUMPRODUCT(--ISERROR(FIND(MID(MID(AN658,3,10),{1,2,3,4,5,10},1),"ABCDEFGHIJKLMNOPQRSTUVWXYZ")))=0,SUMPRODUCT(--ISERROR(FIND(MID(MID(AN658,3,10),{6,7,8,9},1),"0123456789")))=0,ISNUMBER(FIND(MID(AN658,13,1),"123456789ABCDEFGHIJKLMNOPQRSTUVWXYZ")),MID(AN658,14,1)="Z")),"Wrong format",IF(MID("0123456789ABCDEFGHIJKLMNOPQRSTUVWXYZ",MOD(36-MOD(SUMPRODUCT(INT((FIND(MID(AN658,{1,2,3,4,5,6,7,8,9,10,11,12,13,14},1),"0123456789ABCDEFGHIJKLMNOPQRSTUVWXYZ")-1)*{1,2,1,2,1,2,1,2,1,2,1,2,1,2}/36)+MOD((FIND(MID(AN658,{1,2,3,4,5,6,7,8,9,10,11,12,13,14},1),"0123456789ABCDEFGHIJKLMNOPQRSTUVWXYZ")-1)*{1,2,1,2,1,2,1,2,1,2,1,2,1,2},36)),36),36)+1,1)=MID(AN658,15,1),"OK","Typo? check digit wrong")),"Wrong format"))</f>
        <v/>
      </c>
      <c r="AK658" s="27">
        <f>IF(AO658="","",IF(AND(LEN(AO658)=10,SUMPRODUCT(--ISERROR(FIND(MID(AO658,{1,2,3,4,5,10},1),"ABCDEFGHIJKLMNOPQRSTUVWXYZ")))=0,SUMPRODUCT(--ISERROR(FIND(MID(AO658,{6,7,8,9},1),"0123456789")))=0),"OK","Wrong format"))</f>
        <v/>
      </c>
      <c r="AL658" s="27">
        <f>IF(TRIM(H658)="","",IF(AND(LEN(UPPER(TRIM(H658)))=10,SUMPRODUCT(--ISERROR(FIND(MID(UPPER(TRIM(H658)),{1,2,3,4,10},1),"ABCDEFGHIJKLMNOPQRSTUVWXYZ")))=0,SUMPRODUCT(--ISERROR(FIND(MID(UPPER(TRIM(H658)),{5,6,7,8,9},1),"0123456789")))=0),"OK","Wrong format"))</f>
        <v/>
      </c>
      <c r="AM658" s="28">
        <f>IF(NOT(COUNTA(A658:AE658)&gt;0),"",IF(AS658&lt;&gt;"","✖ "&amp;LEFT(AS658,LEN(AS658)-2),IF(AR658&gt;0,"✔ Ready — client + "&amp;AR658&amp;" service(s)","✔ Ready — client only")))</f>
        <v/>
      </c>
      <c r="AN658" s="29">
        <f>UPPER(SUBSTITUTE(TRIM(F658)," ",""))</f>
        <v/>
      </c>
      <c r="AO658" s="29">
        <f>UPPER(SUBSTITUTE(TRIM(E658)," ",""))</f>
        <v/>
      </c>
      <c r="AP658" s="29">
        <f>IF(D658&lt;&gt;"",D658,IFERROR(VLOOKUP(MID(AG658,4,1),Lists!$E$2:$F$8,2,FALSE),""))</f>
        <v/>
      </c>
      <c r="AQ658" s="29">
        <f>IFERROR(VLOOKUP(AP658,Lists!$A$2:$C$12,3,FALSE),"")</f>
        <v/>
      </c>
      <c r="AR658" s="29">
        <f>COUNTIF(W658:AC658,"Yes")</f>
        <v/>
      </c>
      <c r="AS658" s="29">
        <f>IF(TRIM(B658)="","Legal name missing; ","")&amp;IF(AND(AJ658&lt;&gt;"",AJ658&lt;&gt;"OK"),"GSTIN: "&amp;AJ658&amp;"; ","")&amp;IF(AND(AK658&lt;&gt;"",AK658&lt;&gt;"OK"),"PAN wrong format; ","")&amp;IF(AND(AO658&lt;&gt;"",LEN(AN658)=15,MID(AN658,3,10)&lt;&gt;AO658),"PAN does not match GSTIN; ","")&amp;IF(AND(AL658&lt;&gt;"",AL658&lt;&gt;"OK"),"TAN wrong format; ","")&amp;IF(AG658="","PAN missing; ","")&amp;IF(AP658="","Entity type missing; ","")&amp;IF(AND(AN658&lt;&gt;"",COUNTIF($AN$6:$AN$1005,AN658)&gt;1),"GSTIN repeated in this sheet; ","")&amp;IF(AND(AG658&lt;&gt;"",COUNTIF($AG$6:$AG$1005,AG658)&gt;1),"PAN repeated in this sheet (same client? put extra GSTINs in Other GSTINs); ","")&amp;IF(AND(AR658&gt;0,V658=""),"Financial year missing; ","")&amp;IF(AND(AR658=0,V658&lt;&gt;""),"Financial year given but no service is Yes; ","")&amp;IF(AND(W658="Yes",AN658=""),"GST needs a GSTIN; ","")&amp;IF(AND(W658="Yes",X658=""),"GST return frequency missing; ","")&amp;IF(AND(Y658="Yes",TRIM(H658)=""),"TDS needs a TAN; ","")&amp;IF(AND(AA658="Yes",AQ658&lt;&gt;"",AQ658&lt;&gt;"company",AQ658&lt;&gt;"llp"),"ROC is only for a company / LLP; ","")&amp;IF(AND(AA658="Yes",OR(AQ658="company",AQ658="llp"),TRIM(I658)=""),"ROC needs the CIN / LLPIN; ","")</f>
        <v/>
      </c>
    </row>
    <row r="659">
      <c r="A659" s="30" t="n"/>
      <c r="B659" s="31" t="n"/>
      <c r="C659" s="31" t="n"/>
      <c r="D659" s="31" t="n"/>
      <c r="E659" s="30" t="n"/>
      <c r="F659" s="30" t="n"/>
      <c r="G659" s="30" t="n"/>
      <c r="H659" s="30" t="n"/>
      <c r="I659" s="30" t="n"/>
      <c r="J659" s="32" t="n"/>
      <c r="K659" s="31" t="n"/>
      <c r="L659" s="30" t="n"/>
      <c r="M659" s="31" t="n"/>
      <c r="N659" s="31" t="n"/>
      <c r="O659" s="31" t="n"/>
      <c r="P659" s="30" t="n"/>
      <c r="Q659" s="31" t="n"/>
      <c r="R659" s="31" t="n"/>
      <c r="S659" s="31" t="n"/>
      <c r="T659" s="31" t="n"/>
      <c r="U659" s="30" t="n"/>
      <c r="V659" s="31" t="n"/>
      <c r="W659" s="31" t="n"/>
      <c r="X659" s="31" t="n"/>
      <c r="Y659" s="31" t="n"/>
      <c r="Z659" s="31" t="n"/>
      <c r="AA659" s="31" t="n"/>
      <c r="AB659" s="31" t="n"/>
      <c r="AC659" s="31" t="n"/>
      <c r="AD659" s="31" t="n"/>
      <c r="AE659" s="31" t="n"/>
      <c r="AF659" s="27">
        <f>IF(NOT(COUNTA(A659:AE659)&gt;0),"",IF(A659="","New client","Update"))</f>
        <v/>
      </c>
      <c r="AG659" s="27">
        <f>IF(AO659&lt;&gt;"",AO659,IF(LEN(AN659)=15,MID(AN659,3,10),""))</f>
        <v/>
      </c>
      <c r="AH659" s="27">
        <f>IF(AP659="","",AP659&amp;IF(D659="","  (guessed from PAN)",""))</f>
        <v/>
      </c>
      <c r="AI659" s="27">
        <f>IF(AN659="","",IFERROR(INDEX(Lists!$L$2:$L$38,MATCH(LEFT(AN659,2),Lists!$K$2:$K$38,0)),"Unknown code"))</f>
        <v/>
      </c>
      <c r="AJ659" s="27">
        <f>IF(AN659="","",IFERROR(IF(NOT(AND(LEN(AN659)=15,ISNUMBER(MATCH(LEFT(AN659,2),Lists!$K$2:$K$38,0)),SUMPRODUCT(--ISERROR(FIND(MID(MID(AN659,3,10),{1,2,3,4,5,10},1),"ABCDEFGHIJKLMNOPQRSTUVWXYZ")))=0,SUMPRODUCT(--ISERROR(FIND(MID(MID(AN659,3,10),{6,7,8,9},1),"0123456789")))=0,ISNUMBER(FIND(MID(AN659,13,1),"123456789ABCDEFGHIJKLMNOPQRSTUVWXYZ")),MID(AN659,14,1)="Z")),"Wrong format",IF(MID("0123456789ABCDEFGHIJKLMNOPQRSTUVWXYZ",MOD(36-MOD(SUMPRODUCT(INT((FIND(MID(AN659,{1,2,3,4,5,6,7,8,9,10,11,12,13,14},1),"0123456789ABCDEFGHIJKLMNOPQRSTUVWXYZ")-1)*{1,2,1,2,1,2,1,2,1,2,1,2,1,2}/36)+MOD((FIND(MID(AN659,{1,2,3,4,5,6,7,8,9,10,11,12,13,14},1),"0123456789ABCDEFGHIJKLMNOPQRSTUVWXYZ")-1)*{1,2,1,2,1,2,1,2,1,2,1,2,1,2},36)),36),36)+1,1)=MID(AN659,15,1),"OK","Typo? check digit wrong")),"Wrong format"))</f>
        <v/>
      </c>
      <c r="AK659" s="27">
        <f>IF(AO659="","",IF(AND(LEN(AO659)=10,SUMPRODUCT(--ISERROR(FIND(MID(AO659,{1,2,3,4,5,10},1),"ABCDEFGHIJKLMNOPQRSTUVWXYZ")))=0,SUMPRODUCT(--ISERROR(FIND(MID(AO659,{6,7,8,9},1),"0123456789")))=0),"OK","Wrong format"))</f>
        <v/>
      </c>
      <c r="AL659" s="27">
        <f>IF(TRIM(H659)="","",IF(AND(LEN(UPPER(TRIM(H659)))=10,SUMPRODUCT(--ISERROR(FIND(MID(UPPER(TRIM(H659)),{1,2,3,4,10},1),"ABCDEFGHIJKLMNOPQRSTUVWXYZ")))=0,SUMPRODUCT(--ISERROR(FIND(MID(UPPER(TRIM(H659)),{5,6,7,8,9},1),"0123456789")))=0),"OK","Wrong format"))</f>
        <v/>
      </c>
      <c r="AM659" s="28">
        <f>IF(NOT(COUNTA(A659:AE659)&gt;0),"",IF(AS659&lt;&gt;"","✖ "&amp;LEFT(AS659,LEN(AS659)-2),IF(AR659&gt;0,"✔ Ready — client + "&amp;AR659&amp;" service(s)","✔ Ready — client only")))</f>
        <v/>
      </c>
      <c r="AN659" s="29">
        <f>UPPER(SUBSTITUTE(TRIM(F659)," ",""))</f>
        <v/>
      </c>
      <c r="AO659" s="29">
        <f>UPPER(SUBSTITUTE(TRIM(E659)," ",""))</f>
        <v/>
      </c>
      <c r="AP659" s="29">
        <f>IF(D659&lt;&gt;"",D659,IFERROR(VLOOKUP(MID(AG659,4,1),Lists!$E$2:$F$8,2,FALSE),""))</f>
        <v/>
      </c>
      <c r="AQ659" s="29">
        <f>IFERROR(VLOOKUP(AP659,Lists!$A$2:$C$12,3,FALSE),"")</f>
        <v/>
      </c>
      <c r="AR659" s="29">
        <f>COUNTIF(W659:AC659,"Yes")</f>
        <v/>
      </c>
      <c r="AS659" s="29">
        <f>IF(TRIM(B659)="","Legal name missing; ","")&amp;IF(AND(AJ659&lt;&gt;"",AJ659&lt;&gt;"OK"),"GSTIN: "&amp;AJ659&amp;"; ","")&amp;IF(AND(AK659&lt;&gt;"",AK659&lt;&gt;"OK"),"PAN wrong format; ","")&amp;IF(AND(AO659&lt;&gt;"",LEN(AN659)=15,MID(AN659,3,10)&lt;&gt;AO659),"PAN does not match GSTIN; ","")&amp;IF(AND(AL659&lt;&gt;"",AL659&lt;&gt;"OK"),"TAN wrong format; ","")&amp;IF(AG659="","PAN missing; ","")&amp;IF(AP659="","Entity type missing; ","")&amp;IF(AND(AN659&lt;&gt;"",COUNTIF($AN$6:$AN$1005,AN659)&gt;1),"GSTIN repeated in this sheet; ","")&amp;IF(AND(AG659&lt;&gt;"",COUNTIF($AG$6:$AG$1005,AG659)&gt;1),"PAN repeated in this sheet (same client? put extra GSTINs in Other GSTINs); ","")&amp;IF(AND(AR659&gt;0,V659=""),"Financial year missing; ","")&amp;IF(AND(AR659=0,V659&lt;&gt;""),"Financial year given but no service is Yes; ","")&amp;IF(AND(W659="Yes",AN659=""),"GST needs a GSTIN; ","")&amp;IF(AND(W659="Yes",X659=""),"GST return frequency missing; ","")&amp;IF(AND(Y659="Yes",TRIM(H659)=""),"TDS needs a TAN; ","")&amp;IF(AND(AA659="Yes",AQ659&lt;&gt;"",AQ659&lt;&gt;"company",AQ659&lt;&gt;"llp"),"ROC is only for a company / LLP; ","")&amp;IF(AND(AA659="Yes",OR(AQ659="company",AQ659="llp"),TRIM(I659)=""),"ROC needs the CIN / LLPIN; ","")</f>
        <v/>
      </c>
    </row>
    <row r="660">
      <c r="A660" s="30" t="n"/>
      <c r="B660" s="31" t="n"/>
      <c r="C660" s="31" t="n"/>
      <c r="D660" s="31" t="n"/>
      <c r="E660" s="30" t="n"/>
      <c r="F660" s="30" t="n"/>
      <c r="G660" s="30" t="n"/>
      <c r="H660" s="30" t="n"/>
      <c r="I660" s="30" t="n"/>
      <c r="J660" s="32" t="n"/>
      <c r="K660" s="31" t="n"/>
      <c r="L660" s="30" t="n"/>
      <c r="M660" s="31" t="n"/>
      <c r="N660" s="31" t="n"/>
      <c r="O660" s="31" t="n"/>
      <c r="P660" s="30" t="n"/>
      <c r="Q660" s="31" t="n"/>
      <c r="R660" s="31" t="n"/>
      <c r="S660" s="31" t="n"/>
      <c r="T660" s="31" t="n"/>
      <c r="U660" s="30" t="n"/>
      <c r="V660" s="31" t="n"/>
      <c r="W660" s="31" t="n"/>
      <c r="X660" s="31" t="n"/>
      <c r="Y660" s="31" t="n"/>
      <c r="Z660" s="31" t="n"/>
      <c r="AA660" s="31" t="n"/>
      <c r="AB660" s="31" t="n"/>
      <c r="AC660" s="31" t="n"/>
      <c r="AD660" s="31" t="n"/>
      <c r="AE660" s="31" t="n"/>
      <c r="AF660" s="27">
        <f>IF(NOT(COUNTA(A660:AE660)&gt;0),"",IF(A660="","New client","Update"))</f>
        <v/>
      </c>
      <c r="AG660" s="27">
        <f>IF(AO660&lt;&gt;"",AO660,IF(LEN(AN660)=15,MID(AN660,3,10),""))</f>
        <v/>
      </c>
      <c r="AH660" s="27">
        <f>IF(AP660="","",AP660&amp;IF(D660="","  (guessed from PAN)",""))</f>
        <v/>
      </c>
      <c r="AI660" s="27">
        <f>IF(AN660="","",IFERROR(INDEX(Lists!$L$2:$L$38,MATCH(LEFT(AN660,2),Lists!$K$2:$K$38,0)),"Unknown code"))</f>
        <v/>
      </c>
      <c r="AJ660" s="27">
        <f>IF(AN660="","",IFERROR(IF(NOT(AND(LEN(AN660)=15,ISNUMBER(MATCH(LEFT(AN660,2),Lists!$K$2:$K$38,0)),SUMPRODUCT(--ISERROR(FIND(MID(MID(AN660,3,10),{1,2,3,4,5,10},1),"ABCDEFGHIJKLMNOPQRSTUVWXYZ")))=0,SUMPRODUCT(--ISERROR(FIND(MID(MID(AN660,3,10),{6,7,8,9},1),"0123456789")))=0,ISNUMBER(FIND(MID(AN660,13,1),"123456789ABCDEFGHIJKLMNOPQRSTUVWXYZ")),MID(AN660,14,1)="Z")),"Wrong format",IF(MID("0123456789ABCDEFGHIJKLMNOPQRSTUVWXYZ",MOD(36-MOD(SUMPRODUCT(INT((FIND(MID(AN660,{1,2,3,4,5,6,7,8,9,10,11,12,13,14},1),"0123456789ABCDEFGHIJKLMNOPQRSTUVWXYZ")-1)*{1,2,1,2,1,2,1,2,1,2,1,2,1,2}/36)+MOD((FIND(MID(AN660,{1,2,3,4,5,6,7,8,9,10,11,12,13,14},1),"0123456789ABCDEFGHIJKLMNOPQRSTUVWXYZ")-1)*{1,2,1,2,1,2,1,2,1,2,1,2,1,2},36)),36),36)+1,1)=MID(AN660,15,1),"OK","Typo? check digit wrong")),"Wrong format"))</f>
        <v/>
      </c>
      <c r="AK660" s="27">
        <f>IF(AO660="","",IF(AND(LEN(AO660)=10,SUMPRODUCT(--ISERROR(FIND(MID(AO660,{1,2,3,4,5,10},1),"ABCDEFGHIJKLMNOPQRSTUVWXYZ")))=0,SUMPRODUCT(--ISERROR(FIND(MID(AO660,{6,7,8,9},1),"0123456789")))=0),"OK","Wrong format"))</f>
        <v/>
      </c>
      <c r="AL660" s="27">
        <f>IF(TRIM(H660)="","",IF(AND(LEN(UPPER(TRIM(H660)))=10,SUMPRODUCT(--ISERROR(FIND(MID(UPPER(TRIM(H660)),{1,2,3,4,10},1),"ABCDEFGHIJKLMNOPQRSTUVWXYZ")))=0,SUMPRODUCT(--ISERROR(FIND(MID(UPPER(TRIM(H660)),{5,6,7,8,9},1),"0123456789")))=0),"OK","Wrong format"))</f>
        <v/>
      </c>
      <c r="AM660" s="28">
        <f>IF(NOT(COUNTA(A660:AE660)&gt;0),"",IF(AS660&lt;&gt;"","✖ "&amp;LEFT(AS660,LEN(AS660)-2),IF(AR660&gt;0,"✔ Ready — client + "&amp;AR660&amp;" service(s)","✔ Ready — client only")))</f>
        <v/>
      </c>
      <c r="AN660" s="29">
        <f>UPPER(SUBSTITUTE(TRIM(F660)," ",""))</f>
        <v/>
      </c>
      <c r="AO660" s="29">
        <f>UPPER(SUBSTITUTE(TRIM(E660)," ",""))</f>
        <v/>
      </c>
      <c r="AP660" s="29">
        <f>IF(D660&lt;&gt;"",D660,IFERROR(VLOOKUP(MID(AG660,4,1),Lists!$E$2:$F$8,2,FALSE),""))</f>
        <v/>
      </c>
      <c r="AQ660" s="29">
        <f>IFERROR(VLOOKUP(AP660,Lists!$A$2:$C$12,3,FALSE),"")</f>
        <v/>
      </c>
      <c r="AR660" s="29">
        <f>COUNTIF(W660:AC660,"Yes")</f>
        <v/>
      </c>
      <c r="AS660" s="29">
        <f>IF(TRIM(B660)="","Legal name missing; ","")&amp;IF(AND(AJ660&lt;&gt;"",AJ660&lt;&gt;"OK"),"GSTIN: "&amp;AJ660&amp;"; ","")&amp;IF(AND(AK660&lt;&gt;"",AK660&lt;&gt;"OK"),"PAN wrong format; ","")&amp;IF(AND(AO660&lt;&gt;"",LEN(AN660)=15,MID(AN660,3,10)&lt;&gt;AO660),"PAN does not match GSTIN; ","")&amp;IF(AND(AL660&lt;&gt;"",AL660&lt;&gt;"OK"),"TAN wrong format; ","")&amp;IF(AG660="","PAN missing; ","")&amp;IF(AP660="","Entity type missing; ","")&amp;IF(AND(AN660&lt;&gt;"",COUNTIF($AN$6:$AN$1005,AN660)&gt;1),"GSTIN repeated in this sheet; ","")&amp;IF(AND(AG660&lt;&gt;"",COUNTIF($AG$6:$AG$1005,AG660)&gt;1),"PAN repeated in this sheet (same client? put extra GSTINs in Other GSTINs); ","")&amp;IF(AND(AR660&gt;0,V660=""),"Financial year missing; ","")&amp;IF(AND(AR660=0,V660&lt;&gt;""),"Financial year given but no service is Yes; ","")&amp;IF(AND(W660="Yes",AN660=""),"GST needs a GSTIN; ","")&amp;IF(AND(W660="Yes",X660=""),"GST return frequency missing; ","")&amp;IF(AND(Y660="Yes",TRIM(H660)=""),"TDS needs a TAN; ","")&amp;IF(AND(AA660="Yes",AQ660&lt;&gt;"",AQ660&lt;&gt;"company",AQ660&lt;&gt;"llp"),"ROC is only for a company / LLP; ","")&amp;IF(AND(AA660="Yes",OR(AQ660="company",AQ660="llp"),TRIM(I660)=""),"ROC needs the CIN / LLPIN; ","")</f>
        <v/>
      </c>
    </row>
    <row r="661">
      <c r="A661" s="30" t="n"/>
      <c r="B661" s="31" t="n"/>
      <c r="C661" s="31" t="n"/>
      <c r="D661" s="31" t="n"/>
      <c r="E661" s="30" t="n"/>
      <c r="F661" s="30" t="n"/>
      <c r="G661" s="30" t="n"/>
      <c r="H661" s="30" t="n"/>
      <c r="I661" s="30" t="n"/>
      <c r="J661" s="32" t="n"/>
      <c r="K661" s="31" t="n"/>
      <c r="L661" s="30" t="n"/>
      <c r="M661" s="31" t="n"/>
      <c r="N661" s="31" t="n"/>
      <c r="O661" s="31" t="n"/>
      <c r="P661" s="30" t="n"/>
      <c r="Q661" s="31" t="n"/>
      <c r="R661" s="31" t="n"/>
      <c r="S661" s="31" t="n"/>
      <c r="T661" s="31" t="n"/>
      <c r="U661" s="30" t="n"/>
      <c r="V661" s="31" t="n"/>
      <c r="W661" s="31" t="n"/>
      <c r="X661" s="31" t="n"/>
      <c r="Y661" s="31" t="n"/>
      <c r="Z661" s="31" t="n"/>
      <c r="AA661" s="31" t="n"/>
      <c r="AB661" s="31" t="n"/>
      <c r="AC661" s="31" t="n"/>
      <c r="AD661" s="31" t="n"/>
      <c r="AE661" s="31" t="n"/>
      <c r="AF661" s="27">
        <f>IF(NOT(COUNTA(A661:AE661)&gt;0),"",IF(A661="","New client","Update"))</f>
        <v/>
      </c>
      <c r="AG661" s="27">
        <f>IF(AO661&lt;&gt;"",AO661,IF(LEN(AN661)=15,MID(AN661,3,10),""))</f>
        <v/>
      </c>
      <c r="AH661" s="27">
        <f>IF(AP661="","",AP661&amp;IF(D661="","  (guessed from PAN)",""))</f>
        <v/>
      </c>
      <c r="AI661" s="27">
        <f>IF(AN661="","",IFERROR(INDEX(Lists!$L$2:$L$38,MATCH(LEFT(AN661,2),Lists!$K$2:$K$38,0)),"Unknown code"))</f>
        <v/>
      </c>
      <c r="AJ661" s="27">
        <f>IF(AN661="","",IFERROR(IF(NOT(AND(LEN(AN661)=15,ISNUMBER(MATCH(LEFT(AN661,2),Lists!$K$2:$K$38,0)),SUMPRODUCT(--ISERROR(FIND(MID(MID(AN661,3,10),{1,2,3,4,5,10},1),"ABCDEFGHIJKLMNOPQRSTUVWXYZ")))=0,SUMPRODUCT(--ISERROR(FIND(MID(MID(AN661,3,10),{6,7,8,9},1),"0123456789")))=0,ISNUMBER(FIND(MID(AN661,13,1),"123456789ABCDEFGHIJKLMNOPQRSTUVWXYZ")),MID(AN661,14,1)="Z")),"Wrong format",IF(MID("0123456789ABCDEFGHIJKLMNOPQRSTUVWXYZ",MOD(36-MOD(SUMPRODUCT(INT((FIND(MID(AN661,{1,2,3,4,5,6,7,8,9,10,11,12,13,14},1),"0123456789ABCDEFGHIJKLMNOPQRSTUVWXYZ")-1)*{1,2,1,2,1,2,1,2,1,2,1,2,1,2}/36)+MOD((FIND(MID(AN661,{1,2,3,4,5,6,7,8,9,10,11,12,13,14},1),"0123456789ABCDEFGHIJKLMNOPQRSTUVWXYZ")-1)*{1,2,1,2,1,2,1,2,1,2,1,2,1,2},36)),36),36)+1,1)=MID(AN661,15,1),"OK","Typo? check digit wrong")),"Wrong format"))</f>
        <v/>
      </c>
      <c r="AK661" s="27">
        <f>IF(AO661="","",IF(AND(LEN(AO661)=10,SUMPRODUCT(--ISERROR(FIND(MID(AO661,{1,2,3,4,5,10},1),"ABCDEFGHIJKLMNOPQRSTUVWXYZ")))=0,SUMPRODUCT(--ISERROR(FIND(MID(AO661,{6,7,8,9},1),"0123456789")))=0),"OK","Wrong format"))</f>
        <v/>
      </c>
      <c r="AL661" s="27">
        <f>IF(TRIM(H661)="","",IF(AND(LEN(UPPER(TRIM(H661)))=10,SUMPRODUCT(--ISERROR(FIND(MID(UPPER(TRIM(H661)),{1,2,3,4,10},1),"ABCDEFGHIJKLMNOPQRSTUVWXYZ")))=0,SUMPRODUCT(--ISERROR(FIND(MID(UPPER(TRIM(H661)),{5,6,7,8,9},1),"0123456789")))=0),"OK","Wrong format"))</f>
        <v/>
      </c>
      <c r="AM661" s="28">
        <f>IF(NOT(COUNTA(A661:AE661)&gt;0),"",IF(AS661&lt;&gt;"","✖ "&amp;LEFT(AS661,LEN(AS661)-2),IF(AR661&gt;0,"✔ Ready — client + "&amp;AR661&amp;" service(s)","✔ Ready — client only")))</f>
        <v/>
      </c>
      <c r="AN661" s="29">
        <f>UPPER(SUBSTITUTE(TRIM(F661)," ",""))</f>
        <v/>
      </c>
      <c r="AO661" s="29">
        <f>UPPER(SUBSTITUTE(TRIM(E661)," ",""))</f>
        <v/>
      </c>
      <c r="AP661" s="29">
        <f>IF(D661&lt;&gt;"",D661,IFERROR(VLOOKUP(MID(AG661,4,1),Lists!$E$2:$F$8,2,FALSE),""))</f>
        <v/>
      </c>
      <c r="AQ661" s="29">
        <f>IFERROR(VLOOKUP(AP661,Lists!$A$2:$C$12,3,FALSE),"")</f>
        <v/>
      </c>
      <c r="AR661" s="29">
        <f>COUNTIF(W661:AC661,"Yes")</f>
        <v/>
      </c>
      <c r="AS661" s="29">
        <f>IF(TRIM(B661)="","Legal name missing; ","")&amp;IF(AND(AJ661&lt;&gt;"",AJ661&lt;&gt;"OK"),"GSTIN: "&amp;AJ661&amp;"; ","")&amp;IF(AND(AK661&lt;&gt;"",AK661&lt;&gt;"OK"),"PAN wrong format; ","")&amp;IF(AND(AO661&lt;&gt;"",LEN(AN661)=15,MID(AN661,3,10)&lt;&gt;AO661),"PAN does not match GSTIN; ","")&amp;IF(AND(AL661&lt;&gt;"",AL661&lt;&gt;"OK"),"TAN wrong format; ","")&amp;IF(AG661="","PAN missing; ","")&amp;IF(AP661="","Entity type missing; ","")&amp;IF(AND(AN661&lt;&gt;"",COUNTIF($AN$6:$AN$1005,AN661)&gt;1),"GSTIN repeated in this sheet; ","")&amp;IF(AND(AG661&lt;&gt;"",COUNTIF($AG$6:$AG$1005,AG661)&gt;1),"PAN repeated in this sheet (same client? put extra GSTINs in Other GSTINs); ","")&amp;IF(AND(AR661&gt;0,V661=""),"Financial year missing; ","")&amp;IF(AND(AR661=0,V661&lt;&gt;""),"Financial year given but no service is Yes; ","")&amp;IF(AND(W661="Yes",AN661=""),"GST needs a GSTIN; ","")&amp;IF(AND(W661="Yes",X661=""),"GST return frequency missing; ","")&amp;IF(AND(Y661="Yes",TRIM(H661)=""),"TDS needs a TAN; ","")&amp;IF(AND(AA661="Yes",AQ661&lt;&gt;"",AQ661&lt;&gt;"company",AQ661&lt;&gt;"llp"),"ROC is only for a company / LLP; ","")&amp;IF(AND(AA661="Yes",OR(AQ661="company",AQ661="llp"),TRIM(I661)=""),"ROC needs the CIN / LLPIN; ","")</f>
        <v/>
      </c>
    </row>
    <row r="662">
      <c r="A662" s="30" t="n"/>
      <c r="B662" s="31" t="n"/>
      <c r="C662" s="31" t="n"/>
      <c r="D662" s="31" t="n"/>
      <c r="E662" s="30" t="n"/>
      <c r="F662" s="30" t="n"/>
      <c r="G662" s="30" t="n"/>
      <c r="H662" s="30" t="n"/>
      <c r="I662" s="30" t="n"/>
      <c r="J662" s="32" t="n"/>
      <c r="K662" s="31" t="n"/>
      <c r="L662" s="30" t="n"/>
      <c r="M662" s="31" t="n"/>
      <c r="N662" s="31" t="n"/>
      <c r="O662" s="31" t="n"/>
      <c r="P662" s="30" t="n"/>
      <c r="Q662" s="31" t="n"/>
      <c r="R662" s="31" t="n"/>
      <c r="S662" s="31" t="n"/>
      <c r="T662" s="31" t="n"/>
      <c r="U662" s="30" t="n"/>
      <c r="V662" s="31" t="n"/>
      <c r="W662" s="31" t="n"/>
      <c r="X662" s="31" t="n"/>
      <c r="Y662" s="31" t="n"/>
      <c r="Z662" s="31" t="n"/>
      <c r="AA662" s="31" t="n"/>
      <c r="AB662" s="31" t="n"/>
      <c r="AC662" s="31" t="n"/>
      <c r="AD662" s="31" t="n"/>
      <c r="AE662" s="31" t="n"/>
      <c r="AF662" s="27">
        <f>IF(NOT(COUNTA(A662:AE662)&gt;0),"",IF(A662="","New client","Update"))</f>
        <v/>
      </c>
      <c r="AG662" s="27">
        <f>IF(AO662&lt;&gt;"",AO662,IF(LEN(AN662)=15,MID(AN662,3,10),""))</f>
        <v/>
      </c>
      <c r="AH662" s="27">
        <f>IF(AP662="","",AP662&amp;IF(D662="","  (guessed from PAN)",""))</f>
        <v/>
      </c>
      <c r="AI662" s="27">
        <f>IF(AN662="","",IFERROR(INDEX(Lists!$L$2:$L$38,MATCH(LEFT(AN662,2),Lists!$K$2:$K$38,0)),"Unknown code"))</f>
        <v/>
      </c>
      <c r="AJ662" s="27">
        <f>IF(AN662="","",IFERROR(IF(NOT(AND(LEN(AN662)=15,ISNUMBER(MATCH(LEFT(AN662,2),Lists!$K$2:$K$38,0)),SUMPRODUCT(--ISERROR(FIND(MID(MID(AN662,3,10),{1,2,3,4,5,10},1),"ABCDEFGHIJKLMNOPQRSTUVWXYZ")))=0,SUMPRODUCT(--ISERROR(FIND(MID(MID(AN662,3,10),{6,7,8,9},1),"0123456789")))=0,ISNUMBER(FIND(MID(AN662,13,1),"123456789ABCDEFGHIJKLMNOPQRSTUVWXYZ")),MID(AN662,14,1)="Z")),"Wrong format",IF(MID("0123456789ABCDEFGHIJKLMNOPQRSTUVWXYZ",MOD(36-MOD(SUMPRODUCT(INT((FIND(MID(AN662,{1,2,3,4,5,6,7,8,9,10,11,12,13,14},1),"0123456789ABCDEFGHIJKLMNOPQRSTUVWXYZ")-1)*{1,2,1,2,1,2,1,2,1,2,1,2,1,2}/36)+MOD((FIND(MID(AN662,{1,2,3,4,5,6,7,8,9,10,11,12,13,14},1),"0123456789ABCDEFGHIJKLMNOPQRSTUVWXYZ")-1)*{1,2,1,2,1,2,1,2,1,2,1,2,1,2},36)),36),36)+1,1)=MID(AN662,15,1),"OK","Typo? check digit wrong")),"Wrong format"))</f>
        <v/>
      </c>
      <c r="AK662" s="27">
        <f>IF(AO662="","",IF(AND(LEN(AO662)=10,SUMPRODUCT(--ISERROR(FIND(MID(AO662,{1,2,3,4,5,10},1),"ABCDEFGHIJKLMNOPQRSTUVWXYZ")))=0,SUMPRODUCT(--ISERROR(FIND(MID(AO662,{6,7,8,9},1),"0123456789")))=0),"OK","Wrong format"))</f>
        <v/>
      </c>
      <c r="AL662" s="27">
        <f>IF(TRIM(H662)="","",IF(AND(LEN(UPPER(TRIM(H662)))=10,SUMPRODUCT(--ISERROR(FIND(MID(UPPER(TRIM(H662)),{1,2,3,4,10},1),"ABCDEFGHIJKLMNOPQRSTUVWXYZ")))=0,SUMPRODUCT(--ISERROR(FIND(MID(UPPER(TRIM(H662)),{5,6,7,8,9},1),"0123456789")))=0),"OK","Wrong format"))</f>
        <v/>
      </c>
      <c r="AM662" s="28">
        <f>IF(NOT(COUNTA(A662:AE662)&gt;0),"",IF(AS662&lt;&gt;"","✖ "&amp;LEFT(AS662,LEN(AS662)-2),IF(AR662&gt;0,"✔ Ready — client + "&amp;AR662&amp;" service(s)","✔ Ready — client only")))</f>
        <v/>
      </c>
      <c r="AN662" s="29">
        <f>UPPER(SUBSTITUTE(TRIM(F662)," ",""))</f>
        <v/>
      </c>
      <c r="AO662" s="29">
        <f>UPPER(SUBSTITUTE(TRIM(E662)," ",""))</f>
        <v/>
      </c>
      <c r="AP662" s="29">
        <f>IF(D662&lt;&gt;"",D662,IFERROR(VLOOKUP(MID(AG662,4,1),Lists!$E$2:$F$8,2,FALSE),""))</f>
        <v/>
      </c>
      <c r="AQ662" s="29">
        <f>IFERROR(VLOOKUP(AP662,Lists!$A$2:$C$12,3,FALSE),"")</f>
        <v/>
      </c>
      <c r="AR662" s="29">
        <f>COUNTIF(W662:AC662,"Yes")</f>
        <v/>
      </c>
      <c r="AS662" s="29">
        <f>IF(TRIM(B662)="","Legal name missing; ","")&amp;IF(AND(AJ662&lt;&gt;"",AJ662&lt;&gt;"OK"),"GSTIN: "&amp;AJ662&amp;"; ","")&amp;IF(AND(AK662&lt;&gt;"",AK662&lt;&gt;"OK"),"PAN wrong format; ","")&amp;IF(AND(AO662&lt;&gt;"",LEN(AN662)=15,MID(AN662,3,10)&lt;&gt;AO662),"PAN does not match GSTIN; ","")&amp;IF(AND(AL662&lt;&gt;"",AL662&lt;&gt;"OK"),"TAN wrong format; ","")&amp;IF(AG662="","PAN missing; ","")&amp;IF(AP662="","Entity type missing; ","")&amp;IF(AND(AN662&lt;&gt;"",COUNTIF($AN$6:$AN$1005,AN662)&gt;1),"GSTIN repeated in this sheet; ","")&amp;IF(AND(AG662&lt;&gt;"",COUNTIF($AG$6:$AG$1005,AG662)&gt;1),"PAN repeated in this sheet (same client? put extra GSTINs in Other GSTINs); ","")&amp;IF(AND(AR662&gt;0,V662=""),"Financial year missing; ","")&amp;IF(AND(AR662=0,V662&lt;&gt;""),"Financial year given but no service is Yes; ","")&amp;IF(AND(W662="Yes",AN662=""),"GST needs a GSTIN; ","")&amp;IF(AND(W662="Yes",X662=""),"GST return frequency missing; ","")&amp;IF(AND(Y662="Yes",TRIM(H662)=""),"TDS needs a TAN; ","")&amp;IF(AND(AA662="Yes",AQ662&lt;&gt;"",AQ662&lt;&gt;"company",AQ662&lt;&gt;"llp"),"ROC is only for a company / LLP; ","")&amp;IF(AND(AA662="Yes",OR(AQ662="company",AQ662="llp"),TRIM(I662)=""),"ROC needs the CIN / LLPIN; ","")</f>
        <v/>
      </c>
    </row>
    <row r="663">
      <c r="A663" s="30" t="n"/>
      <c r="B663" s="31" t="n"/>
      <c r="C663" s="31" t="n"/>
      <c r="D663" s="31" t="n"/>
      <c r="E663" s="30" t="n"/>
      <c r="F663" s="30" t="n"/>
      <c r="G663" s="30" t="n"/>
      <c r="H663" s="30" t="n"/>
      <c r="I663" s="30" t="n"/>
      <c r="J663" s="32" t="n"/>
      <c r="K663" s="31" t="n"/>
      <c r="L663" s="30" t="n"/>
      <c r="M663" s="31" t="n"/>
      <c r="N663" s="31" t="n"/>
      <c r="O663" s="31" t="n"/>
      <c r="P663" s="30" t="n"/>
      <c r="Q663" s="31" t="n"/>
      <c r="R663" s="31" t="n"/>
      <c r="S663" s="31" t="n"/>
      <c r="T663" s="31" t="n"/>
      <c r="U663" s="30" t="n"/>
      <c r="V663" s="31" t="n"/>
      <c r="W663" s="31" t="n"/>
      <c r="X663" s="31" t="n"/>
      <c r="Y663" s="31" t="n"/>
      <c r="Z663" s="31" t="n"/>
      <c r="AA663" s="31" t="n"/>
      <c r="AB663" s="31" t="n"/>
      <c r="AC663" s="31" t="n"/>
      <c r="AD663" s="31" t="n"/>
      <c r="AE663" s="31" t="n"/>
      <c r="AF663" s="27">
        <f>IF(NOT(COUNTA(A663:AE663)&gt;0),"",IF(A663="","New client","Update"))</f>
        <v/>
      </c>
      <c r="AG663" s="27">
        <f>IF(AO663&lt;&gt;"",AO663,IF(LEN(AN663)=15,MID(AN663,3,10),""))</f>
        <v/>
      </c>
      <c r="AH663" s="27">
        <f>IF(AP663="","",AP663&amp;IF(D663="","  (guessed from PAN)",""))</f>
        <v/>
      </c>
      <c r="AI663" s="27">
        <f>IF(AN663="","",IFERROR(INDEX(Lists!$L$2:$L$38,MATCH(LEFT(AN663,2),Lists!$K$2:$K$38,0)),"Unknown code"))</f>
        <v/>
      </c>
      <c r="AJ663" s="27">
        <f>IF(AN663="","",IFERROR(IF(NOT(AND(LEN(AN663)=15,ISNUMBER(MATCH(LEFT(AN663,2),Lists!$K$2:$K$38,0)),SUMPRODUCT(--ISERROR(FIND(MID(MID(AN663,3,10),{1,2,3,4,5,10},1),"ABCDEFGHIJKLMNOPQRSTUVWXYZ")))=0,SUMPRODUCT(--ISERROR(FIND(MID(MID(AN663,3,10),{6,7,8,9},1),"0123456789")))=0,ISNUMBER(FIND(MID(AN663,13,1),"123456789ABCDEFGHIJKLMNOPQRSTUVWXYZ")),MID(AN663,14,1)="Z")),"Wrong format",IF(MID("0123456789ABCDEFGHIJKLMNOPQRSTUVWXYZ",MOD(36-MOD(SUMPRODUCT(INT((FIND(MID(AN663,{1,2,3,4,5,6,7,8,9,10,11,12,13,14},1),"0123456789ABCDEFGHIJKLMNOPQRSTUVWXYZ")-1)*{1,2,1,2,1,2,1,2,1,2,1,2,1,2}/36)+MOD((FIND(MID(AN663,{1,2,3,4,5,6,7,8,9,10,11,12,13,14},1),"0123456789ABCDEFGHIJKLMNOPQRSTUVWXYZ")-1)*{1,2,1,2,1,2,1,2,1,2,1,2,1,2},36)),36),36)+1,1)=MID(AN663,15,1),"OK","Typo? check digit wrong")),"Wrong format"))</f>
        <v/>
      </c>
      <c r="AK663" s="27">
        <f>IF(AO663="","",IF(AND(LEN(AO663)=10,SUMPRODUCT(--ISERROR(FIND(MID(AO663,{1,2,3,4,5,10},1),"ABCDEFGHIJKLMNOPQRSTUVWXYZ")))=0,SUMPRODUCT(--ISERROR(FIND(MID(AO663,{6,7,8,9},1),"0123456789")))=0),"OK","Wrong format"))</f>
        <v/>
      </c>
      <c r="AL663" s="27">
        <f>IF(TRIM(H663)="","",IF(AND(LEN(UPPER(TRIM(H663)))=10,SUMPRODUCT(--ISERROR(FIND(MID(UPPER(TRIM(H663)),{1,2,3,4,10},1),"ABCDEFGHIJKLMNOPQRSTUVWXYZ")))=0,SUMPRODUCT(--ISERROR(FIND(MID(UPPER(TRIM(H663)),{5,6,7,8,9},1),"0123456789")))=0),"OK","Wrong format"))</f>
        <v/>
      </c>
      <c r="AM663" s="28">
        <f>IF(NOT(COUNTA(A663:AE663)&gt;0),"",IF(AS663&lt;&gt;"","✖ "&amp;LEFT(AS663,LEN(AS663)-2),IF(AR663&gt;0,"✔ Ready — client + "&amp;AR663&amp;" service(s)","✔ Ready — client only")))</f>
        <v/>
      </c>
      <c r="AN663" s="29">
        <f>UPPER(SUBSTITUTE(TRIM(F663)," ",""))</f>
        <v/>
      </c>
      <c r="AO663" s="29">
        <f>UPPER(SUBSTITUTE(TRIM(E663)," ",""))</f>
        <v/>
      </c>
      <c r="AP663" s="29">
        <f>IF(D663&lt;&gt;"",D663,IFERROR(VLOOKUP(MID(AG663,4,1),Lists!$E$2:$F$8,2,FALSE),""))</f>
        <v/>
      </c>
      <c r="AQ663" s="29">
        <f>IFERROR(VLOOKUP(AP663,Lists!$A$2:$C$12,3,FALSE),"")</f>
        <v/>
      </c>
      <c r="AR663" s="29">
        <f>COUNTIF(W663:AC663,"Yes")</f>
        <v/>
      </c>
      <c r="AS663" s="29">
        <f>IF(TRIM(B663)="","Legal name missing; ","")&amp;IF(AND(AJ663&lt;&gt;"",AJ663&lt;&gt;"OK"),"GSTIN: "&amp;AJ663&amp;"; ","")&amp;IF(AND(AK663&lt;&gt;"",AK663&lt;&gt;"OK"),"PAN wrong format; ","")&amp;IF(AND(AO663&lt;&gt;"",LEN(AN663)=15,MID(AN663,3,10)&lt;&gt;AO663),"PAN does not match GSTIN; ","")&amp;IF(AND(AL663&lt;&gt;"",AL663&lt;&gt;"OK"),"TAN wrong format; ","")&amp;IF(AG663="","PAN missing; ","")&amp;IF(AP663="","Entity type missing; ","")&amp;IF(AND(AN663&lt;&gt;"",COUNTIF($AN$6:$AN$1005,AN663)&gt;1),"GSTIN repeated in this sheet; ","")&amp;IF(AND(AG663&lt;&gt;"",COUNTIF($AG$6:$AG$1005,AG663)&gt;1),"PAN repeated in this sheet (same client? put extra GSTINs in Other GSTINs); ","")&amp;IF(AND(AR663&gt;0,V663=""),"Financial year missing; ","")&amp;IF(AND(AR663=0,V663&lt;&gt;""),"Financial year given but no service is Yes; ","")&amp;IF(AND(W663="Yes",AN663=""),"GST needs a GSTIN; ","")&amp;IF(AND(W663="Yes",X663=""),"GST return frequency missing; ","")&amp;IF(AND(Y663="Yes",TRIM(H663)=""),"TDS needs a TAN; ","")&amp;IF(AND(AA663="Yes",AQ663&lt;&gt;"",AQ663&lt;&gt;"company",AQ663&lt;&gt;"llp"),"ROC is only for a company / LLP; ","")&amp;IF(AND(AA663="Yes",OR(AQ663="company",AQ663="llp"),TRIM(I663)=""),"ROC needs the CIN / LLPIN; ","")</f>
        <v/>
      </c>
    </row>
    <row r="664">
      <c r="A664" s="30" t="n"/>
      <c r="B664" s="31" t="n"/>
      <c r="C664" s="31" t="n"/>
      <c r="D664" s="31" t="n"/>
      <c r="E664" s="30" t="n"/>
      <c r="F664" s="30" t="n"/>
      <c r="G664" s="30" t="n"/>
      <c r="H664" s="30" t="n"/>
      <c r="I664" s="30" t="n"/>
      <c r="J664" s="32" t="n"/>
      <c r="K664" s="31" t="n"/>
      <c r="L664" s="30" t="n"/>
      <c r="M664" s="31" t="n"/>
      <c r="N664" s="31" t="n"/>
      <c r="O664" s="31" t="n"/>
      <c r="P664" s="30" t="n"/>
      <c r="Q664" s="31" t="n"/>
      <c r="R664" s="31" t="n"/>
      <c r="S664" s="31" t="n"/>
      <c r="T664" s="31" t="n"/>
      <c r="U664" s="30" t="n"/>
      <c r="V664" s="31" t="n"/>
      <c r="W664" s="31" t="n"/>
      <c r="X664" s="31" t="n"/>
      <c r="Y664" s="31" t="n"/>
      <c r="Z664" s="31" t="n"/>
      <c r="AA664" s="31" t="n"/>
      <c r="AB664" s="31" t="n"/>
      <c r="AC664" s="31" t="n"/>
      <c r="AD664" s="31" t="n"/>
      <c r="AE664" s="31" t="n"/>
      <c r="AF664" s="27">
        <f>IF(NOT(COUNTA(A664:AE664)&gt;0),"",IF(A664="","New client","Update"))</f>
        <v/>
      </c>
      <c r="AG664" s="27">
        <f>IF(AO664&lt;&gt;"",AO664,IF(LEN(AN664)=15,MID(AN664,3,10),""))</f>
        <v/>
      </c>
      <c r="AH664" s="27">
        <f>IF(AP664="","",AP664&amp;IF(D664="","  (guessed from PAN)",""))</f>
        <v/>
      </c>
      <c r="AI664" s="27">
        <f>IF(AN664="","",IFERROR(INDEX(Lists!$L$2:$L$38,MATCH(LEFT(AN664,2),Lists!$K$2:$K$38,0)),"Unknown code"))</f>
        <v/>
      </c>
      <c r="AJ664" s="27">
        <f>IF(AN664="","",IFERROR(IF(NOT(AND(LEN(AN664)=15,ISNUMBER(MATCH(LEFT(AN664,2),Lists!$K$2:$K$38,0)),SUMPRODUCT(--ISERROR(FIND(MID(MID(AN664,3,10),{1,2,3,4,5,10},1),"ABCDEFGHIJKLMNOPQRSTUVWXYZ")))=0,SUMPRODUCT(--ISERROR(FIND(MID(MID(AN664,3,10),{6,7,8,9},1),"0123456789")))=0,ISNUMBER(FIND(MID(AN664,13,1),"123456789ABCDEFGHIJKLMNOPQRSTUVWXYZ")),MID(AN664,14,1)="Z")),"Wrong format",IF(MID("0123456789ABCDEFGHIJKLMNOPQRSTUVWXYZ",MOD(36-MOD(SUMPRODUCT(INT((FIND(MID(AN664,{1,2,3,4,5,6,7,8,9,10,11,12,13,14},1),"0123456789ABCDEFGHIJKLMNOPQRSTUVWXYZ")-1)*{1,2,1,2,1,2,1,2,1,2,1,2,1,2}/36)+MOD((FIND(MID(AN664,{1,2,3,4,5,6,7,8,9,10,11,12,13,14},1),"0123456789ABCDEFGHIJKLMNOPQRSTUVWXYZ")-1)*{1,2,1,2,1,2,1,2,1,2,1,2,1,2},36)),36),36)+1,1)=MID(AN664,15,1),"OK","Typo? check digit wrong")),"Wrong format"))</f>
        <v/>
      </c>
      <c r="AK664" s="27">
        <f>IF(AO664="","",IF(AND(LEN(AO664)=10,SUMPRODUCT(--ISERROR(FIND(MID(AO664,{1,2,3,4,5,10},1),"ABCDEFGHIJKLMNOPQRSTUVWXYZ")))=0,SUMPRODUCT(--ISERROR(FIND(MID(AO664,{6,7,8,9},1),"0123456789")))=0),"OK","Wrong format"))</f>
        <v/>
      </c>
      <c r="AL664" s="27">
        <f>IF(TRIM(H664)="","",IF(AND(LEN(UPPER(TRIM(H664)))=10,SUMPRODUCT(--ISERROR(FIND(MID(UPPER(TRIM(H664)),{1,2,3,4,10},1),"ABCDEFGHIJKLMNOPQRSTUVWXYZ")))=0,SUMPRODUCT(--ISERROR(FIND(MID(UPPER(TRIM(H664)),{5,6,7,8,9},1),"0123456789")))=0),"OK","Wrong format"))</f>
        <v/>
      </c>
      <c r="AM664" s="28">
        <f>IF(NOT(COUNTA(A664:AE664)&gt;0),"",IF(AS664&lt;&gt;"","✖ "&amp;LEFT(AS664,LEN(AS664)-2),IF(AR664&gt;0,"✔ Ready — client + "&amp;AR664&amp;" service(s)","✔ Ready — client only")))</f>
        <v/>
      </c>
      <c r="AN664" s="29">
        <f>UPPER(SUBSTITUTE(TRIM(F664)," ",""))</f>
        <v/>
      </c>
      <c r="AO664" s="29">
        <f>UPPER(SUBSTITUTE(TRIM(E664)," ",""))</f>
        <v/>
      </c>
      <c r="AP664" s="29">
        <f>IF(D664&lt;&gt;"",D664,IFERROR(VLOOKUP(MID(AG664,4,1),Lists!$E$2:$F$8,2,FALSE),""))</f>
        <v/>
      </c>
      <c r="AQ664" s="29">
        <f>IFERROR(VLOOKUP(AP664,Lists!$A$2:$C$12,3,FALSE),"")</f>
        <v/>
      </c>
      <c r="AR664" s="29">
        <f>COUNTIF(W664:AC664,"Yes")</f>
        <v/>
      </c>
      <c r="AS664" s="29">
        <f>IF(TRIM(B664)="","Legal name missing; ","")&amp;IF(AND(AJ664&lt;&gt;"",AJ664&lt;&gt;"OK"),"GSTIN: "&amp;AJ664&amp;"; ","")&amp;IF(AND(AK664&lt;&gt;"",AK664&lt;&gt;"OK"),"PAN wrong format; ","")&amp;IF(AND(AO664&lt;&gt;"",LEN(AN664)=15,MID(AN664,3,10)&lt;&gt;AO664),"PAN does not match GSTIN; ","")&amp;IF(AND(AL664&lt;&gt;"",AL664&lt;&gt;"OK"),"TAN wrong format; ","")&amp;IF(AG664="","PAN missing; ","")&amp;IF(AP664="","Entity type missing; ","")&amp;IF(AND(AN664&lt;&gt;"",COUNTIF($AN$6:$AN$1005,AN664)&gt;1),"GSTIN repeated in this sheet; ","")&amp;IF(AND(AG664&lt;&gt;"",COUNTIF($AG$6:$AG$1005,AG664)&gt;1),"PAN repeated in this sheet (same client? put extra GSTINs in Other GSTINs); ","")&amp;IF(AND(AR664&gt;0,V664=""),"Financial year missing; ","")&amp;IF(AND(AR664=0,V664&lt;&gt;""),"Financial year given but no service is Yes; ","")&amp;IF(AND(W664="Yes",AN664=""),"GST needs a GSTIN; ","")&amp;IF(AND(W664="Yes",X664=""),"GST return frequency missing; ","")&amp;IF(AND(Y664="Yes",TRIM(H664)=""),"TDS needs a TAN; ","")&amp;IF(AND(AA664="Yes",AQ664&lt;&gt;"",AQ664&lt;&gt;"company",AQ664&lt;&gt;"llp"),"ROC is only for a company / LLP; ","")&amp;IF(AND(AA664="Yes",OR(AQ664="company",AQ664="llp"),TRIM(I664)=""),"ROC needs the CIN / LLPIN; ","")</f>
        <v/>
      </c>
    </row>
    <row r="665">
      <c r="A665" s="30" t="n"/>
      <c r="B665" s="31" t="n"/>
      <c r="C665" s="31" t="n"/>
      <c r="D665" s="31" t="n"/>
      <c r="E665" s="30" t="n"/>
      <c r="F665" s="30" t="n"/>
      <c r="G665" s="30" t="n"/>
      <c r="H665" s="30" t="n"/>
      <c r="I665" s="30" t="n"/>
      <c r="J665" s="32" t="n"/>
      <c r="K665" s="31" t="n"/>
      <c r="L665" s="30" t="n"/>
      <c r="M665" s="31" t="n"/>
      <c r="N665" s="31" t="n"/>
      <c r="O665" s="31" t="n"/>
      <c r="P665" s="30" t="n"/>
      <c r="Q665" s="31" t="n"/>
      <c r="R665" s="31" t="n"/>
      <c r="S665" s="31" t="n"/>
      <c r="T665" s="31" t="n"/>
      <c r="U665" s="30" t="n"/>
      <c r="V665" s="31" t="n"/>
      <c r="W665" s="31" t="n"/>
      <c r="X665" s="31" t="n"/>
      <c r="Y665" s="31" t="n"/>
      <c r="Z665" s="31" t="n"/>
      <c r="AA665" s="31" t="n"/>
      <c r="AB665" s="31" t="n"/>
      <c r="AC665" s="31" t="n"/>
      <c r="AD665" s="31" t="n"/>
      <c r="AE665" s="31" t="n"/>
      <c r="AF665" s="27">
        <f>IF(NOT(COUNTA(A665:AE665)&gt;0),"",IF(A665="","New client","Update"))</f>
        <v/>
      </c>
      <c r="AG665" s="27">
        <f>IF(AO665&lt;&gt;"",AO665,IF(LEN(AN665)=15,MID(AN665,3,10),""))</f>
        <v/>
      </c>
      <c r="AH665" s="27">
        <f>IF(AP665="","",AP665&amp;IF(D665="","  (guessed from PAN)",""))</f>
        <v/>
      </c>
      <c r="AI665" s="27">
        <f>IF(AN665="","",IFERROR(INDEX(Lists!$L$2:$L$38,MATCH(LEFT(AN665,2),Lists!$K$2:$K$38,0)),"Unknown code"))</f>
        <v/>
      </c>
      <c r="AJ665" s="27">
        <f>IF(AN665="","",IFERROR(IF(NOT(AND(LEN(AN665)=15,ISNUMBER(MATCH(LEFT(AN665,2),Lists!$K$2:$K$38,0)),SUMPRODUCT(--ISERROR(FIND(MID(MID(AN665,3,10),{1,2,3,4,5,10},1),"ABCDEFGHIJKLMNOPQRSTUVWXYZ")))=0,SUMPRODUCT(--ISERROR(FIND(MID(MID(AN665,3,10),{6,7,8,9},1),"0123456789")))=0,ISNUMBER(FIND(MID(AN665,13,1),"123456789ABCDEFGHIJKLMNOPQRSTUVWXYZ")),MID(AN665,14,1)="Z")),"Wrong format",IF(MID("0123456789ABCDEFGHIJKLMNOPQRSTUVWXYZ",MOD(36-MOD(SUMPRODUCT(INT((FIND(MID(AN665,{1,2,3,4,5,6,7,8,9,10,11,12,13,14},1),"0123456789ABCDEFGHIJKLMNOPQRSTUVWXYZ")-1)*{1,2,1,2,1,2,1,2,1,2,1,2,1,2}/36)+MOD((FIND(MID(AN665,{1,2,3,4,5,6,7,8,9,10,11,12,13,14},1),"0123456789ABCDEFGHIJKLMNOPQRSTUVWXYZ")-1)*{1,2,1,2,1,2,1,2,1,2,1,2,1,2},36)),36),36)+1,1)=MID(AN665,15,1),"OK","Typo? check digit wrong")),"Wrong format"))</f>
        <v/>
      </c>
      <c r="AK665" s="27">
        <f>IF(AO665="","",IF(AND(LEN(AO665)=10,SUMPRODUCT(--ISERROR(FIND(MID(AO665,{1,2,3,4,5,10},1),"ABCDEFGHIJKLMNOPQRSTUVWXYZ")))=0,SUMPRODUCT(--ISERROR(FIND(MID(AO665,{6,7,8,9},1),"0123456789")))=0),"OK","Wrong format"))</f>
        <v/>
      </c>
      <c r="AL665" s="27">
        <f>IF(TRIM(H665)="","",IF(AND(LEN(UPPER(TRIM(H665)))=10,SUMPRODUCT(--ISERROR(FIND(MID(UPPER(TRIM(H665)),{1,2,3,4,10},1),"ABCDEFGHIJKLMNOPQRSTUVWXYZ")))=0,SUMPRODUCT(--ISERROR(FIND(MID(UPPER(TRIM(H665)),{5,6,7,8,9},1),"0123456789")))=0),"OK","Wrong format"))</f>
        <v/>
      </c>
      <c r="AM665" s="28">
        <f>IF(NOT(COUNTA(A665:AE665)&gt;0),"",IF(AS665&lt;&gt;"","✖ "&amp;LEFT(AS665,LEN(AS665)-2),IF(AR665&gt;0,"✔ Ready — client + "&amp;AR665&amp;" service(s)","✔ Ready — client only")))</f>
        <v/>
      </c>
      <c r="AN665" s="29">
        <f>UPPER(SUBSTITUTE(TRIM(F665)," ",""))</f>
        <v/>
      </c>
      <c r="AO665" s="29">
        <f>UPPER(SUBSTITUTE(TRIM(E665)," ",""))</f>
        <v/>
      </c>
      <c r="AP665" s="29">
        <f>IF(D665&lt;&gt;"",D665,IFERROR(VLOOKUP(MID(AG665,4,1),Lists!$E$2:$F$8,2,FALSE),""))</f>
        <v/>
      </c>
      <c r="AQ665" s="29">
        <f>IFERROR(VLOOKUP(AP665,Lists!$A$2:$C$12,3,FALSE),"")</f>
        <v/>
      </c>
      <c r="AR665" s="29">
        <f>COUNTIF(W665:AC665,"Yes")</f>
        <v/>
      </c>
      <c r="AS665" s="29">
        <f>IF(TRIM(B665)="","Legal name missing; ","")&amp;IF(AND(AJ665&lt;&gt;"",AJ665&lt;&gt;"OK"),"GSTIN: "&amp;AJ665&amp;"; ","")&amp;IF(AND(AK665&lt;&gt;"",AK665&lt;&gt;"OK"),"PAN wrong format; ","")&amp;IF(AND(AO665&lt;&gt;"",LEN(AN665)=15,MID(AN665,3,10)&lt;&gt;AO665),"PAN does not match GSTIN; ","")&amp;IF(AND(AL665&lt;&gt;"",AL665&lt;&gt;"OK"),"TAN wrong format; ","")&amp;IF(AG665="","PAN missing; ","")&amp;IF(AP665="","Entity type missing; ","")&amp;IF(AND(AN665&lt;&gt;"",COUNTIF($AN$6:$AN$1005,AN665)&gt;1),"GSTIN repeated in this sheet; ","")&amp;IF(AND(AG665&lt;&gt;"",COUNTIF($AG$6:$AG$1005,AG665)&gt;1),"PAN repeated in this sheet (same client? put extra GSTINs in Other GSTINs); ","")&amp;IF(AND(AR665&gt;0,V665=""),"Financial year missing; ","")&amp;IF(AND(AR665=0,V665&lt;&gt;""),"Financial year given but no service is Yes; ","")&amp;IF(AND(W665="Yes",AN665=""),"GST needs a GSTIN; ","")&amp;IF(AND(W665="Yes",X665=""),"GST return frequency missing; ","")&amp;IF(AND(Y665="Yes",TRIM(H665)=""),"TDS needs a TAN; ","")&amp;IF(AND(AA665="Yes",AQ665&lt;&gt;"",AQ665&lt;&gt;"company",AQ665&lt;&gt;"llp"),"ROC is only for a company / LLP; ","")&amp;IF(AND(AA665="Yes",OR(AQ665="company",AQ665="llp"),TRIM(I665)=""),"ROC needs the CIN / LLPIN; ","")</f>
        <v/>
      </c>
    </row>
    <row r="666">
      <c r="A666" s="30" t="n"/>
      <c r="B666" s="31" t="n"/>
      <c r="C666" s="31" t="n"/>
      <c r="D666" s="31" t="n"/>
      <c r="E666" s="30" t="n"/>
      <c r="F666" s="30" t="n"/>
      <c r="G666" s="30" t="n"/>
      <c r="H666" s="30" t="n"/>
      <c r="I666" s="30" t="n"/>
      <c r="J666" s="32" t="n"/>
      <c r="K666" s="31" t="n"/>
      <c r="L666" s="30" t="n"/>
      <c r="M666" s="31" t="n"/>
      <c r="N666" s="31" t="n"/>
      <c r="O666" s="31" t="n"/>
      <c r="P666" s="30" t="n"/>
      <c r="Q666" s="31" t="n"/>
      <c r="R666" s="31" t="n"/>
      <c r="S666" s="31" t="n"/>
      <c r="T666" s="31" t="n"/>
      <c r="U666" s="30" t="n"/>
      <c r="V666" s="31" t="n"/>
      <c r="W666" s="31" t="n"/>
      <c r="X666" s="31" t="n"/>
      <c r="Y666" s="31" t="n"/>
      <c r="Z666" s="31" t="n"/>
      <c r="AA666" s="31" t="n"/>
      <c r="AB666" s="31" t="n"/>
      <c r="AC666" s="31" t="n"/>
      <c r="AD666" s="31" t="n"/>
      <c r="AE666" s="31" t="n"/>
      <c r="AF666" s="27">
        <f>IF(NOT(COUNTA(A666:AE666)&gt;0),"",IF(A666="","New client","Update"))</f>
        <v/>
      </c>
      <c r="AG666" s="27">
        <f>IF(AO666&lt;&gt;"",AO666,IF(LEN(AN666)=15,MID(AN666,3,10),""))</f>
        <v/>
      </c>
      <c r="AH666" s="27">
        <f>IF(AP666="","",AP666&amp;IF(D666="","  (guessed from PAN)",""))</f>
        <v/>
      </c>
      <c r="AI666" s="27">
        <f>IF(AN666="","",IFERROR(INDEX(Lists!$L$2:$L$38,MATCH(LEFT(AN666,2),Lists!$K$2:$K$38,0)),"Unknown code"))</f>
        <v/>
      </c>
      <c r="AJ666" s="27">
        <f>IF(AN666="","",IFERROR(IF(NOT(AND(LEN(AN666)=15,ISNUMBER(MATCH(LEFT(AN666,2),Lists!$K$2:$K$38,0)),SUMPRODUCT(--ISERROR(FIND(MID(MID(AN666,3,10),{1,2,3,4,5,10},1),"ABCDEFGHIJKLMNOPQRSTUVWXYZ")))=0,SUMPRODUCT(--ISERROR(FIND(MID(MID(AN666,3,10),{6,7,8,9},1),"0123456789")))=0,ISNUMBER(FIND(MID(AN666,13,1),"123456789ABCDEFGHIJKLMNOPQRSTUVWXYZ")),MID(AN666,14,1)="Z")),"Wrong format",IF(MID("0123456789ABCDEFGHIJKLMNOPQRSTUVWXYZ",MOD(36-MOD(SUMPRODUCT(INT((FIND(MID(AN666,{1,2,3,4,5,6,7,8,9,10,11,12,13,14},1),"0123456789ABCDEFGHIJKLMNOPQRSTUVWXYZ")-1)*{1,2,1,2,1,2,1,2,1,2,1,2,1,2}/36)+MOD((FIND(MID(AN666,{1,2,3,4,5,6,7,8,9,10,11,12,13,14},1),"0123456789ABCDEFGHIJKLMNOPQRSTUVWXYZ")-1)*{1,2,1,2,1,2,1,2,1,2,1,2,1,2},36)),36),36)+1,1)=MID(AN666,15,1),"OK","Typo? check digit wrong")),"Wrong format"))</f>
        <v/>
      </c>
      <c r="AK666" s="27">
        <f>IF(AO666="","",IF(AND(LEN(AO666)=10,SUMPRODUCT(--ISERROR(FIND(MID(AO666,{1,2,3,4,5,10},1),"ABCDEFGHIJKLMNOPQRSTUVWXYZ")))=0,SUMPRODUCT(--ISERROR(FIND(MID(AO666,{6,7,8,9},1),"0123456789")))=0),"OK","Wrong format"))</f>
        <v/>
      </c>
      <c r="AL666" s="27">
        <f>IF(TRIM(H666)="","",IF(AND(LEN(UPPER(TRIM(H666)))=10,SUMPRODUCT(--ISERROR(FIND(MID(UPPER(TRIM(H666)),{1,2,3,4,10},1),"ABCDEFGHIJKLMNOPQRSTUVWXYZ")))=0,SUMPRODUCT(--ISERROR(FIND(MID(UPPER(TRIM(H666)),{5,6,7,8,9},1),"0123456789")))=0),"OK","Wrong format"))</f>
        <v/>
      </c>
      <c r="AM666" s="28">
        <f>IF(NOT(COUNTA(A666:AE666)&gt;0),"",IF(AS666&lt;&gt;"","✖ "&amp;LEFT(AS666,LEN(AS666)-2),IF(AR666&gt;0,"✔ Ready — client + "&amp;AR666&amp;" service(s)","✔ Ready — client only")))</f>
        <v/>
      </c>
      <c r="AN666" s="29">
        <f>UPPER(SUBSTITUTE(TRIM(F666)," ",""))</f>
        <v/>
      </c>
      <c r="AO666" s="29">
        <f>UPPER(SUBSTITUTE(TRIM(E666)," ",""))</f>
        <v/>
      </c>
      <c r="AP666" s="29">
        <f>IF(D666&lt;&gt;"",D666,IFERROR(VLOOKUP(MID(AG666,4,1),Lists!$E$2:$F$8,2,FALSE),""))</f>
        <v/>
      </c>
      <c r="AQ666" s="29">
        <f>IFERROR(VLOOKUP(AP666,Lists!$A$2:$C$12,3,FALSE),"")</f>
        <v/>
      </c>
      <c r="AR666" s="29">
        <f>COUNTIF(W666:AC666,"Yes")</f>
        <v/>
      </c>
      <c r="AS666" s="29">
        <f>IF(TRIM(B666)="","Legal name missing; ","")&amp;IF(AND(AJ666&lt;&gt;"",AJ666&lt;&gt;"OK"),"GSTIN: "&amp;AJ666&amp;"; ","")&amp;IF(AND(AK666&lt;&gt;"",AK666&lt;&gt;"OK"),"PAN wrong format; ","")&amp;IF(AND(AO666&lt;&gt;"",LEN(AN666)=15,MID(AN666,3,10)&lt;&gt;AO666),"PAN does not match GSTIN; ","")&amp;IF(AND(AL666&lt;&gt;"",AL666&lt;&gt;"OK"),"TAN wrong format; ","")&amp;IF(AG666="","PAN missing; ","")&amp;IF(AP666="","Entity type missing; ","")&amp;IF(AND(AN666&lt;&gt;"",COUNTIF($AN$6:$AN$1005,AN666)&gt;1),"GSTIN repeated in this sheet; ","")&amp;IF(AND(AG666&lt;&gt;"",COUNTIF($AG$6:$AG$1005,AG666)&gt;1),"PAN repeated in this sheet (same client? put extra GSTINs in Other GSTINs); ","")&amp;IF(AND(AR666&gt;0,V666=""),"Financial year missing; ","")&amp;IF(AND(AR666=0,V666&lt;&gt;""),"Financial year given but no service is Yes; ","")&amp;IF(AND(W666="Yes",AN666=""),"GST needs a GSTIN; ","")&amp;IF(AND(W666="Yes",X666=""),"GST return frequency missing; ","")&amp;IF(AND(Y666="Yes",TRIM(H666)=""),"TDS needs a TAN; ","")&amp;IF(AND(AA666="Yes",AQ666&lt;&gt;"",AQ666&lt;&gt;"company",AQ666&lt;&gt;"llp"),"ROC is only for a company / LLP; ","")&amp;IF(AND(AA666="Yes",OR(AQ666="company",AQ666="llp"),TRIM(I666)=""),"ROC needs the CIN / LLPIN; ","")</f>
        <v/>
      </c>
    </row>
    <row r="667">
      <c r="A667" s="30" t="n"/>
      <c r="B667" s="31" t="n"/>
      <c r="C667" s="31" t="n"/>
      <c r="D667" s="31" t="n"/>
      <c r="E667" s="30" t="n"/>
      <c r="F667" s="30" t="n"/>
      <c r="G667" s="30" t="n"/>
      <c r="H667" s="30" t="n"/>
      <c r="I667" s="30" t="n"/>
      <c r="J667" s="32" t="n"/>
      <c r="K667" s="31" t="n"/>
      <c r="L667" s="30" t="n"/>
      <c r="M667" s="31" t="n"/>
      <c r="N667" s="31" t="n"/>
      <c r="O667" s="31" t="n"/>
      <c r="P667" s="30" t="n"/>
      <c r="Q667" s="31" t="n"/>
      <c r="R667" s="31" t="n"/>
      <c r="S667" s="31" t="n"/>
      <c r="T667" s="31" t="n"/>
      <c r="U667" s="30" t="n"/>
      <c r="V667" s="31" t="n"/>
      <c r="W667" s="31" t="n"/>
      <c r="X667" s="31" t="n"/>
      <c r="Y667" s="31" t="n"/>
      <c r="Z667" s="31" t="n"/>
      <c r="AA667" s="31" t="n"/>
      <c r="AB667" s="31" t="n"/>
      <c r="AC667" s="31" t="n"/>
      <c r="AD667" s="31" t="n"/>
      <c r="AE667" s="31" t="n"/>
      <c r="AF667" s="27">
        <f>IF(NOT(COUNTA(A667:AE667)&gt;0),"",IF(A667="","New client","Update"))</f>
        <v/>
      </c>
      <c r="AG667" s="27">
        <f>IF(AO667&lt;&gt;"",AO667,IF(LEN(AN667)=15,MID(AN667,3,10),""))</f>
        <v/>
      </c>
      <c r="AH667" s="27">
        <f>IF(AP667="","",AP667&amp;IF(D667="","  (guessed from PAN)",""))</f>
        <v/>
      </c>
      <c r="AI667" s="27">
        <f>IF(AN667="","",IFERROR(INDEX(Lists!$L$2:$L$38,MATCH(LEFT(AN667,2),Lists!$K$2:$K$38,0)),"Unknown code"))</f>
        <v/>
      </c>
      <c r="AJ667" s="27">
        <f>IF(AN667="","",IFERROR(IF(NOT(AND(LEN(AN667)=15,ISNUMBER(MATCH(LEFT(AN667,2),Lists!$K$2:$K$38,0)),SUMPRODUCT(--ISERROR(FIND(MID(MID(AN667,3,10),{1,2,3,4,5,10},1),"ABCDEFGHIJKLMNOPQRSTUVWXYZ")))=0,SUMPRODUCT(--ISERROR(FIND(MID(MID(AN667,3,10),{6,7,8,9},1),"0123456789")))=0,ISNUMBER(FIND(MID(AN667,13,1),"123456789ABCDEFGHIJKLMNOPQRSTUVWXYZ")),MID(AN667,14,1)="Z")),"Wrong format",IF(MID("0123456789ABCDEFGHIJKLMNOPQRSTUVWXYZ",MOD(36-MOD(SUMPRODUCT(INT((FIND(MID(AN667,{1,2,3,4,5,6,7,8,9,10,11,12,13,14},1),"0123456789ABCDEFGHIJKLMNOPQRSTUVWXYZ")-1)*{1,2,1,2,1,2,1,2,1,2,1,2,1,2}/36)+MOD((FIND(MID(AN667,{1,2,3,4,5,6,7,8,9,10,11,12,13,14},1),"0123456789ABCDEFGHIJKLMNOPQRSTUVWXYZ")-1)*{1,2,1,2,1,2,1,2,1,2,1,2,1,2},36)),36),36)+1,1)=MID(AN667,15,1),"OK","Typo? check digit wrong")),"Wrong format"))</f>
        <v/>
      </c>
      <c r="AK667" s="27">
        <f>IF(AO667="","",IF(AND(LEN(AO667)=10,SUMPRODUCT(--ISERROR(FIND(MID(AO667,{1,2,3,4,5,10},1),"ABCDEFGHIJKLMNOPQRSTUVWXYZ")))=0,SUMPRODUCT(--ISERROR(FIND(MID(AO667,{6,7,8,9},1),"0123456789")))=0),"OK","Wrong format"))</f>
        <v/>
      </c>
      <c r="AL667" s="27">
        <f>IF(TRIM(H667)="","",IF(AND(LEN(UPPER(TRIM(H667)))=10,SUMPRODUCT(--ISERROR(FIND(MID(UPPER(TRIM(H667)),{1,2,3,4,10},1),"ABCDEFGHIJKLMNOPQRSTUVWXYZ")))=0,SUMPRODUCT(--ISERROR(FIND(MID(UPPER(TRIM(H667)),{5,6,7,8,9},1),"0123456789")))=0),"OK","Wrong format"))</f>
        <v/>
      </c>
      <c r="AM667" s="28">
        <f>IF(NOT(COUNTA(A667:AE667)&gt;0),"",IF(AS667&lt;&gt;"","✖ "&amp;LEFT(AS667,LEN(AS667)-2),IF(AR667&gt;0,"✔ Ready — client + "&amp;AR667&amp;" service(s)","✔ Ready — client only")))</f>
        <v/>
      </c>
      <c r="AN667" s="29">
        <f>UPPER(SUBSTITUTE(TRIM(F667)," ",""))</f>
        <v/>
      </c>
      <c r="AO667" s="29">
        <f>UPPER(SUBSTITUTE(TRIM(E667)," ",""))</f>
        <v/>
      </c>
      <c r="AP667" s="29">
        <f>IF(D667&lt;&gt;"",D667,IFERROR(VLOOKUP(MID(AG667,4,1),Lists!$E$2:$F$8,2,FALSE),""))</f>
        <v/>
      </c>
      <c r="AQ667" s="29">
        <f>IFERROR(VLOOKUP(AP667,Lists!$A$2:$C$12,3,FALSE),"")</f>
        <v/>
      </c>
      <c r="AR667" s="29">
        <f>COUNTIF(W667:AC667,"Yes")</f>
        <v/>
      </c>
      <c r="AS667" s="29">
        <f>IF(TRIM(B667)="","Legal name missing; ","")&amp;IF(AND(AJ667&lt;&gt;"",AJ667&lt;&gt;"OK"),"GSTIN: "&amp;AJ667&amp;"; ","")&amp;IF(AND(AK667&lt;&gt;"",AK667&lt;&gt;"OK"),"PAN wrong format; ","")&amp;IF(AND(AO667&lt;&gt;"",LEN(AN667)=15,MID(AN667,3,10)&lt;&gt;AO667),"PAN does not match GSTIN; ","")&amp;IF(AND(AL667&lt;&gt;"",AL667&lt;&gt;"OK"),"TAN wrong format; ","")&amp;IF(AG667="","PAN missing; ","")&amp;IF(AP667="","Entity type missing; ","")&amp;IF(AND(AN667&lt;&gt;"",COUNTIF($AN$6:$AN$1005,AN667)&gt;1),"GSTIN repeated in this sheet; ","")&amp;IF(AND(AG667&lt;&gt;"",COUNTIF($AG$6:$AG$1005,AG667)&gt;1),"PAN repeated in this sheet (same client? put extra GSTINs in Other GSTINs); ","")&amp;IF(AND(AR667&gt;0,V667=""),"Financial year missing; ","")&amp;IF(AND(AR667=0,V667&lt;&gt;""),"Financial year given but no service is Yes; ","")&amp;IF(AND(W667="Yes",AN667=""),"GST needs a GSTIN; ","")&amp;IF(AND(W667="Yes",X667=""),"GST return frequency missing; ","")&amp;IF(AND(Y667="Yes",TRIM(H667)=""),"TDS needs a TAN; ","")&amp;IF(AND(AA667="Yes",AQ667&lt;&gt;"",AQ667&lt;&gt;"company",AQ667&lt;&gt;"llp"),"ROC is only for a company / LLP; ","")&amp;IF(AND(AA667="Yes",OR(AQ667="company",AQ667="llp"),TRIM(I667)=""),"ROC needs the CIN / LLPIN; ","")</f>
        <v/>
      </c>
    </row>
    <row r="668">
      <c r="A668" s="30" t="n"/>
      <c r="B668" s="31" t="n"/>
      <c r="C668" s="31" t="n"/>
      <c r="D668" s="31" t="n"/>
      <c r="E668" s="30" t="n"/>
      <c r="F668" s="30" t="n"/>
      <c r="G668" s="30" t="n"/>
      <c r="H668" s="30" t="n"/>
      <c r="I668" s="30" t="n"/>
      <c r="J668" s="32" t="n"/>
      <c r="K668" s="31" t="n"/>
      <c r="L668" s="30" t="n"/>
      <c r="M668" s="31" t="n"/>
      <c r="N668" s="31" t="n"/>
      <c r="O668" s="31" t="n"/>
      <c r="P668" s="30" t="n"/>
      <c r="Q668" s="31" t="n"/>
      <c r="R668" s="31" t="n"/>
      <c r="S668" s="31" t="n"/>
      <c r="T668" s="31" t="n"/>
      <c r="U668" s="30" t="n"/>
      <c r="V668" s="31" t="n"/>
      <c r="W668" s="31" t="n"/>
      <c r="X668" s="31" t="n"/>
      <c r="Y668" s="31" t="n"/>
      <c r="Z668" s="31" t="n"/>
      <c r="AA668" s="31" t="n"/>
      <c r="AB668" s="31" t="n"/>
      <c r="AC668" s="31" t="n"/>
      <c r="AD668" s="31" t="n"/>
      <c r="AE668" s="31" t="n"/>
      <c r="AF668" s="27">
        <f>IF(NOT(COUNTA(A668:AE668)&gt;0),"",IF(A668="","New client","Update"))</f>
        <v/>
      </c>
      <c r="AG668" s="27">
        <f>IF(AO668&lt;&gt;"",AO668,IF(LEN(AN668)=15,MID(AN668,3,10),""))</f>
        <v/>
      </c>
      <c r="AH668" s="27">
        <f>IF(AP668="","",AP668&amp;IF(D668="","  (guessed from PAN)",""))</f>
        <v/>
      </c>
      <c r="AI668" s="27">
        <f>IF(AN668="","",IFERROR(INDEX(Lists!$L$2:$L$38,MATCH(LEFT(AN668,2),Lists!$K$2:$K$38,0)),"Unknown code"))</f>
        <v/>
      </c>
      <c r="AJ668" s="27">
        <f>IF(AN668="","",IFERROR(IF(NOT(AND(LEN(AN668)=15,ISNUMBER(MATCH(LEFT(AN668,2),Lists!$K$2:$K$38,0)),SUMPRODUCT(--ISERROR(FIND(MID(MID(AN668,3,10),{1,2,3,4,5,10},1),"ABCDEFGHIJKLMNOPQRSTUVWXYZ")))=0,SUMPRODUCT(--ISERROR(FIND(MID(MID(AN668,3,10),{6,7,8,9},1),"0123456789")))=0,ISNUMBER(FIND(MID(AN668,13,1),"123456789ABCDEFGHIJKLMNOPQRSTUVWXYZ")),MID(AN668,14,1)="Z")),"Wrong format",IF(MID("0123456789ABCDEFGHIJKLMNOPQRSTUVWXYZ",MOD(36-MOD(SUMPRODUCT(INT((FIND(MID(AN668,{1,2,3,4,5,6,7,8,9,10,11,12,13,14},1),"0123456789ABCDEFGHIJKLMNOPQRSTUVWXYZ")-1)*{1,2,1,2,1,2,1,2,1,2,1,2,1,2}/36)+MOD((FIND(MID(AN668,{1,2,3,4,5,6,7,8,9,10,11,12,13,14},1),"0123456789ABCDEFGHIJKLMNOPQRSTUVWXYZ")-1)*{1,2,1,2,1,2,1,2,1,2,1,2,1,2},36)),36),36)+1,1)=MID(AN668,15,1),"OK","Typo? check digit wrong")),"Wrong format"))</f>
        <v/>
      </c>
      <c r="AK668" s="27">
        <f>IF(AO668="","",IF(AND(LEN(AO668)=10,SUMPRODUCT(--ISERROR(FIND(MID(AO668,{1,2,3,4,5,10},1),"ABCDEFGHIJKLMNOPQRSTUVWXYZ")))=0,SUMPRODUCT(--ISERROR(FIND(MID(AO668,{6,7,8,9},1),"0123456789")))=0),"OK","Wrong format"))</f>
        <v/>
      </c>
      <c r="AL668" s="27">
        <f>IF(TRIM(H668)="","",IF(AND(LEN(UPPER(TRIM(H668)))=10,SUMPRODUCT(--ISERROR(FIND(MID(UPPER(TRIM(H668)),{1,2,3,4,10},1),"ABCDEFGHIJKLMNOPQRSTUVWXYZ")))=0,SUMPRODUCT(--ISERROR(FIND(MID(UPPER(TRIM(H668)),{5,6,7,8,9},1),"0123456789")))=0),"OK","Wrong format"))</f>
        <v/>
      </c>
      <c r="AM668" s="28">
        <f>IF(NOT(COUNTA(A668:AE668)&gt;0),"",IF(AS668&lt;&gt;"","✖ "&amp;LEFT(AS668,LEN(AS668)-2),IF(AR668&gt;0,"✔ Ready — client + "&amp;AR668&amp;" service(s)","✔ Ready — client only")))</f>
        <v/>
      </c>
      <c r="AN668" s="29">
        <f>UPPER(SUBSTITUTE(TRIM(F668)," ",""))</f>
        <v/>
      </c>
      <c r="AO668" s="29">
        <f>UPPER(SUBSTITUTE(TRIM(E668)," ",""))</f>
        <v/>
      </c>
      <c r="AP668" s="29">
        <f>IF(D668&lt;&gt;"",D668,IFERROR(VLOOKUP(MID(AG668,4,1),Lists!$E$2:$F$8,2,FALSE),""))</f>
        <v/>
      </c>
      <c r="AQ668" s="29">
        <f>IFERROR(VLOOKUP(AP668,Lists!$A$2:$C$12,3,FALSE),"")</f>
        <v/>
      </c>
      <c r="AR668" s="29">
        <f>COUNTIF(W668:AC668,"Yes")</f>
        <v/>
      </c>
      <c r="AS668" s="29">
        <f>IF(TRIM(B668)="","Legal name missing; ","")&amp;IF(AND(AJ668&lt;&gt;"",AJ668&lt;&gt;"OK"),"GSTIN: "&amp;AJ668&amp;"; ","")&amp;IF(AND(AK668&lt;&gt;"",AK668&lt;&gt;"OK"),"PAN wrong format; ","")&amp;IF(AND(AO668&lt;&gt;"",LEN(AN668)=15,MID(AN668,3,10)&lt;&gt;AO668),"PAN does not match GSTIN; ","")&amp;IF(AND(AL668&lt;&gt;"",AL668&lt;&gt;"OK"),"TAN wrong format; ","")&amp;IF(AG668="","PAN missing; ","")&amp;IF(AP668="","Entity type missing; ","")&amp;IF(AND(AN668&lt;&gt;"",COUNTIF($AN$6:$AN$1005,AN668)&gt;1),"GSTIN repeated in this sheet; ","")&amp;IF(AND(AG668&lt;&gt;"",COUNTIF($AG$6:$AG$1005,AG668)&gt;1),"PAN repeated in this sheet (same client? put extra GSTINs in Other GSTINs); ","")&amp;IF(AND(AR668&gt;0,V668=""),"Financial year missing; ","")&amp;IF(AND(AR668=0,V668&lt;&gt;""),"Financial year given but no service is Yes; ","")&amp;IF(AND(W668="Yes",AN668=""),"GST needs a GSTIN; ","")&amp;IF(AND(W668="Yes",X668=""),"GST return frequency missing; ","")&amp;IF(AND(Y668="Yes",TRIM(H668)=""),"TDS needs a TAN; ","")&amp;IF(AND(AA668="Yes",AQ668&lt;&gt;"",AQ668&lt;&gt;"company",AQ668&lt;&gt;"llp"),"ROC is only for a company / LLP; ","")&amp;IF(AND(AA668="Yes",OR(AQ668="company",AQ668="llp"),TRIM(I668)=""),"ROC needs the CIN / LLPIN; ","")</f>
        <v/>
      </c>
    </row>
    <row r="669">
      <c r="A669" s="30" t="n"/>
      <c r="B669" s="31" t="n"/>
      <c r="C669" s="31" t="n"/>
      <c r="D669" s="31" t="n"/>
      <c r="E669" s="30" t="n"/>
      <c r="F669" s="30" t="n"/>
      <c r="G669" s="30" t="n"/>
      <c r="H669" s="30" t="n"/>
      <c r="I669" s="30" t="n"/>
      <c r="J669" s="32" t="n"/>
      <c r="K669" s="31" t="n"/>
      <c r="L669" s="30" t="n"/>
      <c r="M669" s="31" t="n"/>
      <c r="N669" s="31" t="n"/>
      <c r="O669" s="31" t="n"/>
      <c r="P669" s="30" t="n"/>
      <c r="Q669" s="31" t="n"/>
      <c r="R669" s="31" t="n"/>
      <c r="S669" s="31" t="n"/>
      <c r="T669" s="31" t="n"/>
      <c r="U669" s="30" t="n"/>
      <c r="V669" s="31" t="n"/>
      <c r="W669" s="31" t="n"/>
      <c r="X669" s="31" t="n"/>
      <c r="Y669" s="31" t="n"/>
      <c r="Z669" s="31" t="n"/>
      <c r="AA669" s="31" t="n"/>
      <c r="AB669" s="31" t="n"/>
      <c r="AC669" s="31" t="n"/>
      <c r="AD669" s="31" t="n"/>
      <c r="AE669" s="31" t="n"/>
      <c r="AF669" s="27">
        <f>IF(NOT(COUNTA(A669:AE669)&gt;0),"",IF(A669="","New client","Update"))</f>
        <v/>
      </c>
      <c r="AG669" s="27">
        <f>IF(AO669&lt;&gt;"",AO669,IF(LEN(AN669)=15,MID(AN669,3,10),""))</f>
        <v/>
      </c>
      <c r="AH669" s="27">
        <f>IF(AP669="","",AP669&amp;IF(D669="","  (guessed from PAN)",""))</f>
        <v/>
      </c>
      <c r="AI669" s="27">
        <f>IF(AN669="","",IFERROR(INDEX(Lists!$L$2:$L$38,MATCH(LEFT(AN669,2),Lists!$K$2:$K$38,0)),"Unknown code"))</f>
        <v/>
      </c>
      <c r="AJ669" s="27">
        <f>IF(AN669="","",IFERROR(IF(NOT(AND(LEN(AN669)=15,ISNUMBER(MATCH(LEFT(AN669,2),Lists!$K$2:$K$38,0)),SUMPRODUCT(--ISERROR(FIND(MID(MID(AN669,3,10),{1,2,3,4,5,10},1),"ABCDEFGHIJKLMNOPQRSTUVWXYZ")))=0,SUMPRODUCT(--ISERROR(FIND(MID(MID(AN669,3,10),{6,7,8,9},1),"0123456789")))=0,ISNUMBER(FIND(MID(AN669,13,1),"123456789ABCDEFGHIJKLMNOPQRSTUVWXYZ")),MID(AN669,14,1)="Z")),"Wrong format",IF(MID("0123456789ABCDEFGHIJKLMNOPQRSTUVWXYZ",MOD(36-MOD(SUMPRODUCT(INT((FIND(MID(AN669,{1,2,3,4,5,6,7,8,9,10,11,12,13,14},1),"0123456789ABCDEFGHIJKLMNOPQRSTUVWXYZ")-1)*{1,2,1,2,1,2,1,2,1,2,1,2,1,2}/36)+MOD((FIND(MID(AN669,{1,2,3,4,5,6,7,8,9,10,11,12,13,14},1),"0123456789ABCDEFGHIJKLMNOPQRSTUVWXYZ")-1)*{1,2,1,2,1,2,1,2,1,2,1,2,1,2},36)),36),36)+1,1)=MID(AN669,15,1),"OK","Typo? check digit wrong")),"Wrong format"))</f>
        <v/>
      </c>
      <c r="AK669" s="27">
        <f>IF(AO669="","",IF(AND(LEN(AO669)=10,SUMPRODUCT(--ISERROR(FIND(MID(AO669,{1,2,3,4,5,10},1),"ABCDEFGHIJKLMNOPQRSTUVWXYZ")))=0,SUMPRODUCT(--ISERROR(FIND(MID(AO669,{6,7,8,9},1),"0123456789")))=0),"OK","Wrong format"))</f>
        <v/>
      </c>
      <c r="AL669" s="27">
        <f>IF(TRIM(H669)="","",IF(AND(LEN(UPPER(TRIM(H669)))=10,SUMPRODUCT(--ISERROR(FIND(MID(UPPER(TRIM(H669)),{1,2,3,4,10},1),"ABCDEFGHIJKLMNOPQRSTUVWXYZ")))=0,SUMPRODUCT(--ISERROR(FIND(MID(UPPER(TRIM(H669)),{5,6,7,8,9},1),"0123456789")))=0),"OK","Wrong format"))</f>
        <v/>
      </c>
      <c r="AM669" s="28">
        <f>IF(NOT(COUNTA(A669:AE669)&gt;0),"",IF(AS669&lt;&gt;"","✖ "&amp;LEFT(AS669,LEN(AS669)-2),IF(AR669&gt;0,"✔ Ready — client + "&amp;AR669&amp;" service(s)","✔ Ready — client only")))</f>
        <v/>
      </c>
      <c r="AN669" s="29">
        <f>UPPER(SUBSTITUTE(TRIM(F669)," ",""))</f>
        <v/>
      </c>
      <c r="AO669" s="29">
        <f>UPPER(SUBSTITUTE(TRIM(E669)," ",""))</f>
        <v/>
      </c>
      <c r="AP669" s="29">
        <f>IF(D669&lt;&gt;"",D669,IFERROR(VLOOKUP(MID(AG669,4,1),Lists!$E$2:$F$8,2,FALSE),""))</f>
        <v/>
      </c>
      <c r="AQ669" s="29">
        <f>IFERROR(VLOOKUP(AP669,Lists!$A$2:$C$12,3,FALSE),"")</f>
        <v/>
      </c>
      <c r="AR669" s="29">
        <f>COUNTIF(W669:AC669,"Yes")</f>
        <v/>
      </c>
      <c r="AS669" s="29">
        <f>IF(TRIM(B669)="","Legal name missing; ","")&amp;IF(AND(AJ669&lt;&gt;"",AJ669&lt;&gt;"OK"),"GSTIN: "&amp;AJ669&amp;"; ","")&amp;IF(AND(AK669&lt;&gt;"",AK669&lt;&gt;"OK"),"PAN wrong format; ","")&amp;IF(AND(AO669&lt;&gt;"",LEN(AN669)=15,MID(AN669,3,10)&lt;&gt;AO669),"PAN does not match GSTIN; ","")&amp;IF(AND(AL669&lt;&gt;"",AL669&lt;&gt;"OK"),"TAN wrong format; ","")&amp;IF(AG669="","PAN missing; ","")&amp;IF(AP669="","Entity type missing; ","")&amp;IF(AND(AN669&lt;&gt;"",COUNTIF($AN$6:$AN$1005,AN669)&gt;1),"GSTIN repeated in this sheet; ","")&amp;IF(AND(AG669&lt;&gt;"",COUNTIF($AG$6:$AG$1005,AG669)&gt;1),"PAN repeated in this sheet (same client? put extra GSTINs in Other GSTINs); ","")&amp;IF(AND(AR669&gt;0,V669=""),"Financial year missing; ","")&amp;IF(AND(AR669=0,V669&lt;&gt;""),"Financial year given but no service is Yes; ","")&amp;IF(AND(W669="Yes",AN669=""),"GST needs a GSTIN; ","")&amp;IF(AND(W669="Yes",X669=""),"GST return frequency missing; ","")&amp;IF(AND(Y669="Yes",TRIM(H669)=""),"TDS needs a TAN; ","")&amp;IF(AND(AA669="Yes",AQ669&lt;&gt;"",AQ669&lt;&gt;"company",AQ669&lt;&gt;"llp"),"ROC is only for a company / LLP; ","")&amp;IF(AND(AA669="Yes",OR(AQ669="company",AQ669="llp"),TRIM(I669)=""),"ROC needs the CIN / LLPIN; ","")</f>
        <v/>
      </c>
    </row>
    <row r="670">
      <c r="A670" s="30" t="n"/>
      <c r="B670" s="31" t="n"/>
      <c r="C670" s="31" t="n"/>
      <c r="D670" s="31" t="n"/>
      <c r="E670" s="30" t="n"/>
      <c r="F670" s="30" t="n"/>
      <c r="G670" s="30" t="n"/>
      <c r="H670" s="30" t="n"/>
      <c r="I670" s="30" t="n"/>
      <c r="J670" s="32" t="n"/>
      <c r="K670" s="31" t="n"/>
      <c r="L670" s="30" t="n"/>
      <c r="M670" s="31" t="n"/>
      <c r="N670" s="31" t="n"/>
      <c r="O670" s="31" t="n"/>
      <c r="P670" s="30" t="n"/>
      <c r="Q670" s="31" t="n"/>
      <c r="R670" s="31" t="n"/>
      <c r="S670" s="31" t="n"/>
      <c r="T670" s="31" t="n"/>
      <c r="U670" s="30" t="n"/>
      <c r="V670" s="31" t="n"/>
      <c r="W670" s="31" t="n"/>
      <c r="X670" s="31" t="n"/>
      <c r="Y670" s="31" t="n"/>
      <c r="Z670" s="31" t="n"/>
      <c r="AA670" s="31" t="n"/>
      <c r="AB670" s="31" t="n"/>
      <c r="AC670" s="31" t="n"/>
      <c r="AD670" s="31" t="n"/>
      <c r="AE670" s="31" t="n"/>
      <c r="AF670" s="27">
        <f>IF(NOT(COUNTA(A670:AE670)&gt;0),"",IF(A670="","New client","Update"))</f>
        <v/>
      </c>
      <c r="AG670" s="27">
        <f>IF(AO670&lt;&gt;"",AO670,IF(LEN(AN670)=15,MID(AN670,3,10),""))</f>
        <v/>
      </c>
      <c r="AH670" s="27">
        <f>IF(AP670="","",AP670&amp;IF(D670="","  (guessed from PAN)",""))</f>
        <v/>
      </c>
      <c r="AI670" s="27">
        <f>IF(AN670="","",IFERROR(INDEX(Lists!$L$2:$L$38,MATCH(LEFT(AN670,2),Lists!$K$2:$K$38,0)),"Unknown code"))</f>
        <v/>
      </c>
      <c r="AJ670" s="27">
        <f>IF(AN670="","",IFERROR(IF(NOT(AND(LEN(AN670)=15,ISNUMBER(MATCH(LEFT(AN670,2),Lists!$K$2:$K$38,0)),SUMPRODUCT(--ISERROR(FIND(MID(MID(AN670,3,10),{1,2,3,4,5,10},1),"ABCDEFGHIJKLMNOPQRSTUVWXYZ")))=0,SUMPRODUCT(--ISERROR(FIND(MID(MID(AN670,3,10),{6,7,8,9},1),"0123456789")))=0,ISNUMBER(FIND(MID(AN670,13,1),"123456789ABCDEFGHIJKLMNOPQRSTUVWXYZ")),MID(AN670,14,1)="Z")),"Wrong format",IF(MID("0123456789ABCDEFGHIJKLMNOPQRSTUVWXYZ",MOD(36-MOD(SUMPRODUCT(INT((FIND(MID(AN670,{1,2,3,4,5,6,7,8,9,10,11,12,13,14},1),"0123456789ABCDEFGHIJKLMNOPQRSTUVWXYZ")-1)*{1,2,1,2,1,2,1,2,1,2,1,2,1,2}/36)+MOD((FIND(MID(AN670,{1,2,3,4,5,6,7,8,9,10,11,12,13,14},1),"0123456789ABCDEFGHIJKLMNOPQRSTUVWXYZ")-1)*{1,2,1,2,1,2,1,2,1,2,1,2,1,2},36)),36),36)+1,1)=MID(AN670,15,1),"OK","Typo? check digit wrong")),"Wrong format"))</f>
        <v/>
      </c>
      <c r="AK670" s="27">
        <f>IF(AO670="","",IF(AND(LEN(AO670)=10,SUMPRODUCT(--ISERROR(FIND(MID(AO670,{1,2,3,4,5,10},1),"ABCDEFGHIJKLMNOPQRSTUVWXYZ")))=0,SUMPRODUCT(--ISERROR(FIND(MID(AO670,{6,7,8,9},1),"0123456789")))=0),"OK","Wrong format"))</f>
        <v/>
      </c>
      <c r="AL670" s="27">
        <f>IF(TRIM(H670)="","",IF(AND(LEN(UPPER(TRIM(H670)))=10,SUMPRODUCT(--ISERROR(FIND(MID(UPPER(TRIM(H670)),{1,2,3,4,10},1),"ABCDEFGHIJKLMNOPQRSTUVWXYZ")))=0,SUMPRODUCT(--ISERROR(FIND(MID(UPPER(TRIM(H670)),{5,6,7,8,9},1),"0123456789")))=0),"OK","Wrong format"))</f>
        <v/>
      </c>
      <c r="AM670" s="28">
        <f>IF(NOT(COUNTA(A670:AE670)&gt;0),"",IF(AS670&lt;&gt;"","✖ "&amp;LEFT(AS670,LEN(AS670)-2),IF(AR670&gt;0,"✔ Ready — client + "&amp;AR670&amp;" service(s)","✔ Ready — client only")))</f>
        <v/>
      </c>
      <c r="AN670" s="29">
        <f>UPPER(SUBSTITUTE(TRIM(F670)," ",""))</f>
        <v/>
      </c>
      <c r="AO670" s="29">
        <f>UPPER(SUBSTITUTE(TRIM(E670)," ",""))</f>
        <v/>
      </c>
      <c r="AP670" s="29">
        <f>IF(D670&lt;&gt;"",D670,IFERROR(VLOOKUP(MID(AG670,4,1),Lists!$E$2:$F$8,2,FALSE),""))</f>
        <v/>
      </c>
      <c r="AQ670" s="29">
        <f>IFERROR(VLOOKUP(AP670,Lists!$A$2:$C$12,3,FALSE),"")</f>
        <v/>
      </c>
      <c r="AR670" s="29">
        <f>COUNTIF(W670:AC670,"Yes")</f>
        <v/>
      </c>
      <c r="AS670" s="29">
        <f>IF(TRIM(B670)="","Legal name missing; ","")&amp;IF(AND(AJ670&lt;&gt;"",AJ670&lt;&gt;"OK"),"GSTIN: "&amp;AJ670&amp;"; ","")&amp;IF(AND(AK670&lt;&gt;"",AK670&lt;&gt;"OK"),"PAN wrong format; ","")&amp;IF(AND(AO670&lt;&gt;"",LEN(AN670)=15,MID(AN670,3,10)&lt;&gt;AO670),"PAN does not match GSTIN; ","")&amp;IF(AND(AL670&lt;&gt;"",AL670&lt;&gt;"OK"),"TAN wrong format; ","")&amp;IF(AG670="","PAN missing; ","")&amp;IF(AP670="","Entity type missing; ","")&amp;IF(AND(AN670&lt;&gt;"",COUNTIF($AN$6:$AN$1005,AN670)&gt;1),"GSTIN repeated in this sheet; ","")&amp;IF(AND(AG670&lt;&gt;"",COUNTIF($AG$6:$AG$1005,AG670)&gt;1),"PAN repeated in this sheet (same client? put extra GSTINs in Other GSTINs); ","")&amp;IF(AND(AR670&gt;0,V670=""),"Financial year missing; ","")&amp;IF(AND(AR670=0,V670&lt;&gt;""),"Financial year given but no service is Yes; ","")&amp;IF(AND(W670="Yes",AN670=""),"GST needs a GSTIN; ","")&amp;IF(AND(W670="Yes",X670=""),"GST return frequency missing; ","")&amp;IF(AND(Y670="Yes",TRIM(H670)=""),"TDS needs a TAN; ","")&amp;IF(AND(AA670="Yes",AQ670&lt;&gt;"",AQ670&lt;&gt;"company",AQ670&lt;&gt;"llp"),"ROC is only for a company / LLP; ","")&amp;IF(AND(AA670="Yes",OR(AQ670="company",AQ670="llp"),TRIM(I670)=""),"ROC needs the CIN / LLPIN; ","")</f>
        <v/>
      </c>
    </row>
    <row r="671">
      <c r="A671" s="30" t="n"/>
      <c r="B671" s="31" t="n"/>
      <c r="C671" s="31" t="n"/>
      <c r="D671" s="31" t="n"/>
      <c r="E671" s="30" t="n"/>
      <c r="F671" s="30" t="n"/>
      <c r="G671" s="30" t="n"/>
      <c r="H671" s="30" t="n"/>
      <c r="I671" s="30" t="n"/>
      <c r="J671" s="32" t="n"/>
      <c r="K671" s="31" t="n"/>
      <c r="L671" s="30" t="n"/>
      <c r="M671" s="31" t="n"/>
      <c r="N671" s="31" t="n"/>
      <c r="O671" s="31" t="n"/>
      <c r="P671" s="30" t="n"/>
      <c r="Q671" s="31" t="n"/>
      <c r="R671" s="31" t="n"/>
      <c r="S671" s="31" t="n"/>
      <c r="T671" s="31" t="n"/>
      <c r="U671" s="30" t="n"/>
      <c r="V671" s="31" t="n"/>
      <c r="W671" s="31" t="n"/>
      <c r="X671" s="31" t="n"/>
      <c r="Y671" s="31" t="n"/>
      <c r="Z671" s="31" t="n"/>
      <c r="AA671" s="31" t="n"/>
      <c r="AB671" s="31" t="n"/>
      <c r="AC671" s="31" t="n"/>
      <c r="AD671" s="31" t="n"/>
      <c r="AE671" s="31" t="n"/>
      <c r="AF671" s="27">
        <f>IF(NOT(COUNTA(A671:AE671)&gt;0),"",IF(A671="","New client","Update"))</f>
        <v/>
      </c>
      <c r="AG671" s="27">
        <f>IF(AO671&lt;&gt;"",AO671,IF(LEN(AN671)=15,MID(AN671,3,10),""))</f>
        <v/>
      </c>
      <c r="AH671" s="27">
        <f>IF(AP671="","",AP671&amp;IF(D671="","  (guessed from PAN)",""))</f>
        <v/>
      </c>
      <c r="AI671" s="27">
        <f>IF(AN671="","",IFERROR(INDEX(Lists!$L$2:$L$38,MATCH(LEFT(AN671,2),Lists!$K$2:$K$38,0)),"Unknown code"))</f>
        <v/>
      </c>
      <c r="AJ671" s="27">
        <f>IF(AN671="","",IFERROR(IF(NOT(AND(LEN(AN671)=15,ISNUMBER(MATCH(LEFT(AN671,2),Lists!$K$2:$K$38,0)),SUMPRODUCT(--ISERROR(FIND(MID(MID(AN671,3,10),{1,2,3,4,5,10},1),"ABCDEFGHIJKLMNOPQRSTUVWXYZ")))=0,SUMPRODUCT(--ISERROR(FIND(MID(MID(AN671,3,10),{6,7,8,9},1),"0123456789")))=0,ISNUMBER(FIND(MID(AN671,13,1),"123456789ABCDEFGHIJKLMNOPQRSTUVWXYZ")),MID(AN671,14,1)="Z")),"Wrong format",IF(MID("0123456789ABCDEFGHIJKLMNOPQRSTUVWXYZ",MOD(36-MOD(SUMPRODUCT(INT((FIND(MID(AN671,{1,2,3,4,5,6,7,8,9,10,11,12,13,14},1),"0123456789ABCDEFGHIJKLMNOPQRSTUVWXYZ")-1)*{1,2,1,2,1,2,1,2,1,2,1,2,1,2}/36)+MOD((FIND(MID(AN671,{1,2,3,4,5,6,7,8,9,10,11,12,13,14},1),"0123456789ABCDEFGHIJKLMNOPQRSTUVWXYZ")-1)*{1,2,1,2,1,2,1,2,1,2,1,2,1,2},36)),36),36)+1,1)=MID(AN671,15,1),"OK","Typo? check digit wrong")),"Wrong format"))</f>
        <v/>
      </c>
      <c r="AK671" s="27">
        <f>IF(AO671="","",IF(AND(LEN(AO671)=10,SUMPRODUCT(--ISERROR(FIND(MID(AO671,{1,2,3,4,5,10},1),"ABCDEFGHIJKLMNOPQRSTUVWXYZ")))=0,SUMPRODUCT(--ISERROR(FIND(MID(AO671,{6,7,8,9},1),"0123456789")))=0),"OK","Wrong format"))</f>
        <v/>
      </c>
      <c r="AL671" s="27">
        <f>IF(TRIM(H671)="","",IF(AND(LEN(UPPER(TRIM(H671)))=10,SUMPRODUCT(--ISERROR(FIND(MID(UPPER(TRIM(H671)),{1,2,3,4,10},1),"ABCDEFGHIJKLMNOPQRSTUVWXYZ")))=0,SUMPRODUCT(--ISERROR(FIND(MID(UPPER(TRIM(H671)),{5,6,7,8,9},1),"0123456789")))=0),"OK","Wrong format"))</f>
        <v/>
      </c>
      <c r="AM671" s="28">
        <f>IF(NOT(COUNTA(A671:AE671)&gt;0),"",IF(AS671&lt;&gt;"","✖ "&amp;LEFT(AS671,LEN(AS671)-2),IF(AR671&gt;0,"✔ Ready — client + "&amp;AR671&amp;" service(s)","✔ Ready — client only")))</f>
        <v/>
      </c>
      <c r="AN671" s="29">
        <f>UPPER(SUBSTITUTE(TRIM(F671)," ",""))</f>
        <v/>
      </c>
      <c r="AO671" s="29">
        <f>UPPER(SUBSTITUTE(TRIM(E671)," ",""))</f>
        <v/>
      </c>
      <c r="AP671" s="29">
        <f>IF(D671&lt;&gt;"",D671,IFERROR(VLOOKUP(MID(AG671,4,1),Lists!$E$2:$F$8,2,FALSE),""))</f>
        <v/>
      </c>
      <c r="AQ671" s="29">
        <f>IFERROR(VLOOKUP(AP671,Lists!$A$2:$C$12,3,FALSE),"")</f>
        <v/>
      </c>
      <c r="AR671" s="29">
        <f>COUNTIF(W671:AC671,"Yes")</f>
        <v/>
      </c>
      <c r="AS671" s="29">
        <f>IF(TRIM(B671)="","Legal name missing; ","")&amp;IF(AND(AJ671&lt;&gt;"",AJ671&lt;&gt;"OK"),"GSTIN: "&amp;AJ671&amp;"; ","")&amp;IF(AND(AK671&lt;&gt;"",AK671&lt;&gt;"OK"),"PAN wrong format; ","")&amp;IF(AND(AO671&lt;&gt;"",LEN(AN671)=15,MID(AN671,3,10)&lt;&gt;AO671),"PAN does not match GSTIN; ","")&amp;IF(AND(AL671&lt;&gt;"",AL671&lt;&gt;"OK"),"TAN wrong format; ","")&amp;IF(AG671="","PAN missing; ","")&amp;IF(AP671="","Entity type missing; ","")&amp;IF(AND(AN671&lt;&gt;"",COUNTIF($AN$6:$AN$1005,AN671)&gt;1),"GSTIN repeated in this sheet; ","")&amp;IF(AND(AG671&lt;&gt;"",COUNTIF($AG$6:$AG$1005,AG671)&gt;1),"PAN repeated in this sheet (same client? put extra GSTINs in Other GSTINs); ","")&amp;IF(AND(AR671&gt;0,V671=""),"Financial year missing; ","")&amp;IF(AND(AR671=0,V671&lt;&gt;""),"Financial year given but no service is Yes; ","")&amp;IF(AND(W671="Yes",AN671=""),"GST needs a GSTIN; ","")&amp;IF(AND(W671="Yes",X671=""),"GST return frequency missing; ","")&amp;IF(AND(Y671="Yes",TRIM(H671)=""),"TDS needs a TAN; ","")&amp;IF(AND(AA671="Yes",AQ671&lt;&gt;"",AQ671&lt;&gt;"company",AQ671&lt;&gt;"llp"),"ROC is only for a company / LLP; ","")&amp;IF(AND(AA671="Yes",OR(AQ671="company",AQ671="llp"),TRIM(I671)=""),"ROC needs the CIN / LLPIN; ","")</f>
        <v/>
      </c>
    </row>
    <row r="672">
      <c r="A672" s="30" t="n"/>
      <c r="B672" s="31" t="n"/>
      <c r="C672" s="31" t="n"/>
      <c r="D672" s="31" t="n"/>
      <c r="E672" s="30" t="n"/>
      <c r="F672" s="30" t="n"/>
      <c r="G672" s="30" t="n"/>
      <c r="H672" s="30" t="n"/>
      <c r="I672" s="30" t="n"/>
      <c r="J672" s="32" t="n"/>
      <c r="K672" s="31" t="n"/>
      <c r="L672" s="30" t="n"/>
      <c r="M672" s="31" t="n"/>
      <c r="N672" s="31" t="n"/>
      <c r="O672" s="31" t="n"/>
      <c r="P672" s="30" t="n"/>
      <c r="Q672" s="31" t="n"/>
      <c r="R672" s="31" t="n"/>
      <c r="S672" s="31" t="n"/>
      <c r="T672" s="31" t="n"/>
      <c r="U672" s="30" t="n"/>
      <c r="V672" s="31" t="n"/>
      <c r="W672" s="31" t="n"/>
      <c r="X672" s="31" t="n"/>
      <c r="Y672" s="31" t="n"/>
      <c r="Z672" s="31" t="n"/>
      <c r="AA672" s="31" t="n"/>
      <c r="AB672" s="31" t="n"/>
      <c r="AC672" s="31" t="n"/>
      <c r="AD672" s="31" t="n"/>
      <c r="AE672" s="31" t="n"/>
      <c r="AF672" s="27">
        <f>IF(NOT(COUNTA(A672:AE672)&gt;0),"",IF(A672="","New client","Update"))</f>
        <v/>
      </c>
      <c r="AG672" s="27">
        <f>IF(AO672&lt;&gt;"",AO672,IF(LEN(AN672)=15,MID(AN672,3,10),""))</f>
        <v/>
      </c>
      <c r="AH672" s="27">
        <f>IF(AP672="","",AP672&amp;IF(D672="","  (guessed from PAN)",""))</f>
        <v/>
      </c>
      <c r="AI672" s="27">
        <f>IF(AN672="","",IFERROR(INDEX(Lists!$L$2:$L$38,MATCH(LEFT(AN672,2),Lists!$K$2:$K$38,0)),"Unknown code"))</f>
        <v/>
      </c>
      <c r="AJ672" s="27">
        <f>IF(AN672="","",IFERROR(IF(NOT(AND(LEN(AN672)=15,ISNUMBER(MATCH(LEFT(AN672,2),Lists!$K$2:$K$38,0)),SUMPRODUCT(--ISERROR(FIND(MID(MID(AN672,3,10),{1,2,3,4,5,10},1),"ABCDEFGHIJKLMNOPQRSTUVWXYZ")))=0,SUMPRODUCT(--ISERROR(FIND(MID(MID(AN672,3,10),{6,7,8,9},1),"0123456789")))=0,ISNUMBER(FIND(MID(AN672,13,1),"123456789ABCDEFGHIJKLMNOPQRSTUVWXYZ")),MID(AN672,14,1)="Z")),"Wrong format",IF(MID("0123456789ABCDEFGHIJKLMNOPQRSTUVWXYZ",MOD(36-MOD(SUMPRODUCT(INT((FIND(MID(AN672,{1,2,3,4,5,6,7,8,9,10,11,12,13,14},1),"0123456789ABCDEFGHIJKLMNOPQRSTUVWXYZ")-1)*{1,2,1,2,1,2,1,2,1,2,1,2,1,2}/36)+MOD((FIND(MID(AN672,{1,2,3,4,5,6,7,8,9,10,11,12,13,14},1),"0123456789ABCDEFGHIJKLMNOPQRSTUVWXYZ")-1)*{1,2,1,2,1,2,1,2,1,2,1,2,1,2},36)),36),36)+1,1)=MID(AN672,15,1),"OK","Typo? check digit wrong")),"Wrong format"))</f>
        <v/>
      </c>
      <c r="AK672" s="27">
        <f>IF(AO672="","",IF(AND(LEN(AO672)=10,SUMPRODUCT(--ISERROR(FIND(MID(AO672,{1,2,3,4,5,10},1),"ABCDEFGHIJKLMNOPQRSTUVWXYZ")))=0,SUMPRODUCT(--ISERROR(FIND(MID(AO672,{6,7,8,9},1),"0123456789")))=0),"OK","Wrong format"))</f>
        <v/>
      </c>
      <c r="AL672" s="27">
        <f>IF(TRIM(H672)="","",IF(AND(LEN(UPPER(TRIM(H672)))=10,SUMPRODUCT(--ISERROR(FIND(MID(UPPER(TRIM(H672)),{1,2,3,4,10},1),"ABCDEFGHIJKLMNOPQRSTUVWXYZ")))=0,SUMPRODUCT(--ISERROR(FIND(MID(UPPER(TRIM(H672)),{5,6,7,8,9},1),"0123456789")))=0),"OK","Wrong format"))</f>
        <v/>
      </c>
      <c r="AM672" s="28">
        <f>IF(NOT(COUNTA(A672:AE672)&gt;0),"",IF(AS672&lt;&gt;"","✖ "&amp;LEFT(AS672,LEN(AS672)-2),IF(AR672&gt;0,"✔ Ready — client + "&amp;AR672&amp;" service(s)","✔ Ready — client only")))</f>
        <v/>
      </c>
      <c r="AN672" s="29">
        <f>UPPER(SUBSTITUTE(TRIM(F672)," ",""))</f>
        <v/>
      </c>
      <c r="AO672" s="29">
        <f>UPPER(SUBSTITUTE(TRIM(E672)," ",""))</f>
        <v/>
      </c>
      <c r="AP672" s="29">
        <f>IF(D672&lt;&gt;"",D672,IFERROR(VLOOKUP(MID(AG672,4,1),Lists!$E$2:$F$8,2,FALSE),""))</f>
        <v/>
      </c>
      <c r="AQ672" s="29">
        <f>IFERROR(VLOOKUP(AP672,Lists!$A$2:$C$12,3,FALSE),"")</f>
        <v/>
      </c>
      <c r="AR672" s="29">
        <f>COUNTIF(W672:AC672,"Yes")</f>
        <v/>
      </c>
      <c r="AS672" s="29">
        <f>IF(TRIM(B672)="","Legal name missing; ","")&amp;IF(AND(AJ672&lt;&gt;"",AJ672&lt;&gt;"OK"),"GSTIN: "&amp;AJ672&amp;"; ","")&amp;IF(AND(AK672&lt;&gt;"",AK672&lt;&gt;"OK"),"PAN wrong format; ","")&amp;IF(AND(AO672&lt;&gt;"",LEN(AN672)=15,MID(AN672,3,10)&lt;&gt;AO672),"PAN does not match GSTIN; ","")&amp;IF(AND(AL672&lt;&gt;"",AL672&lt;&gt;"OK"),"TAN wrong format; ","")&amp;IF(AG672="","PAN missing; ","")&amp;IF(AP672="","Entity type missing; ","")&amp;IF(AND(AN672&lt;&gt;"",COUNTIF($AN$6:$AN$1005,AN672)&gt;1),"GSTIN repeated in this sheet; ","")&amp;IF(AND(AG672&lt;&gt;"",COUNTIF($AG$6:$AG$1005,AG672)&gt;1),"PAN repeated in this sheet (same client? put extra GSTINs in Other GSTINs); ","")&amp;IF(AND(AR672&gt;0,V672=""),"Financial year missing; ","")&amp;IF(AND(AR672=0,V672&lt;&gt;""),"Financial year given but no service is Yes; ","")&amp;IF(AND(W672="Yes",AN672=""),"GST needs a GSTIN; ","")&amp;IF(AND(W672="Yes",X672=""),"GST return frequency missing; ","")&amp;IF(AND(Y672="Yes",TRIM(H672)=""),"TDS needs a TAN; ","")&amp;IF(AND(AA672="Yes",AQ672&lt;&gt;"",AQ672&lt;&gt;"company",AQ672&lt;&gt;"llp"),"ROC is only for a company / LLP; ","")&amp;IF(AND(AA672="Yes",OR(AQ672="company",AQ672="llp"),TRIM(I672)=""),"ROC needs the CIN / LLPIN; ","")</f>
        <v/>
      </c>
    </row>
    <row r="673">
      <c r="A673" s="30" t="n"/>
      <c r="B673" s="31" t="n"/>
      <c r="C673" s="31" t="n"/>
      <c r="D673" s="31" t="n"/>
      <c r="E673" s="30" t="n"/>
      <c r="F673" s="30" t="n"/>
      <c r="G673" s="30" t="n"/>
      <c r="H673" s="30" t="n"/>
      <c r="I673" s="30" t="n"/>
      <c r="J673" s="32" t="n"/>
      <c r="K673" s="31" t="n"/>
      <c r="L673" s="30" t="n"/>
      <c r="M673" s="31" t="n"/>
      <c r="N673" s="31" t="n"/>
      <c r="O673" s="31" t="n"/>
      <c r="P673" s="30" t="n"/>
      <c r="Q673" s="31" t="n"/>
      <c r="R673" s="31" t="n"/>
      <c r="S673" s="31" t="n"/>
      <c r="T673" s="31" t="n"/>
      <c r="U673" s="30" t="n"/>
      <c r="V673" s="31" t="n"/>
      <c r="W673" s="31" t="n"/>
      <c r="X673" s="31" t="n"/>
      <c r="Y673" s="31" t="n"/>
      <c r="Z673" s="31" t="n"/>
      <c r="AA673" s="31" t="n"/>
      <c r="AB673" s="31" t="n"/>
      <c r="AC673" s="31" t="n"/>
      <c r="AD673" s="31" t="n"/>
      <c r="AE673" s="31" t="n"/>
      <c r="AF673" s="27">
        <f>IF(NOT(COUNTA(A673:AE673)&gt;0),"",IF(A673="","New client","Update"))</f>
        <v/>
      </c>
      <c r="AG673" s="27">
        <f>IF(AO673&lt;&gt;"",AO673,IF(LEN(AN673)=15,MID(AN673,3,10),""))</f>
        <v/>
      </c>
      <c r="AH673" s="27">
        <f>IF(AP673="","",AP673&amp;IF(D673="","  (guessed from PAN)",""))</f>
        <v/>
      </c>
      <c r="AI673" s="27">
        <f>IF(AN673="","",IFERROR(INDEX(Lists!$L$2:$L$38,MATCH(LEFT(AN673,2),Lists!$K$2:$K$38,0)),"Unknown code"))</f>
        <v/>
      </c>
      <c r="AJ673" s="27">
        <f>IF(AN673="","",IFERROR(IF(NOT(AND(LEN(AN673)=15,ISNUMBER(MATCH(LEFT(AN673,2),Lists!$K$2:$K$38,0)),SUMPRODUCT(--ISERROR(FIND(MID(MID(AN673,3,10),{1,2,3,4,5,10},1),"ABCDEFGHIJKLMNOPQRSTUVWXYZ")))=0,SUMPRODUCT(--ISERROR(FIND(MID(MID(AN673,3,10),{6,7,8,9},1),"0123456789")))=0,ISNUMBER(FIND(MID(AN673,13,1),"123456789ABCDEFGHIJKLMNOPQRSTUVWXYZ")),MID(AN673,14,1)="Z")),"Wrong format",IF(MID("0123456789ABCDEFGHIJKLMNOPQRSTUVWXYZ",MOD(36-MOD(SUMPRODUCT(INT((FIND(MID(AN673,{1,2,3,4,5,6,7,8,9,10,11,12,13,14},1),"0123456789ABCDEFGHIJKLMNOPQRSTUVWXYZ")-1)*{1,2,1,2,1,2,1,2,1,2,1,2,1,2}/36)+MOD((FIND(MID(AN673,{1,2,3,4,5,6,7,8,9,10,11,12,13,14},1),"0123456789ABCDEFGHIJKLMNOPQRSTUVWXYZ")-1)*{1,2,1,2,1,2,1,2,1,2,1,2,1,2},36)),36),36)+1,1)=MID(AN673,15,1),"OK","Typo? check digit wrong")),"Wrong format"))</f>
        <v/>
      </c>
      <c r="AK673" s="27">
        <f>IF(AO673="","",IF(AND(LEN(AO673)=10,SUMPRODUCT(--ISERROR(FIND(MID(AO673,{1,2,3,4,5,10},1),"ABCDEFGHIJKLMNOPQRSTUVWXYZ")))=0,SUMPRODUCT(--ISERROR(FIND(MID(AO673,{6,7,8,9},1),"0123456789")))=0),"OK","Wrong format"))</f>
        <v/>
      </c>
      <c r="AL673" s="27">
        <f>IF(TRIM(H673)="","",IF(AND(LEN(UPPER(TRIM(H673)))=10,SUMPRODUCT(--ISERROR(FIND(MID(UPPER(TRIM(H673)),{1,2,3,4,10},1),"ABCDEFGHIJKLMNOPQRSTUVWXYZ")))=0,SUMPRODUCT(--ISERROR(FIND(MID(UPPER(TRIM(H673)),{5,6,7,8,9},1),"0123456789")))=0),"OK","Wrong format"))</f>
        <v/>
      </c>
      <c r="AM673" s="28">
        <f>IF(NOT(COUNTA(A673:AE673)&gt;0),"",IF(AS673&lt;&gt;"","✖ "&amp;LEFT(AS673,LEN(AS673)-2),IF(AR673&gt;0,"✔ Ready — client + "&amp;AR673&amp;" service(s)","✔ Ready — client only")))</f>
        <v/>
      </c>
      <c r="AN673" s="29">
        <f>UPPER(SUBSTITUTE(TRIM(F673)," ",""))</f>
        <v/>
      </c>
      <c r="AO673" s="29">
        <f>UPPER(SUBSTITUTE(TRIM(E673)," ",""))</f>
        <v/>
      </c>
      <c r="AP673" s="29">
        <f>IF(D673&lt;&gt;"",D673,IFERROR(VLOOKUP(MID(AG673,4,1),Lists!$E$2:$F$8,2,FALSE),""))</f>
        <v/>
      </c>
      <c r="AQ673" s="29">
        <f>IFERROR(VLOOKUP(AP673,Lists!$A$2:$C$12,3,FALSE),"")</f>
        <v/>
      </c>
      <c r="AR673" s="29">
        <f>COUNTIF(W673:AC673,"Yes")</f>
        <v/>
      </c>
      <c r="AS673" s="29">
        <f>IF(TRIM(B673)="","Legal name missing; ","")&amp;IF(AND(AJ673&lt;&gt;"",AJ673&lt;&gt;"OK"),"GSTIN: "&amp;AJ673&amp;"; ","")&amp;IF(AND(AK673&lt;&gt;"",AK673&lt;&gt;"OK"),"PAN wrong format; ","")&amp;IF(AND(AO673&lt;&gt;"",LEN(AN673)=15,MID(AN673,3,10)&lt;&gt;AO673),"PAN does not match GSTIN; ","")&amp;IF(AND(AL673&lt;&gt;"",AL673&lt;&gt;"OK"),"TAN wrong format; ","")&amp;IF(AG673="","PAN missing; ","")&amp;IF(AP673="","Entity type missing; ","")&amp;IF(AND(AN673&lt;&gt;"",COUNTIF($AN$6:$AN$1005,AN673)&gt;1),"GSTIN repeated in this sheet; ","")&amp;IF(AND(AG673&lt;&gt;"",COUNTIF($AG$6:$AG$1005,AG673)&gt;1),"PAN repeated in this sheet (same client? put extra GSTINs in Other GSTINs); ","")&amp;IF(AND(AR673&gt;0,V673=""),"Financial year missing; ","")&amp;IF(AND(AR673=0,V673&lt;&gt;""),"Financial year given but no service is Yes; ","")&amp;IF(AND(W673="Yes",AN673=""),"GST needs a GSTIN; ","")&amp;IF(AND(W673="Yes",X673=""),"GST return frequency missing; ","")&amp;IF(AND(Y673="Yes",TRIM(H673)=""),"TDS needs a TAN; ","")&amp;IF(AND(AA673="Yes",AQ673&lt;&gt;"",AQ673&lt;&gt;"company",AQ673&lt;&gt;"llp"),"ROC is only for a company / LLP; ","")&amp;IF(AND(AA673="Yes",OR(AQ673="company",AQ673="llp"),TRIM(I673)=""),"ROC needs the CIN / LLPIN; ","")</f>
        <v/>
      </c>
    </row>
    <row r="674">
      <c r="A674" s="30" t="n"/>
      <c r="B674" s="31" t="n"/>
      <c r="C674" s="31" t="n"/>
      <c r="D674" s="31" t="n"/>
      <c r="E674" s="30" t="n"/>
      <c r="F674" s="30" t="n"/>
      <c r="G674" s="30" t="n"/>
      <c r="H674" s="30" t="n"/>
      <c r="I674" s="30" t="n"/>
      <c r="J674" s="32" t="n"/>
      <c r="K674" s="31" t="n"/>
      <c r="L674" s="30" t="n"/>
      <c r="M674" s="31" t="n"/>
      <c r="N674" s="31" t="n"/>
      <c r="O674" s="31" t="n"/>
      <c r="P674" s="30" t="n"/>
      <c r="Q674" s="31" t="n"/>
      <c r="R674" s="31" t="n"/>
      <c r="S674" s="31" t="n"/>
      <c r="T674" s="31" t="n"/>
      <c r="U674" s="30" t="n"/>
      <c r="V674" s="31" t="n"/>
      <c r="W674" s="31" t="n"/>
      <c r="X674" s="31" t="n"/>
      <c r="Y674" s="31" t="n"/>
      <c r="Z674" s="31" t="n"/>
      <c r="AA674" s="31" t="n"/>
      <c r="AB674" s="31" t="n"/>
      <c r="AC674" s="31" t="n"/>
      <c r="AD674" s="31" t="n"/>
      <c r="AE674" s="31" t="n"/>
      <c r="AF674" s="27">
        <f>IF(NOT(COUNTA(A674:AE674)&gt;0),"",IF(A674="","New client","Update"))</f>
        <v/>
      </c>
      <c r="AG674" s="27">
        <f>IF(AO674&lt;&gt;"",AO674,IF(LEN(AN674)=15,MID(AN674,3,10),""))</f>
        <v/>
      </c>
      <c r="AH674" s="27">
        <f>IF(AP674="","",AP674&amp;IF(D674="","  (guessed from PAN)",""))</f>
        <v/>
      </c>
      <c r="AI674" s="27">
        <f>IF(AN674="","",IFERROR(INDEX(Lists!$L$2:$L$38,MATCH(LEFT(AN674,2),Lists!$K$2:$K$38,0)),"Unknown code"))</f>
        <v/>
      </c>
      <c r="AJ674" s="27">
        <f>IF(AN674="","",IFERROR(IF(NOT(AND(LEN(AN674)=15,ISNUMBER(MATCH(LEFT(AN674,2),Lists!$K$2:$K$38,0)),SUMPRODUCT(--ISERROR(FIND(MID(MID(AN674,3,10),{1,2,3,4,5,10},1),"ABCDEFGHIJKLMNOPQRSTUVWXYZ")))=0,SUMPRODUCT(--ISERROR(FIND(MID(MID(AN674,3,10),{6,7,8,9},1),"0123456789")))=0,ISNUMBER(FIND(MID(AN674,13,1),"123456789ABCDEFGHIJKLMNOPQRSTUVWXYZ")),MID(AN674,14,1)="Z")),"Wrong format",IF(MID("0123456789ABCDEFGHIJKLMNOPQRSTUVWXYZ",MOD(36-MOD(SUMPRODUCT(INT((FIND(MID(AN674,{1,2,3,4,5,6,7,8,9,10,11,12,13,14},1),"0123456789ABCDEFGHIJKLMNOPQRSTUVWXYZ")-1)*{1,2,1,2,1,2,1,2,1,2,1,2,1,2}/36)+MOD((FIND(MID(AN674,{1,2,3,4,5,6,7,8,9,10,11,12,13,14},1),"0123456789ABCDEFGHIJKLMNOPQRSTUVWXYZ")-1)*{1,2,1,2,1,2,1,2,1,2,1,2,1,2},36)),36),36)+1,1)=MID(AN674,15,1),"OK","Typo? check digit wrong")),"Wrong format"))</f>
        <v/>
      </c>
      <c r="AK674" s="27">
        <f>IF(AO674="","",IF(AND(LEN(AO674)=10,SUMPRODUCT(--ISERROR(FIND(MID(AO674,{1,2,3,4,5,10},1),"ABCDEFGHIJKLMNOPQRSTUVWXYZ")))=0,SUMPRODUCT(--ISERROR(FIND(MID(AO674,{6,7,8,9},1),"0123456789")))=0),"OK","Wrong format"))</f>
        <v/>
      </c>
      <c r="AL674" s="27">
        <f>IF(TRIM(H674)="","",IF(AND(LEN(UPPER(TRIM(H674)))=10,SUMPRODUCT(--ISERROR(FIND(MID(UPPER(TRIM(H674)),{1,2,3,4,10},1),"ABCDEFGHIJKLMNOPQRSTUVWXYZ")))=0,SUMPRODUCT(--ISERROR(FIND(MID(UPPER(TRIM(H674)),{5,6,7,8,9},1),"0123456789")))=0),"OK","Wrong format"))</f>
        <v/>
      </c>
      <c r="AM674" s="28">
        <f>IF(NOT(COUNTA(A674:AE674)&gt;0),"",IF(AS674&lt;&gt;"","✖ "&amp;LEFT(AS674,LEN(AS674)-2),IF(AR674&gt;0,"✔ Ready — client + "&amp;AR674&amp;" service(s)","✔ Ready — client only")))</f>
        <v/>
      </c>
      <c r="AN674" s="29">
        <f>UPPER(SUBSTITUTE(TRIM(F674)," ",""))</f>
        <v/>
      </c>
      <c r="AO674" s="29">
        <f>UPPER(SUBSTITUTE(TRIM(E674)," ",""))</f>
        <v/>
      </c>
      <c r="AP674" s="29">
        <f>IF(D674&lt;&gt;"",D674,IFERROR(VLOOKUP(MID(AG674,4,1),Lists!$E$2:$F$8,2,FALSE),""))</f>
        <v/>
      </c>
      <c r="AQ674" s="29">
        <f>IFERROR(VLOOKUP(AP674,Lists!$A$2:$C$12,3,FALSE),"")</f>
        <v/>
      </c>
      <c r="AR674" s="29">
        <f>COUNTIF(W674:AC674,"Yes")</f>
        <v/>
      </c>
      <c r="AS674" s="29">
        <f>IF(TRIM(B674)="","Legal name missing; ","")&amp;IF(AND(AJ674&lt;&gt;"",AJ674&lt;&gt;"OK"),"GSTIN: "&amp;AJ674&amp;"; ","")&amp;IF(AND(AK674&lt;&gt;"",AK674&lt;&gt;"OK"),"PAN wrong format; ","")&amp;IF(AND(AO674&lt;&gt;"",LEN(AN674)=15,MID(AN674,3,10)&lt;&gt;AO674),"PAN does not match GSTIN; ","")&amp;IF(AND(AL674&lt;&gt;"",AL674&lt;&gt;"OK"),"TAN wrong format; ","")&amp;IF(AG674="","PAN missing; ","")&amp;IF(AP674="","Entity type missing; ","")&amp;IF(AND(AN674&lt;&gt;"",COUNTIF($AN$6:$AN$1005,AN674)&gt;1),"GSTIN repeated in this sheet; ","")&amp;IF(AND(AG674&lt;&gt;"",COUNTIF($AG$6:$AG$1005,AG674)&gt;1),"PAN repeated in this sheet (same client? put extra GSTINs in Other GSTINs); ","")&amp;IF(AND(AR674&gt;0,V674=""),"Financial year missing; ","")&amp;IF(AND(AR674=0,V674&lt;&gt;""),"Financial year given but no service is Yes; ","")&amp;IF(AND(W674="Yes",AN674=""),"GST needs a GSTIN; ","")&amp;IF(AND(W674="Yes",X674=""),"GST return frequency missing; ","")&amp;IF(AND(Y674="Yes",TRIM(H674)=""),"TDS needs a TAN; ","")&amp;IF(AND(AA674="Yes",AQ674&lt;&gt;"",AQ674&lt;&gt;"company",AQ674&lt;&gt;"llp"),"ROC is only for a company / LLP; ","")&amp;IF(AND(AA674="Yes",OR(AQ674="company",AQ674="llp"),TRIM(I674)=""),"ROC needs the CIN / LLPIN; ","")</f>
        <v/>
      </c>
    </row>
    <row r="675">
      <c r="A675" s="30" t="n"/>
      <c r="B675" s="31" t="n"/>
      <c r="C675" s="31" t="n"/>
      <c r="D675" s="31" t="n"/>
      <c r="E675" s="30" t="n"/>
      <c r="F675" s="30" t="n"/>
      <c r="G675" s="30" t="n"/>
      <c r="H675" s="30" t="n"/>
      <c r="I675" s="30" t="n"/>
      <c r="J675" s="32" t="n"/>
      <c r="K675" s="31" t="n"/>
      <c r="L675" s="30" t="n"/>
      <c r="M675" s="31" t="n"/>
      <c r="N675" s="31" t="n"/>
      <c r="O675" s="31" t="n"/>
      <c r="P675" s="30" t="n"/>
      <c r="Q675" s="31" t="n"/>
      <c r="R675" s="31" t="n"/>
      <c r="S675" s="31" t="n"/>
      <c r="T675" s="31" t="n"/>
      <c r="U675" s="30" t="n"/>
      <c r="V675" s="31" t="n"/>
      <c r="W675" s="31" t="n"/>
      <c r="X675" s="31" t="n"/>
      <c r="Y675" s="31" t="n"/>
      <c r="Z675" s="31" t="n"/>
      <c r="AA675" s="31" t="n"/>
      <c r="AB675" s="31" t="n"/>
      <c r="AC675" s="31" t="n"/>
      <c r="AD675" s="31" t="n"/>
      <c r="AE675" s="31" t="n"/>
      <c r="AF675" s="27">
        <f>IF(NOT(COUNTA(A675:AE675)&gt;0),"",IF(A675="","New client","Update"))</f>
        <v/>
      </c>
      <c r="AG675" s="27">
        <f>IF(AO675&lt;&gt;"",AO675,IF(LEN(AN675)=15,MID(AN675,3,10),""))</f>
        <v/>
      </c>
      <c r="AH675" s="27">
        <f>IF(AP675="","",AP675&amp;IF(D675="","  (guessed from PAN)",""))</f>
        <v/>
      </c>
      <c r="AI675" s="27">
        <f>IF(AN675="","",IFERROR(INDEX(Lists!$L$2:$L$38,MATCH(LEFT(AN675,2),Lists!$K$2:$K$38,0)),"Unknown code"))</f>
        <v/>
      </c>
      <c r="AJ675" s="27">
        <f>IF(AN675="","",IFERROR(IF(NOT(AND(LEN(AN675)=15,ISNUMBER(MATCH(LEFT(AN675,2),Lists!$K$2:$K$38,0)),SUMPRODUCT(--ISERROR(FIND(MID(MID(AN675,3,10),{1,2,3,4,5,10},1),"ABCDEFGHIJKLMNOPQRSTUVWXYZ")))=0,SUMPRODUCT(--ISERROR(FIND(MID(MID(AN675,3,10),{6,7,8,9},1),"0123456789")))=0,ISNUMBER(FIND(MID(AN675,13,1),"123456789ABCDEFGHIJKLMNOPQRSTUVWXYZ")),MID(AN675,14,1)="Z")),"Wrong format",IF(MID("0123456789ABCDEFGHIJKLMNOPQRSTUVWXYZ",MOD(36-MOD(SUMPRODUCT(INT((FIND(MID(AN675,{1,2,3,4,5,6,7,8,9,10,11,12,13,14},1),"0123456789ABCDEFGHIJKLMNOPQRSTUVWXYZ")-1)*{1,2,1,2,1,2,1,2,1,2,1,2,1,2}/36)+MOD((FIND(MID(AN675,{1,2,3,4,5,6,7,8,9,10,11,12,13,14},1),"0123456789ABCDEFGHIJKLMNOPQRSTUVWXYZ")-1)*{1,2,1,2,1,2,1,2,1,2,1,2,1,2},36)),36),36)+1,1)=MID(AN675,15,1),"OK","Typo? check digit wrong")),"Wrong format"))</f>
        <v/>
      </c>
      <c r="AK675" s="27">
        <f>IF(AO675="","",IF(AND(LEN(AO675)=10,SUMPRODUCT(--ISERROR(FIND(MID(AO675,{1,2,3,4,5,10},1),"ABCDEFGHIJKLMNOPQRSTUVWXYZ")))=0,SUMPRODUCT(--ISERROR(FIND(MID(AO675,{6,7,8,9},1),"0123456789")))=0),"OK","Wrong format"))</f>
        <v/>
      </c>
      <c r="AL675" s="27">
        <f>IF(TRIM(H675)="","",IF(AND(LEN(UPPER(TRIM(H675)))=10,SUMPRODUCT(--ISERROR(FIND(MID(UPPER(TRIM(H675)),{1,2,3,4,10},1),"ABCDEFGHIJKLMNOPQRSTUVWXYZ")))=0,SUMPRODUCT(--ISERROR(FIND(MID(UPPER(TRIM(H675)),{5,6,7,8,9},1),"0123456789")))=0),"OK","Wrong format"))</f>
        <v/>
      </c>
      <c r="AM675" s="28">
        <f>IF(NOT(COUNTA(A675:AE675)&gt;0),"",IF(AS675&lt;&gt;"","✖ "&amp;LEFT(AS675,LEN(AS675)-2),IF(AR675&gt;0,"✔ Ready — client + "&amp;AR675&amp;" service(s)","✔ Ready — client only")))</f>
        <v/>
      </c>
      <c r="AN675" s="29">
        <f>UPPER(SUBSTITUTE(TRIM(F675)," ",""))</f>
        <v/>
      </c>
      <c r="AO675" s="29">
        <f>UPPER(SUBSTITUTE(TRIM(E675)," ",""))</f>
        <v/>
      </c>
      <c r="AP675" s="29">
        <f>IF(D675&lt;&gt;"",D675,IFERROR(VLOOKUP(MID(AG675,4,1),Lists!$E$2:$F$8,2,FALSE),""))</f>
        <v/>
      </c>
      <c r="AQ675" s="29">
        <f>IFERROR(VLOOKUP(AP675,Lists!$A$2:$C$12,3,FALSE),"")</f>
        <v/>
      </c>
      <c r="AR675" s="29">
        <f>COUNTIF(W675:AC675,"Yes")</f>
        <v/>
      </c>
      <c r="AS675" s="29">
        <f>IF(TRIM(B675)="","Legal name missing; ","")&amp;IF(AND(AJ675&lt;&gt;"",AJ675&lt;&gt;"OK"),"GSTIN: "&amp;AJ675&amp;"; ","")&amp;IF(AND(AK675&lt;&gt;"",AK675&lt;&gt;"OK"),"PAN wrong format; ","")&amp;IF(AND(AO675&lt;&gt;"",LEN(AN675)=15,MID(AN675,3,10)&lt;&gt;AO675),"PAN does not match GSTIN; ","")&amp;IF(AND(AL675&lt;&gt;"",AL675&lt;&gt;"OK"),"TAN wrong format; ","")&amp;IF(AG675="","PAN missing; ","")&amp;IF(AP675="","Entity type missing; ","")&amp;IF(AND(AN675&lt;&gt;"",COUNTIF($AN$6:$AN$1005,AN675)&gt;1),"GSTIN repeated in this sheet; ","")&amp;IF(AND(AG675&lt;&gt;"",COUNTIF($AG$6:$AG$1005,AG675)&gt;1),"PAN repeated in this sheet (same client? put extra GSTINs in Other GSTINs); ","")&amp;IF(AND(AR675&gt;0,V675=""),"Financial year missing; ","")&amp;IF(AND(AR675=0,V675&lt;&gt;""),"Financial year given but no service is Yes; ","")&amp;IF(AND(W675="Yes",AN675=""),"GST needs a GSTIN; ","")&amp;IF(AND(W675="Yes",X675=""),"GST return frequency missing; ","")&amp;IF(AND(Y675="Yes",TRIM(H675)=""),"TDS needs a TAN; ","")&amp;IF(AND(AA675="Yes",AQ675&lt;&gt;"",AQ675&lt;&gt;"company",AQ675&lt;&gt;"llp"),"ROC is only for a company / LLP; ","")&amp;IF(AND(AA675="Yes",OR(AQ675="company",AQ675="llp"),TRIM(I675)=""),"ROC needs the CIN / LLPIN; ","")</f>
        <v/>
      </c>
    </row>
    <row r="676">
      <c r="A676" s="30" t="n"/>
      <c r="B676" s="31" t="n"/>
      <c r="C676" s="31" t="n"/>
      <c r="D676" s="31" t="n"/>
      <c r="E676" s="30" t="n"/>
      <c r="F676" s="30" t="n"/>
      <c r="G676" s="30" t="n"/>
      <c r="H676" s="30" t="n"/>
      <c r="I676" s="30" t="n"/>
      <c r="J676" s="32" t="n"/>
      <c r="K676" s="31" t="n"/>
      <c r="L676" s="30" t="n"/>
      <c r="M676" s="31" t="n"/>
      <c r="N676" s="31" t="n"/>
      <c r="O676" s="31" t="n"/>
      <c r="P676" s="30" t="n"/>
      <c r="Q676" s="31" t="n"/>
      <c r="R676" s="31" t="n"/>
      <c r="S676" s="31" t="n"/>
      <c r="T676" s="31" t="n"/>
      <c r="U676" s="30" t="n"/>
      <c r="V676" s="31" t="n"/>
      <c r="W676" s="31" t="n"/>
      <c r="X676" s="31" t="n"/>
      <c r="Y676" s="31" t="n"/>
      <c r="Z676" s="31" t="n"/>
      <c r="AA676" s="31" t="n"/>
      <c r="AB676" s="31" t="n"/>
      <c r="AC676" s="31" t="n"/>
      <c r="AD676" s="31" t="n"/>
      <c r="AE676" s="31" t="n"/>
      <c r="AF676" s="27">
        <f>IF(NOT(COUNTA(A676:AE676)&gt;0),"",IF(A676="","New client","Update"))</f>
        <v/>
      </c>
      <c r="AG676" s="27">
        <f>IF(AO676&lt;&gt;"",AO676,IF(LEN(AN676)=15,MID(AN676,3,10),""))</f>
        <v/>
      </c>
      <c r="AH676" s="27">
        <f>IF(AP676="","",AP676&amp;IF(D676="","  (guessed from PAN)",""))</f>
        <v/>
      </c>
      <c r="AI676" s="27">
        <f>IF(AN676="","",IFERROR(INDEX(Lists!$L$2:$L$38,MATCH(LEFT(AN676,2),Lists!$K$2:$K$38,0)),"Unknown code"))</f>
        <v/>
      </c>
      <c r="AJ676" s="27">
        <f>IF(AN676="","",IFERROR(IF(NOT(AND(LEN(AN676)=15,ISNUMBER(MATCH(LEFT(AN676,2),Lists!$K$2:$K$38,0)),SUMPRODUCT(--ISERROR(FIND(MID(MID(AN676,3,10),{1,2,3,4,5,10},1),"ABCDEFGHIJKLMNOPQRSTUVWXYZ")))=0,SUMPRODUCT(--ISERROR(FIND(MID(MID(AN676,3,10),{6,7,8,9},1),"0123456789")))=0,ISNUMBER(FIND(MID(AN676,13,1),"123456789ABCDEFGHIJKLMNOPQRSTUVWXYZ")),MID(AN676,14,1)="Z")),"Wrong format",IF(MID("0123456789ABCDEFGHIJKLMNOPQRSTUVWXYZ",MOD(36-MOD(SUMPRODUCT(INT((FIND(MID(AN676,{1,2,3,4,5,6,7,8,9,10,11,12,13,14},1),"0123456789ABCDEFGHIJKLMNOPQRSTUVWXYZ")-1)*{1,2,1,2,1,2,1,2,1,2,1,2,1,2}/36)+MOD((FIND(MID(AN676,{1,2,3,4,5,6,7,8,9,10,11,12,13,14},1),"0123456789ABCDEFGHIJKLMNOPQRSTUVWXYZ")-1)*{1,2,1,2,1,2,1,2,1,2,1,2,1,2},36)),36),36)+1,1)=MID(AN676,15,1),"OK","Typo? check digit wrong")),"Wrong format"))</f>
        <v/>
      </c>
      <c r="AK676" s="27">
        <f>IF(AO676="","",IF(AND(LEN(AO676)=10,SUMPRODUCT(--ISERROR(FIND(MID(AO676,{1,2,3,4,5,10},1),"ABCDEFGHIJKLMNOPQRSTUVWXYZ")))=0,SUMPRODUCT(--ISERROR(FIND(MID(AO676,{6,7,8,9},1),"0123456789")))=0),"OK","Wrong format"))</f>
        <v/>
      </c>
      <c r="AL676" s="27">
        <f>IF(TRIM(H676)="","",IF(AND(LEN(UPPER(TRIM(H676)))=10,SUMPRODUCT(--ISERROR(FIND(MID(UPPER(TRIM(H676)),{1,2,3,4,10},1),"ABCDEFGHIJKLMNOPQRSTUVWXYZ")))=0,SUMPRODUCT(--ISERROR(FIND(MID(UPPER(TRIM(H676)),{5,6,7,8,9},1),"0123456789")))=0),"OK","Wrong format"))</f>
        <v/>
      </c>
      <c r="AM676" s="28">
        <f>IF(NOT(COUNTA(A676:AE676)&gt;0),"",IF(AS676&lt;&gt;"","✖ "&amp;LEFT(AS676,LEN(AS676)-2),IF(AR676&gt;0,"✔ Ready — client + "&amp;AR676&amp;" service(s)","✔ Ready — client only")))</f>
        <v/>
      </c>
      <c r="AN676" s="29">
        <f>UPPER(SUBSTITUTE(TRIM(F676)," ",""))</f>
        <v/>
      </c>
      <c r="AO676" s="29">
        <f>UPPER(SUBSTITUTE(TRIM(E676)," ",""))</f>
        <v/>
      </c>
      <c r="AP676" s="29">
        <f>IF(D676&lt;&gt;"",D676,IFERROR(VLOOKUP(MID(AG676,4,1),Lists!$E$2:$F$8,2,FALSE),""))</f>
        <v/>
      </c>
      <c r="AQ676" s="29">
        <f>IFERROR(VLOOKUP(AP676,Lists!$A$2:$C$12,3,FALSE),"")</f>
        <v/>
      </c>
      <c r="AR676" s="29">
        <f>COUNTIF(W676:AC676,"Yes")</f>
        <v/>
      </c>
      <c r="AS676" s="29">
        <f>IF(TRIM(B676)="","Legal name missing; ","")&amp;IF(AND(AJ676&lt;&gt;"",AJ676&lt;&gt;"OK"),"GSTIN: "&amp;AJ676&amp;"; ","")&amp;IF(AND(AK676&lt;&gt;"",AK676&lt;&gt;"OK"),"PAN wrong format; ","")&amp;IF(AND(AO676&lt;&gt;"",LEN(AN676)=15,MID(AN676,3,10)&lt;&gt;AO676),"PAN does not match GSTIN; ","")&amp;IF(AND(AL676&lt;&gt;"",AL676&lt;&gt;"OK"),"TAN wrong format; ","")&amp;IF(AG676="","PAN missing; ","")&amp;IF(AP676="","Entity type missing; ","")&amp;IF(AND(AN676&lt;&gt;"",COUNTIF($AN$6:$AN$1005,AN676)&gt;1),"GSTIN repeated in this sheet; ","")&amp;IF(AND(AG676&lt;&gt;"",COUNTIF($AG$6:$AG$1005,AG676)&gt;1),"PAN repeated in this sheet (same client? put extra GSTINs in Other GSTINs); ","")&amp;IF(AND(AR676&gt;0,V676=""),"Financial year missing; ","")&amp;IF(AND(AR676=0,V676&lt;&gt;""),"Financial year given but no service is Yes; ","")&amp;IF(AND(W676="Yes",AN676=""),"GST needs a GSTIN; ","")&amp;IF(AND(W676="Yes",X676=""),"GST return frequency missing; ","")&amp;IF(AND(Y676="Yes",TRIM(H676)=""),"TDS needs a TAN; ","")&amp;IF(AND(AA676="Yes",AQ676&lt;&gt;"",AQ676&lt;&gt;"company",AQ676&lt;&gt;"llp"),"ROC is only for a company / LLP; ","")&amp;IF(AND(AA676="Yes",OR(AQ676="company",AQ676="llp"),TRIM(I676)=""),"ROC needs the CIN / LLPIN; ","")</f>
        <v/>
      </c>
    </row>
    <row r="677">
      <c r="A677" s="30" t="n"/>
      <c r="B677" s="31" t="n"/>
      <c r="C677" s="31" t="n"/>
      <c r="D677" s="31" t="n"/>
      <c r="E677" s="30" t="n"/>
      <c r="F677" s="30" t="n"/>
      <c r="G677" s="30" t="n"/>
      <c r="H677" s="30" t="n"/>
      <c r="I677" s="30" t="n"/>
      <c r="J677" s="32" t="n"/>
      <c r="K677" s="31" t="n"/>
      <c r="L677" s="30" t="n"/>
      <c r="M677" s="31" t="n"/>
      <c r="N677" s="31" t="n"/>
      <c r="O677" s="31" t="n"/>
      <c r="P677" s="30" t="n"/>
      <c r="Q677" s="31" t="n"/>
      <c r="R677" s="31" t="n"/>
      <c r="S677" s="31" t="n"/>
      <c r="T677" s="31" t="n"/>
      <c r="U677" s="30" t="n"/>
      <c r="V677" s="31" t="n"/>
      <c r="W677" s="31" t="n"/>
      <c r="X677" s="31" t="n"/>
      <c r="Y677" s="31" t="n"/>
      <c r="Z677" s="31" t="n"/>
      <c r="AA677" s="31" t="n"/>
      <c r="AB677" s="31" t="n"/>
      <c r="AC677" s="31" t="n"/>
      <c r="AD677" s="31" t="n"/>
      <c r="AE677" s="31" t="n"/>
      <c r="AF677" s="27">
        <f>IF(NOT(COUNTA(A677:AE677)&gt;0),"",IF(A677="","New client","Update"))</f>
        <v/>
      </c>
      <c r="AG677" s="27">
        <f>IF(AO677&lt;&gt;"",AO677,IF(LEN(AN677)=15,MID(AN677,3,10),""))</f>
        <v/>
      </c>
      <c r="AH677" s="27">
        <f>IF(AP677="","",AP677&amp;IF(D677="","  (guessed from PAN)",""))</f>
        <v/>
      </c>
      <c r="AI677" s="27">
        <f>IF(AN677="","",IFERROR(INDEX(Lists!$L$2:$L$38,MATCH(LEFT(AN677,2),Lists!$K$2:$K$38,0)),"Unknown code"))</f>
        <v/>
      </c>
      <c r="AJ677" s="27">
        <f>IF(AN677="","",IFERROR(IF(NOT(AND(LEN(AN677)=15,ISNUMBER(MATCH(LEFT(AN677,2),Lists!$K$2:$K$38,0)),SUMPRODUCT(--ISERROR(FIND(MID(MID(AN677,3,10),{1,2,3,4,5,10},1),"ABCDEFGHIJKLMNOPQRSTUVWXYZ")))=0,SUMPRODUCT(--ISERROR(FIND(MID(MID(AN677,3,10),{6,7,8,9},1),"0123456789")))=0,ISNUMBER(FIND(MID(AN677,13,1),"123456789ABCDEFGHIJKLMNOPQRSTUVWXYZ")),MID(AN677,14,1)="Z")),"Wrong format",IF(MID("0123456789ABCDEFGHIJKLMNOPQRSTUVWXYZ",MOD(36-MOD(SUMPRODUCT(INT((FIND(MID(AN677,{1,2,3,4,5,6,7,8,9,10,11,12,13,14},1),"0123456789ABCDEFGHIJKLMNOPQRSTUVWXYZ")-1)*{1,2,1,2,1,2,1,2,1,2,1,2,1,2}/36)+MOD((FIND(MID(AN677,{1,2,3,4,5,6,7,8,9,10,11,12,13,14},1),"0123456789ABCDEFGHIJKLMNOPQRSTUVWXYZ")-1)*{1,2,1,2,1,2,1,2,1,2,1,2,1,2},36)),36),36)+1,1)=MID(AN677,15,1),"OK","Typo? check digit wrong")),"Wrong format"))</f>
        <v/>
      </c>
      <c r="AK677" s="27">
        <f>IF(AO677="","",IF(AND(LEN(AO677)=10,SUMPRODUCT(--ISERROR(FIND(MID(AO677,{1,2,3,4,5,10},1),"ABCDEFGHIJKLMNOPQRSTUVWXYZ")))=0,SUMPRODUCT(--ISERROR(FIND(MID(AO677,{6,7,8,9},1),"0123456789")))=0),"OK","Wrong format"))</f>
        <v/>
      </c>
      <c r="AL677" s="27">
        <f>IF(TRIM(H677)="","",IF(AND(LEN(UPPER(TRIM(H677)))=10,SUMPRODUCT(--ISERROR(FIND(MID(UPPER(TRIM(H677)),{1,2,3,4,10},1),"ABCDEFGHIJKLMNOPQRSTUVWXYZ")))=0,SUMPRODUCT(--ISERROR(FIND(MID(UPPER(TRIM(H677)),{5,6,7,8,9},1),"0123456789")))=0),"OK","Wrong format"))</f>
        <v/>
      </c>
      <c r="AM677" s="28">
        <f>IF(NOT(COUNTA(A677:AE677)&gt;0),"",IF(AS677&lt;&gt;"","✖ "&amp;LEFT(AS677,LEN(AS677)-2),IF(AR677&gt;0,"✔ Ready — client + "&amp;AR677&amp;" service(s)","✔ Ready — client only")))</f>
        <v/>
      </c>
      <c r="AN677" s="29">
        <f>UPPER(SUBSTITUTE(TRIM(F677)," ",""))</f>
        <v/>
      </c>
      <c r="AO677" s="29">
        <f>UPPER(SUBSTITUTE(TRIM(E677)," ",""))</f>
        <v/>
      </c>
      <c r="AP677" s="29">
        <f>IF(D677&lt;&gt;"",D677,IFERROR(VLOOKUP(MID(AG677,4,1),Lists!$E$2:$F$8,2,FALSE),""))</f>
        <v/>
      </c>
      <c r="AQ677" s="29">
        <f>IFERROR(VLOOKUP(AP677,Lists!$A$2:$C$12,3,FALSE),"")</f>
        <v/>
      </c>
      <c r="AR677" s="29">
        <f>COUNTIF(W677:AC677,"Yes")</f>
        <v/>
      </c>
      <c r="AS677" s="29">
        <f>IF(TRIM(B677)="","Legal name missing; ","")&amp;IF(AND(AJ677&lt;&gt;"",AJ677&lt;&gt;"OK"),"GSTIN: "&amp;AJ677&amp;"; ","")&amp;IF(AND(AK677&lt;&gt;"",AK677&lt;&gt;"OK"),"PAN wrong format; ","")&amp;IF(AND(AO677&lt;&gt;"",LEN(AN677)=15,MID(AN677,3,10)&lt;&gt;AO677),"PAN does not match GSTIN; ","")&amp;IF(AND(AL677&lt;&gt;"",AL677&lt;&gt;"OK"),"TAN wrong format; ","")&amp;IF(AG677="","PAN missing; ","")&amp;IF(AP677="","Entity type missing; ","")&amp;IF(AND(AN677&lt;&gt;"",COUNTIF($AN$6:$AN$1005,AN677)&gt;1),"GSTIN repeated in this sheet; ","")&amp;IF(AND(AG677&lt;&gt;"",COUNTIF($AG$6:$AG$1005,AG677)&gt;1),"PAN repeated in this sheet (same client? put extra GSTINs in Other GSTINs); ","")&amp;IF(AND(AR677&gt;0,V677=""),"Financial year missing; ","")&amp;IF(AND(AR677=0,V677&lt;&gt;""),"Financial year given but no service is Yes; ","")&amp;IF(AND(W677="Yes",AN677=""),"GST needs a GSTIN; ","")&amp;IF(AND(W677="Yes",X677=""),"GST return frequency missing; ","")&amp;IF(AND(Y677="Yes",TRIM(H677)=""),"TDS needs a TAN; ","")&amp;IF(AND(AA677="Yes",AQ677&lt;&gt;"",AQ677&lt;&gt;"company",AQ677&lt;&gt;"llp"),"ROC is only for a company / LLP; ","")&amp;IF(AND(AA677="Yes",OR(AQ677="company",AQ677="llp"),TRIM(I677)=""),"ROC needs the CIN / LLPIN; ","")</f>
        <v/>
      </c>
    </row>
    <row r="678">
      <c r="A678" s="30" t="n"/>
      <c r="B678" s="31" t="n"/>
      <c r="C678" s="31" t="n"/>
      <c r="D678" s="31" t="n"/>
      <c r="E678" s="30" t="n"/>
      <c r="F678" s="30" t="n"/>
      <c r="G678" s="30" t="n"/>
      <c r="H678" s="30" t="n"/>
      <c r="I678" s="30" t="n"/>
      <c r="J678" s="32" t="n"/>
      <c r="K678" s="31" t="n"/>
      <c r="L678" s="30" t="n"/>
      <c r="M678" s="31" t="n"/>
      <c r="N678" s="31" t="n"/>
      <c r="O678" s="31" t="n"/>
      <c r="P678" s="30" t="n"/>
      <c r="Q678" s="31" t="n"/>
      <c r="R678" s="31" t="n"/>
      <c r="S678" s="31" t="n"/>
      <c r="T678" s="31" t="n"/>
      <c r="U678" s="30" t="n"/>
      <c r="V678" s="31" t="n"/>
      <c r="W678" s="31" t="n"/>
      <c r="X678" s="31" t="n"/>
      <c r="Y678" s="31" t="n"/>
      <c r="Z678" s="31" t="n"/>
      <c r="AA678" s="31" t="n"/>
      <c r="AB678" s="31" t="n"/>
      <c r="AC678" s="31" t="n"/>
      <c r="AD678" s="31" t="n"/>
      <c r="AE678" s="31" t="n"/>
      <c r="AF678" s="27">
        <f>IF(NOT(COUNTA(A678:AE678)&gt;0),"",IF(A678="","New client","Update"))</f>
        <v/>
      </c>
      <c r="AG678" s="27">
        <f>IF(AO678&lt;&gt;"",AO678,IF(LEN(AN678)=15,MID(AN678,3,10),""))</f>
        <v/>
      </c>
      <c r="AH678" s="27">
        <f>IF(AP678="","",AP678&amp;IF(D678="","  (guessed from PAN)",""))</f>
        <v/>
      </c>
      <c r="AI678" s="27">
        <f>IF(AN678="","",IFERROR(INDEX(Lists!$L$2:$L$38,MATCH(LEFT(AN678,2),Lists!$K$2:$K$38,0)),"Unknown code"))</f>
        <v/>
      </c>
      <c r="AJ678" s="27">
        <f>IF(AN678="","",IFERROR(IF(NOT(AND(LEN(AN678)=15,ISNUMBER(MATCH(LEFT(AN678,2),Lists!$K$2:$K$38,0)),SUMPRODUCT(--ISERROR(FIND(MID(MID(AN678,3,10),{1,2,3,4,5,10},1),"ABCDEFGHIJKLMNOPQRSTUVWXYZ")))=0,SUMPRODUCT(--ISERROR(FIND(MID(MID(AN678,3,10),{6,7,8,9},1),"0123456789")))=0,ISNUMBER(FIND(MID(AN678,13,1),"123456789ABCDEFGHIJKLMNOPQRSTUVWXYZ")),MID(AN678,14,1)="Z")),"Wrong format",IF(MID("0123456789ABCDEFGHIJKLMNOPQRSTUVWXYZ",MOD(36-MOD(SUMPRODUCT(INT((FIND(MID(AN678,{1,2,3,4,5,6,7,8,9,10,11,12,13,14},1),"0123456789ABCDEFGHIJKLMNOPQRSTUVWXYZ")-1)*{1,2,1,2,1,2,1,2,1,2,1,2,1,2}/36)+MOD((FIND(MID(AN678,{1,2,3,4,5,6,7,8,9,10,11,12,13,14},1),"0123456789ABCDEFGHIJKLMNOPQRSTUVWXYZ")-1)*{1,2,1,2,1,2,1,2,1,2,1,2,1,2},36)),36),36)+1,1)=MID(AN678,15,1),"OK","Typo? check digit wrong")),"Wrong format"))</f>
        <v/>
      </c>
      <c r="AK678" s="27">
        <f>IF(AO678="","",IF(AND(LEN(AO678)=10,SUMPRODUCT(--ISERROR(FIND(MID(AO678,{1,2,3,4,5,10},1),"ABCDEFGHIJKLMNOPQRSTUVWXYZ")))=0,SUMPRODUCT(--ISERROR(FIND(MID(AO678,{6,7,8,9},1),"0123456789")))=0),"OK","Wrong format"))</f>
        <v/>
      </c>
      <c r="AL678" s="27">
        <f>IF(TRIM(H678)="","",IF(AND(LEN(UPPER(TRIM(H678)))=10,SUMPRODUCT(--ISERROR(FIND(MID(UPPER(TRIM(H678)),{1,2,3,4,10},1),"ABCDEFGHIJKLMNOPQRSTUVWXYZ")))=0,SUMPRODUCT(--ISERROR(FIND(MID(UPPER(TRIM(H678)),{5,6,7,8,9},1),"0123456789")))=0),"OK","Wrong format"))</f>
        <v/>
      </c>
      <c r="AM678" s="28">
        <f>IF(NOT(COUNTA(A678:AE678)&gt;0),"",IF(AS678&lt;&gt;"","✖ "&amp;LEFT(AS678,LEN(AS678)-2),IF(AR678&gt;0,"✔ Ready — client + "&amp;AR678&amp;" service(s)","✔ Ready — client only")))</f>
        <v/>
      </c>
      <c r="AN678" s="29">
        <f>UPPER(SUBSTITUTE(TRIM(F678)," ",""))</f>
        <v/>
      </c>
      <c r="AO678" s="29">
        <f>UPPER(SUBSTITUTE(TRIM(E678)," ",""))</f>
        <v/>
      </c>
      <c r="AP678" s="29">
        <f>IF(D678&lt;&gt;"",D678,IFERROR(VLOOKUP(MID(AG678,4,1),Lists!$E$2:$F$8,2,FALSE),""))</f>
        <v/>
      </c>
      <c r="AQ678" s="29">
        <f>IFERROR(VLOOKUP(AP678,Lists!$A$2:$C$12,3,FALSE),"")</f>
        <v/>
      </c>
      <c r="AR678" s="29">
        <f>COUNTIF(W678:AC678,"Yes")</f>
        <v/>
      </c>
      <c r="AS678" s="29">
        <f>IF(TRIM(B678)="","Legal name missing; ","")&amp;IF(AND(AJ678&lt;&gt;"",AJ678&lt;&gt;"OK"),"GSTIN: "&amp;AJ678&amp;"; ","")&amp;IF(AND(AK678&lt;&gt;"",AK678&lt;&gt;"OK"),"PAN wrong format; ","")&amp;IF(AND(AO678&lt;&gt;"",LEN(AN678)=15,MID(AN678,3,10)&lt;&gt;AO678),"PAN does not match GSTIN; ","")&amp;IF(AND(AL678&lt;&gt;"",AL678&lt;&gt;"OK"),"TAN wrong format; ","")&amp;IF(AG678="","PAN missing; ","")&amp;IF(AP678="","Entity type missing; ","")&amp;IF(AND(AN678&lt;&gt;"",COUNTIF($AN$6:$AN$1005,AN678)&gt;1),"GSTIN repeated in this sheet; ","")&amp;IF(AND(AG678&lt;&gt;"",COUNTIF($AG$6:$AG$1005,AG678)&gt;1),"PAN repeated in this sheet (same client? put extra GSTINs in Other GSTINs); ","")&amp;IF(AND(AR678&gt;0,V678=""),"Financial year missing; ","")&amp;IF(AND(AR678=0,V678&lt;&gt;""),"Financial year given but no service is Yes; ","")&amp;IF(AND(W678="Yes",AN678=""),"GST needs a GSTIN; ","")&amp;IF(AND(W678="Yes",X678=""),"GST return frequency missing; ","")&amp;IF(AND(Y678="Yes",TRIM(H678)=""),"TDS needs a TAN; ","")&amp;IF(AND(AA678="Yes",AQ678&lt;&gt;"",AQ678&lt;&gt;"company",AQ678&lt;&gt;"llp"),"ROC is only for a company / LLP; ","")&amp;IF(AND(AA678="Yes",OR(AQ678="company",AQ678="llp"),TRIM(I678)=""),"ROC needs the CIN / LLPIN; ","")</f>
        <v/>
      </c>
    </row>
    <row r="679">
      <c r="A679" s="30" t="n"/>
      <c r="B679" s="31" t="n"/>
      <c r="C679" s="31" t="n"/>
      <c r="D679" s="31" t="n"/>
      <c r="E679" s="30" t="n"/>
      <c r="F679" s="30" t="n"/>
      <c r="G679" s="30" t="n"/>
      <c r="H679" s="30" t="n"/>
      <c r="I679" s="30" t="n"/>
      <c r="J679" s="32" t="n"/>
      <c r="K679" s="31" t="n"/>
      <c r="L679" s="30" t="n"/>
      <c r="M679" s="31" t="n"/>
      <c r="N679" s="31" t="n"/>
      <c r="O679" s="31" t="n"/>
      <c r="P679" s="30" t="n"/>
      <c r="Q679" s="31" t="n"/>
      <c r="R679" s="31" t="n"/>
      <c r="S679" s="31" t="n"/>
      <c r="T679" s="31" t="n"/>
      <c r="U679" s="30" t="n"/>
      <c r="V679" s="31" t="n"/>
      <c r="W679" s="31" t="n"/>
      <c r="X679" s="31" t="n"/>
      <c r="Y679" s="31" t="n"/>
      <c r="Z679" s="31" t="n"/>
      <c r="AA679" s="31" t="n"/>
      <c r="AB679" s="31" t="n"/>
      <c r="AC679" s="31" t="n"/>
      <c r="AD679" s="31" t="n"/>
      <c r="AE679" s="31" t="n"/>
      <c r="AF679" s="27">
        <f>IF(NOT(COUNTA(A679:AE679)&gt;0),"",IF(A679="","New client","Update"))</f>
        <v/>
      </c>
      <c r="AG679" s="27">
        <f>IF(AO679&lt;&gt;"",AO679,IF(LEN(AN679)=15,MID(AN679,3,10),""))</f>
        <v/>
      </c>
      <c r="AH679" s="27">
        <f>IF(AP679="","",AP679&amp;IF(D679="","  (guessed from PAN)",""))</f>
        <v/>
      </c>
      <c r="AI679" s="27">
        <f>IF(AN679="","",IFERROR(INDEX(Lists!$L$2:$L$38,MATCH(LEFT(AN679,2),Lists!$K$2:$K$38,0)),"Unknown code"))</f>
        <v/>
      </c>
      <c r="AJ679" s="27">
        <f>IF(AN679="","",IFERROR(IF(NOT(AND(LEN(AN679)=15,ISNUMBER(MATCH(LEFT(AN679,2),Lists!$K$2:$K$38,0)),SUMPRODUCT(--ISERROR(FIND(MID(MID(AN679,3,10),{1,2,3,4,5,10},1),"ABCDEFGHIJKLMNOPQRSTUVWXYZ")))=0,SUMPRODUCT(--ISERROR(FIND(MID(MID(AN679,3,10),{6,7,8,9},1),"0123456789")))=0,ISNUMBER(FIND(MID(AN679,13,1),"123456789ABCDEFGHIJKLMNOPQRSTUVWXYZ")),MID(AN679,14,1)="Z")),"Wrong format",IF(MID("0123456789ABCDEFGHIJKLMNOPQRSTUVWXYZ",MOD(36-MOD(SUMPRODUCT(INT((FIND(MID(AN679,{1,2,3,4,5,6,7,8,9,10,11,12,13,14},1),"0123456789ABCDEFGHIJKLMNOPQRSTUVWXYZ")-1)*{1,2,1,2,1,2,1,2,1,2,1,2,1,2}/36)+MOD((FIND(MID(AN679,{1,2,3,4,5,6,7,8,9,10,11,12,13,14},1),"0123456789ABCDEFGHIJKLMNOPQRSTUVWXYZ")-1)*{1,2,1,2,1,2,1,2,1,2,1,2,1,2},36)),36),36)+1,1)=MID(AN679,15,1),"OK","Typo? check digit wrong")),"Wrong format"))</f>
        <v/>
      </c>
      <c r="AK679" s="27">
        <f>IF(AO679="","",IF(AND(LEN(AO679)=10,SUMPRODUCT(--ISERROR(FIND(MID(AO679,{1,2,3,4,5,10},1),"ABCDEFGHIJKLMNOPQRSTUVWXYZ")))=0,SUMPRODUCT(--ISERROR(FIND(MID(AO679,{6,7,8,9},1),"0123456789")))=0),"OK","Wrong format"))</f>
        <v/>
      </c>
      <c r="AL679" s="27">
        <f>IF(TRIM(H679)="","",IF(AND(LEN(UPPER(TRIM(H679)))=10,SUMPRODUCT(--ISERROR(FIND(MID(UPPER(TRIM(H679)),{1,2,3,4,10},1),"ABCDEFGHIJKLMNOPQRSTUVWXYZ")))=0,SUMPRODUCT(--ISERROR(FIND(MID(UPPER(TRIM(H679)),{5,6,7,8,9},1),"0123456789")))=0),"OK","Wrong format"))</f>
        <v/>
      </c>
      <c r="AM679" s="28">
        <f>IF(NOT(COUNTA(A679:AE679)&gt;0),"",IF(AS679&lt;&gt;"","✖ "&amp;LEFT(AS679,LEN(AS679)-2),IF(AR679&gt;0,"✔ Ready — client + "&amp;AR679&amp;" service(s)","✔ Ready — client only")))</f>
        <v/>
      </c>
      <c r="AN679" s="29">
        <f>UPPER(SUBSTITUTE(TRIM(F679)," ",""))</f>
        <v/>
      </c>
      <c r="AO679" s="29">
        <f>UPPER(SUBSTITUTE(TRIM(E679)," ",""))</f>
        <v/>
      </c>
      <c r="AP679" s="29">
        <f>IF(D679&lt;&gt;"",D679,IFERROR(VLOOKUP(MID(AG679,4,1),Lists!$E$2:$F$8,2,FALSE),""))</f>
        <v/>
      </c>
      <c r="AQ679" s="29">
        <f>IFERROR(VLOOKUP(AP679,Lists!$A$2:$C$12,3,FALSE),"")</f>
        <v/>
      </c>
      <c r="AR679" s="29">
        <f>COUNTIF(W679:AC679,"Yes")</f>
        <v/>
      </c>
      <c r="AS679" s="29">
        <f>IF(TRIM(B679)="","Legal name missing; ","")&amp;IF(AND(AJ679&lt;&gt;"",AJ679&lt;&gt;"OK"),"GSTIN: "&amp;AJ679&amp;"; ","")&amp;IF(AND(AK679&lt;&gt;"",AK679&lt;&gt;"OK"),"PAN wrong format; ","")&amp;IF(AND(AO679&lt;&gt;"",LEN(AN679)=15,MID(AN679,3,10)&lt;&gt;AO679),"PAN does not match GSTIN; ","")&amp;IF(AND(AL679&lt;&gt;"",AL679&lt;&gt;"OK"),"TAN wrong format; ","")&amp;IF(AG679="","PAN missing; ","")&amp;IF(AP679="","Entity type missing; ","")&amp;IF(AND(AN679&lt;&gt;"",COUNTIF($AN$6:$AN$1005,AN679)&gt;1),"GSTIN repeated in this sheet; ","")&amp;IF(AND(AG679&lt;&gt;"",COUNTIF($AG$6:$AG$1005,AG679)&gt;1),"PAN repeated in this sheet (same client? put extra GSTINs in Other GSTINs); ","")&amp;IF(AND(AR679&gt;0,V679=""),"Financial year missing; ","")&amp;IF(AND(AR679=0,V679&lt;&gt;""),"Financial year given but no service is Yes; ","")&amp;IF(AND(W679="Yes",AN679=""),"GST needs a GSTIN; ","")&amp;IF(AND(W679="Yes",X679=""),"GST return frequency missing; ","")&amp;IF(AND(Y679="Yes",TRIM(H679)=""),"TDS needs a TAN; ","")&amp;IF(AND(AA679="Yes",AQ679&lt;&gt;"",AQ679&lt;&gt;"company",AQ679&lt;&gt;"llp"),"ROC is only for a company / LLP; ","")&amp;IF(AND(AA679="Yes",OR(AQ679="company",AQ679="llp"),TRIM(I679)=""),"ROC needs the CIN / LLPIN; ","")</f>
        <v/>
      </c>
    </row>
    <row r="680">
      <c r="A680" s="30" t="n"/>
      <c r="B680" s="31" t="n"/>
      <c r="C680" s="31" t="n"/>
      <c r="D680" s="31" t="n"/>
      <c r="E680" s="30" t="n"/>
      <c r="F680" s="30" t="n"/>
      <c r="G680" s="30" t="n"/>
      <c r="H680" s="30" t="n"/>
      <c r="I680" s="30" t="n"/>
      <c r="J680" s="32" t="n"/>
      <c r="K680" s="31" t="n"/>
      <c r="L680" s="30" t="n"/>
      <c r="M680" s="31" t="n"/>
      <c r="N680" s="31" t="n"/>
      <c r="O680" s="31" t="n"/>
      <c r="P680" s="30" t="n"/>
      <c r="Q680" s="31" t="n"/>
      <c r="R680" s="31" t="n"/>
      <c r="S680" s="31" t="n"/>
      <c r="T680" s="31" t="n"/>
      <c r="U680" s="30" t="n"/>
      <c r="V680" s="31" t="n"/>
      <c r="W680" s="31" t="n"/>
      <c r="X680" s="31" t="n"/>
      <c r="Y680" s="31" t="n"/>
      <c r="Z680" s="31" t="n"/>
      <c r="AA680" s="31" t="n"/>
      <c r="AB680" s="31" t="n"/>
      <c r="AC680" s="31" t="n"/>
      <c r="AD680" s="31" t="n"/>
      <c r="AE680" s="31" t="n"/>
      <c r="AF680" s="27">
        <f>IF(NOT(COUNTA(A680:AE680)&gt;0),"",IF(A680="","New client","Update"))</f>
        <v/>
      </c>
      <c r="AG680" s="27">
        <f>IF(AO680&lt;&gt;"",AO680,IF(LEN(AN680)=15,MID(AN680,3,10),""))</f>
        <v/>
      </c>
      <c r="AH680" s="27">
        <f>IF(AP680="","",AP680&amp;IF(D680="","  (guessed from PAN)",""))</f>
        <v/>
      </c>
      <c r="AI680" s="27">
        <f>IF(AN680="","",IFERROR(INDEX(Lists!$L$2:$L$38,MATCH(LEFT(AN680,2),Lists!$K$2:$K$38,0)),"Unknown code"))</f>
        <v/>
      </c>
      <c r="AJ680" s="27">
        <f>IF(AN680="","",IFERROR(IF(NOT(AND(LEN(AN680)=15,ISNUMBER(MATCH(LEFT(AN680,2),Lists!$K$2:$K$38,0)),SUMPRODUCT(--ISERROR(FIND(MID(MID(AN680,3,10),{1,2,3,4,5,10},1),"ABCDEFGHIJKLMNOPQRSTUVWXYZ")))=0,SUMPRODUCT(--ISERROR(FIND(MID(MID(AN680,3,10),{6,7,8,9},1),"0123456789")))=0,ISNUMBER(FIND(MID(AN680,13,1),"123456789ABCDEFGHIJKLMNOPQRSTUVWXYZ")),MID(AN680,14,1)="Z")),"Wrong format",IF(MID("0123456789ABCDEFGHIJKLMNOPQRSTUVWXYZ",MOD(36-MOD(SUMPRODUCT(INT((FIND(MID(AN680,{1,2,3,4,5,6,7,8,9,10,11,12,13,14},1),"0123456789ABCDEFGHIJKLMNOPQRSTUVWXYZ")-1)*{1,2,1,2,1,2,1,2,1,2,1,2,1,2}/36)+MOD((FIND(MID(AN680,{1,2,3,4,5,6,7,8,9,10,11,12,13,14},1),"0123456789ABCDEFGHIJKLMNOPQRSTUVWXYZ")-1)*{1,2,1,2,1,2,1,2,1,2,1,2,1,2},36)),36),36)+1,1)=MID(AN680,15,1),"OK","Typo? check digit wrong")),"Wrong format"))</f>
        <v/>
      </c>
      <c r="AK680" s="27">
        <f>IF(AO680="","",IF(AND(LEN(AO680)=10,SUMPRODUCT(--ISERROR(FIND(MID(AO680,{1,2,3,4,5,10},1),"ABCDEFGHIJKLMNOPQRSTUVWXYZ")))=0,SUMPRODUCT(--ISERROR(FIND(MID(AO680,{6,7,8,9},1),"0123456789")))=0),"OK","Wrong format"))</f>
        <v/>
      </c>
      <c r="AL680" s="27">
        <f>IF(TRIM(H680)="","",IF(AND(LEN(UPPER(TRIM(H680)))=10,SUMPRODUCT(--ISERROR(FIND(MID(UPPER(TRIM(H680)),{1,2,3,4,10},1),"ABCDEFGHIJKLMNOPQRSTUVWXYZ")))=0,SUMPRODUCT(--ISERROR(FIND(MID(UPPER(TRIM(H680)),{5,6,7,8,9},1),"0123456789")))=0),"OK","Wrong format"))</f>
        <v/>
      </c>
      <c r="AM680" s="28">
        <f>IF(NOT(COUNTA(A680:AE680)&gt;0),"",IF(AS680&lt;&gt;"","✖ "&amp;LEFT(AS680,LEN(AS680)-2),IF(AR680&gt;0,"✔ Ready — client + "&amp;AR680&amp;" service(s)","✔ Ready — client only")))</f>
        <v/>
      </c>
      <c r="AN680" s="29">
        <f>UPPER(SUBSTITUTE(TRIM(F680)," ",""))</f>
        <v/>
      </c>
      <c r="AO680" s="29">
        <f>UPPER(SUBSTITUTE(TRIM(E680)," ",""))</f>
        <v/>
      </c>
      <c r="AP680" s="29">
        <f>IF(D680&lt;&gt;"",D680,IFERROR(VLOOKUP(MID(AG680,4,1),Lists!$E$2:$F$8,2,FALSE),""))</f>
        <v/>
      </c>
      <c r="AQ680" s="29">
        <f>IFERROR(VLOOKUP(AP680,Lists!$A$2:$C$12,3,FALSE),"")</f>
        <v/>
      </c>
      <c r="AR680" s="29">
        <f>COUNTIF(W680:AC680,"Yes")</f>
        <v/>
      </c>
      <c r="AS680" s="29">
        <f>IF(TRIM(B680)="","Legal name missing; ","")&amp;IF(AND(AJ680&lt;&gt;"",AJ680&lt;&gt;"OK"),"GSTIN: "&amp;AJ680&amp;"; ","")&amp;IF(AND(AK680&lt;&gt;"",AK680&lt;&gt;"OK"),"PAN wrong format; ","")&amp;IF(AND(AO680&lt;&gt;"",LEN(AN680)=15,MID(AN680,3,10)&lt;&gt;AO680),"PAN does not match GSTIN; ","")&amp;IF(AND(AL680&lt;&gt;"",AL680&lt;&gt;"OK"),"TAN wrong format; ","")&amp;IF(AG680="","PAN missing; ","")&amp;IF(AP680="","Entity type missing; ","")&amp;IF(AND(AN680&lt;&gt;"",COUNTIF($AN$6:$AN$1005,AN680)&gt;1),"GSTIN repeated in this sheet; ","")&amp;IF(AND(AG680&lt;&gt;"",COUNTIF($AG$6:$AG$1005,AG680)&gt;1),"PAN repeated in this sheet (same client? put extra GSTINs in Other GSTINs); ","")&amp;IF(AND(AR680&gt;0,V680=""),"Financial year missing; ","")&amp;IF(AND(AR680=0,V680&lt;&gt;""),"Financial year given but no service is Yes; ","")&amp;IF(AND(W680="Yes",AN680=""),"GST needs a GSTIN; ","")&amp;IF(AND(W680="Yes",X680=""),"GST return frequency missing; ","")&amp;IF(AND(Y680="Yes",TRIM(H680)=""),"TDS needs a TAN; ","")&amp;IF(AND(AA680="Yes",AQ680&lt;&gt;"",AQ680&lt;&gt;"company",AQ680&lt;&gt;"llp"),"ROC is only for a company / LLP; ","")&amp;IF(AND(AA680="Yes",OR(AQ680="company",AQ680="llp"),TRIM(I680)=""),"ROC needs the CIN / LLPIN; ","")</f>
        <v/>
      </c>
    </row>
    <row r="681">
      <c r="A681" s="30" t="n"/>
      <c r="B681" s="31" t="n"/>
      <c r="C681" s="31" t="n"/>
      <c r="D681" s="31" t="n"/>
      <c r="E681" s="30" t="n"/>
      <c r="F681" s="30" t="n"/>
      <c r="G681" s="30" t="n"/>
      <c r="H681" s="30" t="n"/>
      <c r="I681" s="30" t="n"/>
      <c r="J681" s="32" t="n"/>
      <c r="K681" s="31" t="n"/>
      <c r="L681" s="30" t="n"/>
      <c r="M681" s="31" t="n"/>
      <c r="N681" s="31" t="n"/>
      <c r="O681" s="31" t="n"/>
      <c r="P681" s="30" t="n"/>
      <c r="Q681" s="31" t="n"/>
      <c r="R681" s="31" t="n"/>
      <c r="S681" s="31" t="n"/>
      <c r="T681" s="31" t="n"/>
      <c r="U681" s="30" t="n"/>
      <c r="V681" s="31" t="n"/>
      <c r="W681" s="31" t="n"/>
      <c r="X681" s="31" t="n"/>
      <c r="Y681" s="31" t="n"/>
      <c r="Z681" s="31" t="n"/>
      <c r="AA681" s="31" t="n"/>
      <c r="AB681" s="31" t="n"/>
      <c r="AC681" s="31" t="n"/>
      <c r="AD681" s="31" t="n"/>
      <c r="AE681" s="31" t="n"/>
      <c r="AF681" s="27">
        <f>IF(NOT(COUNTA(A681:AE681)&gt;0),"",IF(A681="","New client","Update"))</f>
        <v/>
      </c>
      <c r="AG681" s="27">
        <f>IF(AO681&lt;&gt;"",AO681,IF(LEN(AN681)=15,MID(AN681,3,10),""))</f>
        <v/>
      </c>
      <c r="AH681" s="27">
        <f>IF(AP681="","",AP681&amp;IF(D681="","  (guessed from PAN)",""))</f>
        <v/>
      </c>
      <c r="AI681" s="27">
        <f>IF(AN681="","",IFERROR(INDEX(Lists!$L$2:$L$38,MATCH(LEFT(AN681,2),Lists!$K$2:$K$38,0)),"Unknown code"))</f>
        <v/>
      </c>
      <c r="AJ681" s="27">
        <f>IF(AN681="","",IFERROR(IF(NOT(AND(LEN(AN681)=15,ISNUMBER(MATCH(LEFT(AN681,2),Lists!$K$2:$K$38,0)),SUMPRODUCT(--ISERROR(FIND(MID(MID(AN681,3,10),{1,2,3,4,5,10},1),"ABCDEFGHIJKLMNOPQRSTUVWXYZ")))=0,SUMPRODUCT(--ISERROR(FIND(MID(MID(AN681,3,10),{6,7,8,9},1),"0123456789")))=0,ISNUMBER(FIND(MID(AN681,13,1),"123456789ABCDEFGHIJKLMNOPQRSTUVWXYZ")),MID(AN681,14,1)="Z")),"Wrong format",IF(MID("0123456789ABCDEFGHIJKLMNOPQRSTUVWXYZ",MOD(36-MOD(SUMPRODUCT(INT((FIND(MID(AN681,{1,2,3,4,5,6,7,8,9,10,11,12,13,14},1),"0123456789ABCDEFGHIJKLMNOPQRSTUVWXYZ")-1)*{1,2,1,2,1,2,1,2,1,2,1,2,1,2}/36)+MOD((FIND(MID(AN681,{1,2,3,4,5,6,7,8,9,10,11,12,13,14},1),"0123456789ABCDEFGHIJKLMNOPQRSTUVWXYZ")-1)*{1,2,1,2,1,2,1,2,1,2,1,2,1,2},36)),36),36)+1,1)=MID(AN681,15,1),"OK","Typo? check digit wrong")),"Wrong format"))</f>
        <v/>
      </c>
      <c r="AK681" s="27">
        <f>IF(AO681="","",IF(AND(LEN(AO681)=10,SUMPRODUCT(--ISERROR(FIND(MID(AO681,{1,2,3,4,5,10},1),"ABCDEFGHIJKLMNOPQRSTUVWXYZ")))=0,SUMPRODUCT(--ISERROR(FIND(MID(AO681,{6,7,8,9},1),"0123456789")))=0),"OK","Wrong format"))</f>
        <v/>
      </c>
      <c r="AL681" s="27">
        <f>IF(TRIM(H681)="","",IF(AND(LEN(UPPER(TRIM(H681)))=10,SUMPRODUCT(--ISERROR(FIND(MID(UPPER(TRIM(H681)),{1,2,3,4,10},1),"ABCDEFGHIJKLMNOPQRSTUVWXYZ")))=0,SUMPRODUCT(--ISERROR(FIND(MID(UPPER(TRIM(H681)),{5,6,7,8,9},1),"0123456789")))=0),"OK","Wrong format"))</f>
        <v/>
      </c>
      <c r="AM681" s="28">
        <f>IF(NOT(COUNTA(A681:AE681)&gt;0),"",IF(AS681&lt;&gt;"","✖ "&amp;LEFT(AS681,LEN(AS681)-2),IF(AR681&gt;0,"✔ Ready — client + "&amp;AR681&amp;" service(s)","✔ Ready — client only")))</f>
        <v/>
      </c>
      <c r="AN681" s="29">
        <f>UPPER(SUBSTITUTE(TRIM(F681)," ",""))</f>
        <v/>
      </c>
      <c r="AO681" s="29">
        <f>UPPER(SUBSTITUTE(TRIM(E681)," ",""))</f>
        <v/>
      </c>
      <c r="AP681" s="29">
        <f>IF(D681&lt;&gt;"",D681,IFERROR(VLOOKUP(MID(AG681,4,1),Lists!$E$2:$F$8,2,FALSE),""))</f>
        <v/>
      </c>
      <c r="AQ681" s="29">
        <f>IFERROR(VLOOKUP(AP681,Lists!$A$2:$C$12,3,FALSE),"")</f>
        <v/>
      </c>
      <c r="AR681" s="29">
        <f>COUNTIF(W681:AC681,"Yes")</f>
        <v/>
      </c>
      <c r="AS681" s="29">
        <f>IF(TRIM(B681)="","Legal name missing; ","")&amp;IF(AND(AJ681&lt;&gt;"",AJ681&lt;&gt;"OK"),"GSTIN: "&amp;AJ681&amp;"; ","")&amp;IF(AND(AK681&lt;&gt;"",AK681&lt;&gt;"OK"),"PAN wrong format; ","")&amp;IF(AND(AO681&lt;&gt;"",LEN(AN681)=15,MID(AN681,3,10)&lt;&gt;AO681),"PAN does not match GSTIN; ","")&amp;IF(AND(AL681&lt;&gt;"",AL681&lt;&gt;"OK"),"TAN wrong format; ","")&amp;IF(AG681="","PAN missing; ","")&amp;IF(AP681="","Entity type missing; ","")&amp;IF(AND(AN681&lt;&gt;"",COUNTIF($AN$6:$AN$1005,AN681)&gt;1),"GSTIN repeated in this sheet; ","")&amp;IF(AND(AG681&lt;&gt;"",COUNTIF($AG$6:$AG$1005,AG681)&gt;1),"PAN repeated in this sheet (same client? put extra GSTINs in Other GSTINs); ","")&amp;IF(AND(AR681&gt;0,V681=""),"Financial year missing; ","")&amp;IF(AND(AR681=0,V681&lt;&gt;""),"Financial year given but no service is Yes; ","")&amp;IF(AND(W681="Yes",AN681=""),"GST needs a GSTIN; ","")&amp;IF(AND(W681="Yes",X681=""),"GST return frequency missing; ","")&amp;IF(AND(Y681="Yes",TRIM(H681)=""),"TDS needs a TAN; ","")&amp;IF(AND(AA681="Yes",AQ681&lt;&gt;"",AQ681&lt;&gt;"company",AQ681&lt;&gt;"llp"),"ROC is only for a company / LLP; ","")&amp;IF(AND(AA681="Yes",OR(AQ681="company",AQ681="llp"),TRIM(I681)=""),"ROC needs the CIN / LLPIN; ","")</f>
        <v/>
      </c>
    </row>
    <row r="682">
      <c r="A682" s="30" t="n"/>
      <c r="B682" s="31" t="n"/>
      <c r="C682" s="31" t="n"/>
      <c r="D682" s="31" t="n"/>
      <c r="E682" s="30" t="n"/>
      <c r="F682" s="30" t="n"/>
      <c r="G682" s="30" t="n"/>
      <c r="H682" s="30" t="n"/>
      <c r="I682" s="30" t="n"/>
      <c r="J682" s="32" t="n"/>
      <c r="K682" s="31" t="n"/>
      <c r="L682" s="30" t="n"/>
      <c r="M682" s="31" t="n"/>
      <c r="N682" s="31" t="n"/>
      <c r="O682" s="31" t="n"/>
      <c r="P682" s="30" t="n"/>
      <c r="Q682" s="31" t="n"/>
      <c r="R682" s="31" t="n"/>
      <c r="S682" s="31" t="n"/>
      <c r="T682" s="31" t="n"/>
      <c r="U682" s="30" t="n"/>
      <c r="V682" s="31" t="n"/>
      <c r="W682" s="31" t="n"/>
      <c r="X682" s="31" t="n"/>
      <c r="Y682" s="31" t="n"/>
      <c r="Z682" s="31" t="n"/>
      <c r="AA682" s="31" t="n"/>
      <c r="AB682" s="31" t="n"/>
      <c r="AC682" s="31" t="n"/>
      <c r="AD682" s="31" t="n"/>
      <c r="AE682" s="31" t="n"/>
      <c r="AF682" s="27">
        <f>IF(NOT(COUNTA(A682:AE682)&gt;0),"",IF(A682="","New client","Update"))</f>
        <v/>
      </c>
      <c r="AG682" s="27">
        <f>IF(AO682&lt;&gt;"",AO682,IF(LEN(AN682)=15,MID(AN682,3,10),""))</f>
        <v/>
      </c>
      <c r="AH682" s="27">
        <f>IF(AP682="","",AP682&amp;IF(D682="","  (guessed from PAN)",""))</f>
        <v/>
      </c>
      <c r="AI682" s="27">
        <f>IF(AN682="","",IFERROR(INDEX(Lists!$L$2:$L$38,MATCH(LEFT(AN682,2),Lists!$K$2:$K$38,0)),"Unknown code"))</f>
        <v/>
      </c>
      <c r="AJ682" s="27">
        <f>IF(AN682="","",IFERROR(IF(NOT(AND(LEN(AN682)=15,ISNUMBER(MATCH(LEFT(AN682,2),Lists!$K$2:$K$38,0)),SUMPRODUCT(--ISERROR(FIND(MID(MID(AN682,3,10),{1,2,3,4,5,10},1),"ABCDEFGHIJKLMNOPQRSTUVWXYZ")))=0,SUMPRODUCT(--ISERROR(FIND(MID(MID(AN682,3,10),{6,7,8,9},1),"0123456789")))=0,ISNUMBER(FIND(MID(AN682,13,1),"123456789ABCDEFGHIJKLMNOPQRSTUVWXYZ")),MID(AN682,14,1)="Z")),"Wrong format",IF(MID("0123456789ABCDEFGHIJKLMNOPQRSTUVWXYZ",MOD(36-MOD(SUMPRODUCT(INT((FIND(MID(AN682,{1,2,3,4,5,6,7,8,9,10,11,12,13,14},1),"0123456789ABCDEFGHIJKLMNOPQRSTUVWXYZ")-1)*{1,2,1,2,1,2,1,2,1,2,1,2,1,2}/36)+MOD((FIND(MID(AN682,{1,2,3,4,5,6,7,8,9,10,11,12,13,14},1),"0123456789ABCDEFGHIJKLMNOPQRSTUVWXYZ")-1)*{1,2,1,2,1,2,1,2,1,2,1,2,1,2},36)),36),36)+1,1)=MID(AN682,15,1),"OK","Typo? check digit wrong")),"Wrong format"))</f>
        <v/>
      </c>
      <c r="AK682" s="27">
        <f>IF(AO682="","",IF(AND(LEN(AO682)=10,SUMPRODUCT(--ISERROR(FIND(MID(AO682,{1,2,3,4,5,10},1),"ABCDEFGHIJKLMNOPQRSTUVWXYZ")))=0,SUMPRODUCT(--ISERROR(FIND(MID(AO682,{6,7,8,9},1),"0123456789")))=0),"OK","Wrong format"))</f>
        <v/>
      </c>
      <c r="AL682" s="27">
        <f>IF(TRIM(H682)="","",IF(AND(LEN(UPPER(TRIM(H682)))=10,SUMPRODUCT(--ISERROR(FIND(MID(UPPER(TRIM(H682)),{1,2,3,4,10},1),"ABCDEFGHIJKLMNOPQRSTUVWXYZ")))=0,SUMPRODUCT(--ISERROR(FIND(MID(UPPER(TRIM(H682)),{5,6,7,8,9},1),"0123456789")))=0),"OK","Wrong format"))</f>
        <v/>
      </c>
      <c r="AM682" s="28">
        <f>IF(NOT(COUNTA(A682:AE682)&gt;0),"",IF(AS682&lt;&gt;"","✖ "&amp;LEFT(AS682,LEN(AS682)-2),IF(AR682&gt;0,"✔ Ready — client + "&amp;AR682&amp;" service(s)","✔ Ready — client only")))</f>
        <v/>
      </c>
      <c r="AN682" s="29">
        <f>UPPER(SUBSTITUTE(TRIM(F682)," ",""))</f>
        <v/>
      </c>
      <c r="AO682" s="29">
        <f>UPPER(SUBSTITUTE(TRIM(E682)," ",""))</f>
        <v/>
      </c>
      <c r="AP682" s="29">
        <f>IF(D682&lt;&gt;"",D682,IFERROR(VLOOKUP(MID(AG682,4,1),Lists!$E$2:$F$8,2,FALSE),""))</f>
        <v/>
      </c>
      <c r="AQ682" s="29">
        <f>IFERROR(VLOOKUP(AP682,Lists!$A$2:$C$12,3,FALSE),"")</f>
        <v/>
      </c>
      <c r="AR682" s="29">
        <f>COUNTIF(W682:AC682,"Yes")</f>
        <v/>
      </c>
      <c r="AS682" s="29">
        <f>IF(TRIM(B682)="","Legal name missing; ","")&amp;IF(AND(AJ682&lt;&gt;"",AJ682&lt;&gt;"OK"),"GSTIN: "&amp;AJ682&amp;"; ","")&amp;IF(AND(AK682&lt;&gt;"",AK682&lt;&gt;"OK"),"PAN wrong format; ","")&amp;IF(AND(AO682&lt;&gt;"",LEN(AN682)=15,MID(AN682,3,10)&lt;&gt;AO682),"PAN does not match GSTIN; ","")&amp;IF(AND(AL682&lt;&gt;"",AL682&lt;&gt;"OK"),"TAN wrong format; ","")&amp;IF(AG682="","PAN missing; ","")&amp;IF(AP682="","Entity type missing; ","")&amp;IF(AND(AN682&lt;&gt;"",COUNTIF($AN$6:$AN$1005,AN682)&gt;1),"GSTIN repeated in this sheet; ","")&amp;IF(AND(AG682&lt;&gt;"",COUNTIF($AG$6:$AG$1005,AG682)&gt;1),"PAN repeated in this sheet (same client? put extra GSTINs in Other GSTINs); ","")&amp;IF(AND(AR682&gt;0,V682=""),"Financial year missing; ","")&amp;IF(AND(AR682=0,V682&lt;&gt;""),"Financial year given but no service is Yes; ","")&amp;IF(AND(W682="Yes",AN682=""),"GST needs a GSTIN; ","")&amp;IF(AND(W682="Yes",X682=""),"GST return frequency missing; ","")&amp;IF(AND(Y682="Yes",TRIM(H682)=""),"TDS needs a TAN; ","")&amp;IF(AND(AA682="Yes",AQ682&lt;&gt;"",AQ682&lt;&gt;"company",AQ682&lt;&gt;"llp"),"ROC is only for a company / LLP; ","")&amp;IF(AND(AA682="Yes",OR(AQ682="company",AQ682="llp"),TRIM(I682)=""),"ROC needs the CIN / LLPIN; ","")</f>
        <v/>
      </c>
    </row>
    <row r="683">
      <c r="A683" s="30" t="n"/>
      <c r="B683" s="31" t="n"/>
      <c r="C683" s="31" t="n"/>
      <c r="D683" s="31" t="n"/>
      <c r="E683" s="30" t="n"/>
      <c r="F683" s="30" t="n"/>
      <c r="G683" s="30" t="n"/>
      <c r="H683" s="30" t="n"/>
      <c r="I683" s="30" t="n"/>
      <c r="J683" s="32" t="n"/>
      <c r="K683" s="31" t="n"/>
      <c r="L683" s="30" t="n"/>
      <c r="M683" s="31" t="n"/>
      <c r="N683" s="31" t="n"/>
      <c r="O683" s="31" t="n"/>
      <c r="P683" s="30" t="n"/>
      <c r="Q683" s="31" t="n"/>
      <c r="R683" s="31" t="n"/>
      <c r="S683" s="31" t="n"/>
      <c r="T683" s="31" t="n"/>
      <c r="U683" s="30" t="n"/>
      <c r="V683" s="31" t="n"/>
      <c r="W683" s="31" t="n"/>
      <c r="X683" s="31" t="n"/>
      <c r="Y683" s="31" t="n"/>
      <c r="Z683" s="31" t="n"/>
      <c r="AA683" s="31" t="n"/>
      <c r="AB683" s="31" t="n"/>
      <c r="AC683" s="31" t="n"/>
      <c r="AD683" s="31" t="n"/>
      <c r="AE683" s="31" t="n"/>
      <c r="AF683" s="27">
        <f>IF(NOT(COUNTA(A683:AE683)&gt;0),"",IF(A683="","New client","Update"))</f>
        <v/>
      </c>
      <c r="AG683" s="27">
        <f>IF(AO683&lt;&gt;"",AO683,IF(LEN(AN683)=15,MID(AN683,3,10),""))</f>
        <v/>
      </c>
      <c r="AH683" s="27">
        <f>IF(AP683="","",AP683&amp;IF(D683="","  (guessed from PAN)",""))</f>
        <v/>
      </c>
      <c r="AI683" s="27">
        <f>IF(AN683="","",IFERROR(INDEX(Lists!$L$2:$L$38,MATCH(LEFT(AN683,2),Lists!$K$2:$K$38,0)),"Unknown code"))</f>
        <v/>
      </c>
      <c r="AJ683" s="27">
        <f>IF(AN683="","",IFERROR(IF(NOT(AND(LEN(AN683)=15,ISNUMBER(MATCH(LEFT(AN683,2),Lists!$K$2:$K$38,0)),SUMPRODUCT(--ISERROR(FIND(MID(MID(AN683,3,10),{1,2,3,4,5,10},1),"ABCDEFGHIJKLMNOPQRSTUVWXYZ")))=0,SUMPRODUCT(--ISERROR(FIND(MID(MID(AN683,3,10),{6,7,8,9},1),"0123456789")))=0,ISNUMBER(FIND(MID(AN683,13,1),"123456789ABCDEFGHIJKLMNOPQRSTUVWXYZ")),MID(AN683,14,1)="Z")),"Wrong format",IF(MID("0123456789ABCDEFGHIJKLMNOPQRSTUVWXYZ",MOD(36-MOD(SUMPRODUCT(INT((FIND(MID(AN683,{1,2,3,4,5,6,7,8,9,10,11,12,13,14},1),"0123456789ABCDEFGHIJKLMNOPQRSTUVWXYZ")-1)*{1,2,1,2,1,2,1,2,1,2,1,2,1,2}/36)+MOD((FIND(MID(AN683,{1,2,3,4,5,6,7,8,9,10,11,12,13,14},1),"0123456789ABCDEFGHIJKLMNOPQRSTUVWXYZ")-1)*{1,2,1,2,1,2,1,2,1,2,1,2,1,2},36)),36),36)+1,1)=MID(AN683,15,1),"OK","Typo? check digit wrong")),"Wrong format"))</f>
        <v/>
      </c>
      <c r="AK683" s="27">
        <f>IF(AO683="","",IF(AND(LEN(AO683)=10,SUMPRODUCT(--ISERROR(FIND(MID(AO683,{1,2,3,4,5,10},1),"ABCDEFGHIJKLMNOPQRSTUVWXYZ")))=0,SUMPRODUCT(--ISERROR(FIND(MID(AO683,{6,7,8,9},1),"0123456789")))=0),"OK","Wrong format"))</f>
        <v/>
      </c>
      <c r="AL683" s="27">
        <f>IF(TRIM(H683)="","",IF(AND(LEN(UPPER(TRIM(H683)))=10,SUMPRODUCT(--ISERROR(FIND(MID(UPPER(TRIM(H683)),{1,2,3,4,10},1),"ABCDEFGHIJKLMNOPQRSTUVWXYZ")))=0,SUMPRODUCT(--ISERROR(FIND(MID(UPPER(TRIM(H683)),{5,6,7,8,9},1),"0123456789")))=0),"OK","Wrong format"))</f>
        <v/>
      </c>
      <c r="AM683" s="28">
        <f>IF(NOT(COUNTA(A683:AE683)&gt;0),"",IF(AS683&lt;&gt;"","✖ "&amp;LEFT(AS683,LEN(AS683)-2),IF(AR683&gt;0,"✔ Ready — client + "&amp;AR683&amp;" service(s)","✔ Ready — client only")))</f>
        <v/>
      </c>
      <c r="AN683" s="29">
        <f>UPPER(SUBSTITUTE(TRIM(F683)," ",""))</f>
        <v/>
      </c>
      <c r="AO683" s="29">
        <f>UPPER(SUBSTITUTE(TRIM(E683)," ",""))</f>
        <v/>
      </c>
      <c r="AP683" s="29">
        <f>IF(D683&lt;&gt;"",D683,IFERROR(VLOOKUP(MID(AG683,4,1),Lists!$E$2:$F$8,2,FALSE),""))</f>
        <v/>
      </c>
      <c r="AQ683" s="29">
        <f>IFERROR(VLOOKUP(AP683,Lists!$A$2:$C$12,3,FALSE),"")</f>
        <v/>
      </c>
      <c r="AR683" s="29">
        <f>COUNTIF(W683:AC683,"Yes")</f>
        <v/>
      </c>
      <c r="AS683" s="29">
        <f>IF(TRIM(B683)="","Legal name missing; ","")&amp;IF(AND(AJ683&lt;&gt;"",AJ683&lt;&gt;"OK"),"GSTIN: "&amp;AJ683&amp;"; ","")&amp;IF(AND(AK683&lt;&gt;"",AK683&lt;&gt;"OK"),"PAN wrong format; ","")&amp;IF(AND(AO683&lt;&gt;"",LEN(AN683)=15,MID(AN683,3,10)&lt;&gt;AO683),"PAN does not match GSTIN; ","")&amp;IF(AND(AL683&lt;&gt;"",AL683&lt;&gt;"OK"),"TAN wrong format; ","")&amp;IF(AG683="","PAN missing; ","")&amp;IF(AP683="","Entity type missing; ","")&amp;IF(AND(AN683&lt;&gt;"",COUNTIF($AN$6:$AN$1005,AN683)&gt;1),"GSTIN repeated in this sheet; ","")&amp;IF(AND(AG683&lt;&gt;"",COUNTIF($AG$6:$AG$1005,AG683)&gt;1),"PAN repeated in this sheet (same client? put extra GSTINs in Other GSTINs); ","")&amp;IF(AND(AR683&gt;0,V683=""),"Financial year missing; ","")&amp;IF(AND(AR683=0,V683&lt;&gt;""),"Financial year given but no service is Yes; ","")&amp;IF(AND(W683="Yes",AN683=""),"GST needs a GSTIN; ","")&amp;IF(AND(W683="Yes",X683=""),"GST return frequency missing; ","")&amp;IF(AND(Y683="Yes",TRIM(H683)=""),"TDS needs a TAN; ","")&amp;IF(AND(AA683="Yes",AQ683&lt;&gt;"",AQ683&lt;&gt;"company",AQ683&lt;&gt;"llp"),"ROC is only for a company / LLP; ","")&amp;IF(AND(AA683="Yes",OR(AQ683="company",AQ683="llp"),TRIM(I683)=""),"ROC needs the CIN / LLPIN; ","")</f>
        <v/>
      </c>
    </row>
    <row r="684">
      <c r="A684" s="30" t="n"/>
      <c r="B684" s="31" t="n"/>
      <c r="C684" s="31" t="n"/>
      <c r="D684" s="31" t="n"/>
      <c r="E684" s="30" t="n"/>
      <c r="F684" s="30" t="n"/>
      <c r="G684" s="30" t="n"/>
      <c r="H684" s="30" t="n"/>
      <c r="I684" s="30" t="n"/>
      <c r="J684" s="32" t="n"/>
      <c r="K684" s="31" t="n"/>
      <c r="L684" s="30" t="n"/>
      <c r="M684" s="31" t="n"/>
      <c r="N684" s="31" t="n"/>
      <c r="O684" s="31" t="n"/>
      <c r="P684" s="30" t="n"/>
      <c r="Q684" s="31" t="n"/>
      <c r="R684" s="31" t="n"/>
      <c r="S684" s="31" t="n"/>
      <c r="T684" s="31" t="n"/>
      <c r="U684" s="30" t="n"/>
      <c r="V684" s="31" t="n"/>
      <c r="W684" s="31" t="n"/>
      <c r="X684" s="31" t="n"/>
      <c r="Y684" s="31" t="n"/>
      <c r="Z684" s="31" t="n"/>
      <c r="AA684" s="31" t="n"/>
      <c r="AB684" s="31" t="n"/>
      <c r="AC684" s="31" t="n"/>
      <c r="AD684" s="31" t="n"/>
      <c r="AE684" s="31" t="n"/>
      <c r="AF684" s="27">
        <f>IF(NOT(COUNTA(A684:AE684)&gt;0),"",IF(A684="","New client","Update"))</f>
        <v/>
      </c>
      <c r="AG684" s="27">
        <f>IF(AO684&lt;&gt;"",AO684,IF(LEN(AN684)=15,MID(AN684,3,10),""))</f>
        <v/>
      </c>
      <c r="AH684" s="27">
        <f>IF(AP684="","",AP684&amp;IF(D684="","  (guessed from PAN)",""))</f>
        <v/>
      </c>
      <c r="AI684" s="27">
        <f>IF(AN684="","",IFERROR(INDEX(Lists!$L$2:$L$38,MATCH(LEFT(AN684,2),Lists!$K$2:$K$38,0)),"Unknown code"))</f>
        <v/>
      </c>
      <c r="AJ684" s="27">
        <f>IF(AN684="","",IFERROR(IF(NOT(AND(LEN(AN684)=15,ISNUMBER(MATCH(LEFT(AN684,2),Lists!$K$2:$K$38,0)),SUMPRODUCT(--ISERROR(FIND(MID(MID(AN684,3,10),{1,2,3,4,5,10},1),"ABCDEFGHIJKLMNOPQRSTUVWXYZ")))=0,SUMPRODUCT(--ISERROR(FIND(MID(MID(AN684,3,10),{6,7,8,9},1),"0123456789")))=0,ISNUMBER(FIND(MID(AN684,13,1),"123456789ABCDEFGHIJKLMNOPQRSTUVWXYZ")),MID(AN684,14,1)="Z")),"Wrong format",IF(MID("0123456789ABCDEFGHIJKLMNOPQRSTUVWXYZ",MOD(36-MOD(SUMPRODUCT(INT((FIND(MID(AN684,{1,2,3,4,5,6,7,8,9,10,11,12,13,14},1),"0123456789ABCDEFGHIJKLMNOPQRSTUVWXYZ")-1)*{1,2,1,2,1,2,1,2,1,2,1,2,1,2}/36)+MOD((FIND(MID(AN684,{1,2,3,4,5,6,7,8,9,10,11,12,13,14},1),"0123456789ABCDEFGHIJKLMNOPQRSTUVWXYZ")-1)*{1,2,1,2,1,2,1,2,1,2,1,2,1,2},36)),36),36)+1,1)=MID(AN684,15,1),"OK","Typo? check digit wrong")),"Wrong format"))</f>
        <v/>
      </c>
      <c r="AK684" s="27">
        <f>IF(AO684="","",IF(AND(LEN(AO684)=10,SUMPRODUCT(--ISERROR(FIND(MID(AO684,{1,2,3,4,5,10},1),"ABCDEFGHIJKLMNOPQRSTUVWXYZ")))=0,SUMPRODUCT(--ISERROR(FIND(MID(AO684,{6,7,8,9},1),"0123456789")))=0),"OK","Wrong format"))</f>
        <v/>
      </c>
      <c r="AL684" s="27">
        <f>IF(TRIM(H684)="","",IF(AND(LEN(UPPER(TRIM(H684)))=10,SUMPRODUCT(--ISERROR(FIND(MID(UPPER(TRIM(H684)),{1,2,3,4,10},1),"ABCDEFGHIJKLMNOPQRSTUVWXYZ")))=0,SUMPRODUCT(--ISERROR(FIND(MID(UPPER(TRIM(H684)),{5,6,7,8,9},1),"0123456789")))=0),"OK","Wrong format"))</f>
        <v/>
      </c>
      <c r="AM684" s="28">
        <f>IF(NOT(COUNTA(A684:AE684)&gt;0),"",IF(AS684&lt;&gt;"","✖ "&amp;LEFT(AS684,LEN(AS684)-2),IF(AR684&gt;0,"✔ Ready — client + "&amp;AR684&amp;" service(s)","✔ Ready — client only")))</f>
        <v/>
      </c>
      <c r="AN684" s="29">
        <f>UPPER(SUBSTITUTE(TRIM(F684)," ",""))</f>
        <v/>
      </c>
      <c r="AO684" s="29">
        <f>UPPER(SUBSTITUTE(TRIM(E684)," ",""))</f>
        <v/>
      </c>
      <c r="AP684" s="29">
        <f>IF(D684&lt;&gt;"",D684,IFERROR(VLOOKUP(MID(AG684,4,1),Lists!$E$2:$F$8,2,FALSE),""))</f>
        <v/>
      </c>
      <c r="AQ684" s="29">
        <f>IFERROR(VLOOKUP(AP684,Lists!$A$2:$C$12,3,FALSE),"")</f>
        <v/>
      </c>
      <c r="AR684" s="29">
        <f>COUNTIF(W684:AC684,"Yes")</f>
        <v/>
      </c>
      <c r="AS684" s="29">
        <f>IF(TRIM(B684)="","Legal name missing; ","")&amp;IF(AND(AJ684&lt;&gt;"",AJ684&lt;&gt;"OK"),"GSTIN: "&amp;AJ684&amp;"; ","")&amp;IF(AND(AK684&lt;&gt;"",AK684&lt;&gt;"OK"),"PAN wrong format; ","")&amp;IF(AND(AO684&lt;&gt;"",LEN(AN684)=15,MID(AN684,3,10)&lt;&gt;AO684),"PAN does not match GSTIN; ","")&amp;IF(AND(AL684&lt;&gt;"",AL684&lt;&gt;"OK"),"TAN wrong format; ","")&amp;IF(AG684="","PAN missing; ","")&amp;IF(AP684="","Entity type missing; ","")&amp;IF(AND(AN684&lt;&gt;"",COUNTIF($AN$6:$AN$1005,AN684)&gt;1),"GSTIN repeated in this sheet; ","")&amp;IF(AND(AG684&lt;&gt;"",COUNTIF($AG$6:$AG$1005,AG684)&gt;1),"PAN repeated in this sheet (same client? put extra GSTINs in Other GSTINs); ","")&amp;IF(AND(AR684&gt;0,V684=""),"Financial year missing; ","")&amp;IF(AND(AR684=0,V684&lt;&gt;""),"Financial year given but no service is Yes; ","")&amp;IF(AND(W684="Yes",AN684=""),"GST needs a GSTIN; ","")&amp;IF(AND(W684="Yes",X684=""),"GST return frequency missing; ","")&amp;IF(AND(Y684="Yes",TRIM(H684)=""),"TDS needs a TAN; ","")&amp;IF(AND(AA684="Yes",AQ684&lt;&gt;"",AQ684&lt;&gt;"company",AQ684&lt;&gt;"llp"),"ROC is only for a company / LLP; ","")&amp;IF(AND(AA684="Yes",OR(AQ684="company",AQ684="llp"),TRIM(I684)=""),"ROC needs the CIN / LLPIN; ","")</f>
        <v/>
      </c>
    </row>
    <row r="685">
      <c r="A685" s="30" t="n"/>
      <c r="B685" s="31" t="n"/>
      <c r="C685" s="31" t="n"/>
      <c r="D685" s="31" t="n"/>
      <c r="E685" s="30" t="n"/>
      <c r="F685" s="30" t="n"/>
      <c r="G685" s="30" t="n"/>
      <c r="H685" s="30" t="n"/>
      <c r="I685" s="30" t="n"/>
      <c r="J685" s="32" t="n"/>
      <c r="K685" s="31" t="n"/>
      <c r="L685" s="30" t="n"/>
      <c r="M685" s="31" t="n"/>
      <c r="N685" s="31" t="n"/>
      <c r="O685" s="31" t="n"/>
      <c r="P685" s="30" t="n"/>
      <c r="Q685" s="31" t="n"/>
      <c r="R685" s="31" t="n"/>
      <c r="S685" s="31" t="n"/>
      <c r="T685" s="31" t="n"/>
      <c r="U685" s="30" t="n"/>
      <c r="V685" s="31" t="n"/>
      <c r="W685" s="31" t="n"/>
      <c r="X685" s="31" t="n"/>
      <c r="Y685" s="31" t="n"/>
      <c r="Z685" s="31" t="n"/>
      <c r="AA685" s="31" t="n"/>
      <c r="AB685" s="31" t="n"/>
      <c r="AC685" s="31" t="n"/>
      <c r="AD685" s="31" t="n"/>
      <c r="AE685" s="31" t="n"/>
      <c r="AF685" s="27">
        <f>IF(NOT(COUNTA(A685:AE685)&gt;0),"",IF(A685="","New client","Update"))</f>
        <v/>
      </c>
      <c r="AG685" s="27">
        <f>IF(AO685&lt;&gt;"",AO685,IF(LEN(AN685)=15,MID(AN685,3,10),""))</f>
        <v/>
      </c>
      <c r="AH685" s="27">
        <f>IF(AP685="","",AP685&amp;IF(D685="","  (guessed from PAN)",""))</f>
        <v/>
      </c>
      <c r="AI685" s="27">
        <f>IF(AN685="","",IFERROR(INDEX(Lists!$L$2:$L$38,MATCH(LEFT(AN685,2),Lists!$K$2:$K$38,0)),"Unknown code"))</f>
        <v/>
      </c>
      <c r="AJ685" s="27">
        <f>IF(AN685="","",IFERROR(IF(NOT(AND(LEN(AN685)=15,ISNUMBER(MATCH(LEFT(AN685,2),Lists!$K$2:$K$38,0)),SUMPRODUCT(--ISERROR(FIND(MID(MID(AN685,3,10),{1,2,3,4,5,10},1),"ABCDEFGHIJKLMNOPQRSTUVWXYZ")))=0,SUMPRODUCT(--ISERROR(FIND(MID(MID(AN685,3,10),{6,7,8,9},1),"0123456789")))=0,ISNUMBER(FIND(MID(AN685,13,1),"123456789ABCDEFGHIJKLMNOPQRSTUVWXYZ")),MID(AN685,14,1)="Z")),"Wrong format",IF(MID("0123456789ABCDEFGHIJKLMNOPQRSTUVWXYZ",MOD(36-MOD(SUMPRODUCT(INT((FIND(MID(AN685,{1,2,3,4,5,6,7,8,9,10,11,12,13,14},1),"0123456789ABCDEFGHIJKLMNOPQRSTUVWXYZ")-1)*{1,2,1,2,1,2,1,2,1,2,1,2,1,2}/36)+MOD((FIND(MID(AN685,{1,2,3,4,5,6,7,8,9,10,11,12,13,14},1),"0123456789ABCDEFGHIJKLMNOPQRSTUVWXYZ")-1)*{1,2,1,2,1,2,1,2,1,2,1,2,1,2},36)),36),36)+1,1)=MID(AN685,15,1),"OK","Typo? check digit wrong")),"Wrong format"))</f>
        <v/>
      </c>
      <c r="AK685" s="27">
        <f>IF(AO685="","",IF(AND(LEN(AO685)=10,SUMPRODUCT(--ISERROR(FIND(MID(AO685,{1,2,3,4,5,10},1),"ABCDEFGHIJKLMNOPQRSTUVWXYZ")))=0,SUMPRODUCT(--ISERROR(FIND(MID(AO685,{6,7,8,9},1),"0123456789")))=0),"OK","Wrong format"))</f>
        <v/>
      </c>
      <c r="AL685" s="27">
        <f>IF(TRIM(H685)="","",IF(AND(LEN(UPPER(TRIM(H685)))=10,SUMPRODUCT(--ISERROR(FIND(MID(UPPER(TRIM(H685)),{1,2,3,4,10},1),"ABCDEFGHIJKLMNOPQRSTUVWXYZ")))=0,SUMPRODUCT(--ISERROR(FIND(MID(UPPER(TRIM(H685)),{5,6,7,8,9},1),"0123456789")))=0),"OK","Wrong format"))</f>
        <v/>
      </c>
      <c r="AM685" s="28">
        <f>IF(NOT(COUNTA(A685:AE685)&gt;0),"",IF(AS685&lt;&gt;"","✖ "&amp;LEFT(AS685,LEN(AS685)-2),IF(AR685&gt;0,"✔ Ready — client + "&amp;AR685&amp;" service(s)","✔ Ready — client only")))</f>
        <v/>
      </c>
      <c r="AN685" s="29">
        <f>UPPER(SUBSTITUTE(TRIM(F685)," ",""))</f>
        <v/>
      </c>
      <c r="AO685" s="29">
        <f>UPPER(SUBSTITUTE(TRIM(E685)," ",""))</f>
        <v/>
      </c>
      <c r="AP685" s="29">
        <f>IF(D685&lt;&gt;"",D685,IFERROR(VLOOKUP(MID(AG685,4,1),Lists!$E$2:$F$8,2,FALSE),""))</f>
        <v/>
      </c>
      <c r="AQ685" s="29">
        <f>IFERROR(VLOOKUP(AP685,Lists!$A$2:$C$12,3,FALSE),"")</f>
        <v/>
      </c>
      <c r="AR685" s="29">
        <f>COUNTIF(W685:AC685,"Yes")</f>
        <v/>
      </c>
      <c r="AS685" s="29">
        <f>IF(TRIM(B685)="","Legal name missing; ","")&amp;IF(AND(AJ685&lt;&gt;"",AJ685&lt;&gt;"OK"),"GSTIN: "&amp;AJ685&amp;"; ","")&amp;IF(AND(AK685&lt;&gt;"",AK685&lt;&gt;"OK"),"PAN wrong format; ","")&amp;IF(AND(AO685&lt;&gt;"",LEN(AN685)=15,MID(AN685,3,10)&lt;&gt;AO685),"PAN does not match GSTIN; ","")&amp;IF(AND(AL685&lt;&gt;"",AL685&lt;&gt;"OK"),"TAN wrong format; ","")&amp;IF(AG685="","PAN missing; ","")&amp;IF(AP685="","Entity type missing; ","")&amp;IF(AND(AN685&lt;&gt;"",COUNTIF($AN$6:$AN$1005,AN685)&gt;1),"GSTIN repeated in this sheet; ","")&amp;IF(AND(AG685&lt;&gt;"",COUNTIF($AG$6:$AG$1005,AG685)&gt;1),"PAN repeated in this sheet (same client? put extra GSTINs in Other GSTINs); ","")&amp;IF(AND(AR685&gt;0,V685=""),"Financial year missing; ","")&amp;IF(AND(AR685=0,V685&lt;&gt;""),"Financial year given but no service is Yes; ","")&amp;IF(AND(W685="Yes",AN685=""),"GST needs a GSTIN; ","")&amp;IF(AND(W685="Yes",X685=""),"GST return frequency missing; ","")&amp;IF(AND(Y685="Yes",TRIM(H685)=""),"TDS needs a TAN; ","")&amp;IF(AND(AA685="Yes",AQ685&lt;&gt;"",AQ685&lt;&gt;"company",AQ685&lt;&gt;"llp"),"ROC is only for a company / LLP; ","")&amp;IF(AND(AA685="Yes",OR(AQ685="company",AQ685="llp"),TRIM(I685)=""),"ROC needs the CIN / LLPIN; ","")</f>
        <v/>
      </c>
    </row>
    <row r="686">
      <c r="A686" s="30" t="n"/>
      <c r="B686" s="31" t="n"/>
      <c r="C686" s="31" t="n"/>
      <c r="D686" s="31" t="n"/>
      <c r="E686" s="30" t="n"/>
      <c r="F686" s="30" t="n"/>
      <c r="G686" s="30" t="n"/>
      <c r="H686" s="30" t="n"/>
      <c r="I686" s="30" t="n"/>
      <c r="J686" s="32" t="n"/>
      <c r="K686" s="31" t="n"/>
      <c r="L686" s="30" t="n"/>
      <c r="M686" s="31" t="n"/>
      <c r="N686" s="31" t="n"/>
      <c r="O686" s="31" t="n"/>
      <c r="P686" s="30" t="n"/>
      <c r="Q686" s="31" t="n"/>
      <c r="R686" s="31" t="n"/>
      <c r="S686" s="31" t="n"/>
      <c r="T686" s="31" t="n"/>
      <c r="U686" s="30" t="n"/>
      <c r="V686" s="31" t="n"/>
      <c r="W686" s="31" t="n"/>
      <c r="X686" s="31" t="n"/>
      <c r="Y686" s="31" t="n"/>
      <c r="Z686" s="31" t="n"/>
      <c r="AA686" s="31" t="n"/>
      <c r="AB686" s="31" t="n"/>
      <c r="AC686" s="31" t="n"/>
      <c r="AD686" s="31" t="n"/>
      <c r="AE686" s="31" t="n"/>
      <c r="AF686" s="27">
        <f>IF(NOT(COUNTA(A686:AE686)&gt;0),"",IF(A686="","New client","Update"))</f>
        <v/>
      </c>
      <c r="AG686" s="27">
        <f>IF(AO686&lt;&gt;"",AO686,IF(LEN(AN686)=15,MID(AN686,3,10),""))</f>
        <v/>
      </c>
      <c r="AH686" s="27">
        <f>IF(AP686="","",AP686&amp;IF(D686="","  (guessed from PAN)",""))</f>
        <v/>
      </c>
      <c r="AI686" s="27">
        <f>IF(AN686="","",IFERROR(INDEX(Lists!$L$2:$L$38,MATCH(LEFT(AN686,2),Lists!$K$2:$K$38,0)),"Unknown code"))</f>
        <v/>
      </c>
      <c r="AJ686" s="27">
        <f>IF(AN686="","",IFERROR(IF(NOT(AND(LEN(AN686)=15,ISNUMBER(MATCH(LEFT(AN686,2),Lists!$K$2:$K$38,0)),SUMPRODUCT(--ISERROR(FIND(MID(MID(AN686,3,10),{1,2,3,4,5,10},1),"ABCDEFGHIJKLMNOPQRSTUVWXYZ")))=0,SUMPRODUCT(--ISERROR(FIND(MID(MID(AN686,3,10),{6,7,8,9},1),"0123456789")))=0,ISNUMBER(FIND(MID(AN686,13,1),"123456789ABCDEFGHIJKLMNOPQRSTUVWXYZ")),MID(AN686,14,1)="Z")),"Wrong format",IF(MID("0123456789ABCDEFGHIJKLMNOPQRSTUVWXYZ",MOD(36-MOD(SUMPRODUCT(INT((FIND(MID(AN686,{1,2,3,4,5,6,7,8,9,10,11,12,13,14},1),"0123456789ABCDEFGHIJKLMNOPQRSTUVWXYZ")-1)*{1,2,1,2,1,2,1,2,1,2,1,2,1,2}/36)+MOD((FIND(MID(AN686,{1,2,3,4,5,6,7,8,9,10,11,12,13,14},1),"0123456789ABCDEFGHIJKLMNOPQRSTUVWXYZ")-1)*{1,2,1,2,1,2,1,2,1,2,1,2,1,2},36)),36),36)+1,1)=MID(AN686,15,1),"OK","Typo? check digit wrong")),"Wrong format"))</f>
        <v/>
      </c>
      <c r="AK686" s="27">
        <f>IF(AO686="","",IF(AND(LEN(AO686)=10,SUMPRODUCT(--ISERROR(FIND(MID(AO686,{1,2,3,4,5,10},1),"ABCDEFGHIJKLMNOPQRSTUVWXYZ")))=0,SUMPRODUCT(--ISERROR(FIND(MID(AO686,{6,7,8,9},1),"0123456789")))=0),"OK","Wrong format"))</f>
        <v/>
      </c>
      <c r="AL686" s="27">
        <f>IF(TRIM(H686)="","",IF(AND(LEN(UPPER(TRIM(H686)))=10,SUMPRODUCT(--ISERROR(FIND(MID(UPPER(TRIM(H686)),{1,2,3,4,10},1),"ABCDEFGHIJKLMNOPQRSTUVWXYZ")))=0,SUMPRODUCT(--ISERROR(FIND(MID(UPPER(TRIM(H686)),{5,6,7,8,9},1),"0123456789")))=0),"OK","Wrong format"))</f>
        <v/>
      </c>
      <c r="AM686" s="28">
        <f>IF(NOT(COUNTA(A686:AE686)&gt;0),"",IF(AS686&lt;&gt;"","✖ "&amp;LEFT(AS686,LEN(AS686)-2),IF(AR686&gt;0,"✔ Ready — client + "&amp;AR686&amp;" service(s)","✔ Ready — client only")))</f>
        <v/>
      </c>
      <c r="AN686" s="29">
        <f>UPPER(SUBSTITUTE(TRIM(F686)," ",""))</f>
        <v/>
      </c>
      <c r="AO686" s="29">
        <f>UPPER(SUBSTITUTE(TRIM(E686)," ",""))</f>
        <v/>
      </c>
      <c r="AP686" s="29">
        <f>IF(D686&lt;&gt;"",D686,IFERROR(VLOOKUP(MID(AG686,4,1),Lists!$E$2:$F$8,2,FALSE),""))</f>
        <v/>
      </c>
      <c r="AQ686" s="29">
        <f>IFERROR(VLOOKUP(AP686,Lists!$A$2:$C$12,3,FALSE),"")</f>
        <v/>
      </c>
      <c r="AR686" s="29">
        <f>COUNTIF(W686:AC686,"Yes")</f>
        <v/>
      </c>
      <c r="AS686" s="29">
        <f>IF(TRIM(B686)="","Legal name missing; ","")&amp;IF(AND(AJ686&lt;&gt;"",AJ686&lt;&gt;"OK"),"GSTIN: "&amp;AJ686&amp;"; ","")&amp;IF(AND(AK686&lt;&gt;"",AK686&lt;&gt;"OK"),"PAN wrong format; ","")&amp;IF(AND(AO686&lt;&gt;"",LEN(AN686)=15,MID(AN686,3,10)&lt;&gt;AO686),"PAN does not match GSTIN; ","")&amp;IF(AND(AL686&lt;&gt;"",AL686&lt;&gt;"OK"),"TAN wrong format; ","")&amp;IF(AG686="","PAN missing; ","")&amp;IF(AP686="","Entity type missing; ","")&amp;IF(AND(AN686&lt;&gt;"",COUNTIF($AN$6:$AN$1005,AN686)&gt;1),"GSTIN repeated in this sheet; ","")&amp;IF(AND(AG686&lt;&gt;"",COUNTIF($AG$6:$AG$1005,AG686)&gt;1),"PAN repeated in this sheet (same client? put extra GSTINs in Other GSTINs); ","")&amp;IF(AND(AR686&gt;0,V686=""),"Financial year missing; ","")&amp;IF(AND(AR686=0,V686&lt;&gt;""),"Financial year given but no service is Yes; ","")&amp;IF(AND(W686="Yes",AN686=""),"GST needs a GSTIN; ","")&amp;IF(AND(W686="Yes",X686=""),"GST return frequency missing; ","")&amp;IF(AND(Y686="Yes",TRIM(H686)=""),"TDS needs a TAN; ","")&amp;IF(AND(AA686="Yes",AQ686&lt;&gt;"",AQ686&lt;&gt;"company",AQ686&lt;&gt;"llp"),"ROC is only for a company / LLP; ","")&amp;IF(AND(AA686="Yes",OR(AQ686="company",AQ686="llp"),TRIM(I686)=""),"ROC needs the CIN / LLPIN; ","")</f>
        <v/>
      </c>
    </row>
    <row r="687">
      <c r="A687" s="30" t="n"/>
      <c r="B687" s="31" t="n"/>
      <c r="C687" s="31" t="n"/>
      <c r="D687" s="31" t="n"/>
      <c r="E687" s="30" t="n"/>
      <c r="F687" s="30" t="n"/>
      <c r="G687" s="30" t="n"/>
      <c r="H687" s="30" t="n"/>
      <c r="I687" s="30" t="n"/>
      <c r="J687" s="32" t="n"/>
      <c r="K687" s="31" t="n"/>
      <c r="L687" s="30" t="n"/>
      <c r="M687" s="31" t="n"/>
      <c r="N687" s="31" t="n"/>
      <c r="O687" s="31" t="n"/>
      <c r="P687" s="30" t="n"/>
      <c r="Q687" s="31" t="n"/>
      <c r="R687" s="31" t="n"/>
      <c r="S687" s="31" t="n"/>
      <c r="T687" s="31" t="n"/>
      <c r="U687" s="30" t="n"/>
      <c r="V687" s="31" t="n"/>
      <c r="W687" s="31" t="n"/>
      <c r="X687" s="31" t="n"/>
      <c r="Y687" s="31" t="n"/>
      <c r="Z687" s="31" t="n"/>
      <c r="AA687" s="31" t="n"/>
      <c r="AB687" s="31" t="n"/>
      <c r="AC687" s="31" t="n"/>
      <c r="AD687" s="31" t="n"/>
      <c r="AE687" s="31" t="n"/>
      <c r="AF687" s="27">
        <f>IF(NOT(COUNTA(A687:AE687)&gt;0),"",IF(A687="","New client","Update"))</f>
        <v/>
      </c>
      <c r="AG687" s="27">
        <f>IF(AO687&lt;&gt;"",AO687,IF(LEN(AN687)=15,MID(AN687,3,10),""))</f>
        <v/>
      </c>
      <c r="AH687" s="27">
        <f>IF(AP687="","",AP687&amp;IF(D687="","  (guessed from PAN)",""))</f>
        <v/>
      </c>
      <c r="AI687" s="27">
        <f>IF(AN687="","",IFERROR(INDEX(Lists!$L$2:$L$38,MATCH(LEFT(AN687,2),Lists!$K$2:$K$38,0)),"Unknown code"))</f>
        <v/>
      </c>
      <c r="AJ687" s="27">
        <f>IF(AN687="","",IFERROR(IF(NOT(AND(LEN(AN687)=15,ISNUMBER(MATCH(LEFT(AN687,2),Lists!$K$2:$K$38,0)),SUMPRODUCT(--ISERROR(FIND(MID(MID(AN687,3,10),{1,2,3,4,5,10},1),"ABCDEFGHIJKLMNOPQRSTUVWXYZ")))=0,SUMPRODUCT(--ISERROR(FIND(MID(MID(AN687,3,10),{6,7,8,9},1),"0123456789")))=0,ISNUMBER(FIND(MID(AN687,13,1),"123456789ABCDEFGHIJKLMNOPQRSTUVWXYZ")),MID(AN687,14,1)="Z")),"Wrong format",IF(MID("0123456789ABCDEFGHIJKLMNOPQRSTUVWXYZ",MOD(36-MOD(SUMPRODUCT(INT((FIND(MID(AN687,{1,2,3,4,5,6,7,8,9,10,11,12,13,14},1),"0123456789ABCDEFGHIJKLMNOPQRSTUVWXYZ")-1)*{1,2,1,2,1,2,1,2,1,2,1,2,1,2}/36)+MOD((FIND(MID(AN687,{1,2,3,4,5,6,7,8,9,10,11,12,13,14},1),"0123456789ABCDEFGHIJKLMNOPQRSTUVWXYZ")-1)*{1,2,1,2,1,2,1,2,1,2,1,2,1,2},36)),36),36)+1,1)=MID(AN687,15,1),"OK","Typo? check digit wrong")),"Wrong format"))</f>
        <v/>
      </c>
      <c r="AK687" s="27">
        <f>IF(AO687="","",IF(AND(LEN(AO687)=10,SUMPRODUCT(--ISERROR(FIND(MID(AO687,{1,2,3,4,5,10},1),"ABCDEFGHIJKLMNOPQRSTUVWXYZ")))=0,SUMPRODUCT(--ISERROR(FIND(MID(AO687,{6,7,8,9},1),"0123456789")))=0),"OK","Wrong format"))</f>
        <v/>
      </c>
      <c r="AL687" s="27">
        <f>IF(TRIM(H687)="","",IF(AND(LEN(UPPER(TRIM(H687)))=10,SUMPRODUCT(--ISERROR(FIND(MID(UPPER(TRIM(H687)),{1,2,3,4,10},1),"ABCDEFGHIJKLMNOPQRSTUVWXYZ")))=0,SUMPRODUCT(--ISERROR(FIND(MID(UPPER(TRIM(H687)),{5,6,7,8,9},1),"0123456789")))=0),"OK","Wrong format"))</f>
        <v/>
      </c>
      <c r="AM687" s="28">
        <f>IF(NOT(COUNTA(A687:AE687)&gt;0),"",IF(AS687&lt;&gt;"","✖ "&amp;LEFT(AS687,LEN(AS687)-2),IF(AR687&gt;0,"✔ Ready — client + "&amp;AR687&amp;" service(s)","✔ Ready — client only")))</f>
        <v/>
      </c>
      <c r="AN687" s="29">
        <f>UPPER(SUBSTITUTE(TRIM(F687)," ",""))</f>
        <v/>
      </c>
      <c r="AO687" s="29">
        <f>UPPER(SUBSTITUTE(TRIM(E687)," ",""))</f>
        <v/>
      </c>
      <c r="AP687" s="29">
        <f>IF(D687&lt;&gt;"",D687,IFERROR(VLOOKUP(MID(AG687,4,1),Lists!$E$2:$F$8,2,FALSE),""))</f>
        <v/>
      </c>
      <c r="AQ687" s="29">
        <f>IFERROR(VLOOKUP(AP687,Lists!$A$2:$C$12,3,FALSE),"")</f>
        <v/>
      </c>
      <c r="AR687" s="29">
        <f>COUNTIF(W687:AC687,"Yes")</f>
        <v/>
      </c>
      <c r="AS687" s="29">
        <f>IF(TRIM(B687)="","Legal name missing; ","")&amp;IF(AND(AJ687&lt;&gt;"",AJ687&lt;&gt;"OK"),"GSTIN: "&amp;AJ687&amp;"; ","")&amp;IF(AND(AK687&lt;&gt;"",AK687&lt;&gt;"OK"),"PAN wrong format; ","")&amp;IF(AND(AO687&lt;&gt;"",LEN(AN687)=15,MID(AN687,3,10)&lt;&gt;AO687),"PAN does not match GSTIN; ","")&amp;IF(AND(AL687&lt;&gt;"",AL687&lt;&gt;"OK"),"TAN wrong format; ","")&amp;IF(AG687="","PAN missing; ","")&amp;IF(AP687="","Entity type missing; ","")&amp;IF(AND(AN687&lt;&gt;"",COUNTIF($AN$6:$AN$1005,AN687)&gt;1),"GSTIN repeated in this sheet; ","")&amp;IF(AND(AG687&lt;&gt;"",COUNTIF($AG$6:$AG$1005,AG687)&gt;1),"PAN repeated in this sheet (same client? put extra GSTINs in Other GSTINs); ","")&amp;IF(AND(AR687&gt;0,V687=""),"Financial year missing; ","")&amp;IF(AND(AR687=0,V687&lt;&gt;""),"Financial year given but no service is Yes; ","")&amp;IF(AND(W687="Yes",AN687=""),"GST needs a GSTIN; ","")&amp;IF(AND(W687="Yes",X687=""),"GST return frequency missing; ","")&amp;IF(AND(Y687="Yes",TRIM(H687)=""),"TDS needs a TAN; ","")&amp;IF(AND(AA687="Yes",AQ687&lt;&gt;"",AQ687&lt;&gt;"company",AQ687&lt;&gt;"llp"),"ROC is only for a company / LLP; ","")&amp;IF(AND(AA687="Yes",OR(AQ687="company",AQ687="llp"),TRIM(I687)=""),"ROC needs the CIN / LLPIN; ","")</f>
        <v/>
      </c>
    </row>
    <row r="688">
      <c r="A688" s="30" t="n"/>
      <c r="B688" s="31" t="n"/>
      <c r="C688" s="31" t="n"/>
      <c r="D688" s="31" t="n"/>
      <c r="E688" s="30" t="n"/>
      <c r="F688" s="30" t="n"/>
      <c r="G688" s="30" t="n"/>
      <c r="H688" s="30" t="n"/>
      <c r="I688" s="30" t="n"/>
      <c r="J688" s="32" t="n"/>
      <c r="K688" s="31" t="n"/>
      <c r="L688" s="30" t="n"/>
      <c r="M688" s="31" t="n"/>
      <c r="N688" s="31" t="n"/>
      <c r="O688" s="31" t="n"/>
      <c r="P688" s="30" t="n"/>
      <c r="Q688" s="31" t="n"/>
      <c r="R688" s="31" t="n"/>
      <c r="S688" s="31" t="n"/>
      <c r="T688" s="31" t="n"/>
      <c r="U688" s="30" t="n"/>
      <c r="V688" s="31" t="n"/>
      <c r="W688" s="31" t="n"/>
      <c r="X688" s="31" t="n"/>
      <c r="Y688" s="31" t="n"/>
      <c r="Z688" s="31" t="n"/>
      <c r="AA688" s="31" t="n"/>
      <c r="AB688" s="31" t="n"/>
      <c r="AC688" s="31" t="n"/>
      <c r="AD688" s="31" t="n"/>
      <c r="AE688" s="31" t="n"/>
      <c r="AF688" s="27">
        <f>IF(NOT(COUNTA(A688:AE688)&gt;0),"",IF(A688="","New client","Update"))</f>
        <v/>
      </c>
      <c r="AG688" s="27">
        <f>IF(AO688&lt;&gt;"",AO688,IF(LEN(AN688)=15,MID(AN688,3,10),""))</f>
        <v/>
      </c>
      <c r="AH688" s="27">
        <f>IF(AP688="","",AP688&amp;IF(D688="","  (guessed from PAN)",""))</f>
        <v/>
      </c>
      <c r="AI688" s="27">
        <f>IF(AN688="","",IFERROR(INDEX(Lists!$L$2:$L$38,MATCH(LEFT(AN688,2),Lists!$K$2:$K$38,0)),"Unknown code"))</f>
        <v/>
      </c>
      <c r="AJ688" s="27">
        <f>IF(AN688="","",IFERROR(IF(NOT(AND(LEN(AN688)=15,ISNUMBER(MATCH(LEFT(AN688,2),Lists!$K$2:$K$38,0)),SUMPRODUCT(--ISERROR(FIND(MID(MID(AN688,3,10),{1,2,3,4,5,10},1),"ABCDEFGHIJKLMNOPQRSTUVWXYZ")))=0,SUMPRODUCT(--ISERROR(FIND(MID(MID(AN688,3,10),{6,7,8,9},1),"0123456789")))=0,ISNUMBER(FIND(MID(AN688,13,1),"123456789ABCDEFGHIJKLMNOPQRSTUVWXYZ")),MID(AN688,14,1)="Z")),"Wrong format",IF(MID("0123456789ABCDEFGHIJKLMNOPQRSTUVWXYZ",MOD(36-MOD(SUMPRODUCT(INT((FIND(MID(AN688,{1,2,3,4,5,6,7,8,9,10,11,12,13,14},1),"0123456789ABCDEFGHIJKLMNOPQRSTUVWXYZ")-1)*{1,2,1,2,1,2,1,2,1,2,1,2,1,2}/36)+MOD((FIND(MID(AN688,{1,2,3,4,5,6,7,8,9,10,11,12,13,14},1),"0123456789ABCDEFGHIJKLMNOPQRSTUVWXYZ")-1)*{1,2,1,2,1,2,1,2,1,2,1,2,1,2},36)),36),36)+1,1)=MID(AN688,15,1),"OK","Typo? check digit wrong")),"Wrong format"))</f>
        <v/>
      </c>
      <c r="AK688" s="27">
        <f>IF(AO688="","",IF(AND(LEN(AO688)=10,SUMPRODUCT(--ISERROR(FIND(MID(AO688,{1,2,3,4,5,10},1),"ABCDEFGHIJKLMNOPQRSTUVWXYZ")))=0,SUMPRODUCT(--ISERROR(FIND(MID(AO688,{6,7,8,9},1),"0123456789")))=0),"OK","Wrong format"))</f>
        <v/>
      </c>
      <c r="AL688" s="27">
        <f>IF(TRIM(H688)="","",IF(AND(LEN(UPPER(TRIM(H688)))=10,SUMPRODUCT(--ISERROR(FIND(MID(UPPER(TRIM(H688)),{1,2,3,4,10},1),"ABCDEFGHIJKLMNOPQRSTUVWXYZ")))=0,SUMPRODUCT(--ISERROR(FIND(MID(UPPER(TRIM(H688)),{5,6,7,8,9},1),"0123456789")))=0),"OK","Wrong format"))</f>
        <v/>
      </c>
      <c r="AM688" s="28">
        <f>IF(NOT(COUNTA(A688:AE688)&gt;0),"",IF(AS688&lt;&gt;"","✖ "&amp;LEFT(AS688,LEN(AS688)-2),IF(AR688&gt;0,"✔ Ready — client + "&amp;AR688&amp;" service(s)","✔ Ready — client only")))</f>
        <v/>
      </c>
      <c r="AN688" s="29">
        <f>UPPER(SUBSTITUTE(TRIM(F688)," ",""))</f>
        <v/>
      </c>
      <c r="AO688" s="29">
        <f>UPPER(SUBSTITUTE(TRIM(E688)," ",""))</f>
        <v/>
      </c>
      <c r="AP688" s="29">
        <f>IF(D688&lt;&gt;"",D688,IFERROR(VLOOKUP(MID(AG688,4,1),Lists!$E$2:$F$8,2,FALSE),""))</f>
        <v/>
      </c>
      <c r="AQ688" s="29">
        <f>IFERROR(VLOOKUP(AP688,Lists!$A$2:$C$12,3,FALSE),"")</f>
        <v/>
      </c>
      <c r="AR688" s="29">
        <f>COUNTIF(W688:AC688,"Yes")</f>
        <v/>
      </c>
      <c r="AS688" s="29">
        <f>IF(TRIM(B688)="","Legal name missing; ","")&amp;IF(AND(AJ688&lt;&gt;"",AJ688&lt;&gt;"OK"),"GSTIN: "&amp;AJ688&amp;"; ","")&amp;IF(AND(AK688&lt;&gt;"",AK688&lt;&gt;"OK"),"PAN wrong format; ","")&amp;IF(AND(AO688&lt;&gt;"",LEN(AN688)=15,MID(AN688,3,10)&lt;&gt;AO688),"PAN does not match GSTIN; ","")&amp;IF(AND(AL688&lt;&gt;"",AL688&lt;&gt;"OK"),"TAN wrong format; ","")&amp;IF(AG688="","PAN missing; ","")&amp;IF(AP688="","Entity type missing; ","")&amp;IF(AND(AN688&lt;&gt;"",COUNTIF($AN$6:$AN$1005,AN688)&gt;1),"GSTIN repeated in this sheet; ","")&amp;IF(AND(AG688&lt;&gt;"",COUNTIF($AG$6:$AG$1005,AG688)&gt;1),"PAN repeated in this sheet (same client? put extra GSTINs in Other GSTINs); ","")&amp;IF(AND(AR688&gt;0,V688=""),"Financial year missing; ","")&amp;IF(AND(AR688=0,V688&lt;&gt;""),"Financial year given but no service is Yes; ","")&amp;IF(AND(W688="Yes",AN688=""),"GST needs a GSTIN; ","")&amp;IF(AND(W688="Yes",X688=""),"GST return frequency missing; ","")&amp;IF(AND(Y688="Yes",TRIM(H688)=""),"TDS needs a TAN; ","")&amp;IF(AND(AA688="Yes",AQ688&lt;&gt;"",AQ688&lt;&gt;"company",AQ688&lt;&gt;"llp"),"ROC is only for a company / LLP; ","")&amp;IF(AND(AA688="Yes",OR(AQ688="company",AQ688="llp"),TRIM(I688)=""),"ROC needs the CIN / LLPIN; ","")</f>
        <v/>
      </c>
    </row>
    <row r="689">
      <c r="A689" s="30" t="n"/>
      <c r="B689" s="31" t="n"/>
      <c r="C689" s="31" t="n"/>
      <c r="D689" s="31" t="n"/>
      <c r="E689" s="30" t="n"/>
      <c r="F689" s="30" t="n"/>
      <c r="G689" s="30" t="n"/>
      <c r="H689" s="30" t="n"/>
      <c r="I689" s="30" t="n"/>
      <c r="J689" s="32" t="n"/>
      <c r="K689" s="31" t="n"/>
      <c r="L689" s="30" t="n"/>
      <c r="M689" s="31" t="n"/>
      <c r="N689" s="31" t="n"/>
      <c r="O689" s="31" t="n"/>
      <c r="P689" s="30" t="n"/>
      <c r="Q689" s="31" t="n"/>
      <c r="R689" s="31" t="n"/>
      <c r="S689" s="31" t="n"/>
      <c r="T689" s="31" t="n"/>
      <c r="U689" s="30" t="n"/>
      <c r="V689" s="31" t="n"/>
      <c r="W689" s="31" t="n"/>
      <c r="X689" s="31" t="n"/>
      <c r="Y689" s="31" t="n"/>
      <c r="Z689" s="31" t="n"/>
      <c r="AA689" s="31" t="n"/>
      <c r="AB689" s="31" t="n"/>
      <c r="AC689" s="31" t="n"/>
      <c r="AD689" s="31" t="n"/>
      <c r="AE689" s="31" t="n"/>
      <c r="AF689" s="27">
        <f>IF(NOT(COUNTA(A689:AE689)&gt;0),"",IF(A689="","New client","Update"))</f>
        <v/>
      </c>
      <c r="AG689" s="27">
        <f>IF(AO689&lt;&gt;"",AO689,IF(LEN(AN689)=15,MID(AN689,3,10),""))</f>
        <v/>
      </c>
      <c r="AH689" s="27">
        <f>IF(AP689="","",AP689&amp;IF(D689="","  (guessed from PAN)",""))</f>
        <v/>
      </c>
      <c r="AI689" s="27">
        <f>IF(AN689="","",IFERROR(INDEX(Lists!$L$2:$L$38,MATCH(LEFT(AN689,2),Lists!$K$2:$K$38,0)),"Unknown code"))</f>
        <v/>
      </c>
      <c r="AJ689" s="27">
        <f>IF(AN689="","",IFERROR(IF(NOT(AND(LEN(AN689)=15,ISNUMBER(MATCH(LEFT(AN689,2),Lists!$K$2:$K$38,0)),SUMPRODUCT(--ISERROR(FIND(MID(MID(AN689,3,10),{1,2,3,4,5,10},1),"ABCDEFGHIJKLMNOPQRSTUVWXYZ")))=0,SUMPRODUCT(--ISERROR(FIND(MID(MID(AN689,3,10),{6,7,8,9},1),"0123456789")))=0,ISNUMBER(FIND(MID(AN689,13,1),"123456789ABCDEFGHIJKLMNOPQRSTUVWXYZ")),MID(AN689,14,1)="Z")),"Wrong format",IF(MID("0123456789ABCDEFGHIJKLMNOPQRSTUVWXYZ",MOD(36-MOD(SUMPRODUCT(INT((FIND(MID(AN689,{1,2,3,4,5,6,7,8,9,10,11,12,13,14},1),"0123456789ABCDEFGHIJKLMNOPQRSTUVWXYZ")-1)*{1,2,1,2,1,2,1,2,1,2,1,2,1,2}/36)+MOD((FIND(MID(AN689,{1,2,3,4,5,6,7,8,9,10,11,12,13,14},1),"0123456789ABCDEFGHIJKLMNOPQRSTUVWXYZ")-1)*{1,2,1,2,1,2,1,2,1,2,1,2,1,2},36)),36),36)+1,1)=MID(AN689,15,1),"OK","Typo? check digit wrong")),"Wrong format"))</f>
        <v/>
      </c>
      <c r="AK689" s="27">
        <f>IF(AO689="","",IF(AND(LEN(AO689)=10,SUMPRODUCT(--ISERROR(FIND(MID(AO689,{1,2,3,4,5,10},1),"ABCDEFGHIJKLMNOPQRSTUVWXYZ")))=0,SUMPRODUCT(--ISERROR(FIND(MID(AO689,{6,7,8,9},1),"0123456789")))=0),"OK","Wrong format"))</f>
        <v/>
      </c>
      <c r="AL689" s="27">
        <f>IF(TRIM(H689)="","",IF(AND(LEN(UPPER(TRIM(H689)))=10,SUMPRODUCT(--ISERROR(FIND(MID(UPPER(TRIM(H689)),{1,2,3,4,10},1),"ABCDEFGHIJKLMNOPQRSTUVWXYZ")))=0,SUMPRODUCT(--ISERROR(FIND(MID(UPPER(TRIM(H689)),{5,6,7,8,9},1),"0123456789")))=0),"OK","Wrong format"))</f>
        <v/>
      </c>
      <c r="AM689" s="28">
        <f>IF(NOT(COUNTA(A689:AE689)&gt;0),"",IF(AS689&lt;&gt;"","✖ "&amp;LEFT(AS689,LEN(AS689)-2),IF(AR689&gt;0,"✔ Ready — client + "&amp;AR689&amp;" service(s)","✔ Ready — client only")))</f>
        <v/>
      </c>
      <c r="AN689" s="29">
        <f>UPPER(SUBSTITUTE(TRIM(F689)," ",""))</f>
        <v/>
      </c>
      <c r="AO689" s="29">
        <f>UPPER(SUBSTITUTE(TRIM(E689)," ",""))</f>
        <v/>
      </c>
      <c r="AP689" s="29">
        <f>IF(D689&lt;&gt;"",D689,IFERROR(VLOOKUP(MID(AG689,4,1),Lists!$E$2:$F$8,2,FALSE),""))</f>
        <v/>
      </c>
      <c r="AQ689" s="29">
        <f>IFERROR(VLOOKUP(AP689,Lists!$A$2:$C$12,3,FALSE),"")</f>
        <v/>
      </c>
      <c r="AR689" s="29">
        <f>COUNTIF(W689:AC689,"Yes")</f>
        <v/>
      </c>
      <c r="AS689" s="29">
        <f>IF(TRIM(B689)="","Legal name missing; ","")&amp;IF(AND(AJ689&lt;&gt;"",AJ689&lt;&gt;"OK"),"GSTIN: "&amp;AJ689&amp;"; ","")&amp;IF(AND(AK689&lt;&gt;"",AK689&lt;&gt;"OK"),"PAN wrong format; ","")&amp;IF(AND(AO689&lt;&gt;"",LEN(AN689)=15,MID(AN689,3,10)&lt;&gt;AO689),"PAN does not match GSTIN; ","")&amp;IF(AND(AL689&lt;&gt;"",AL689&lt;&gt;"OK"),"TAN wrong format; ","")&amp;IF(AG689="","PAN missing; ","")&amp;IF(AP689="","Entity type missing; ","")&amp;IF(AND(AN689&lt;&gt;"",COUNTIF($AN$6:$AN$1005,AN689)&gt;1),"GSTIN repeated in this sheet; ","")&amp;IF(AND(AG689&lt;&gt;"",COUNTIF($AG$6:$AG$1005,AG689)&gt;1),"PAN repeated in this sheet (same client? put extra GSTINs in Other GSTINs); ","")&amp;IF(AND(AR689&gt;0,V689=""),"Financial year missing; ","")&amp;IF(AND(AR689=0,V689&lt;&gt;""),"Financial year given but no service is Yes; ","")&amp;IF(AND(W689="Yes",AN689=""),"GST needs a GSTIN; ","")&amp;IF(AND(W689="Yes",X689=""),"GST return frequency missing; ","")&amp;IF(AND(Y689="Yes",TRIM(H689)=""),"TDS needs a TAN; ","")&amp;IF(AND(AA689="Yes",AQ689&lt;&gt;"",AQ689&lt;&gt;"company",AQ689&lt;&gt;"llp"),"ROC is only for a company / LLP; ","")&amp;IF(AND(AA689="Yes",OR(AQ689="company",AQ689="llp"),TRIM(I689)=""),"ROC needs the CIN / LLPIN; ","")</f>
        <v/>
      </c>
    </row>
    <row r="690">
      <c r="A690" s="30" t="n"/>
      <c r="B690" s="31" t="n"/>
      <c r="C690" s="31" t="n"/>
      <c r="D690" s="31" t="n"/>
      <c r="E690" s="30" t="n"/>
      <c r="F690" s="30" t="n"/>
      <c r="G690" s="30" t="n"/>
      <c r="H690" s="30" t="n"/>
      <c r="I690" s="30" t="n"/>
      <c r="J690" s="32" t="n"/>
      <c r="K690" s="31" t="n"/>
      <c r="L690" s="30" t="n"/>
      <c r="M690" s="31" t="n"/>
      <c r="N690" s="31" t="n"/>
      <c r="O690" s="31" t="n"/>
      <c r="P690" s="30" t="n"/>
      <c r="Q690" s="31" t="n"/>
      <c r="R690" s="31" t="n"/>
      <c r="S690" s="31" t="n"/>
      <c r="T690" s="31" t="n"/>
      <c r="U690" s="30" t="n"/>
      <c r="V690" s="31" t="n"/>
      <c r="W690" s="31" t="n"/>
      <c r="X690" s="31" t="n"/>
      <c r="Y690" s="31" t="n"/>
      <c r="Z690" s="31" t="n"/>
      <c r="AA690" s="31" t="n"/>
      <c r="AB690" s="31" t="n"/>
      <c r="AC690" s="31" t="n"/>
      <c r="AD690" s="31" t="n"/>
      <c r="AE690" s="31" t="n"/>
      <c r="AF690" s="27">
        <f>IF(NOT(COUNTA(A690:AE690)&gt;0),"",IF(A690="","New client","Update"))</f>
        <v/>
      </c>
      <c r="AG690" s="27">
        <f>IF(AO690&lt;&gt;"",AO690,IF(LEN(AN690)=15,MID(AN690,3,10),""))</f>
        <v/>
      </c>
      <c r="AH690" s="27">
        <f>IF(AP690="","",AP690&amp;IF(D690="","  (guessed from PAN)",""))</f>
        <v/>
      </c>
      <c r="AI690" s="27">
        <f>IF(AN690="","",IFERROR(INDEX(Lists!$L$2:$L$38,MATCH(LEFT(AN690,2),Lists!$K$2:$K$38,0)),"Unknown code"))</f>
        <v/>
      </c>
      <c r="AJ690" s="27">
        <f>IF(AN690="","",IFERROR(IF(NOT(AND(LEN(AN690)=15,ISNUMBER(MATCH(LEFT(AN690,2),Lists!$K$2:$K$38,0)),SUMPRODUCT(--ISERROR(FIND(MID(MID(AN690,3,10),{1,2,3,4,5,10},1),"ABCDEFGHIJKLMNOPQRSTUVWXYZ")))=0,SUMPRODUCT(--ISERROR(FIND(MID(MID(AN690,3,10),{6,7,8,9},1),"0123456789")))=0,ISNUMBER(FIND(MID(AN690,13,1),"123456789ABCDEFGHIJKLMNOPQRSTUVWXYZ")),MID(AN690,14,1)="Z")),"Wrong format",IF(MID("0123456789ABCDEFGHIJKLMNOPQRSTUVWXYZ",MOD(36-MOD(SUMPRODUCT(INT((FIND(MID(AN690,{1,2,3,4,5,6,7,8,9,10,11,12,13,14},1),"0123456789ABCDEFGHIJKLMNOPQRSTUVWXYZ")-1)*{1,2,1,2,1,2,1,2,1,2,1,2,1,2}/36)+MOD((FIND(MID(AN690,{1,2,3,4,5,6,7,8,9,10,11,12,13,14},1),"0123456789ABCDEFGHIJKLMNOPQRSTUVWXYZ")-1)*{1,2,1,2,1,2,1,2,1,2,1,2,1,2},36)),36),36)+1,1)=MID(AN690,15,1),"OK","Typo? check digit wrong")),"Wrong format"))</f>
        <v/>
      </c>
      <c r="AK690" s="27">
        <f>IF(AO690="","",IF(AND(LEN(AO690)=10,SUMPRODUCT(--ISERROR(FIND(MID(AO690,{1,2,3,4,5,10},1),"ABCDEFGHIJKLMNOPQRSTUVWXYZ")))=0,SUMPRODUCT(--ISERROR(FIND(MID(AO690,{6,7,8,9},1),"0123456789")))=0),"OK","Wrong format"))</f>
        <v/>
      </c>
      <c r="AL690" s="27">
        <f>IF(TRIM(H690)="","",IF(AND(LEN(UPPER(TRIM(H690)))=10,SUMPRODUCT(--ISERROR(FIND(MID(UPPER(TRIM(H690)),{1,2,3,4,10},1),"ABCDEFGHIJKLMNOPQRSTUVWXYZ")))=0,SUMPRODUCT(--ISERROR(FIND(MID(UPPER(TRIM(H690)),{5,6,7,8,9},1),"0123456789")))=0),"OK","Wrong format"))</f>
        <v/>
      </c>
      <c r="AM690" s="28">
        <f>IF(NOT(COUNTA(A690:AE690)&gt;0),"",IF(AS690&lt;&gt;"","✖ "&amp;LEFT(AS690,LEN(AS690)-2),IF(AR690&gt;0,"✔ Ready — client + "&amp;AR690&amp;" service(s)","✔ Ready — client only")))</f>
        <v/>
      </c>
      <c r="AN690" s="29">
        <f>UPPER(SUBSTITUTE(TRIM(F690)," ",""))</f>
        <v/>
      </c>
      <c r="AO690" s="29">
        <f>UPPER(SUBSTITUTE(TRIM(E690)," ",""))</f>
        <v/>
      </c>
      <c r="AP690" s="29">
        <f>IF(D690&lt;&gt;"",D690,IFERROR(VLOOKUP(MID(AG690,4,1),Lists!$E$2:$F$8,2,FALSE),""))</f>
        <v/>
      </c>
      <c r="AQ690" s="29">
        <f>IFERROR(VLOOKUP(AP690,Lists!$A$2:$C$12,3,FALSE),"")</f>
        <v/>
      </c>
      <c r="AR690" s="29">
        <f>COUNTIF(W690:AC690,"Yes")</f>
        <v/>
      </c>
      <c r="AS690" s="29">
        <f>IF(TRIM(B690)="","Legal name missing; ","")&amp;IF(AND(AJ690&lt;&gt;"",AJ690&lt;&gt;"OK"),"GSTIN: "&amp;AJ690&amp;"; ","")&amp;IF(AND(AK690&lt;&gt;"",AK690&lt;&gt;"OK"),"PAN wrong format; ","")&amp;IF(AND(AO690&lt;&gt;"",LEN(AN690)=15,MID(AN690,3,10)&lt;&gt;AO690),"PAN does not match GSTIN; ","")&amp;IF(AND(AL690&lt;&gt;"",AL690&lt;&gt;"OK"),"TAN wrong format; ","")&amp;IF(AG690="","PAN missing; ","")&amp;IF(AP690="","Entity type missing; ","")&amp;IF(AND(AN690&lt;&gt;"",COUNTIF($AN$6:$AN$1005,AN690)&gt;1),"GSTIN repeated in this sheet; ","")&amp;IF(AND(AG690&lt;&gt;"",COUNTIF($AG$6:$AG$1005,AG690)&gt;1),"PAN repeated in this sheet (same client? put extra GSTINs in Other GSTINs); ","")&amp;IF(AND(AR690&gt;0,V690=""),"Financial year missing; ","")&amp;IF(AND(AR690=0,V690&lt;&gt;""),"Financial year given but no service is Yes; ","")&amp;IF(AND(W690="Yes",AN690=""),"GST needs a GSTIN; ","")&amp;IF(AND(W690="Yes",X690=""),"GST return frequency missing; ","")&amp;IF(AND(Y690="Yes",TRIM(H690)=""),"TDS needs a TAN; ","")&amp;IF(AND(AA690="Yes",AQ690&lt;&gt;"",AQ690&lt;&gt;"company",AQ690&lt;&gt;"llp"),"ROC is only for a company / LLP; ","")&amp;IF(AND(AA690="Yes",OR(AQ690="company",AQ690="llp"),TRIM(I690)=""),"ROC needs the CIN / LLPIN; ","")</f>
        <v/>
      </c>
    </row>
    <row r="691">
      <c r="A691" s="30" t="n"/>
      <c r="B691" s="31" t="n"/>
      <c r="C691" s="31" t="n"/>
      <c r="D691" s="31" t="n"/>
      <c r="E691" s="30" t="n"/>
      <c r="F691" s="30" t="n"/>
      <c r="G691" s="30" t="n"/>
      <c r="H691" s="30" t="n"/>
      <c r="I691" s="30" t="n"/>
      <c r="J691" s="32" t="n"/>
      <c r="K691" s="31" t="n"/>
      <c r="L691" s="30" t="n"/>
      <c r="M691" s="31" t="n"/>
      <c r="N691" s="31" t="n"/>
      <c r="O691" s="31" t="n"/>
      <c r="P691" s="30" t="n"/>
      <c r="Q691" s="31" t="n"/>
      <c r="R691" s="31" t="n"/>
      <c r="S691" s="31" t="n"/>
      <c r="T691" s="31" t="n"/>
      <c r="U691" s="30" t="n"/>
      <c r="V691" s="31" t="n"/>
      <c r="W691" s="31" t="n"/>
      <c r="X691" s="31" t="n"/>
      <c r="Y691" s="31" t="n"/>
      <c r="Z691" s="31" t="n"/>
      <c r="AA691" s="31" t="n"/>
      <c r="AB691" s="31" t="n"/>
      <c r="AC691" s="31" t="n"/>
      <c r="AD691" s="31" t="n"/>
      <c r="AE691" s="31" t="n"/>
      <c r="AF691" s="27">
        <f>IF(NOT(COUNTA(A691:AE691)&gt;0),"",IF(A691="","New client","Update"))</f>
        <v/>
      </c>
      <c r="AG691" s="27">
        <f>IF(AO691&lt;&gt;"",AO691,IF(LEN(AN691)=15,MID(AN691,3,10),""))</f>
        <v/>
      </c>
      <c r="AH691" s="27">
        <f>IF(AP691="","",AP691&amp;IF(D691="","  (guessed from PAN)",""))</f>
        <v/>
      </c>
      <c r="AI691" s="27">
        <f>IF(AN691="","",IFERROR(INDEX(Lists!$L$2:$L$38,MATCH(LEFT(AN691,2),Lists!$K$2:$K$38,0)),"Unknown code"))</f>
        <v/>
      </c>
      <c r="AJ691" s="27">
        <f>IF(AN691="","",IFERROR(IF(NOT(AND(LEN(AN691)=15,ISNUMBER(MATCH(LEFT(AN691,2),Lists!$K$2:$K$38,0)),SUMPRODUCT(--ISERROR(FIND(MID(MID(AN691,3,10),{1,2,3,4,5,10},1),"ABCDEFGHIJKLMNOPQRSTUVWXYZ")))=0,SUMPRODUCT(--ISERROR(FIND(MID(MID(AN691,3,10),{6,7,8,9},1),"0123456789")))=0,ISNUMBER(FIND(MID(AN691,13,1),"123456789ABCDEFGHIJKLMNOPQRSTUVWXYZ")),MID(AN691,14,1)="Z")),"Wrong format",IF(MID("0123456789ABCDEFGHIJKLMNOPQRSTUVWXYZ",MOD(36-MOD(SUMPRODUCT(INT((FIND(MID(AN691,{1,2,3,4,5,6,7,8,9,10,11,12,13,14},1),"0123456789ABCDEFGHIJKLMNOPQRSTUVWXYZ")-1)*{1,2,1,2,1,2,1,2,1,2,1,2,1,2}/36)+MOD((FIND(MID(AN691,{1,2,3,4,5,6,7,8,9,10,11,12,13,14},1),"0123456789ABCDEFGHIJKLMNOPQRSTUVWXYZ")-1)*{1,2,1,2,1,2,1,2,1,2,1,2,1,2},36)),36),36)+1,1)=MID(AN691,15,1),"OK","Typo? check digit wrong")),"Wrong format"))</f>
        <v/>
      </c>
      <c r="AK691" s="27">
        <f>IF(AO691="","",IF(AND(LEN(AO691)=10,SUMPRODUCT(--ISERROR(FIND(MID(AO691,{1,2,3,4,5,10},1),"ABCDEFGHIJKLMNOPQRSTUVWXYZ")))=0,SUMPRODUCT(--ISERROR(FIND(MID(AO691,{6,7,8,9},1),"0123456789")))=0),"OK","Wrong format"))</f>
        <v/>
      </c>
      <c r="AL691" s="27">
        <f>IF(TRIM(H691)="","",IF(AND(LEN(UPPER(TRIM(H691)))=10,SUMPRODUCT(--ISERROR(FIND(MID(UPPER(TRIM(H691)),{1,2,3,4,10},1),"ABCDEFGHIJKLMNOPQRSTUVWXYZ")))=0,SUMPRODUCT(--ISERROR(FIND(MID(UPPER(TRIM(H691)),{5,6,7,8,9},1),"0123456789")))=0),"OK","Wrong format"))</f>
        <v/>
      </c>
      <c r="AM691" s="28">
        <f>IF(NOT(COUNTA(A691:AE691)&gt;0),"",IF(AS691&lt;&gt;"","✖ "&amp;LEFT(AS691,LEN(AS691)-2),IF(AR691&gt;0,"✔ Ready — client + "&amp;AR691&amp;" service(s)","✔ Ready — client only")))</f>
        <v/>
      </c>
      <c r="AN691" s="29">
        <f>UPPER(SUBSTITUTE(TRIM(F691)," ",""))</f>
        <v/>
      </c>
      <c r="AO691" s="29">
        <f>UPPER(SUBSTITUTE(TRIM(E691)," ",""))</f>
        <v/>
      </c>
      <c r="AP691" s="29">
        <f>IF(D691&lt;&gt;"",D691,IFERROR(VLOOKUP(MID(AG691,4,1),Lists!$E$2:$F$8,2,FALSE),""))</f>
        <v/>
      </c>
      <c r="AQ691" s="29">
        <f>IFERROR(VLOOKUP(AP691,Lists!$A$2:$C$12,3,FALSE),"")</f>
        <v/>
      </c>
      <c r="AR691" s="29">
        <f>COUNTIF(W691:AC691,"Yes")</f>
        <v/>
      </c>
      <c r="AS691" s="29">
        <f>IF(TRIM(B691)="","Legal name missing; ","")&amp;IF(AND(AJ691&lt;&gt;"",AJ691&lt;&gt;"OK"),"GSTIN: "&amp;AJ691&amp;"; ","")&amp;IF(AND(AK691&lt;&gt;"",AK691&lt;&gt;"OK"),"PAN wrong format; ","")&amp;IF(AND(AO691&lt;&gt;"",LEN(AN691)=15,MID(AN691,3,10)&lt;&gt;AO691),"PAN does not match GSTIN; ","")&amp;IF(AND(AL691&lt;&gt;"",AL691&lt;&gt;"OK"),"TAN wrong format; ","")&amp;IF(AG691="","PAN missing; ","")&amp;IF(AP691="","Entity type missing; ","")&amp;IF(AND(AN691&lt;&gt;"",COUNTIF($AN$6:$AN$1005,AN691)&gt;1),"GSTIN repeated in this sheet; ","")&amp;IF(AND(AG691&lt;&gt;"",COUNTIF($AG$6:$AG$1005,AG691)&gt;1),"PAN repeated in this sheet (same client? put extra GSTINs in Other GSTINs); ","")&amp;IF(AND(AR691&gt;0,V691=""),"Financial year missing; ","")&amp;IF(AND(AR691=0,V691&lt;&gt;""),"Financial year given but no service is Yes; ","")&amp;IF(AND(W691="Yes",AN691=""),"GST needs a GSTIN; ","")&amp;IF(AND(W691="Yes",X691=""),"GST return frequency missing; ","")&amp;IF(AND(Y691="Yes",TRIM(H691)=""),"TDS needs a TAN; ","")&amp;IF(AND(AA691="Yes",AQ691&lt;&gt;"",AQ691&lt;&gt;"company",AQ691&lt;&gt;"llp"),"ROC is only for a company / LLP; ","")&amp;IF(AND(AA691="Yes",OR(AQ691="company",AQ691="llp"),TRIM(I691)=""),"ROC needs the CIN / LLPIN; ","")</f>
        <v/>
      </c>
    </row>
    <row r="692">
      <c r="A692" s="30" t="n"/>
      <c r="B692" s="31" t="n"/>
      <c r="C692" s="31" t="n"/>
      <c r="D692" s="31" t="n"/>
      <c r="E692" s="30" t="n"/>
      <c r="F692" s="30" t="n"/>
      <c r="G692" s="30" t="n"/>
      <c r="H692" s="30" t="n"/>
      <c r="I692" s="30" t="n"/>
      <c r="J692" s="32" t="n"/>
      <c r="K692" s="31" t="n"/>
      <c r="L692" s="30" t="n"/>
      <c r="M692" s="31" t="n"/>
      <c r="N692" s="31" t="n"/>
      <c r="O692" s="31" t="n"/>
      <c r="P692" s="30" t="n"/>
      <c r="Q692" s="31" t="n"/>
      <c r="R692" s="31" t="n"/>
      <c r="S692" s="31" t="n"/>
      <c r="T692" s="31" t="n"/>
      <c r="U692" s="30" t="n"/>
      <c r="V692" s="31" t="n"/>
      <c r="W692" s="31" t="n"/>
      <c r="X692" s="31" t="n"/>
      <c r="Y692" s="31" t="n"/>
      <c r="Z692" s="31" t="n"/>
      <c r="AA692" s="31" t="n"/>
      <c r="AB692" s="31" t="n"/>
      <c r="AC692" s="31" t="n"/>
      <c r="AD692" s="31" t="n"/>
      <c r="AE692" s="31" t="n"/>
      <c r="AF692" s="27">
        <f>IF(NOT(COUNTA(A692:AE692)&gt;0),"",IF(A692="","New client","Update"))</f>
        <v/>
      </c>
      <c r="AG692" s="27">
        <f>IF(AO692&lt;&gt;"",AO692,IF(LEN(AN692)=15,MID(AN692,3,10),""))</f>
        <v/>
      </c>
      <c r="AH692" s="27">
        <f>IF(AP692="","",AP692&amp;IF(D692="","  (guessed from PAN)",""))</f>
        <v/>
      </c>
      <c r="AI692" s="27">
        <f>IF(AN692="","",IFERROR(INDEX(Lists!$L$2:$L$38,MATCH(LEFT(AN692,2),Lists!$K$2:$K$38,0)),"Unknown code"))</f>
        <v/>
      </c>
      <c r="AJ692" s="27">
        <f>IF(AN692="","",IFERROR(IF(NOT(AND(LEN(AN692)=15,ISNUMBER(MATCH(LEFT(AN692,2),Lists!$K$2:$K$38,0)),SUMPRODUCT(--ISERROR(FIND(MID(MID(AN692,3,10),{1,2,3,4,5,10},1),"ABCDEFGHIJKLMNOPQRSTUVWXYZ")))=0,SUMPRODUCT(--ISERROR(FIND(MID(MID(AN692,3,10),{6,7,8,9},1),"0123456789")))=0,ISNUMBER(FIND(MID(AN692,13,1),"123456789ABCDEFGHIJKLMNOPQRSTUVWXYZ")),MID(AN692,14,1)="Z")),"Wrong format",IF(MID("0123456789ABCDEFGHIJKLMNOPQRSTUVWXYZ",MOD(36-MOD(SUMPRODUCT(INT((FIND(MID(AN692,{1,2,3,4,5,6,7,8,9,10,11,12,13,14},1),"0123456789ABCDEFGHIJKLMNOPQRSTUVWXYZ")-1)*{1,2,1,2,1,2,1,2,1,2,1,2,1,2}/36)+MOD((FIND(MID(AN692,{1,2,3,4,5,6,7,8,9,10,11,12,13,14},1),"0123456789ABCDEFGHIJKLMNOPQRSTUVWXYZ")-1)*{1,2,1,2,1,2,1,2,1,2,1,2,1,2},36)),36),36)+1,1)=MID(AN692,15,1),"OK","Typo? check digit wrong")),"Wrong format"))</f>
        <v/>
      </c>
      <c r="AK692" s="27">
        <f>IF(AO692="","",IF(AND(LEN(AO692)=10,SUMPRODUCT(--ISERROR(FIND(MID(AO692,{1,2,3,4,5,10},1),"ABCDEFGHIJKLMNOPQRSTUVWXYZ")))=0,SUMPRODUCT(--ISERROR(FIND(MID(AO692,{6,7,8,9},1),"0123456789")))=0),"OK","Wrong format"))</f>
        <v/>
      </c>
      <c r="AL692" s="27">
        <f>IF(TRIM(H692)="","",IF(AND(LEN(UPPER(TRIM(H692)))=10,SUMPRODUCT(--ISERROR(FIND(MID(UPPER(TRIM(H692)),{1,2,3,4,10},1),"ABCDEFGHIJKLMNOPQRSTUVWXYZ")))=0,SUMPRODUCT(--ISERROR(FIND(MID(UPPER(TRIM(H692)),{5,6,7,8,9},1),"0123456789")))=0),"OK","Wrong format"))</f>
        <v/>
      </c>
      <c r="AM692" s="28">
        <f>IF(NOT(COUNTA(A692:AE692)&gt;0),"",IF(AS692&lt;&gt;"","✖ "&amp;LEFT(AS692,LEN(AS692)-2),IF(AR692&gt;0,"✔ Ready — client + "&amp;AR692&amp;" service(s)","✔ Ready — client only")))</f>
        <v/>
      </c>
      <c r="AN692" s="29">
        <f>UPPER(SUBSTITUTE(TRIM(F692)," ",""))</f>
        <v/>
      </c>
      <c r="AO692" s="29">
        <f>UPPER(SUBSTITUTE(TRIM(E692)," ",""))</f>
        <v/>
      </c>
      <c r="AP692" s="29">
        <f>IF(D692&lt;&gt;"",D692,IFERROR(VLOOKUP(MID(AG692,4,1),Lists!$E$2:$F$8,2,FALSE),""))</f>
        <v/>
      </c>
      <c r="AQ692" s="29">
        <f>IFERROR(VLOOKUP(AP692,Lists!$A$2:$C$12,3,FALSE),"")</f>
        <v/>
      </c>
      <c r="AR692" s="29">
        <f>COUNTIF(W692:AC692,"Yes")</f>
        <v/>
      </c>
      <c r="AS692" s="29">
        <f>IF(TRIM(B692)="","Legal name missing; ","")&amp;IF(AND(AJ692&lt;&gt;"",AJ692&lt;&gt;"OK"),"GSTIN: "&amp;AJ692&amp;"; ","")&amp;IF(AND(AK692&lt;&gt;"",AK692&lt;&gt;"OK"),"PAN wrong format; ","")&amp;IF(AND(AO692&lt;&gt;"",LEN(AN692)=15,MID(AN692,3,10)&lt;&gt;AO692),"PAN does not match GSTIN; ","")&amp;IF(AND(AL692&lt;&gt;"",AL692&lt;&gt;"OK"),"TAN wrong format; ","")&amp;IF(AG692="","PAN missing; ","")&amp;IF(AP692="","Entity type missing; ","")&amp;IF(AND(AN692&lt;&gt;"",COUNTIF($AN$6:$AN$1005,AN692)&gt;1),"GSTIN repeated in this sheet; ","")&amp;IF(AND(AG692&lt;&gt;"",COUNTIF($AG$6:$AG$1005,AG692)&gt;1),"PAN repeated in this sheet (same client? put extra GSTINs in Other GSTINs); ","")&amp;IF(AND(AR692&gt;0,V692=""),"Financial year missing; ","")&amp;IF(AND(AR692=0,V692&lt;&gt;""),"Financial year given but no service is Yes; ","")&amp;IF(AND(W692="Yes",AN692=""),"GST needs a GSTIN; ","")&amp;IF(AND(W692="Yes",X692=""),"GST return frequency missing; ","")&amp;IF(AND(Y692="Yes",TRIM(H692)=""),"TDS needs a TAN; ","")&amp;IF(AND(AA692="Yes",AQ692&lt;&gt;"",AQ692&lt;&gt;"company",AQ692&lt;&gt;"llp"),"ROC is only for a company / LLP; ","")&amp;IF(AND(AA692="Yes",OR(AQ692="company",AQ692="llp"),TRIM(I692)=""),"ROC needs the CIN / LLPIN; ","")</f>
        <v/>
      </c>
    </row>
    <row r="693">
      <c r="A693" s="30" t="n"/>
      <c r="B693" s="31" t="n"/>
      <c r="C693" s="31" t="n"/>
      <c r="D693" s="31" t="n"/>
      <c r="E693" s="30" t="n"/>
      <c r="F693" s="30" t="n"/>
      <c r="G693" s="30" t="n"/>
      <c r="H693" s="30" t="n"/>
      <c r="I693" s="30" t="n"/>
      <c r="J693" s="32" t="n"/>
      <c r="K693" s="31" t="n"/>
      <c r="L693" s="30" t="n"/>
      <c r="M693" s="31" t="n"/>
      <c r="N693" s="31" t="n"/>
      <c r="O693" s="31" t="n"/>
      <c r="P693" s="30" t="n"/>
      <c r="Q693" s="31" t="n"/>
      <c r="R693" s="31" t="n"/>
      <c r="S693" s="31" t="n"/>
      <c r="T693" s="31" t="n"/>
      <c r="U693" s="30" t="n"/>
      <c r="V693" s="31" t="n"/>
      <c r="W693" s="31" t="n"/>
      <c r="X693" s="31" t="n"/>
      <c r="Y693" s="31" t="n"/>
      <c r="Z693" s="31" t="n"/>
      <c r="AA693" s="31" t="n"/>
      <c r="AB693" s="31" t="n"/>
      <c r="AC693" s="31" t="n"/>
      <c r="AD693" s="31" t="n"/>
      <c r="AE693" s="31" t="n"/>
      <c r="AF693" s="27">
        <f>IF(NOT(COUNTA(A693:AE693)&gt;0),"",IF(A693="","New client","Update"))</f>
        <v/>
      </c>
      <c r="AG693" s="27">
        <f>IF(AO693&lt;&gt;"",AO693,IF(LEN(AN693)=15,MID(AN693,3,10),""))</f>
        <v/>
      </c>
      <c r="AH693" s="27">
        <f>IF(AP693="","",AP693&amp;IF(D693="","  (guessed from PAN)",""))</f>
        <v/>
      </c>
      <c r="AI693" s="27">
        <f>IF(AN693="","",IFERROR(INDEX(Lists!$L$2:$L$38,MATCH(LEFT(AN693,2),Lists!$K$2:$K$38,0)),"Unknown code"))</f>
        <v/>
      </c>
      <c r="AJ693" s="27">
        <f>IF(AN693="","",IFERROR(IF(NOT(AND(LEN(AN693)=15,ISNUMBER(MATCH(LEFT(AN693,2),Lists!$K$2:$K$38,0)),SUMPRODUCT(--ISERROR(FIND(MID(MID(AN693,3,10),{1,2,3,4,5,10},1),"ABCDEFGHIJKLMNOPQRSTUVWXYZ")))=0,SUMPRODUCT(--ISERROR(FIND(MID(MID(AN693,3,10),{6,7,8,9},1),"0123456789")))=0,ISNUMBER(FIND(MID(AN693,13,1),"123456789ABCDEFGHIJKLMNOPQRSTUVWXYZ")),MID(AN693,14,1)="Z")),"Wrong format",IF(MID("0123456789ABCDEFGHIJKLMNOPQRSTUVWXYZ",MOD(36-MOD(SUMPRODUCT(INT((FIND(MID(AN693,{1,2,3,4,5,6,7,8,9,10,11,12,13,14},1),"0123456789ABCDEFGHIJKLMNOPQRSTUVWXYZ")-1)*{1,2,1,2,1,2,1,2,1,2,1,2,1,2}/36)+MOD((FIND(MID(AN693,{1,2,3,4,5,6,7,8,9,10,11,12,13,14},1),"0123456789ABCDEFGHIJKLMNOPQRSTUVWXYZ")-1)*{1,2,1,2,1,2,1,2,1,2,1,2,1,2},36)),36),36)+1,1)=MID(AN693,15,1),"OK","Typo? check digit wrong")),"Wrong format"))</f>
        <v/>
      </c>
      <c r="AK693" s="27">
        <f>IF(AO693="","",IF(AND(LEN(AO693)=10,SUMPRODUCT(--ISERROR(FIND(MID(AO693,{1,2,3,4,5,10},1),"ABCDEFGHIJKLMNOPQRSTUVWXYZ")))=0,SUMPRODUCT(--ISERROR(FIND(MID(AO693,{6,7,8,9},1),"0123456789")))=0),"OK","Wrong format"))</f>
        <v/>
      </c>
      <c r="AL693" s="27">
        <f>IF(TRIM(H693)="","",IF(AND(LEN(UPPER(TRIM(H693)))=10,SUMPRODUCT(--ISERROR(FIND(MID(UPPER(TRIM(H693)),{1,2,3,4,10},1),"ABCDEFGHIJKLMNOPQRSTUVWXYZ")))=0,SUMPRODUCT(--ISERROR(FIND(MID(UPPER(TRIM(H693)),{5,6,7,8,9},1),"0123456789")))=0),"OK","Wrong format"))</f>
        <v/>
      </c>
      <c r="AM693" s="28">
        <f>IF(NOT(COUNTA(A693:AE693)&gt;0),"",IF(AS693&lt;&gt;"","✖ "&amp;LEFT(AS693,LEN(AS693)-2),IF(AR693&gt;0,"✔ Ready — client + "&amp;AR693&amp;" service(s)","✔ Ready — client only")))</f>
        <v/>
      </c>
      <c r="AN693" s="29">
        <f>UPPER(SUBSTITUTE(TRIM(F693)," ",""))</f>
        <v/>
      </c>
      <c r="AO693" s="29">
        <f>UPPER(SUBSTITUTE(TRIM(E693)," ",""))</f>
        <v/>
      </c>
      <c r="AP693" s="29">
        <f>IF(D693&lt;&gt;"",D693,IFERROR(VLOOKUP(MID(AG693,4,1),Lists!$E$2:$F$8,2,FALSE),""))</f>
        <v/>
      </c>
      <c r="AQ693" s="29">
        <f>IFERROR(VLOOKUP(AP693,Lists!$A$2:$C$12,3,FALSE),"")</f>
        <v/>
      </c>
      <c r="AR693" s="29">
        <f>COUNTIF(W693:AC693,"Yes")</f>
        <v/>
      </c>
      <c r="AS693" s="29">
        <f>IF(TRIM(B693)="","Legal name missing; ","")&amp;IF(AND(AJ693&lt;&gt;"",AJ693&lt;&gt;"OK"),"GSTIN: "&amp;AJ693&amp;"; ","")&amp;IF(AND(AK693&lt;&gt;"",AK693&lt;&gt;"OK"),"PAN wrong format; ","")&amp;IF(AND(AO693&lt;&gt;"",LEN(AN693)=15,MID(AN693,3,10)&lt;&gt;AO693),"PAN does not match GSTIN; ","")&amp;IF(AND(AL693&lt;&gt;"",AL693&lt;&gt;"OK"),"TAN wrong format; ","")&amp;IF(AG693="","PAN missing; ","")&amp;IF(AP693="","Entity type missing; ","")&amp;IF(AND(AN693&lt;&gt;"",COUNTIF($AN$6:$AN$1005,AN693)&gt;1),"GSTIN repeated in this sheet; ","")&amp;IF(AND(AG693&lt;&gt;"",COUNTIF($AG$6:$AG$1005,AG693)&gt;1),"PAN repeated in this sheet (same client? put extra GSTINs in Other GSTINs); ","")&amp;IF(AND(AR693&gt;0,V693=""),"Financial year missing; ","")&amp;IF(AND(AR693=0,V693&lt;&gt;""),"Financial year given but no service is Yes; ","")&amp;IF(AND(W693="Yes",AN693=""),"GST needs a GSTIN; ","")&amp;IF(AND(W693="Yes",X693=""),"GST return frequency missing; ","")&amp;IF(AND(Y693="Yes",TRIM(H693)=""),"TDS needs a TAN; ","")&amp;IF(AND(AA693="Yes",AQ693&lt;&gt;"",AQ693&lt;&gt;"company",AQ693&lt;&gt;"llp"),"ROC is only for a company / LLP; ","")&amp;IF(AND(AA693="Yes",OR(AQ693="company",AQ693="llp"),TRIM(I693)=""),"ROC needs the CIN / LLPIN; ","")</f>
        <v/>
      </c>
    </row>
    <row r="694">
      <c r="A694" s="30" t="n"/>
      <c r="B694" s="31" t="n"/>
      <c r="C694" s="31" t="n"/>
      <c r="D694" s="31" t="n"/>
      <c r="E694" s="30" t="n"/>
      <c r="F694" s="30" t="n"/>
      <c r="G694" s="30" t="n"/>
      <c r="H694" s="30" t="n"/>
      <c r="I694" s="30" t="n"/>
      <c r="J694" s="32" t="n"/>
      <c r="K694" s="31" t="n"/>
      <c r="L694" s="30" t="n"/>
      <c r="M694" s="31" t="n"/>
      <c r="N694" s="31" t="n"/>
      <c r="O694" s="31" t="n"/>
      <c r="P694" s="30" t="n"/>
      <c r="Q694" s="31" t="n"/>
      <c r="R694" s="31" t="n"/>
      <c r="S694" s="31" t="n"/>
      <c r="T694" s="31" t="n"/>
      <c r="U694" s="30" t="n"/>
      <c r="V694" s="31" t="n"/>
      <c r="W694" s="31" t="n"/>
      <c r="X694" s="31" t="n"/>
      <c r="Y694" s="31" t="n"/>
      <c r="Z694" s="31" t="n"/>
      <c r="AA694" s="31" t="n"/>
      <c r="AB694" s="31" t="n"/>
      <c r="AC694" s="31" t="n"/>
      <c r="AD694" s="31" t="n"/>
      <c r="AE694" s="31" t="n"/>
      <c r="AF694" s="27">
        <f>IF(NOT(COUNTA(A694:AE694)&gt;0),"",IF(A694="","New client","Update"))</f>
        <v/>
      </c>
      <c r="AG694" s="27">
        <f>IF(AO694&lt;&gt;"",AO694,IF(LEN(AN694)=15,MID(AN694,3,10),""))</f>
        <v/>
      </c>
      <c r="AH694" s="27">
        <f>IF(AP694="","",AP694&amp;IF(D694="","  (guessed from PAN)",""))</f>
        <v/>
      </c>
      <c r="AI694" s="27">
        <f>IF(AN694="","",IFERROR(INDEX(Lists!$L$2:$L$38,MATCH(LEFT(AN694,2),Lists!$K$2:$K$38,0)),"Unknown code"))</f>
        <v/>
      </c>
      <c r="AJ694" s="27">
        <f>IF(AN694="","",IFERROR(IF(NOT(AND(LEN(AN694)=15,ISNUMBER(MATCH(LEFT(AN694,2),Lists!$K$2:$K$38,0)),SUMPRODUCT(--ISERROR(FIND(MID(MID(AN694,3,10),{1,2,3,4,5,10},1),"ABCDEFGHIJKLMNOPQRSTUVWXYZ")))=0,SUMPRODUCT(--ISERROR(FIND(MID(MID(AN694,3,10),{6,7,8,9},1),"0123456789")))=0,ISNUMBER(FIND(MID(AN694,13,1),"123456789ABCDEFGHIJKLMNOPQRSTUVWXYZ")),MID(AN694,14,1)="Z")),"Wrong format",IF(MID("0123456789ABCDEFGHIJKLMNOPQRSTUVWXYZ",MOD(36-MOD(SUMPRODUCT(INT((FIND(MID(AN694,{1,2,3,4,5,6,7,8,9,10,11,12,13,14},1),"0123456789ABCDEFGHIJKLMNOPQRSTUVWXYZ")-1)*{1,2,1,2,1,2,1,2,1,2,1,2,1,2}/36)+MOD((FIND(MID(AN694,{1,2,3,4,5,6,7,8,9,10,11,12,13,14},1),"0123456789ABCDEFGHIJKLMNOPQRSTUVWXYZ")-1)*{1,2,1,2,1,2,1,2,1,2,1,2,1,2},36)),36),36)+1,1)=MID(AN694,15,1),"OK","Typo? check digit wrong")),"Wrong format"))</f>
        <v/>
      </c>
      <c r="AK694" s="27">
        <f>IF(AO694="","",IF(AND(LEN(AO694)=10,SUMPRODUCT(--ISERROR(FIND(MID(AO694,{1,2,3,4,5,10},1),"ABCDEFGHIJKLMNOPQRSTUVWXYZ")))=0,SUMPRODUCT(--ISERROR(FIND(MID(AO694,{6,7,8,9},1),"0123456789")))=0),"OK","Wrong format"))</f>
        <v/>
      </c>
      <c r="AL694" s="27">
        <f>IF(TRIM(H694)="","",IF(AND(LEN(UPPER(TRIM(H694)))=10,SUMPRODUCT(--ISERROR(FIND(MID(UPPER(TRIM(H694)),{1,2,3,4,10},1),"ABCDEFGHIJKLMNOPQRSTUVWXYZ")))=0,SUMPRODUCT(--ISERROR(FIND(MID(UPPER(TRIM(H694)),{5,6,7,8,9},1),"0123456789")))=0),"OK","Wrong format"))</f>
        <v/>
      </c>
      <c r="AM694" s="28">
        <f>IF(NOT(COUNTA(A694:AE694)&gt;0),"",IF(AS694&lt;&gt;"","✖ "&amp;LEFT(AS694,LEN(AS694)-2),IF(AR694&gt;0,"✔ Ready — client + "&amp;AR694&amp;" service(s)","✔ Ready — client only")))</f>
        <v/>
      </c>
      <c r="AN694" s="29">
        <f>UPPER(SUBSTITUTE(TRIM(F694)," ",""))</f>
        <v/>
      </c>
      <c r="AO694" s="29">
        <f>UPPER(SUBSTITUTE(TRIM(E694)," ",""))</f>
        <v/>
      </c>
      <c r="AP694" s="29">
        <f>IF(D694&lt;&gt;"",D694,IFERROR(VLOOKUP(MID(AG694,4,1),Lists!$E$2:$F$8,2,FALSE),""))</f>
        <v/>
      </c>
      <c r="AQ694" s="29">
        <f>IFERROR(VLOOKUP(AP694,Lists!$A$2:$C$12,3,FALSE),"")</f>
        <v/>
      </c>
      <c r="AR694" s="29">
        <f>COUNTIF(W694:AC694,"Yes")</f>
        <v/>
      </c>
      <c r="AS694" s="29">
        <f>IF(TRIM(B694)="","Legal name missing; ","")&amp;IF(AND(AJ694&lt;&gt;"",AJ694&lt;&gt;"OK"),"GSTIN: "&amp;AJ694&amp;"; ","")&amp;IF(AND(AK694&lt;&gt;"",AK694&lt;&gt;"OK"),"PAN wrong format; ","")&amp;IF(AND(AO694&lt;&gt;"",LEN(AN694)=15,MID(AN694,3,10)&lt;&gt;AO694),"PAN does not match GSTIN; ","")&amp;IF(AND(AL694&lt;&gt;"",AL694&lt;&gt;"OK"),"TAN wrong format; ","")&amp;IF(AG694="","PAN missing; ","")&amp;IF(AP694="","Entity type missing; ","")&amp;IF(AND(AN694&lt;&gt;"",COUNTIF($AN$6:$AN$1005,AN694)&gt;1),"GSTIN repeated in this sheet; ","")&amp;IF(AND(AG694&lt;&gt;"",COUNTIF($AG$6:$AG$1005,AG694)&gt;1),"PAN repeated in this sheet (same client? put extra GSTINs in Other GSTINs); ","")&amp;IF(AND(AR694&gt;0,V694=""),"Financial year missing; ","")&amp;IF(AND(AR694=0,V694&lt;&gt;""),"Financial year given but no service is Yes; ","")&amp;IF(AND(W694="Yes",AN694=""),"GST needs a GSTIN; ","")&amp;IF(AND(W694="Yes",X694=""),"GST return frequency missing; ","")&amp;IF(AND(Y694="Yes",TRIM(H694)=""),"TDS needs a TAN; ","")&amp;IF(AND(AA694="Yes",AQ694&lt;&gt;"",AQ694&lt;&gt;"company",AQ694&lt;&gt;"llp"),"ROC is only for a company / LLP; ","")&amp;IF(AND(AA694="Yes",OR(AQ694="company",AQ694="llp"),TRIM(I694)=""),"ROC needs the CIN / LLPIN; ","")</f>
        <v/>
      </c>
    </row>
    <row r="695">
      <c r="A695" s="30" t="n"/>
      <c r="B695" s="31" t="n"/>
      <c r="C695" s="31" t="n"/>
      <c r="D695" s="31" t="n"/>
      <c r="E695" s="30" t="n"/>
      <c r="F695" s="30" t="n"/>
      <c r="G695" s="30" t="n"/>
      <c r="H695" s="30" t="n"/>
      <c r="I695" s="30" t="n"/>
      <c r="J695" s="32" t="n"/>
      <c r="K695" s="31" t="n"/>
      <c r="L695" s="30" t="n"/>
      <c r="M695" s="31" t="n"/>
      <c r="N695" s="31" t="n"/>
      <c r="O695" s="31" t="n"/>
      <c r="P695" s="30" t="n"/>
      <c r="Q695" s="31" t="n"/>
      <c r="R695" s="31" t="n"/>
      <c r="S695" s="31" t="n"/>
      <c r="T695" s="31" t="n"/>
      <c r="U695" s="30" t="n"/>
      <c r="V695" s="31" t="n"/>
      <c r="W695" s="31" t="n"/>
      <c r="X695" s="31" t="n"/>
      <c r="Y695" s="31" t="n"/>
      <c r="Z695" s="31" t="n"/>
      <c r="AA695" s="31" t="n"/>
      <c r="AB695" s="31" t="n"/>
      <c r="AC695" s="31" t="n"/>
      <c r="AD695" s="31" t="n"/>
      <c r="AE695" s="31" t="n"/>
      <c r="AF695" s="27">
        <f>IF(NOT(COUNTA(A695:AE695)&gt;0),"",IF(A695="","New client","Update"))</f>
        <v/>
      </c>
      <c r="AG695" s="27">
        <f>IF(AO695&lt;&gt;"",AO695,IF(LEN(AN695)=15,MID(AN695,3,10),""))</f>
        <v/>
      </c>
      <c r="AH695" s="27">
        <f>IF(AP695="","",AP695&amp;IF(D695="","  (guessed from PAN)",""))</f>
        <v/>
      </c>
      <c r="AI695" s="27">
        <f>IF(AN695="","",IFERROR(INDEX(Lists!$L$2:$L$38,MATCH(LEFT(AN695,2),Lists!$K$2:$K$38,0)),"Unknown code"))</f>
        <v/>
      </c>
      <c r="AJ695" s="27">
        <f>IF(AN695="","",IFERROR(IF(NOT(AND(LEN(AN695)=15,ISNUMBER(MATCH(LEFT(AN695,2),Lists!$K$2:$K$38,0)),SUMPRODUCT(--ISERROR(FIND(MID(MID(AN695,3,10),{1,2,3,4,5,10},1),"ABCDEFGHIJKLMNOPQRSTUVWXYZ")))=0,SUMPRODUCT(--ISERROR(FIND(MID(MID(AN695,3,10),{6,7,8,9},1),"0123456789")))=0,ISNUMBER(FIND(MID(AN695,13,1),"123456789ABCDEFGHIJKLMNOPQRSTUVWXYZ")),MID(AN695,14,1)="Z")),"Wrong format",IF(MID("0123456789ABCDEFGHIJKLMNOPQRSTUVWXYZ",MOD(36-MOD(SUMPRODUCT(INT((FIND(MID(AN695,{1,2,3,4,5,6,7,8,9,10,11,12,13,14},1),"0123456789ABCDEFGHIJKLMNOPQRSTUVWXYZ")-1)*{1,2,1,2,1,2,1,2,1,2,1,2,1,2}/36)+MOD((FIND(MID(AN695,{1,2,3,4,5,6,7,8,9,10,11,12,13,14},1),"0123456789ABCDEFGHIJKLMNOPQRSTUVWXYZ")-1)*{1,2,1,2,1,2,1,2,1,2,1,2,1,2},36)),36),36)+1,1)=MID(AN695,15,1),"OK","Typo? check digit wrong")),"Wrong format"))</f>
        <v/>
      </c>
      <c r="AK695" s="27">
        <f>IF(AO695="","",IF(AND(LEN(AO695)=10,SUMPRODUCT(--ISERROR(FIND(MID(AO695,{1,2,3,4,5,10},1),"ABCDEFGHIJKLMNOPQRSTUVWXYZ")))=0,SUMPRODUCT(--ISERROR(FIND(MID(AO695,{6,7,8,9},1),"0123456789")))=0),"OK","Wrong format"))</f>
        <v/>
      </c>
      <c r="AL695" s="27">
        <f>IF(TRIM(H695)="","",IF(AND(LEN(UPPER(TRIM(H695)))=10,SUMPRODUCT(--ISERROR(FIND(MID(UPPER(TRIM(H695)),{1,2,3,4,10},1),"ABCDEFGHIJKLMNOPQRSTUVWXYZ")))=0,SUMPRODUCT(--ISERROR(FIND(MID(UPPER(TRIM(H695)),{5,6,7,8,9},1),"0123456789")))=0),"OK","Wrong format"))</f>
        <v/>
      </c>
      <c r="AM695" s="28">
        <f>IF(NOT(COUNTA(A695:AE695)&gt;0),"",IF(AS695&lt;&gt;"","✖ "&amp;LEFT(AS695,LEN(AS695)-2),IF(AR695&gt;0,"✔ Ready — client + "&amp;AR695&amp;" service(s)","✔ Ready — client only")))</f>
        <v/>
      </c>
      <c r="AN695" s="29">
        <f>UPPER(SUBSTITUTE(TRIM(F695)," ",""))</f>
        <v/>
      </c>
      <c r="AO695" s="29">
        <f>UPPER(SUBSTITUTE(TRIM(E695)," ",""))</f>
        <v/>
      </c>
      <c r="AP695" s="29">
        <f>IF(D695&lt;&gt;"",D695,IFERROR(VLOOKUP(MID(AG695,4,1),Lists!$E$2:$F$8,2,FALSE),""))</f>
        <v/>
      </c>
      <c r="AQ695" s="29">
        <f>IFERROR(VLOOKUP(AP695,Lists!$A$2:$C$12,3,FALSE),"")</f>
        <v/>
      </c>
      <c r="AR695" s="29">
        <f>COUNTIF(W695:AC695,"Yes")</f>
        <v/>
      </c>
      <c r="AS695" s="29">
        <f>IF(TRIM(B695)="","Legal name missing; ","")&amp;IF(AND(AJ695&lt;&gt;"",AJ695&lt;&gt;"OK"),"GSTIN: "&amp;AJ695&amp;"; ","")&amp;IF(AND(AK695&lt;&gt;"",AK695&lt;&gt;"OK"),"PAN wrong format; ","")&amp;IF(AND(AO695&lt;&gt;"",LEN(AN695)=15,MID(AN695,3,10)&lt;&gt;AO695),"PAN does not match GSTIN; ","")&amp;IF(AND(AL695&lt;&gt;"",AL695&lt;&gt;"OK"),"TAN wrong format; ","")&amp;IF(AG695="","PAN missing; ","")&amp;IF(AP695="","Entity type missing; ","")&amp;IF(AND(AN695&lt;&gt;"",COUNTIF($AN$6:$AN$1005,AN695)&gt;1),"GSTIN repeated in this sheet; ","")&amp;IF(AND(AG695&lt;&gt;"",COUNTIF($AG$6:$AG$1005,AG695)&gt;1),"PAN repeated in this sheet (same client? put extra GSTINs in Other GSTINs); ","")&amp;IF(AND(AR695&gt;0,V695=""),"Financial year missing; ","")&amp;IF(AND(AR695=0,V695&lt;&gt;""),"Financial year given but no service is Yes; ","")&amp;IF(AND(W695="Yes",AN695=""),"GST needs a GSTIN; ","")&amp;IF(AND(W695="Yes",X695=""),"GST return frequency missing; ","")&amp;IF(AND(Y695="Yes",TRIM(H695)=""),"TDS needs a TAN; ","")&amp;IF(AND(AA695="Yes",AQ695&lt;&gt;"",AQ695&lt;&gt;"company",AQ695&lt;&gt;"llp"),"ROC is only for a company / LLP; ","")&amp;IF(AND(AA695="Yes",OR(AQ695="company",AQ695="llp"),TRIM(I695)=""),"ROC needs the CIN / LLPIN; ","")</f>
        <v/>
      </c>
    </row>
    <row r="696">
      <c r="A696" s="30" t="n"/>
      <c r="B696" s="31" t="n"/>
      <c r="C696" s="31" t="n"/>
      <c r="D696" s="31" t="n"/>
      <c r="E696" s="30" t="n"/>
      <c r="F696" s="30" t="n"/>
      <c r="G696" s="30" t="n"/>
      <c r="H696" s="30" t="n"/>
      <c r="I696" s="30" t="n"/>
      <c r="J696" s="32" t="n"/>
      <c r="K696" s="31" t="n"/>
      <c r="L696" s="30" t="n"/>
      <c r="M696" s="31" t="n"/>
      <c r="N696" s="31" t="n"/>
      <c r="O696" s="31" t="n"/>
      <c r="P696" s="30" t="n"/>
      <c r="Q696" s="31" t="n"/>
      <c r="R696" s="31" t="n"/>
      <c r="S696" s="31" t="n"/>
      <c r="T696" s="31" t="n"/>
      <c r="U696" s="30" t="n"/>
      <c r="V696" s="31" t="n"/>
      <c r="W696" s="31" t="n"/>
      <c r="X696" s="31" t="n"/>
      <c r="Y696" s="31" t="n"/>
      <c r="Z696" s="31" t="n"/>
      <c r="AA696" s="31" t="n"/>
      <c r="AB696" s="31" t="n"/>
      <c r="AC696" s="31" t="n"/>
      <c r="AD696" s="31" t="n"/>
      <c r="AE696" s="31" t="n"/>
      <c r="AF696" s="27">
        <f>IF(NOT(COUNTA(A696:AE696)&gt;0),"",IF(A696="","New client","Update"))</f>
        <v/>
      </c>
      <c r="AG696" s="27">
        <f>IF(AO696&lt;&gt;"",AO696,IF(LEN(AN696)=15,MID(AN696,3,10),""))</f>
        <v/>
      </c>
      <c r="AH696" s="27">
        <f>IF(AP696="","",AP696&amp;IF(D696="","  (guessed from PAN)",""))</f>
        <v/>
      </c>
      <c r="AI696" s="27">
        <f>IF(AN696="","",IFERROR(INDEX(Lists!$L$2:$L$38,MATCH(LEFT(AN696,2),Lists!$K$2:$K$38,0)),"Unknown code"))</f>
        <v/>
      </c>
      <c r="AJ696" s="27">
        <f>IF(AN696="","",IFERROR(IF(NOT(AND(LEN(AN696)=15,ISNUMBER(MATCH(LEFT(AN696,2),Lists!$K$2:$K$38,0)),SUMPRODUCT(--ISERROR(FIND(MID(MID(AN696,3,10),{1,2,3,4,5,10},1),"ABCDEFGHIJKLMNOPQRSTUVWXYZ")))=0,SUMPRODUCT(--ISERROR(FIND(MID(MID(AN696,3,10),{6,7,8,9},1),"0123456789")))=0,ISNUMBER(FIND(MID(AN696,13,1),"123456789ABCDEFGHIJKLMNOPQRSTUVWXYZ")),MID(AN696,14,1)="Z")),"Wrong format",IF(MID("0123456789ABCDEFGHIJKLMNOPQRSTUVWXYZ",MOD(36-MOD(SUMPRODUCT(INT((FIND(MID(AN696,{1,2,3,4,5,6,7,8,9,10,11,12,13,14},1),"0123456789ABCDEFGHIJKLMNOPQRSTUVWXYZ")-1)*{1,2,1,2,1,2,1,2,1,2,1,2,1,2}/36)+MOD((FIND(MID(AN696,{1,2,3,4,5,6,7,8,9,10,11,12,13,14},1),"0123456789ABCDEFGHIJKLMNOPQRSTUVWXYZ")-1)*{1,2,1,2,1,2,1,2,1,2,1,2,1,2},36)),36),36)+1,1)=MID(AN696,15,1),"OK","Typo? check digit wrong")),"Wrong format"))</f>
        <v/>
      </c>
      <c r="AK696" s="27">
        <f>IF(AO696="","",IF(AND(LEN(AO696)=10,SUMPRODUCT(--ISERROR(FIND(MID(AO696,{1,2,3,4,5,10},1),"ABCDEFGHIJKLMNOPQRSTUVWXYZ")))=0,SUMPRODUCT(--ISERROR(FIND(MID(AO696,{6,7,8,9},1),"0123456789")))=0),"OK","Wrong format"))</f>
        <v/>
      </c>
      <c r="AL696" s="27">
        <f>IF(TRIM(H696)="","",IF(AND(LEN(UPPER(TRIM(H696)))=10,SUMPRODUCT(--ISERROR(FIND(MID(UPPER(TRIM(H696)),{1,2,3,4,10},1),"ABCDEFGHIJKLMNOPQRSTUVWXYZ")))=0,SUMPRODUCT(--ISERROR(FIND(MID(UPPER(TRIM(H696)),{5,6,7,8,9},1),"0123456789")))=0),"OK","Wrong format"))</f>
        <v/>
      </c>
      <c r="AM696" s="28">
        <f>IF(NOT(COUNTA(A696:AE696)&gt;0),"",IF(AS696&lt;&gt;"","✖ "&amp;LEFT(AS696,LEN(AS696)-2),IF(AR696&gt;0,"✔ Ready — client + "&amp;AR696&amp;" service(s)","✔ Ready — client only")))</f>
        <v/>
      </c>
      <c r="AN696" s="29">
        <f>UPPER(SUBSTITUTE(TRIM(F696)," ",""))</f>
        <v/>
      </c>
      <c r="AO696" s="29">
        <f>UPPER(SUBSTITUTE(TRIM(E696)," ",""))</f>
        <v/>
      </c>
      <c r="AP696" s="29">
        <f>IF(D696&lt;&gt;"",D696,IFERROR(VLOOKUP(MID(AG696,4,1),Lists!$E$2:$F$8,2,FALSE),""))</f>
        <v/>
      </c>
      <c r="AQ696" s="29">
        <f>IFERROR(VLOOKUP(AP696,Lists!$A$2:$C$12,3,FALSE),"")</f>
        <v/>
      </c>
      <c r="AR696" s="29">
        <f>COUNTIF(W696:AC696,"Yes")</f>
        <v/>
      </c>
      <c r="AS696" s="29">
        <f>IF(TRIM(B696)="","Legal name missing; ","")&amp;IF(AND(AJ696&lt;&gt;"",AJ696&lt;&gt;"OK"),"GSTIN: "&amp;AJ696&amp;"; ","")&amp;IF(AND(AK696&lt;&gt;"",AK696&lt;&gt;"OK"),"PAN wrong format; ","")&amp;IF(AND(AO696&lt;&gt;"",LEN(AN696)=15,MID(AN696,3,10)&lt;&gt;AO696),"PAN does not match GSTIN; ","")&amp;IF(AND(AL696&lt;&gt;"",AL696&lt;&gt;"OK"),"TAN wrong format; ","")&amp;IF(AG696="","PAN missing; ","")&amp;IF(AP696="","Entity type missing; ","")&amp;IF(AND(AN696&lt;&gt;"",COUNTIF($AN$6:$AN$1005,AN696)&gt;1),"GSTIN repeated in this sheet; ","")&amp;IF(AND(AG696&lt;&gt;"",COUNTIF($AG$6:$AG$1005,AG696)&gt;1),"PAN repeated in this sheet (same client? put extra GSTINs in Other GSTINs); ","")&amp;IF(AND(AR696&gt;0,V696=""),"Financial year missing; ","")&amp;IF(AND(AR696=0,V696&lt;&gt;""),"Financial year given but no service is Yes; ","")&amp;IF(AND(W696="Yes",AN696=""),"GST needs a GSTIN; ","")&amp;IF(AND(W696="Yes",X696=""),"GST return frequency missing; ","")&amp;IF(AND(Y696="Yes",TRIM(H696)=""),"TDS needs a TAN; ","")&amp;IF(AND(AA696="Yes",AQ696&lt;&gt;"",AQ696&lt;&gt;"company",AQ696&lt;&gt;"llp"),"ROC is only for a company / LLP; ","")&amp;IF(AND(AA696="Yes",OR(AQ696="company",AQ696="llp"),TRIM(I696)=""),"ROC needs the CIN / LLPIN; ","")</f>
        <v/>
      </c>
    </row>
    <row r="697">
      <c r="A697" s="30" t="n"/>
      <c r="B697" s="31" t="n"/>
      <c r="C697" s="31" t="n"/>
      <c r="D697" s="31" t="n"/>
      <c r="E697" s="30" t="n"/>
      <c r="F697" s="30" t="n"/>
      <c r="G697" s="30" t="n"/>
      <c r="H697" s="30" t="n"/>
      <c r="I697" s="30" t="n"/>
      <c r="J697" s="32" t="n"/>
      <c r="K697" s="31" t="n"/>
      <c r="L697" s="30" t="n"/>
      <c r="M697" s="31" t="n"/>
      <c r="N697" s="31" t="n"/>
      <c r="O697" s="31" t="n"/>
      <c r="P697" s="30" t="n"/>
      <c r="Q697" s="31" t="n"/>
      <c r="R697" s="31" t="n"/>
      <c r="S697" s="31" t="n"/>
      <c r="T697" s="31" t="n"/>
      <c r="U697" s="30" t="n"/>
      <c r="V697" s="31" t="n"/>
      <c r="W697" s="31" t="n"/>
      <c r="X697" s="31" t="n"/>
      <c r="Y697" s="31" t="n"/>
      <c r="Z697" s="31" t="n"/>
      <c r="AA697" s="31" t="n"/>
      <c r="AB697" s="31" t="n"/>
      <c r="AC697" s="31" t="n"/>
      <c r="AD697" s="31" t="n"/>
      <c r="AE697" s="31" t="n"/>
      <c r="AF697" s="27">
        <f>IF(NOT(COUNTA(A697:AE697)&gt;0),"",IF(A697="","New client","Update"))</f>
        <v/>
      </c>
      <c r="AG697" s="27">
        <f>IF(AO697&lt;&gt;"",AO697,IF(LEN(AN697)=15,MID(AN697,3,10),""))</f>
        <v/>
      </c>
      <c r="AH697" s="27">
        <f>IF(AP697="","",AP697&amp;IF(D697="","  (guessed from PAN)",""))</f>
        <v/>
      </c>
      <c r="AI697" s="27">
        <f>IF(AN697="","",IFERROR(INDEX(Lists!$L$2:$L$38,MATCH(LEFT(AN697,2),Lists!$K$2:$K$38,0)),"Unknown code"))</f>
        <v/>
      </c>
      <c r="AJ697" s="27">
        <f>IF(AN697="","",IFERROR(IF(NOT(AND(LEN(AN697)=15,ISNUMBER(MATCH(LEFT(AN697,2),Lists!$K$2:$K$38,0)),SUMPRODUCT(--ISERROR(FIND(MID(MID(AN697,3,10),{1,2,3,4,5,10},1),"ABCDEFGHIJKLMNOPQRSTUVWXYZ")))=0,SUMPRODUCT(--ISERROR(FIND(MID(MID(AN697,3,10),{6,7,8,9},1),"0123456789")))=0,ISNUMBER(FIND(MID(AN697,13,1),"123456789ABCDEFGHIJKLMNOPQRSTUVWXYZ")),MID(AN697,14,1)="Z")),"Wrong format",IF(MID("0123456789ABCDEFGHIJKLMNOPQRSTUVWXYZ",MOD(36-MOD(SUMPRODUCT(INT((FIND(MID(AN697,{1,2,3,4,5,6,7,8,9,10,11,12,13,14},1),"0123456789ABCDEFGHIJKLMNOPQRSTUVWXYZ")-1)*{1,2,1,2,1,2,1,2,1,2,1,2,1,2}/36)+MOD((FIND(MID(AN697,{1,2,3,4,5,6,7,8,9,10,11,12,13,14},1),"0123456789ABCDEFGHIJKLMNOPQRSTUVWXYZ")-1)*{1,2,1,2,1,2,1,2,1,2,1,2,1,2},36)),36),36)+1,1)=MID(AN697,15,1),"OK","Typo? check digit wrong")),"Wrong format"))</f>
        <v/>
      </c>
      <c r="AK697" s="27">
        <f>IF(AO697="","",IF(AND(LEN(AO697)=10,SUMPRODUCT(--ISERROR(FIND(MID(AO697,{1,2,3,4,5,10},1),"ABCDEFGHIJKLMNOPQRSTUVWXYZ")))=0,SUMPRODUCT(--ISERROR(FIND(MID(AO697,{6,7,8,9},1),"0123456789")))=0),"OK","Wrong format"))</f>
        <v/>
      </c>
      <c r="AL697" s="27">
        <f>IF(TRIM(H697)="","",IF(AND(LEN(UPPER(TRIM(H697)))=10,SUMPRODUCT(--ISERROR(FIND(MID(UPPER(TRIM(H697)),{1,2,3,4,10},1),"ABCDEFGHIJKLMNOPQRSTUVWXYZ")))=0,SUMPRODUCT(--ISERROR(FIND(MID(UPPER(TRIM(H697)),{5,6,7,8,9},1),"0123456789")))=0),"OK","Wrong format"))</f>
        <v/>
      </c>
      <c r="AM697" s="28">
        <f>IF(NOT(COUNTA(A697:AE697)&gt;0),"",IF(AS697&lt;&gt;"","✖ "&amp;LEFT(AS697,LEN(AS697)-2),IF(AR697&gt;0,"✔ Ready — client + "&amp;AR697&amp;" service(s)","✔ Ready — client only")))</f>
        <v/>
      </c>
      <c r="AN697" s="29">
        <f>UPPER(SUBSTITUTE(TRIM(F697)," ",""))</f>
        <v/>
      </c>
      <c r="AO697" s="29">
        <f>UPPER(SUBSTITUTE(TRIM(E697)," ",""))</f>
        <v/>
      </c>
      <c r="AP697" s="29">
        <f>IF(D697&lt;&gt;"",D697,IFERROR(VLOOKUP(MID(AG697,4,1),Lists!$E$2:$F$8,2,FALSE),""))</f>
        <v/>
      </c>
      <c r="AQ697" s="29">
        <f>IFERROR(VLOOKUP(AP697,Lists!$A$2:$C$12,3,FALSE),"")</f>
        <v/>
      </c>
      <c r="AR697" s="29">
        <f>COUNTIF(W697:AC697,"Yes")</f>
        <v/>
      </c>
      <c r="AS697" s="29">
        <f>IF(TRIM(B697)="","Legal name missing; ","")&amp;IF(AND(AJ697&lt;&gt;"",AJ697&lt;&gt;"OK"),"GSTIN: "&amp;AJ697&amp;"; ","")&amp;IF(AND(AK697&lt;&gt;"",AK697&lt;&gt;"OK"),"PAN wrong format; ","")&amp;IF(AND(AO697&lt;&gt;"",LEN(AN697)=15,MID(AN697,3,10)&lt;&gt;AO697),"PAN does not match GSTIN; ","")&amp;IF(AND(AL697&lt;&gt;"",AL697&lt;&gt;"OK"),"TAN wrong format; ","")&amp;IF(AG697="","PAN missing; ","")&amp;IF(AP697="","Entity type missing; ","")&amp;IF(AND(AN697&lt;&gt;"",COUNTIF($AN$6:$AN$1005,AN697)&gt;1),"GSTIN repeated in this sheet; ","")&amp;IF(AND(AG697&lt;&gt;"",COUNTIF($AG$6:$AG$1005,AG697)&gt;1),"PAN repeated in this sheet (same client? put extra GSTINs in Other GSTINs); ","")&amp;IF(AND(AR697&gt;0,V697=""),"Financial year missing; ","")&amp;IF(AND(AR697=0,V697&lt;&gt;""),"Financial year given but no service is Yes; ","")&amp;IF(AND(W697="Yes",AN697=""),"GST needs a GSTIN; ","")&amp;IF(AND(W697="Yes",X697=""),"GST return frequency missing; ","")&amp;IF(AND(Y697="Yes",TRIM(H697)=""),"TDS needs a TAN; ","")&amp;IF(AND(AA697="Yes",AQ697&lt;&gt;"",AQ697&lt;&gt;"company",AQ697&lt;&gt;"llp"),"ROC is only for a company / LLP; ","")&amp;IF(AND(AA697="Yes",OR(AQ697="company",AQ697="llp"),TRIM(I697)=""),"ROC needs the CIN / LLPIN; ","")</f>
        <v/>
      </c>
    </row>
    <row r="698">
      <c r="A698" s="30" t="n"/>
      <c r="B698" s="31" t="n"/>
      <c r="C698" s="31" t="n"/>
      <c r="D698" s="31" t="n"/>
      <c r="E698" s="30" t="n"/>
      <c r="F698" s="30" t="n"/>
      <c r="G698" s="30" t="n"/>
      <c r="H698" s="30" t="n"/>
      <c r="I698" s="30" t="n"/>
      <c r="J698" s="32" t="n"/>
      <c r="K698" s="31" t="n"/>
      <c r="L698" s="30" t="n"/>
      <c r="M698" s="31" t="n"/>
      <c r="N698" s="31" t="n"/>
      <c r="O698" s="31" t="n"/>
      <c r="P698" s="30" t="n"/>
      <c r="Q698" s="31" t="n"/>
      <c r="R698" s="31" t="n"/>
      <c r="S698" s="31" t="n"/>
      <c r="T698" s="31" t="n"/>
      <c r="U698" s="30" t="n"/>
      <c r="V698" s="31" t="n"/>
      <c r="W698" s="31" t="n"/>
      <c r="X698" s="31" t="n"/>
      <c r="Y698" s="31" t="n"/>
      <c r="Z698" s="31" t="n"/>
      <c r="AA698" s="31" t="n"/>
      <c r="AB698" s="31" t="n"/>
      <c r="AC698" s="31" t="n"/>
      <c r="AD698" s="31" t="n"/>
      <c r="AE698" s="31" t="n"/>
      <c r="AF698" s="27">
        <f>IF(NOT(COUNTA(A698:AE698)&gt;0),"",IF(A698="","New client","Update"))</f>
        <v/>
      </c>
      <c r="AG698" s="27">
        <f>IF(AO698&lt;&gt;"",AO698,IF(LEN(AN698)=15,MID(AN698,3,10),""))</f>
        <v/>
      </c>
      <c r="AH698" s="27">
        <f>IF(AP698="","",AP698&amp;IF(D698="","  (guessed from PAN)",""))</f>
        <v/>
      </c>
      <c r="AI698" s="27">
        <f>IF(AN698="","",IFERROR(INDEX(Lists!$L$2:$L$38,MATCH(LEFT(AN698,2),Lists!$K$2:$K$38,0)),"Unknown code"))</f>
        <v/>
      </c>
      <c r="AJ698" s="27">
        <f>IF(AN698="","",IFERROR(IF(NOT(AND(LEN(AN698)=15,ISNUMBER(MATCH(LEFT(AN698,2),Lists!$K$2:$K$38,0)),SUMPRODUCT(--ISERROR(FIND(MID(MID(AN698,3,10),{1,2,3,4,5,10},1),"ABCDEFGHIJKLMNOPQRSTUVWXYZ")))=0,SUMPRODUCT(--ISERROR(FIND(MID(MID(AN698,3,10),{6,7,8,9},1),"0123456789")))=0,ISNUMBER(FIND(MID(AN698,13,1),"123456789ABCDEFGHIJKLMNOPQRSTUVWXYZ")),MID(AN698,14,1)="Z")),"Wrong format",IF(MID("0123456789ABCDEFGHIJKLMNOPQRSTUVWXYZ",MOD(36-MOD(SUMPRODUCT(INT((FIND(MID(AN698,{1,2,3,4,5,6,7,8,9,10,11,12,13,14},1),"0123456789ABCDEFGHIJKLMNOPQRSTUVWXYZ")-1)*{1,2,1,2,1,2,1,2,1,2,1,2,1,2}/36)+MOD((FIND(MID(AN698,{1,2,3,4,5,6,7,8,9,10,11,12,13,14},1),"0123456789ABCDEFGHIJKLMNOPQRSTUVWXYZ")-1)*{1,2,1,2,1,2,1,2,1,2,1,2,1,2},36)),36),36)+1,1)=MID(AN698,15,1),"OK","Typo? check digit wrong")),"Wrong format"))</f>
        <v/>
      </c>
      <c r="AK698" s="27">
        <f>IF(AO698="","",IF(AND(LEN(AO698)=10,SUMPRODUCT(--ISERROR(FIND(MID(AO698,{1,2,3,4,5,10},1),"ABCDEFGHIJKLMNOPQRSTUVWXYZ")))=0,SUMPRODUCT(--ISERROR(FIND(MID(AO698,{6,7,8,9},1),"0123456789")))=0),"OK","Wrong format"))</f>
        <v/>
      </c>
      <c r="AL698" s="27">
        <f>IF(TRIM(H698)="","",IF(AND(LEN(UPPER(TRIM(H698)))=10,SUMPRODUCT(--ISERROR(FIND(MID(UPPER(TRIM(H698)),{1,2,3,4,10},1),"ABCDEFGHIJKLMNOPQRSTUVWXYZ")))=0,SUMPRODUCT(--ISERROR(FIND(MID(UPPER(TRIM(H698)),{5,6,7,8,9},1),"0123456789")))=0),"OK","Wrong format"))</f>
        <v/>
      </c>
      <c r="AM698" s="28">
        <f>IF(NOT(COUNTA(A698:AE698)&gt;0),"",IF(AS698&lt;&gt;"","✖ "&amp;LEFT(AS698,LEN(AS698)-2),IF(AR698&gt;0,"✔ Ready — client + "&amp;AR698&amp;" service(s)","✔ Ready — client only")))</f>
        <v/>
      </c>
      <c r="AN698" s="29">
        <f>UPPER(SUBSTITUTE(TRIM(F698)," ",""))</f>
        <v/>
      </c>
      <c r="AO698" s="29">
        <f>UPPER(SUBSTITUTE(TRIM(E698)," ",""))</f>
        <v/>
      </c>
      <c r="AP698" s="29">
        <f>IF(D698&lt;&gt;"",D698,IFERROR(VLOOKUP(MID(AG698,4,1),Lists!$E$2:$F$8,2,FALSE),""))</f>
        <v/>
      </c>
      <c r="AQ698" s="29">
        <f>IFERROR(VLOOKUP(AP698,Lists!$A$2:$C$12,3,FALSE),"")</f>
        <v/>
      </c>
      <c r="AR698" s="29">
        <f>COUNTIF(W698:AC698,"Yes")</f>
        <v/>
      </c>
      <c r="AS698" s="29">
        <f>IF(TRIM(B698)="","Legal name missing; ","")&amp;IF(AND(AJ698&lt;&gt;"",AJ698&lt;&gt;"OK"),"GSTIN: "&amp;AJ698&amp;"; ","")&amp;IF(AND(AK698&lt;&gt;"",AK698&lt;&gt;"OK"),"PAN wrong format; ","")&amp;IF(AND(AO698&lt;&gt;"",LEN(AN698)=15,MID(AN698,3,10)&lt;&gt;AO698),"PAN does not match GSTIN; ","")&amp;IF(AND(AL698&lt;&gt;"",AL698&lt;&gt;"OK"),"TAN wrong format; ","")&amp;IF(AG698="","PAN missing; ","")&amp;IF(AP698="","Entity type missing; ","")&amp;IF(AND(AN698&lt;&gt;"",COUNTIF($AN$6:$AN$1005,AN698)&gt;1),"GSTIN repeated in this sheet; ","")&amp;IF(AND(AG698&lt;&gt;"",COUNTIF($AG$6:$AG$1005,AG698)&gt;1),"PAN repeated in this sheet (same client? put extra GSTINs in Other GSTINs); ","")&amp;IF(AND(AR698&gt;0,V698=""),"Financial year missing; ","")&amp;IF(AND(AR698=0,V698&lt;&gt;""),"Financial year given but no service is Yes; ","")&amp;IF(AND(W698="Yes",AN698=""),"GST needs a GSTIN; ","")&amp;IF(AND(W698="Yes",X698=""),"GST return frequency missing; ","")&amp;IF(AND(Y698="Yes",TRIM(H698)=""),"TDS needs a TAN; ","")&amp;IF(AND(AA698="Yes",AQ698&lt;&gt;"",AQ698&lt;&gt;"company",AQ698&lt;&gt;"llp"),"ROC is only for a company / LLP; ","")&amp;IF(AND(AA698="Yes",OR(AQ698="company",AQ698="llp"),TRIM(I698)=""),"ROC needs the CIN / LLPIN; ","")</f>
        <v/>
      </c>
    </row>
    <row r="699">
      <c r="A699" s="30" t="n"/>
      <c r="B699" s="31" t="n"/>
      <c r="C699" s="31" t="n"/>
      <c r="D699" s="31" t="n"/>
      <c r="E699" s="30" t="n"/>
      <c r="F699" s="30" t="n"/>
      <c r="G699" s="30" t="n"/>
      <c r="H699" s="30" t="n"/>
      <c r="I699" s="30" t="n"/>
      <c r="J699" s="32" t="n"/>
      <c r="K699" s="31" t="n"/>
      <c r="L699" s="30" t="n"/>
      <c r="M699" s="31" t="n"/>
      <c r="N699" s="31" t="n"/>
      <c r="O699" s="31" t="n"/>
      <c r="P699" s="30" t="n"/>
      <c r="Q699" s="31" t="n"/>
      <c r="R699" s="31" t="n"/>
      <c r="S699" s="31" t="n"/>
      <c r="T699" s="31" t="n"/>
      <c r="U699" s="30" t="n"/>
      <c r="V699" s="31" t="n"/>
      <c r="W699" s="31" t="n"/>
      <c r="X699" s="31" t="n"/>
      <c r="Y699" s="31" t="n"/>
      <c r="Z699" s="31" t="n"/>
      <c r="AA699" s="31" t="n"/>
      <c r="AB699" s="31" t="n"/>
      <c r="AC699" s="31" t="n"/>
      <c r="AD699" s="31" t="n"/>
      <c r="AE699" s="31" t="n"/>
      <c r="AF699" s="27">
        <f>IF(NOT(COUNTA(A699:AE699)&gt;0),"",IF(A699="","New client","Update"))</f>
        <v/>
      </c>
      <c r="AG699" s="27">
        <f>IF(AO699&lt;&gt;"",AO699,IF(LEN(AN699)=15,MID(AN699,3,10),""))</f>
        <v/>
      </c>
      <c r="AH699" s="27">
        <f>IF(AP699="","",AP699&amp;IF(D699="","  (guessed from PAN)",""))</f>
        <v/>
      </c>
      <c r="AI699" s="27">
        <f>IF(AN699="","",IFERROR(INDEX(Lists!$L$2:$L$38,MATCH(LEFT(AN699,2),Lists!$K$2:$K$38,0)),"Unknown code"))</f>
        <v/>
      </c>
      <c r="AJ699" s="27">
        <f>IF(AN699="","",IFERROR(IF(NOT(AND(LEN(AN699)=15,ISNUMBER(MATCH(LEFT(AN699,2),Lists!$K$2:$K$38,0)),SUMPRODUCT(--ISERROR(FIND(MID(MID(AN699,3,10),{1,2,3,4,5,10},1),"ABCDEFGHIJKLMNOPQRSTUVWXYZ")))=0,SUMPRODUCT(--ISERROR(FIND(MID(MID(AN699,3,10),{6,7,8,9},1),"0123456789")))=0,ISNUMBER(FIND(MID(AN699,13,1),"123456789ABCDEFGHIJKLMNOPQRSTUVWXYZ")),MID(AN699,14,1)="Z")),"Wrong format",IF(MID("0123456789ABCDEFGHIJKLMNOPQRSTUVWXYZ",MOD(36-MOD(SUMPRODUCT(INT((FIND(MID(AN699,{1,2,3,4,5,6,7,8,9,10,11,12,13,14},1),"0123456789ABCDEFGHIJKLMNOPQRSTUVWXYZ")-1)*{1,2,1,2,1,2,1,2,1,2,1,2,1,2}/36)+MOD((FIND(MID(AN699,{1,2,3,4,5,6,7,8,9,10,11,12,13,14},1),"0123456789ABCDEFGHIJKLMNOPQRSTUVWXYZ")-1)*{1,2,1,2,1,2,1,2,1,2,1,2,1,2},36)),36),36)+1,1)=MID(AN699,15,1),"OK","Typo? check digit wrong")),"Wrong format"))</f>
        <v/>
      </c>
      <c r="AK699" s="27">
        <f>IF(AO699="","",IF(AND(LEN(AO699)=10,SUMPRODUCT(--ISERROR(FIND(MID(AO699,{1,2,3,4,5,10},1),"ABCDEFGHIJKLMNOPQRSTUVWXYZ")))=0,SUMPRODUCT(--ISERROR(FIND(MID(AO699,{6,7,8,9},1),"0123456789")))=0),"OK","Wrong format"))</f>
        <v/>
      </c>
      <c r="AL699" s="27">
        <f>IF(TRIM(H699)="","",IF(AND(LEN(UPPER(TRIM(H699)))=10,SUMPRODUCT(--ISERROR(FIND(MID(UPPER(TRIM(H699)),{1,2,3,4,10},1),"ABCDEFGHIJKLMNOPQRSTUVWXYZ")))=0,SUMPRODUCT(--ISERROR(FIND(MID(UPPER(TRIM(H699)),{5,6,7,8,9},1),"0123456789")))=0),"OK","Wrong format"))</f>
        <v/>
      </c>
      <c r="AM699" s="28">
        <f>IF(NOT(COUNTA(A699:AE699)&gt;0),"",IF(AS699&lt;&gt;"","✖ "&amp;LEFT(AS699,LEN(AS699)-2),IF(AR699&gt;0,"✔ Ready — client + "&amp;AR699&amp;" service(s)","✔ Ready — client only")))</f>
        <v/>
      </c>
      <c r="AN699" s="29">
        <f>UPPER(SUBSTITUTE(TRIM(F699)," ",""))</f>
        <v/>
      </c>
      <c r="AO699" s="29">
        <f>UPPER(SUBSTITUTE(TRIM(E699)," ",""))</f>
        <v/>
      </c>
      <c r="AP699" s="29">
        <f>IF(D699&lt;&gt;"",D699,IFERROR(VLOOKUP(MID(AG699,4,1),Lists!$E$2:$F$8,2,FALSE),""))</f>
        <v/>
      </c>
      <c r="AQ699" s="29">
        <f>IFERROR(VLOOKUP(AP699,Lists!$A$2:$C$12,3,FALSE),"")</f>
        <v/>
      </c>
      <c r="AR699" s="29">
        <f>COUNTIF(W699:AC699,"Yes")</f>
        <v/>
      </c>
      <c r="AS699" s="29">
        <f>IF(TRIM(B699)="","Legal name missing; ","")&amp;IF(AND(AJ699&lt;&gt;"",AJ699&lt;&gt;"OK"),"GSTIN: "&amp;AJ699&amp;"; ","")&amp;IF(AND(AK699&lt;&gt;"",AK699&lt;&gt;"OK"),"PAN wrong format; ","")&amp;IF(AND(AO699&lt;&gt;"",LEN(AN699)=15,MID(AN699,3,10)&lt;&gt;AO699),"PAN does not match GSTIN; ","")&amp;IF(AND(AL699&lt;&gt;"",AL699&lt;&gt;"OK"),"TAN wrong format; ","")&amp;IF(AG699="","PAN missing; ","")&amp;IF(AP699="","Entity type missing; ","")&amp;IF(AND(AN699&lt;&gt;"",COUNTIF($AN$6:$AN$1005,AN699)&gt;1),"GSTIN repeated in this sheet; ","")&amp;IF(AND(AG699&lt;&gt;"",COUNTIF($AG$6:$AG$1005,AG699)&gt;1),"PAN repeated in this sheet (same client? put extra GSTINs in Other GSTINs); ","")&amp;IF(AND(AR699&gt;0,V699=""),"Financial year missing; ","")&amp;IF(AND(AR699=0,V699&lt;&gt;""),"Financial year given but no service is Yes; ","")&amp;IF(AND(W699="Yes",AN699=""),"GST needs a GSTIN; ","")&amp;IF(AND(W699="Yes",X699=""),"GST return frequency missing; ","")&amp;IF(AND(Y699="Yes",TRIM(H699)=""),"TDS needs a TAN; ","")&amp;IF(AND(AA699="Yes",AQ699&lt;&gt;"",AQ699&lt;&gt;"company",AQ699&lt;&gt;"llp"),"ROC is only for a company / LLP; ","")&amp;IF(AND(AA699="Yes",OR(AQ699="company",AQ699="llp"),TRIM(I699)=""),"ROC needs the CIN / LLPIN; ","")</f>
        <v/>
      </c>
    </row>
    <row r="700">
      <c r="A700" s="30" t="n"/>
      <c r="B700" s="31" t="n"/>
      <c r="C700" s="31" t="n"/>
      <c r="D700" s="31" t="n"/>
      <c r="E700" s="30" t="n"/>
      <c r="F700" s="30" t="n"/>
      <c r="G700" s="30" t="n"/>
      <c r="H700" s="30" t="n"/>
      <c r="I700" s="30" t="n"/>
      <c r="J700" s="32" t="n"/>
      <c r="K700" s="31" t="n"/>
      <c r="L700" s="30" t="n"/>
      <c r="M700" s="31" t="n"/>
      <c r="N700" s="31" t="n"/>
      <c r="O700" s="31" t="n"/>
      <c r="P700" s="30" t="n"/>
      <c r="Q700" s="31" t="n"/>
      <c r="R700" s="31" t="n"/>
      <c r="S700" s="31" t="n"/>
      <c r="T700" s="31" t="n"/>
      <c r="U700" s="30" t="n"/>
      <c r="V700" s="31" t="n"/>
      <c r="W700" s="31" t="n"/>
      <c r="X700" s="31" t="n"/>
      <c r="Y700" s="31" t="n"/>
      <c r="Z700" s="31" t="n"/>
      <c r="AA700" s="31" t="n"/>
      <c r="AB700" s="31" t="n"/>
      <c r="AC700" s="31" t="n"/>
      <c r="AD700" s="31" t="n"/>
      <c r="AE700" s="31" t="n"/>
      <c r="AF700" s="27">
        <f>IF(NOT(COUNTA(A700:AE700)&gt;0),"",IF(A700="","New client","Update"))</f>
        <v/>
      </c>
      <c r="AG700" s="27">
        <f>IF(AO700&lt;&gt;"",AO700,IF(LEN(AN700)=15,MID(AN700,3,10),""))</f>
        <v/>
      </c>
      <c r="AH700" s="27">
        <f>IF(AP700="","",AP700&amp;IF(D700="","  (guessed from PAN)",""))</f>
        <v/>
      </c>
      <c r="AI700" s="27">
        <f>IF(AN700="","",IFERROR(INDEX(Lists!$L$2:$L$38,MATCH(LEFT(AN700,2),Lists!$K$2:$K$38,0)),"Unknown code"))</f>
        <v/>
      </c>
      <c r="AJ700" s="27">
        <f>IF(AN700="","",IFERROR(IF(NOT(AND(LEN(AN700)=15,ISNUMBER(MATCH(LEFT(AN700,2),Lists!$K$2:$K$38,0)),SUMPRODUCT(--ISERROR(FIND(MID(MID(AN700,3,10),{1,2,3,4,5,10},1),"ABCDEFGHIJKLMNOPQRSTUVWXYZ")))=0,SUMPRODUCT(--ISERROR(FIND(MID(MID(AN700,3,10),{6,7,8,9},1),"0123456789")))=0,ISNUMBER(FIND(MID(AN700,13,1),"123456789ABCDEFGHIJKLMNOPQRSTUVWXYZ")),MID(AN700,14,1)="Z")),"Wrong format",IF(MID("0123456789ABCDEFGHIJKLMNOPQRSTUVWXYZ",MOD(36-MOD(SUMPRODUCT(INT((FIND(MID(AN700,{1,2,3,4,5,6,7,8,9,10,11,12,13,14},1),"0123456789ABCDEFGHIJKLMNOPQRSTUVWXYZ")-1)*{1,2,1,2,1,2,1,2,1,2,1,2,1,2}/36)+MOD((FIND(MID(AN700,{1,2,3,4,5,6,7,8,9,10,11,12,13,14},1),"0123456789ABCDEFGHIJKLMNOPQRSTUVWXYZ")-1)*{1,2,1,2,1,2,1,2,1,2,1,2,1,2},36)),36),36)+1,1)=MID(AN700,15,1),"OK","Typo? check digit wrong")),"Wrong format"))</f>
        <v/>
      </c>
      <c r="AK700" s="27">
        <f>IF(AO700="","",IF(AND(LEN(AO700)=10,SUMPRODUCT(--ISERROR(FIND(MID(AO700,{1,2,3,4,5,10},1),"ABCDEFGHIJKLMNOPQRSTUVWXYZ")))=0,SUMPRODUCT(--ISERROR(FIND(MID(AO700,{6,7,8,9},1),"0123456789")))=0),"OK","Wrong format"))</f>
        <v/>
      </c>
      <c r="AL700" s="27">
        <f>IF(TRIM(H700)="","",IF(AND(LEN(UPPER(TRIM(H700)))=10,SUMPRODUCT(--ISERROR(FIND(MID(UPPER(TRIM(H700)),{1,2,3,4,10},1),"ABCDEFGHIJKLMNOPQRSTUVWXYZ")))=0,SUMPRODUCT(--ISERROR(FIND(MID(UPPER(TRIM(H700)),{5,6,7,8,9},1),"0123456789")))=0),"OK","Wrong format"))</f>
        <v/>
      </c>
      <c r="AM700" s="28">
        <f>IF(NOT(COUNTA(A700:AE700)&gt;0),"",IF(AS700&lt;&gt;"","✖ "&amp;LEFT(AS700,LEN(AS700)-2),IF(AR700&gt;0,"✔ Ready — client + "&amp;AR700&amp;" service(s)","✔ Ready — client only")))</f>
        <v/>
      </c>
      <c r="AN700" s="29">
        <f>UPPER(SUBSTITUTE(TRIM(F700)," ",""))</f>
        <v/>
      </c>
      <c r="AO700" s="29">
        <f>UPPER(SUBSTITUTE(TRIM(E700)," ",""))</f>
        <v/>
      </c>
      <c r="AP700" s="29">
        <f>IF(D700&lt;&gt;"",D700,IFERROR(VLOOKUP(MID(AG700,4,1),Lists!$E$2:$F$8,2,FALSE),""))</f>
        <v/>
      </c>
      <c r="AQ700" s="29">
        <f>IFERROR(VLOOKUP(AP700,Lists!$A$2:$C$12,3,FALSE),"")</f>
        <v/>
      </c>
      <c r="AR700" s="29">
        <f>COUNTIF(W700:AC700,"Yes")</f>
        <v/>
      </c>
      <c r="AS700" s="29">
        <f>IF(TRIM(B700)="","Legal name missing; ","")&amp;IF(AND(AJ700&lt;&gt;"",AJ700&lt;&gt;"OK"),"GSTIN: "&amp;AJ700&amp;"; ","")&amp;IF(AND(AK700&lt;&gt;"",AK700&lt;&gt;"OK"),"PAN wrong format; ","")&amp;IF(AND(AO700&lt;&gt;"",LEN(AN700)=15,MID(AN700,3,10)&lt;&gt;AO700),"PAN does not match GSTIN; ","")&amp;IF(AND(AL700&lt;&gt;"",AL700&lt;&gt;"OK"),"TAN wrong format; ","")&amp;IF(AG700="","PAN missing; ","")&amp;IF(AP700="","Entity type missing; ","")&amp;IF(AND(AN700&lt;&gt;"",COUNTIF($AN$6:$AN$1005,AN700)&gt;1),"GSTIN repeated in this sheet; ","")&amp;IF(AND(AG700&lt;&gt;"",COUNTIF($AG$6:$AG$1005,AG700)&gt;1),"PAN repeated in this sheet (same client? put extra GSTINs in Other GSTINs); ","")&amp;IF(AND(AR700&gt;0,V700=""),"Financial year missing; ","")&amp;IF(AND(AR700=0,V700&lt;&gt;""),"Financial year given but no service is Yes; ","")&amp;IF(AND(W700="Yes",AN700=""),"GST needs a GSTIN; ","")&amp;IF(AND(W700="Yes",X700=""),"GST return frequency missing; ","")&amp;IF(AND(Y700="Yes",TRIM(H700)=""),"TDS needs a TAN; ","")&amp;IF(AND(AA700="Yes",AQ700&lt;&gt;"",AQ700&lt;&gt;"company",AQ700&lt;&gt;"llp"),"ROC is only for a company / LLP; ","")&amp;IF(AND(AA700="Yes",OR(AQ700="company",AQ700="llp"),TRIM(I700)=""),"ROC needs the CIN / LLPIN; ","")</f>
        <v/>
      </c>
    </row>
    <row r="701">
      <c r="A701" s="30" t="n"/>
      <c r="B701" s="31" t="n"/>
      <c r="C701" s="31" t="n"/>
      <c r="D701" s="31" t="n"/>
      <c r="E701" s="30" t="n"/>
      <c r="F701" s="30" t="n"/>
      <c r="G701" s="30" t="n"/>
      <c r="H701" s="30" t="n"/>
      <c r="I701" s="30" t="n"/>
      <c r="J701" s="32" t="n"/>
      <c r="K701" s="31" t="n"/>
      <c r="L701" s="30" t="n"/>
      <c r="M701" s="31" t="n"/>
      <c r="N701" s="31" t="n"/>
      <c r="O701" s="31" t="n"/>
      <c r="P701" s="30" t="n"/>
      <c r="Q701" s="31" t="n"/>
      <c r="R701" s="31" t="n"/>
      <c r="S701" s="31" t="n"/>
      <c r="T701" s="31" t="n"/>
      <c r="U701" s="30" t="n"/>
      <c r="V701" s="31" t="n"/>
      <c r="W701" s="31" t="n"/>
      <c r="X701" s="31" t="n"/>
      <c r="Y701" s="31" t="n"/>
      <c r="Z701" s="31" t="n"/>
      <c r="AA701" s="31" t="n"/>
      <c r="AB701" s="31" t="n"/>
      <c r="AC701" s="31" t="n"/>
      <c r="AD701" s="31" t="n"/>
      <c r="AE701" s="31" t="n"/>
      <c r="AF701" s="27">
        <f>IF(NOT(COUNTA(A701:AE701)&gt;0),"",IF(A701="","New client","Update"))</f>
        <v/>
      </c>
      <c r="AG701" s="27">
        <f>IF(AO701&lt;&gt;"",AO701,IF(LEN(AN701)=15,MID(AN701,3,10),""))</f>
        <v/>
      </c>
      <c r="AH701" s="27">
        <f>IF(AP701="","",AP701&amp;IF(D701="","  (guessed from PAN)",""))</f>
        <v/>
      </c>
      <c r="AI701" s="27">
        <f>IF(AN701="","",IFERROR(INDEX(Lists!$L$2:$L$38,MATCH(LEFT(AN701,2),Lists!$K$2:$K$38,0)),"Unknown code"))</f>
        <v/>
      </c>
      <c r="AJ701" s="27">
        <f>IF(AN701="","",IFERROR(IF(NOT(AND(LEN(AN701)=15,ISNUMBER(MATCH(LEFT(AN701,2),Lists!$K$2:$K$38,0)),SUMPRODUCT(--ISERROR(FIND(MID(MID(AN701,3,10),{1,2,3,4,5,10},1),"ABCDEFGHIJKLMNOPQRSTUVWXYZ")))=0,SUMPRODUCT(--ISERROR(FIND(MID(MID(AN701,3,10),{6,7,8,9},1),"0123456789")))=0,ISNUMBER(FIND(MID(AN701,13,1),"123456789ABCDEFGHIJKLMNOPQRSTUVWXYZ")),MID(AN701,14,1)="Z")),"Wrong format",IF(MID("0123456789ABCDEFGHIJKLMNOPQRSTUVWXYZ",MOD(36-MOD(SUMPRODUCT(INT((FIND(MID(AN701,{1,2,3,4,5,6,7,8,9,10,11,12,13,14},1),"0123456789ABCDEFGHIJKLMNOPQRSTUVWXYZ")-1)*{1,2,1,2,1,2,1,2,1,2,1,2,1,2}/36)+MOD((FIND(MID(AN701,{1,2,3,4,5,6,7,8,9,10,11,12,13,14},1),"0123456789ABCDEFGHIJKLMNOPQRSTUVWXYZ")-1)*{1,2,1,2,1,2,1,2,1,2,1,2,1,2},36)),36),36)+1,1)=MID(AN701,15,1),"OK","Typo? check digit wrong")),"Wrong format"))</f>
        <v/>
      </c>
      <c r="AK701" s="27">
        <f>IF(AO701="","",IF(AND(LEN(AO701)=10,SUMPRODUCT(--ISERROR(FIND(MID(AO701,{1,2,3,4,5,10},1),"ABCDEFGHIJKLMNOPQRSTUVWXYZ")))=0,SUMPRODUCT(--ISERROR(FIND(MID(AO701,{6,7,8,9},1),"0123456789")))=0),"OK","Wrong format"))</f>
        <v/>
      </c>
      <c r="AL701" s="27">
        <f>IF(TRIM(H701)="","",IF(AND(LEN(UPPER(TRIM(H701)))=10,SUMPRODUCT(--ISERROR(FIND(MID(UPPER(TRIM(H701)),{1,2,3,4,10},1),"ABCDEFGHIJKLMNOPQRSTUVWXYZ")))=0,SUMPRODUCT(--ISERROR(FIND(MID(UPPER(TRIM(H701)),{5,6,7,8,9},1),"0123456789")))=0),"OK","Wrong format"))</f>
        <v/>
      </c>
      <c r="AM701" s="28">
        <f>IF(NOT(COUNTA(A701:AE701)&gt;0),"",IF(AS701&lt;&gt;"","✖ "&amp;LEFT(AS701,LEN(AS701)-2),IF(AR701&gt;0,"✔ Ready — client + "&amp;AR701&amp;" service(s)","✔ Ready — client only")))</f>
        <v/>
      </c>
      <c r="AN701" s="29">
        <f>UPPER(SUBSTITUTE(TRIM(F701)," ",""))</f>
        <v/>
      </c>
      <c r="AO701" s="29">
        <f>UPPER(SUBSTITUTE(TRIM(E701)," ",""))</f>
        <v/>
      </c>
      <c r="AP701" s="29">
        <f>IF(D701&lt;&gt;"",D701,IFERROR(VLOOKUP(MID(AG701,4,1),Lists!$E$2:$F$8,2,FALSE),""))</f>
        <v/>
      </c>
      <c r="AQ701" s="29">
        <f>IFERROR(VLOOKUP(AP701,Lists!$A$2:$C$12,3,FALSE),"")</f>
        <v/>
      </c>
      <c r="AR701" s="29">
        <f>COUNTIF(W701:AC701,"Yes")</f>
        <v/>
      </c>
      <c r="AS701" s="29">
        <f>IF(TRIM(B701)="","Legal name missing; ","")&amp;IF(AND(AJ701&lt;&gt;"",AJ701&lt;&gt;"OK"),"GSTIN: "&amp;AJ701&amp;"; ","")&amp;IF(AND(AK701&lt;&gt;"",AK701&lt;&gt;"OK"),"PAN wrong format; ","")&amp;IF(AND(AO701&lt;&gt;"",LEN(AN701)=15,MID(AN701,3,10)&lt;&gt;AO701),"PAN does not match GSTIN; ","")&amp;IF(AND(AL701&lt;&gt;"",AL701&lt;&gt;"OK"),"TAN wrong format; ","")&amp;IF(AG701="","PAN missing; ","")&amp;IF(AP701="","Entity type missing; ","")&amp;IF(AND(AN701&lt;&gt;"",COUNTIF($AN$6:$AN$1005,AN701)&gt;1),"GSTIN repeated in this sheet; ","")&amp;IF(AND(AG701&lt;&gt;"",COUNTIF($AG$6:$AG$1005,AG701)&gt;1),"PAN repeated in this sheet (same client? put extra GSTINs in Other GSTINs); ","")&amp;IF(AND(AR701&gt;0,V701=""),"Financial year missing; ","")&amp;IF(AND(AR701=0,V701&lt;&gt;""),"Financial year given but no service is Yes; ","")&amp;IF(AND(W701="Yes",AN701=""),"GST needs a GSTIN; ","")&amp;IF(AND(W701="Yes",X701=""),"GST return frequency missing; ","")&amp;IF(AND(Y701="Yes",TRIM(H701)=""),"TDS needs a TAN; ","")&amp;IF(AND(AA701="Yes",AQ701&lt;&gt;"",AQ701&lt;&gt;"company",AQ701&lt;&gt;"llp"),"ROC is only for a company / LLP; ","")&amp;IF(AND(AA701="Yes",OR(AQ701="company",AQ701="llp"),TRIM(I701)=""),"ROC needs the CIN / LLPIN; ","")</f>
        <v/>
      </c>
    </row>
    <row r="702">
      <c r="A702" s="30" t="n"/>
      <c r="B702" s="31" t="n"/>
      <c r="C702" s="31" t="n"/>
      <c r="D702" s="31" t="n"/>
      <c r="E702" s="30" t="n"/>
      <c r="F702" s="30" t="n"/>
      <c r="G702" s="30" t="n"/>
      <c r="H702" s="30" t="n"/>
      <c r="I702" s="30" t="n"/>
      <c r="J702" s="32" t="n"/>
      <c r="K702" s="31" t="n"/>
      <c r="L702" s="30" t="n"/>
      <c r="M702" s="31" t="n"/>
      <c r="N702" s="31" t="n"/>
      <c r="O702" s="31" t="n"/>
      <c r="P702" s="30" t="n"/>
      <c r="Q702" s="31" t="n"/>
      <c r="R702" s="31" t="n"/>
      <c r="S702" s="31" t="n"/>
      <c r="T702" s="31" t="n"/>
      <c r="U702" s="30" t="n"/>
      <c r="V702" s="31" t="n"/>
      <c r="W702" s="31" t="n"/>
      <c r="X702" s="31" t="n"/>
      <c r="Y702" s="31" t="n"/>
      <c r="Z702" s="31" t="n"/>
      <c r="AA702" s="31" t="n"/>
      <c r="AB702" s="31" t="n"/>
      <c r="AC702" s="31" t="n"/>
      <c r="AD702" s="31" t="n"/>
      <c r="AE702" s="31" t="n"/>
      <c r="AF702" s="27">
        <f>IF(NOT(COUNTA(A702:AE702)&gt;0),"",IF(A702="","New client","Update"))</f>
        <v/>
      </c>
      <c r="AG702" s="27">
        <f>IF(AO702&lt;&gt;"",AO702,IF(LEN(AN702)=15,MID(AN702,3,10),""))</f>
        <v/>
      </c>
      <c r="AH702" s="27">
        <f>IF(AP702="","",AP702&amp;IF(D702="","  (guessed from PAN)",""))</f>
        <v/>
      </c>
      <c r="AI702" s="27">
        <f>IF(AN702="","",IFERROR(INDEX(Lists!$L$2:$L$38,MATCH(LEFT(AN702,2),Lists!$K$2:$K$38,0)),"Unknown code"))</f>
        <v/>
      </c>
      <c r="AJ702" s="27">
        <f>IF(AN702="","",IFERROR(IF(NOT(AND(LEN(AN702)=15,ISNUMBER(MATCH(LEFT(AN702,2),Lists!$K$2:$K$38,0)),SUMPRODUCT(--ISERROR(FIND(MID(MID(AN702,3,10),{1,2,3,4,5,10},1),"ABCDEFGHIJKLMNOPQRSTUVWXYZ")))=0,SUMPRODUCT(--ISERROR(FIND(MID(MID(AN702,3,10),{6,7,8,9},1),"0123456789")))=0,ISNUMBER(FIND(MID(AN702,13,1),"123456789ABCDEFGHIJKLMNOPQRSTUVWXYZ")),MID(AN702,14,1)="Z")),"Wrong format",IF(MID("0123456789ABCDEFGHIJKLMNOPQRSTUVWXYZ",MOD(36-MOD(SUMPRODUCT(INT((FIND(MID(AN702,{1,2,3,4,5,6,7,8,9,10,11,12,13,14},1),"0123456789ABCDEFGHIJKLMNOPQRSTUVWXYZ")-1)*{1,2,1,2,1,2,1,2,1,2,1,2,1,2}/36)+MOD((FIND(MID(AN702,{1,2,3,4,5,6,7,8,9,10,11,12,13,14},1),"0123456789ABCDEFGHIJKLMNOPQRSTUVWXYZ")-1)*{1,2,1,2,1,2,1,2,1,2,1,2,1,2},36)),36),36)+1,1)=MID(AN702,15,1),"OK","Typo? check digit wrong")),"Wrong format"))</f>
        <v/>
      </c>
      <c r="AK702" s="27">
        <f>IF(AO702="","",IF(AND(LEN(AO702)=10,SUMPRODUCT(--ISERROR(FIND(MID(AO702,{1,2,3,4,5,10},1),"ABCDEFGHIJKLMNOPQRSTUVWXYZ")))=0,SUMPRODUCT(--ISERROR(FIND(MID(AO702,{6,7,8,9},1),"0123456789")))=0),"OK","Wrong format"))</f>
        <v/>
      </c>
      <c r="AL702" s="27">
        <f>IF(TRIM(H702)="","",IF(AND(LEN(UPPER(TRIM(H702)))=10,SUMPRODUCT(--ISERROR(FIND(MID(UPPER(TRIM(H702)),{1,2,3,4,10},1),"ABCDEFGHIJKLMNOPQRSTUVWXYZ")))=0,SUMPRODUCT(--ISERROR(FIND(MID(UPPER(TRIM(H702)),{5,6,7,8,9},1),"0123456789")))=0),"OK","Wrong format"))</f>
        <v/>
      </c>
      <c r="AM702" s="28">
        <f>IF(NOT(COUNTA(A702:AE702)&gt;0),"",IF(AS702&lt;&gt;"","✖ "&amp;LEFT(AS702,LEN(AS702)-2),IF(AR702&gt;0,"✔ Ready — client + "&amp;AR702&amp;" service(s)","✔ Ready — client only")))</f>
        <v/>
      </c>
      <c r="AN702" s="29">
        <f>UPPER(SUBSTITUTE(TRIM(F702)," ",""))</f>
        <v/>
      </c>
      <c r="AO702" s="29">
        <f>UPPER(SUBSTITUTE(TRIM(E702)," ",""))</f>
        <v/>
      </c>
      <c r="AP702" s="29">
        <f>IF(D702&lt;&gt;"",D702,IFERROR(VLOOKUP(MID(AG702,4,1),Lists!$E$2:$F$8,2,FALSE),""))</f>
        <v/>
      </c>
      <c r="AQ702" s="29">
        <f>IFERROR(VLOOKUP(AP702,Lists!$A$2:$C$12,3,FALSE),"")</f>
        <v/>
      </c>
      <c r="AR702" s="29">
        <f>COUNTIF(W702:AC702,"Yes")</f>
        <v/>
      </c>
      <c r="AS702" s="29">
        <f>IF(TRIM(B702)="","Legal name missing; ","")&amp;IF(AND(AJ702&lt;&gt;"",AJ702&lt;&gt;"OK"),"GSTIN: "&amp;AJ702&amp;"; ","")&amp;IF(AND(AK702&lt;&gt;"",AK702&lt;&gt;"OK"),"PAN wrong format; ","")&amp;IF(AND(AO702&lt;&gt;"",LEN(AN702)=15,MID(AN702,3,10)&lt;&gt;AO702),"PAN does not match GSTIN; ","")&amp;IF(AND(AL702&lt;&gt;"",AL702&lt;&gt;"OK"),"TAN wrong format; ","")&amp;IF(AG702="","PAN missing; ","")&amp;IF(AP702="","Entity type missing; ","")&amp;IF(AND(AN702&lt;&gt;"",COUNTIF($AN$6:$AN$1005,AN702)&gt;1),"GSTIN repeated in this sheet; ","")&amp;IF(AND(AG702&lt;&gt;"",COUNTIF($AG$6:$AG$1005,AG702)&gt;1),"PAN repeated in this sheet (same client? put extra GSTINs in Other GSTINs); ","")&amp;IF(AND(AR702&gt;0,V702=""),"Financial year missing; ","")&amp;IF(AND(AR702=0,V702&lt;&gt;""),"Financial year given but no service is Yes; ","")&amp;IF(AND(W702="Yes",AN702=""),"GST needs a GSTIN; ","")&amp;IF(AND(W702="Yes",X702=""),"GST return frequency missing; ","")&amp;IF(AND(Y702="Yes",TRIM(H702)=""),"TDS needs a TAN; ","")&amp;IF(AND(AA702="Yes",AQ702&lt;&gt;"",AQ702&lt;&gt;"company",AQ702&lt;&gt;"llp"),"ROC is only for a company / LLP; ","")&amp;IF(AND(AA702="Yes",OR(AQ702="company",AQ702="llp"),TRIM(I702)=""),"ROC needs the CIN / LLPIN; ","")</f>
        <v/>
      </c>
    </row>
    <row r="703">
      <c r="A703" s="30" t="n"/>
      <c r="B703" s="31" t="n"/>
      <c r="C703" s="31" t="n"/>
      <c r="D703" s="31" t="n"/>
      <c r="E703" s="30" t="n"/>
      <c r="F703" s="30" t="n"/>
      <c r="G703" s="30" t="n"/>
      <c r="H703" s="30" t="n"/>
      <c r="I703" s="30" t="n"/>
      <c r="J703" s="32" t="n"/>
      <c r="K703" s="31" t="n"/>
      <c r="L703" s="30" t="n"/>
      <c r="M703" s="31" t="n"/>
      <c r="N703" s="31" t="n"/>
      <c r="O703" s="31" t="n"/>
      <c r="P703" s="30" t="n"/>
      <c r="Q703" s="31" t="n"/>
      <c r="R703" s="31" t="n"/>
      <c r="S703" s="31" t="n"/>
      <c r="T703" s="31" t="n"/>
      <c r="U703" s="30" t="n"/>
      <c r="V703" s="31" t="n"/>
      <c r="W703" s="31" t="n"/>
      <c r="X703" s="31" t="n"/>
      <c r="Y703" s="31" t="n"/>
      <c r="Z703" s="31" t="n"/>
      <c r="AA703" s="31" t="n"/>
      <c r="AB703" s="31" t="n"/>
      <c r="AC703" s="31" t="n"/>
      <c r="AD703" s="31" t="n"/>
      <c r="AE703" s="31" t="n"/>
      <c r="AF703" s="27">
        <f>IF(NOT(COUNTA(A703:AE703)&gt;0),"",IF(A703="","New client","Update"))</f>
        <v/>
      </c>
      <c r="AG703" s="27">
        <f>IF(AO703&lt;&gt;"",AO703,IF(LEN(AN703)=15,MID(AN703,3,10),""))</f>
        <v/>
      </c>
      <c r="AH703" s="27">
        <f>IF(AP703="","",AP703&amp;IF(D703="","  (guessed from PAN)",""))</f>
        <v/>
      </c>
      <c r="AI703" s="27">
        <f>IF(AN703="","",IFERROR(INDEX(Lists!$L$2:$L$38,MATCH(LEFT(AN703,2),Lists!$K$2:$K$38,0)),"Unknown code"))</f>
        <v/>
      </c>
      <c r="AJ703" s="27">
        <f>IF(AN703="","",IFERROR(IF(NOT(AND(LEN(AN703)=15,ISNUMBER(MATCH(LEFT(AN703,2),Lists!$K$2:$K$38,0)),SUMPRODUCT(--ISERROR(FIND(MID(MID(AN703,3,10),{1,2,3,4,5,10},1),"ABCDEFGHIJKLMNOPQRSTUVWXYZ")))=0,SUMPRODUCT(--ISERROR(FIND(MID(MID(AN703,3,10),{6,7,8,9},1),"0123456789")))=0,ISNUMBER(FIND(MID(AN703,13,1),"123456789ABCDEFGHIJKLMNOPQRSTUVWXYZ")),MID(AN703,14,1)="Z")),"Wrong format",IF(MID("0123456789ABCDEFGHIJKLMNOPQRSTUVWXYZ",MOD(36-MOD(SUMPRODUCT(INT((FIND(MID(AN703,{1,2,3,4,5,6,7,8,9,10,11,12,13,14},1),"0123456789ABCDEFGHIJKLMNOPQRSTUVWXYZ")-1)*{1,2,1,2,1,2,1,2,1,2,1,2,1,2}/36)+MOD((FIND(MID(AN703,{1,2,3,4,5,6,7,8,9,10,11,12,13,14},1),"0123456789ABCDEFGHIJKLMNOPQRSTUVWXYZ")-1)*{1,2,1,2,1,2,1,2,1,2,1,2,1,2},36)),36),36)+1,1)=MID(AN703,15,1),"OK","Typo? check digit wrong")),"Wrong format"))</f>
        <v/>
      </c>
      <c r="AK703" s="27">
        <f>IF(AO703="","",IF(AND(LEN(AO703)=10,SUMPRODUCT(--ISERROR(FIND(MID(AO703,{1,2,3,4,5,10},1),"ABCDEFGHIJKLMNOPQRSTUVWXYZ")))=0,SUMPRODUCT(--ISERROR(FIND(MID(AO703,{6,7,8,9},1),"0123456789")))=0),"OK","Wrong format"))</f>
        <v/>
      </c>
      <c r="AL703" s="27">
        <f>IF(TRIM(H703)="","",IF(AND(LEN(UPPER(TRIM(H703)))=10,SUMPRODUCT(--ISERROR(FIND(MID(UPPER(TRIM(H703)),{1,2,3,4,10},1),"ABCDEFGHIJKLMNOPQRSTUVWXYZ")))=0,SUMPRODUCT(--ISERROR(FIND(MID(UPPER(TRIM(H703)),{5,6,7,8,9},1),"0123456789")))=0),"OK","Wrong format"))</f>
        <v/>
      </c>
      <c r="AM703" s="28">
        <f>IF(NOT(COUNTA(A703:AE703)&gt;0),"",IF(AS703&lt;&gt;"","✖ "&amp;LEFT(AS703,LEN(AS703)-2),IF(AR703&gt;0,"✔ Ready — client + "&amp;AR703&amp;" service(s)","✔ Ready — client only")))</f>
        <v/>
      </c>
      <c r="AN703" s="29">
        <f>UPPER(SUBSTITUTE(TRIM(F703)," ",""))</f>
        <v/>
      </c>
      <c r="AO703" s="29">
        <f>UPPER(SUBSTITUTE(TRIM(E703)," ",""))</f>
        <v/>
      </c>
      <c r="AP703" s="29">
        <f>IF(D703&lt;&gt;"",D703,IFERROR(VLOOKUP(MID(AG703,4,1),Lists!$E$2:$F$8,2,FALSE),""))</f>
        <v/>
      </c>
      <c r="AQ703" s="29">
        <f>IFERROR(VLOOKUP(AP703,Lists!$A$2:$C$12,3,FALSE),"")</f>
        <v/>
      </c>
      <c r="AR703" s="29">
        <f>COUNTIF(W703:AC703,"Yes")</f>
        <v/>
      </c>
      <c r="AS703" s="29">
        <f>IF(TRIM(B703)="","Legal name missing; ","")&amp;IF(AND(AJ703&lt;&gt;"",AJ703&lt;&gt;"OK"),"GSTIN: "&amp;AJ703&amp;"; ","")&amp;IF(AND(AK703&lt;&gt;"",AK703&lt;&gt;"OK"),"PAN wrong format; ","")&amp;IF(AND(AO703&lt;&gt;"",LEN(AN703)=15,MID(AN703,3,10)&lt;&gt;AO703),"PAN does not match GSTIN; ","")&amp;IF(AND(AL703&lt;&gt;"",AL703&lt;&gt;"OK"),"TAN wrong format; ","")&amp;IF(AG703="","PAN missing; ","")&amp;IF(AP703="","Entity type missing; ","")&amp;IF(AND(AN703&lt;&gt;"",COUNTIF($AN$6:$AN$1005,AN703)&gt;1),"GSTIN repeated in this sheet; ","")&amp;IF(AND(AG703&lt;&gt;"",COUNTIF($AG$6:$AG$1005,AG703)&gt;1),"PAN repeated in this sheet (same client? put extra GSTINs in Other GSTINs); ","")&amp;IF(AND(AR703&gt;0,V703=""),"Financial year missing; ","")&amp;IF(AND(AR703=0,V703&lt;&gt;""),"Financial year given but no service is Yes; ","")&amp;IF(AND(W703="Yes",AN703=""),"GST needs a GSTIN; ","")&amp;IF(AND(W703="Yes",X703=""),"GST return frequency missing; ","")&amp;IF(AND(Y703="Yes",TRIM(H703)=""),"TDS needs a TAN; ","")&amp;IF(AND(AA703="Yes",AQ703&lt;&gt;"",AQ703&lt;&gt;"company",AQ703&lt;&gt;"llp"),"ROC is only for a company / LLP; ","")&amp;IF(AND(AA703="Yes",OR(AQ703="company",AQ703="llp"),TRIM(I703)=""),"ROC needs the CIN / LLPIN; ","")</f>
        <v/>
      </c>
    </row>
    <row r="704">
      <c r="A704" s="30" t="n"/>
      <c r="B704" s="31" t="n"/>
      <c r="C704" s="31" t="n"/>
      <c r="D704" s="31" t="n"/>
      <c r="E704" s="30" t="n"/>
      <c r="F704" s="30" t="n"/>
      <c r="G704" s="30" t="n"/>
      <c r="H704" s="30" t="n"/>
      <c r="I704" s="30" t="n"/>
      <c r="J704" s="32" t="n"/>
      <c r="K704" s="31" t="n"/>
      <c r="L704" s="30" t="n"/>
      <c r="M704" s="31" t="n"/>
      <c r="N704" s="31" t="n"/>
      <c r="O704" s="31" t="n"/>
      <c r="P704" s="30" t="n"/>
      <c r="Q704" s="31" t="n"/>
      <c r="R704" s="31" t="n"/>
      <c r="S704" s="31" t="n"/>
      <c r="T704" s="31" t="n"/>
      <c r="U704" s="30" t="n"/>
      <c r="V704" s="31" t="n"/>
      <c r="W704" s="31" t="n"/>
      <c r="X704" s="31" t="n"/>
      <c r="Y704" s="31" t="n"/>
      <c r="Z704" s="31" t="n"/>
      <c r="AA704" s="31" t="n"/>
      <c r="AB704" s="31" t="n"/>
      <c r="AC704" s="31" t="n"/>
      <c r="AD704" s="31" t="n"/>
      <c r="AE704" s="31" t="n"/>
      <c r="AF704" s="27">
        <f>IF(NOT(COUNTA(A704:AE704)&gt;0),"",IF(A704="","New client","Update"))</f>
        <v/>
      </c>
      <c r="AG704" s="27">
        <f>IF(AO704&lt;&gt;"",AO704,IF(LEN(AN704)=15,MID(AN704,3,10),""))</f>
        <v/>
      </c>
      <c r="AH704" s="27">
        <f>IF(AP704="","",AP704&amp;IF(D704="","  (guessed from PAN)",""))</f>
        <v/>
      </c>
      <c r="AI704" s="27">
        <f>IF(AN704="","",IFERROR(INDEX(Lists!$L$2:$L$38,MATCH(LEFT(AN704,2),Lists!$K$2:$K$38,0)),"Unknown code"))</f>
        <v/>
      </c>
      <c r="AJ704" s="27">
        <f>IF(AN704="","",IFERROR(IF(NOT(AND(LEN(AN704)=15,ISNUMBER(MATCH(LEFT(AN704,2),Lists!$K$2:$K$38,0)),SUMPRODUCT(--ISERROR(FIND(MID(MID(AN704,3,10),{1,2,3,4,5,10},1),"ABCDEFGHIJKLMNOPQRSTUVWXYZ")))=0,SUMPRODUCT(--ISERROR(FIND(MID(MID(AN704,3,10),{6,7,8,9},1),"0123456789")))=0,ISNUMBER(FIND(MID(AN704,13,1),"123456789ABCDEFGHIJKLMNOPQRSTUVWXYZ")),MID(AN704,14,1)="Z")),"Wrong format",IF(MID("0123456789ABCDEFGHIJKLMNOPQRSTUVWXYZ",MOD(36-MOD(SUMPRODUCT(INT((FIND(MID(AN704,{1,2,3,4,5,6,7,8,9,10,11,12,13,14},1),"0123456789ABCDEFGHIJKLMNOPQRSTUVWXYZ")-1)*{1,2,1,2,1,2,1,2,1,2,1,2,1,2}/36)+MOD((FIND(MID(AN704,{1,2,3,4,5,6,7,8,9,10,11,12,13,14},1),"0123456789ABCDEFGHIJKLMNOPQRSTUVWXYZ")-1)*{1,2,1,2,1,2,1,2,1,2,1,2,1,2},36)),36),36)+1,1)=MID(AN704,15,1),"OK","Typo? check digit wrong")),"Wrong format"))</f>
        <v/>
      </c>
      <c r="AK704" s="27">
        <f>IF(AO704="","",IF(AND(LEN(AO704)=10,SUMPRODUCT(--ISERROR(FIND(MID(AO704,{1,2,3,4,5,10},1),"ABCDEFGHIJKLMNOPQRSTUVWXYZ")))=0,SUMPRODUCT(--ISERROR(FIND(MID(AO704,{6,7,8,9},1),"0123456789")))=0),"OK","Wrong format"))</f>
        <v/>
      </c>
      <c r="AL704" s="27">
        <f>IF(TRIM(H704)="","",IF(AND(LEN(UPPER(TRIM(H704)))=10,SUMPRODUCT(--ISERROR(FIND(MID(UPPER(TRIM(H704)),{1,2,3,4,10},1),"ABCDEFGHIJKLMNOPQRSTUVWXYZ")))=0,SUMPRODUCT(--ISERROR(FIND(MID(UPPER(TRIM(H704)),{5,6,7,8,9},1),"0123456789")))=0),"OK","Wrong format"))</f>
        <v/>
      </c>
      <c r="AM704" s="28">
        <f>IF(NOT(COUNTA(A704:AE704)&gt;0),"",IF(AS704&lt;&gt;"","✖ "&amp;LEFT(AS704,LEN(AS704)-2),IF(AR704&gt;0,"✔ Ready — client + "&amp;AR704&amp;" service(s)","✔ Ready — client only")))</f>
        <v/>
      </c>
      <c r="AN704" s="29">
        <f>UPPER(SUBSTITUTE(TRIM(F704)," ",""))</f>
        <v/>
      </c>
      <c r="AO704" s="29">
        <f>UPPER(SUBSTITUTE(TRIM(E704)," ",""))</f>
        <v/>
      </c>
      <c r="AP704" s="29">
        <f>IF(D704&lt;&gt;"",D704,IFERROR(VLOOKUP(MID(AG704,4,1),Lists!$E$2:$F$8,2,FALSE),""))</f>
        <v/>
      </c>
      <c r="AQ704" s="29">
        <f>IFERROR(VLOOKUP(AP704,Lists!$A$2:$C$12,3,FALSE),"")</f>
        <v/>
      </c>
      <c r="AR704" s="29">
        <f>COUNTIF(W704:AC704,"Yes")</f>
        <v/>
      </c>
      <c r="AS704" s="29">
        <f>IF(TRIM(B704)="","Legal name missing; ","")&amp;IF(AND(AJ704&lt;&gt;"",AJ704&lt;&gt;"OK"),"GSTIN: "&amp;AJ704&amp;"; ","")&amp;IF(AND(AK704&lt;&gt;"",AK704&lt;&gt;"OK"),"PAN wrong format; ","")&amp;IF(AND(AO704&lt;&gt;"",LEN(AN704)=15,MID(AN704,3,10)&lt;&gt;AO704),"PAN does not match GSTIN; ","")&amp;IF(AND(AL704&lt;&gt;"",AL704&lt;&gt;"OK"),"TAN wrong format; ","")&amp;IF(AG704="","PAN missing; ","")&amp;IF(AP704="","Entity type missing; ","")&amp;IF(AND(AN704&lt;&gt;"",COUNTIF($AN$6:$AN$1005,AN704)&gt;1),"GSTIN repeated in this sheet; ","")&amp;IF(AND(AG704&lt;&gt;"",COUNTIF($AG$6:$AG$1005,AG704)&gt;1),"PAN repeated in this sheet (same client? put extra GSTINs in Other GSTINs); ","")&amp;IF(AND(AR704&gt;0,V704=""),"Financial year missing; ","")&amp;IF(AND(AR704=0,V704&lt;&gt;""),"Financial year given but no service is Yes; ","")&amp;IF(AND(W704="Yes",AN704=""),"GST needs a GSTIN; ","")&amp;IF(AND(W704="Yes",X704=""),"GST return frequency missing; ","")&amp;IF(AND(Y704="Yes",TRIM(H704)=""),"TDS needs a TAN; ","")&amp;IF(AND(AA704="Yes",AQ704&lt;&gt;"",AQ704&lt;&gt;"company",AQ704&lt;&gt;"llp"),"ROC is only for a company / LLP; ","")&amp;IF(AND(AA704="Yes",OR(AQ704="company",AQ704="llp"),TRIM(I704)=""),"ROC needs the CIN / LLPIN; ","")</f>
        <v/>
      </c>
    </row>
    <row r="705">
      <c r="A705" s="30" t="n"/>
      <c r="B705" s="31" t="n"/>
      <c r="C705" s="31" t="n"/>
      <c r="D705" s="31" t="n"/>
      <c r="E705" s="30" t="n"/>
      <c r="F705" s="30" t="n"/>
      <c r="G705" s="30" t="n"/>
      <c r="H705" s="30" t="n"/>
      <c r="I705" s="30" t="n"/>
      <c r="J705" s="32" t="n"/>
      <c r="K705" s="31" t="n"/>
      <c r="L705" s="30" t="n"/>
      <c r="M705" s="31" t="n"/>
      <c r="N705" s="31" t="n"/>
      <c r="O705" s="31" t="n"/>
      <c r="P705" s="30" t="n"/>
      <c r="Q705" s="31" t="n"/>
      <c r="R705" s="31" t="n"/>
      <c r="S705" s="31" t="n"/>
      <c r="T705" s="31" t="n"/>
      <c r="U705" s="30" t="n"/>
      <c r="V705" s="31" t="n"/>
      <c r="W705" s="31" t="n"/>
      <c r="X705" s="31" t="n"/>
      <c r="Y705" s="31" t="n"/>
      <c r="Z705" s="31" t="n"/>
      <c r="AA705" s="31" t="n"/>
      <c r="AB705" s="31" t="n"/>
      <c r="AC705" s="31" t="n"/>
      <c r="AD705" s="31" t="n"/>
      <c r="AE705" s="31" t="n"/>
      <c r="AF705" s="27">
        <f>IF(NOT(COUNTA(A705:AE705)&gt;0),"",IF(A705="","New client","Update"))</f>
        <v/>
      </c>
      <c r="AG705" s="27">
        <f>IF(AO705&lt;&gt;"",AO705,IF(LEN(AN705)=15,MID(AN705,3,10),""))</f>
        <v/>
      </c>
      <c r="AH705" s="27">
        <f>IF(AP705="","",AP705&amp;IF(D705="","  (guessed from PAN)",""))</f>
        <v/>
      </c>
      <c r="AI705" s="27">
        <f>IF(AN705="","",IFERROR(INDEX(Lists!$L$2:$L$38,MATCH(LEFT(AN705,2),Lists!$K$2:$K$38,0)),"Unknown code"))</f>
        <v/>
      </c>
      <c r="AJ705" s="27">
        <f>IF(AN705="","",IFERROR(IF(NOT(AND(LEN(AN705)=15,ISNUMBER(MATCH(LEFT(AN705,2),Lists!$K$2:$K$38,0)),SUMPRODUCT(--ISERROR(FIND(MID(MID(AN705,3,10),{1,2,3,4,5,10},1),"ABCDEFGHIJKLMNOPQRSTUVWXYZ")))=0,SUMPRODUCT(--ISERROR(FIND(MID(MID(AN705,3,10),{6,7,8,9},1),"0123456789")))=0,ISNUMBER(FIND(MID(AN705,13,1),"123456789ABCDEFGHIJKLMNOPQRSTUVWXYZ")),MID(AN705,14,1)="Z")),"Wrong format",IF(MID("0123456789ABCDEFGHIJKLMNOPQRSTUVWXYZ",MOD(36-MOD(SUMPRODUCT(INT((FIND(MID(AN705,{1,2,3,4,5,6,7,8,9,10,11,12,13,14},1),"0123456789ABCDEFGHIJKLMNOPQRSTUVWXYZ")-1)*{1,2,1,2,1,2,1,2,1,2,1,2,1,2}/36)+MOD((FIND(MID(AN705,{1,2,3,4,5,6,7,8,9,10,11,12,13,14},1),"0123456789ABCDEFGHIJKLMNOPQRSTUVWXYZ")-1)*{1,2,1,2,1,2,1,2,1,2,1,2,1,2},36)),36),36)+1,1)=MID(AN705,15,1),"OK","Typo? check digit wrong")),"Wrong format"))</f>
        <v/>
      </c>
      <c r="AK705" s="27">
        <f>IF(AO705="","",IF(AND(LEN(AO705)=10,SUMPRODUCT(--ISERROR(FIND(MID(AO705,{1,2,3,4,5,10},1),"ABCDEFGHIJKLMNOPQRSTUVWXYZ")))=0,SUMPRODUCT(--ISERROR(FIND(MID(AO705,{6,7,8,9},1),"0123456789")))=0),"OK","Wrong format"))</f>
        <v/>
      </c>
      <c r="AL705" s="27">
        <f>IF(TRIM(H705)="","",IF(AND(LEN(UPPER(TRIM(H705)))=10,SUMPRODUCT(--ISERROR(FIND(MID(UPPER(TRIM(H705)),{1,2,3,4,10},1),"ABCDEFGHIJKLMNOPQRSTUVWXYZ")))=0,SUMPRODUCT(--ISERROR(FIND(MID(UPPER(TRIM(H705)),{5,6,7,8,9},1),"0123456789")))=0),"OK","Wrong format"))</f>
        <v/>
      </c>
      <c r="AM705" s="28">
        <f>IF(NOT(COUNTA(A705:AE705)&gt;0),"",IF(AS705&lt;&gt;"","✖ "&amp;LEFT(AS705,LEN(AS705)-2),IF(AR705&gt;0,"✔ Ready — client + "&amp;AR705&amp;" service(s)","✔ Ready — client only")))</f>
        <v/>
      </c>
      <c r="AN705" s="29">
        <f>UPPER(SUBSTITUTE(TRIM(F705)," ",""))</f>
        <v/>
      </c>
      <c r="AO705" s="29">
        <f>UPPER(SUBSTITUTE(TRIM(E705)," ",""))</f>
        <v/>
      </c>
      <c r="AP705" s="29">
        <f>IF(D705&lt;&gt;"",D705,IFERROR(VLOOKUP(MID(AG705,4,1),Lists!$E$2:$F$8,2,FALSE),""))</f>
        <v/>
      </c>
      <c r="AQ705" s="29">
        <f>IFERROR(VLOOKUP(AP705,Lists!$A$2:$C$12,3,FALSE),"")</f>
        <v/>
      </c>
      <c r="AR705" s="29">
        <f>COUNTIF(W705:AC705,"Yes")</f>
        <v/>
      </c>
      <c r="AS705" s="29">
        <f>IF(TRIM(B705)="","Legal name missing; ","")&amp;IF(AND(AJ705&lt;&gt;"",AJ705&lt;&gt;"OK"),"GSTIN: "&amp;AJ705&amp;"; ","")&amp;IF(AND(AK705&lt;&gt;"",AK705&lt;&gt;"OK"),"PAN wrong format; ","")&amp;IF(AND(AO705&lt;&gt;"",LEN(AN705)=15,MID(AN705,3,10)&lt;&gt;AO705),"PAN does not match GSTIN; ","")&amp;IF(AND(AL705&lt;&gt;"",AL705&lt;&gt;"OK"),"TAN wrong format; ","")&amp;IF(AG705="","PAN missing; ","")&amp;IF(AP705="","Entity type missing; ","")&amp;IF(AND(AN705&lt;&gt;"",COUNTIF($AN$6:$AN$1005,AN705)&gt;1),"GSTIN repeated in this sheet; ","")&amp;IF(AND(AG705&lt;&gt;"",COUNTIF($AG$6:$AG$1005,AG705)&gt;1),"PAN repeated in this sheet (same client? put extra GSTINs in Other GSTINs); ","")&amp;IF(AND(AR705&gt;0,V705=""),"Financial year missing; ","")&amp;IF(AND(AR705=0,V705&lt;&gt;""),"Financial year given but no service is Yes; ","")&amp;IF(AND(W705="Yes",AN705=""),"GST needs a GSTIN; ","")&amp;IF(AND(W705="Yes",X705=""),"GST return frequency missing; ","")&amp;IF(AND(Y705="Yes",TRIM(H705)=""),"TDS needs a TAN; ","")&amp;IF(AND(AA705="Yes",AQ705&lt;&gt;"",AQ705&lt;&gt;"company",AQ705&lt;&gt;"llp"),"ROC is only for a company / LLP; ","")&amp;IF(AND(AA705="Yes",OR(AQ705="company",AQ705="llp"),TRIM(I705)=""),"ROC needs the CIN / LLPIN; ","")</f>
        <v/>
      </c>
    </row>
    <row r="706">
      <c r="A706" s="30" t="n"/>
      <c r="B706" s="31" t="n"/>
      <c r="C706" s="31" t="n"/>
      <c r="D706" s="31" t="n"/>
      <c r="E706" s="30" t="n"/>
      <c r="F706" s="30" t="n"/>
      <c r="G706" s="30" t="n"/>
      <c r="H706" s="30" t="n"/>
      <c r="I706" s="30" t="n"/>
      <c r="J706" s="32" t="n"/>
      <c r="K706" s="31" t="n"/>
      <c r="L706" s="30" t="n"/>
      <c r="M706" s="31" t="n"/>
      <c r="N706" s="31" t="n"/>
      <c r="O706" s="31" t="n"/>
      <c r="P706" s="30" t="n"/>
      <c r="Q706" s="31" t="n"/>
      <c r="R706" s="31" t="n"/>
      <c r="S706" s="31" t="n"/>
      <c r="T706" s="31" t="n"/>
      <c r="U706" s="30" t="n"/>
      <c r="V706" s="31" t="n"/>
      <c r="W706" s="31" t="n"/>
      <c r="X706" s="31" t="n"/>
      <c r="Y706" s="31" t="n"/>
      <c r="Z706" s="31" t="n"/>
      <c r="AA706" s="31" t="n"/>
      <c r="AB706" s="31" t="n"/>
      <c r="AC706" s="31" t="n"/>
      <c r="AD706" s="31" t="n"/>
      <c r="AE706" s="31" t="n"/>
      <c r="AF706" s="27">
        <f>IF(NOT(COUNTA(A706:AE706)&gt;0),"",IF(A706="","New client","Update"))</f>
        <v/>
      </c>
      <c r="AG706" s="27">
        <f>IF(AO706&lt;&gt;"",AO706,IF(LEN(AN706)=15,MID(AN706,3,10),""))</f>
        <v/>
      </c>
      <c r="AH706" s="27">
        <f>IF(AP706="","",AP706&amp;IF(D706="","  (guessed from PAN)",""))</f>
        <v/>
      </c>
      <c r="AI706" s="27">
        <f>IF(AN706="","",IFERROR(INDEX(Lists!$L$2:$L$38,MATCH(LEFT(AN706,2),Lists!$K$2:$K$38,0)),"Unknown code"))</f>
        <v/>
      </c>
      <c r="AJ706" s="27">
        <f>IF(AN706="","",IFERROR(IF(NOT(AND(LEN(AN706)=15,ISNUMBER(MATCH(LEFT(AN706,2),Lists!$K$2:$K$38,0)),SUMPRODUCT(--ISERROR(FIND(MID(MID(AN706,3,10),{1,2,3,4,5,10},1),"ABCDEFGHIJKLMNOPQRSTUVWXYZ")))=0,SUMPRODUCT(--ISERROR(FIND(MID(MID(AN706,3,10),{6,7,8,9},1),"0123456789")))=0,ISNUMBER(FIND(MID(AN706,13,1),"123456789ABCDEFGHIJKLMNOPQRSTUVWXYZ")),MID(AN706,14,1)="Z")),"Wrong format",IF(MID("0123456789ABCDEFGHIJKLMNOPQRSTUVWXYZ",MOD(36-MOD(SUMPRODUCT(INT((FIND(MID(AN706,{1,2,3,4,5,6,7,8,9,10,11,12,13,14},1),"0123456789ABCDEFGHIJKLMNOPQRSTUVWXYZ")-1)*{1,2,1,2,1,2,1,2,1,2,1,2,1,2}/36)+MOD((FIND(MID(AN706,{1,2,3,4,5,6,7,8,9,10,11,12,13,14},1),"0123456789ABCDEFGHIJKLMNOPQRSTUVWXYZ")-1)*{1,2,1,2,1,2,1,2,1,2,1,2,1,2},36)),36),36)+1,1)=MID(AN706,15,1),"OK","Typo? check digit wrong")),"Wrong format"))</f>
        <v/>
      </c>
      <c r="AK706" s="27">
        <f>IF(AO706="","",IF(AND(LEN(AO706)=10,SUMPRODUCT(--ISERROR(FIND(MID(AO706,{1,2,3,4,5,10},1),"ABCDEFGHIJKLMNOPQRSTUVWXYZ")))=0,SUMPRODUCT(--ISERROR(FIND(MID(AO706,{6,7,8,9},1),"0123456789")))=0),"OK","Wrong format"))</f>
        <v/>
      </c>
      <c r="AL706" s="27">
        <f>IF(TRIM(H706)="","",IF(AND(LEN(UPPER(TRIM(H706)))=10,SUMPRODUCT(--ISERROR(FIND(MID(UPPER(TRIM(H706)),{1,2,3,4,10},1),"ABCDEFGHIJKLMNOPQRSTUVWXYZ")))=0,SUMPRODUCT(--ISERROR(FIND(MID(UPPER(TRIM(H706)),{5,6,7,8,9},1),"0123456789")))=0),"OK","Wrong format"))</f>
        <v/>
      </c>
      <c r="AM706" s="28">
        <f>IF(NOT(COUNTA(A706:AE706)&gt;0),"",IF(AS706&lt;&gt;"","✖ "&amp;LEFT(AS706,LEN(AS706)-2),IF(AR706&gt;0,"✔ Ready — client + "&amp;AR706&amp;" service(s)","✔ Ready — client only")))</f>
        <v/>
      </c>
      <c r="AN706" s="29">
        <f>UPPER(SUBSTITUTE(TRIM(F706)," ",""))</f>
        <v/>
      </c>
      <c r="AO706" s="29">
        <f>UPPER(SUBSTITUTE(TRIM(E706)," ",""))</f>
        <v/>
      </c>
      <c r="AP706" s="29">
        <f>IF(D706&lt;&gt;"",D706,IFERROR(VLOOKUP(MID(AG706,4,1),Lists!$E$2:$F$8,2,FALSE),""))</f>
        <v/>
      </c>
      <c r="AQ706" s="29">
        <f>IFERROR(VLOOKUP(AP706,Lists!$A$2:$C$12,3,FALSE),"")</f>
        <v/>
      </c>
      <c r="AR706" s="29">
        <f>COUNTIF(W706:AC706,"Yes")</f>
        <v/>
      </c>
      <c r="AS706" s="29">
        <f>IF(TRIM(B706)="","Legal name missing; ","")&amp;IF(AND(AJ706&lt;&gt;"",AJ706&lt;&gt;"OK"),"GSTIN: "&amp;AJ706&amp;"; ","")&amp;IF(AND(AK706&lt;&gt;"",AK706&lt;&gt;"OK"),"PAN wrong format; ","")&amp;IF(AND(AO706&lt;&gt;"",LEN(AN706)=15,MID(AN706,3,10)&lt;&gt;AO706),"PAN does not match GSTIN; ","")&amp;IF(AND(AL706&lt;&gt;"",AL706&lt;&gt;"OK"),"TAN wrong format; ","")&amp;IF(AG706="","PAN missing; ","")&amp;IF(AP706="","Entity type missing; ","")&amp;IF(AND(AN706&lt;&gt;"",COUNTIF($AN$6:$AN$1005,AN706)&gt;1),"GSTIN repeated in this sheet; ","")&amp;IF(AND(AG706&lt;&gt;"",COUNTIF($AG$6:$AG$1005,AG706)&gt;1),"PAN repeated in this sheet (same client? put extra GSTINs in Other GSTINs); ","")&amp;IF(AND(AR706&gt;0,V706=""),"Financial year missing; ","")&amp;IF(AND(AR706=0,V706&lt;&gt;""),"Financial year given but no service is Yes; ","")&amp;IF(AND(W706="Yes",AN706=""),"GST needs a GSTIN; ","")&amp;IF(AND(W706="Yes",X706=""),"GST return frequency missing; ","")&amp;IF(AND(Y706="Yes",TRIM(H706)=""),"TDS needs a TAN; ","")&amp;IF(AND(AA706="Yes",AQ706&lt;&gt;"",AQ706&lt;&gt;"company",AQ706&lt;&gt;"llp"),"ROC is only for a company / LLP; ","")&amp;IF(AND(AA706="Yes",OR(AQ706="company",AQ706="llp"),TRIM(I706)=""),"ROC needs the CIN / LLPIN; ","")</f>
        <v/>
      </c>
    </row>
    <row r="707">
      <c r="A707" s="30" t="n"/>
      <c r="B707" s="31" t="n"/>
      <c r="C707" s="31" t="n"/>
      <c r="D707" s="31" t="n"/>
      <c r="E707" s="30" t="n"/>
      <c r="F707" s="30" t="n"/>
      <c r="G707" s="30" t="n"/>
      <c r="H707" s="30" t="n"/>
      <c r="I707" s="30" t="n"/>
      <c r="J707" s="32" t="n"/>
      <c r="K707" s="31" t="n"/>
      <c r="L707" s="30" t="n"/>
      <c r="M707" s="31" t="n"/>
      <c r="N707" s="31" t="n"/>
      <c r="O707" s="31" t="n"/>
      <c r="P707" s="30" t="n"/>
      <c r="Q707" s="31" t="n"/>
      <c r="R707" s="31" t="n"/>
      <c r="S707" s="31" t="n"/>
      <c r="T707" s="31" t="n"/>
      <c r="U707" s="30" t="n"/>
      <c r="V707" s="31" t="n"/>
      <c r="W707" s="31" t="n"/>
      <c r="X707" s="31" t="n"/>
      <c r="Y707" s="31" t="n"/>
      <c r="Z707" s="31" t="n"/>
      <c r="AA707" s="31" t="n"/>
      <c r="AB707" s="31" t="n"/>
      <c r="AC707" s="31" t="n"/>
      <c r="AD707" s="31" t="n"/>
      <c r="AE707" s="31" t="n"/>
      <c r="AF707" s="27">
        <f>IF(NOT(COUNTA(A707:AE707)&gt;0),"",IF(A707="","New client","Update"))</f>
        <v/>
      </c>
      <c r="AG707" s="27">
        <f>IF(AO707&lt;&gt;"",AO707,IF(LEN(AN707)=15,MID(AN707,3,10),""))</f>
        <v/>
      </c>
      <c r="AH707" s="27">
        <f>IF(AP707="","",AP707&amp;IF(D707="","  (guessed from PAN)",""))</f>
        <v/>
      </c>
      <c r="AI707" s="27">
        <f>IF(AN707="","",IFERROR(INDEX(Lists!$L$2:$L$38,MATCH(LEFT(AN707,2),Lists!$K$2:$K$38,0)),"Unknown code"))</f>
        <v/>
      </c>
      <c r="AJ707" s="27">
        <f>IF(AN707="","",IFERROR(IF(NOT(AND(LEN(AN707)=15,ISNUMBER(MATCH(LEFT(AN707,2),Lists!$K$2:$K$38,0)),SUMPRODUCT(--ISERROR(FIND(MID(MID(AN707,3,10),{1,2,3,4,5,10},1),"ABCDEFGHIJKLMNOPQRSTUVWXYZ")))=0,SUMPRODUCT(--ISERROR(FIND(MID(MID(AN707,3,10),{6,7,8,9},1),"0123456789")))=0,ISNUMBER(FIND(MID(AN707,13,1),"123456789ABCDEFGHIJKLMNOPQRSTUVWXYZ")),MID(AN707,14,1)="Z")),"Wrong format",IF(MID("0123456789ABCDEFGHIJKLMNOPQRSTUVWXYZ",MOD(36-MOD(SUMPRODUCT(INT((FIND(MID(AN707,{1,2,3,4,5,6,7,8,9,10,11,12,13,14},1),"0123456789ABCDEFGHIJKLMNOPQRSTUVWXYZ")-1)*{1,2,1,2,1,2,1,2,1,2,1,2,1,2}/36)+MOD((FIND(MID(AN707,{1,2,3,4,5,6,7,8,9,10,11,12,13,14},1),"0123456789ABCDEFGHIJKLMNOPQRSTUVWXYZ")-1)*{1,2,1,2,1,2,1,2,1,2,1,2,1,2},36)),36),36)+1,1)=MID(AN707,15,1),"OK","Typo? check digit wrong")),"Wrong format"))</f>
        <v/>
      </c>
      <c r="AK707" s="27">
        <f>IF(AO707="","",IF(AND(LEN(AO707)=10,SUMPRODUCT(--ISERROR(FIND(MID(AO707,{1,2,3,4,5,10},1),"ABCDEFGHIJKLMNOPQRSTUVWXYZ")))=0,SUMPRODUCT(--ISERROR(FIND(MID(AO707,{6,7,8,9},1),"0123456789")))=0),"OK","Wrong format"))</f>
        <v/>
      </c>
      <c r="AL707" s="27">
        <f>IF(TRIM(H707)="","",IF(AND(LEN(UPPER(TRIM(H707)))=10,SUMPRODUCT(--ISERROR(FIND(MID(UPPER(TRIM(H707)),{1,2,3,4,10},1),"ABCDEFGHIJKLMNOPQRSTUVWXYZ")))=0,SUMPRODUCT(--ISERROR(FIND(MID(UPPER(TRIM(H707)),{5,6,7,8,9},1),"0123456789")))=0),"OK","Wrong format"))</f>
        <v/>
      </c>
      <c r="AM707" s="28">
        <f>IF(NOT(COUNTA(A707:AE707)&gt;0),"",IF(AS707&lt;&gt;"","✖ "&amp;LEFT(AS707,LEN(AS707)-2),IF(AR707&gt;0,"✔ Ready — client + "&amp;AR707&amp;" service(s)","✔ Ready — client only")))</f>
        <v/>
      </c>
      <c r="AN707" s="29">
        <f>UPPER(SUBSTITUTE(TRIM(F707)," ",""))</f>
        <v/>
      </c>
      <c r="AO707" s="29">
        <f>UPPER(SUBSTITUTE(TRIM(E707)," ",""))</f>
        <v/>
      </c>
      <c r="AP707" s="29">
        <f>IF(D707&lt;&gt;"",D707,IFERROR(VLOOKUP(MID(AG707,4,1),Lists!$E$2:$F$8,2,FALSE),""))</f>
        <v/>
      </c>
      <c r="AQ707" s="29">
        <f>IFERROR(VLOOKUP(AP707,Lists!$A$2:$C$12,3,FALSE),"")</f>
        <v/>
      </c>
      <c r="AR707" s="29">
        <f>COUNTIF(W707:AC707,"Yes")</f>
        <v/>
      </c>
      <c r="AS707" s="29">
        <f>IF(TRIM(B707)="","Legal name missing; ","")&amp;IF(AND(AJ707&lt;&gt;"",AJ707&lt;&gt;"OK"),"GSTIN: "&amp;AJ707&amp;"; ","")&amp;IF(AND(AK707&lt;&gt;"",AK707&lt;&gt;"OK"),"PAN wrong format; ","")&amp;IF(AND(AO707&lt;&gt;"",LEN(AN707)=15,MID(AN707,3,10)&lt;&gt;AO707),"PAN does not match GSTIN; ","")&amp;IF(AND(AL707&lt;&gt;"",AL707&lt;&gt;"OK"),"TAN wrong format; ","")&amp;IF(AG707="","PAN missing; ","")&amp;IF(AP707="","Entity type missing; ","")&amp;IF(AND(AN707&lt;&gt;"",COUNTIF($AN$6:$AN$1005,AN707)&gt;1),"GSTIN repeated in this sheet; ","")&amp;IF(AND(AG707&lt;&gt;"",COUNTIF($AG$6:$AG$1005,AG707)&gt;1),"PAN repeated in this sheet (same client? put extra GSTINs in Other GSTINs); ","")&amp;IF(AND(AR707&gt;0,V707=""),"Financial year missing; ","")&amp;IF(AND(AR707=0,V707&lt;&gt;""),"Financial year given but no service is Yes; ","")&amp;IF(AND(W707="Yes",AN707=""),"GST needs a GSTIN; ","")&amp;IF(AND(W707="Yes",X707=""),"GST return frequency missing; ","")&amp;IF(AND(Y707="Yes",TRIM(H707)=""),"TDS needs a TAN; ","")&amp;IF(AND(AA707="Yes",AQ707&lt;&gt;"",AQ707&lt;&gt;"company",AQ707&lt;&gt;"llp"),"ROC is only for a company / LLP; ","")&amp;IF(AND(AA707="Yes",OR(AQ707="company",AQ707="llp"),TRIM(I707)=""),"ROC needs the CIN / LLPIN; ","")</f>
        <v/>
      </c>
    </row>
    <row r="708">
      <c r="A708" s="30" t="n"/>
      <c r="B708" s="31" t="n"/>
      <c r="C708" s="31" t="n"/>
      <c r="D708" s="31" t="n"/>
      <c r="E708" s="30" t="n"/>
      <c r="F708" s="30" t="n"/>
      <c r="G708" s="30" t="n"/>
      <c r="H708" s="30" t="n"/>
      <c r="I708" s="30" t="n"/>
      <c r="J708" s="32" t="n"/>
      <c r="K708" s="31" t="n"/>
      <c r="L708" s="30" t="n"/>
      <c r="M708" s="31" t="n"/>
      <c r="N708" s="31" t="n"/>
      <c r="O708" s="31" t="n"/>
      <c r="P708" s="30" t="n"/>
      <c r="Q708" s="31" t="n"/>
      <c r="R708" s="31" t="n"/>
      <c r="S708" s="31" t="n"/>
      <c r="T708" s="31" t="n"/>
      <c r="U708" s="30" t="n"/>
      <c r="V708" s="31" t="n"/>
      <c r="W708" s="31" t="n"/>
      <c r="X708" s="31" t="n"/>
      <c r="Y708" s="31" t="n"/>
      <c r="Z708" s="31" t="n"/>
      <c r="AA708" s="31" t="n"/>
      <c r="AB708" s="31" t="n"/>
      <c r="AC708" s="31" t="n"/>
      <c r="AD708" s="31" t="n"/>
      <c r="AE708" s="31" t="n"/>
      <c r="AF708" s="27">
        <f>IF(NOT(COUNTA(A708:AE708)&gt;0),"",IF(A708="","New client","Update"))</f>
        <v/>
      </c>
      <c r="AG708" s="27">
        <f>IF(AO708&lt;&gt;"",AO708,IF(LEN(AN708)=15,MID(AN708,3,10),""))</f>
        <v/>
      </c>
      <c r="AH708" s="27">
        <f>IF(AP708="","",AP708&amp;IF(D708="","  (guessed from PAN)",""))</f>
        <v/>
      </c>
      <c r="AI708" s="27">
        <f>IF(AN708="","",IFERROR(INDEX(Lists!$L$2:$L$38,MATCH(LEFT(AN708,2),Lists!$K$2:$K$38,0)),"Unknown code"))</f>
        <v/>
      </c>
      <c r="AJ708" s="27">
        <f>IF(AN708="","",IFERROR(IF(NOT(AND(LEN(AN708)=15,ISNUMBER(MATCH(LEFT(AN708,2),Lists!$K$2:$K$38,0)),SUMPRODUCT(--ISERROR(FIND(MID(MID(AN708,3,10),{1,2,3,4,5,10},1),"ABCDEFGHIJKLMNOPQRSTUVWXYZ")))=0,SUMPRODUCT(--ISERROR(FIND(MID(MID(AN708,3,10),{6,7,8,9},1),"0123456789")))=0,ISNUMBER(FIND(MID(AN708,13,1),"123456789ABCDEFGHIJKLMNOPQRSTUVWXYZ")),MID(AN708,14,1)="Z")),"Wrong format",IF(MID("0123456789ABCDEFGHIJKLMNOPQRSTUVWXYZ",MOD(36-MOD(SUMPRODUCT(INT((FIND(MID(AN708,{1,2,3,4,5,6,7,8,9,10,11,12,13,14},1),"0123456789ABCDEFGHIJKLMNOPQRSTUVWXYZ")-1)*{1,2,1,2,1,2,1,2,1,2,1,2,1,2}/36)+MOD((FIND(MID(AN708,{1,2,3,4,5,6,7,8,9,10,11,12,13,14},1),"0123456789ABCDEFGHIJKLMNOPQRSTUVWXYZ")-1)*{1,2,1,2,1,2,1,2,1,2,1,2,1,2},36)),36),36)+1,1)=MID(AN708,15,1),"OK","Typo? check digit wrong")),"Wrong format"))</f>
        <v/>
      </c>
      <c r="AK708" s="27">
        <f>IF(AO708="","",IF(AND(LEN(AO708)=10,SUMPRODUCT(--ISERROR(FIND(MID(AO708,{1,2,3,4,5,10},1),"ABCDEFGHIJKLMNOPQRSTUVWXYZ")))=0,SUMPRODUCT(--ISERROR(FIND(MID(AO708,{6,7,8,9},1),"0123456789")))=0),"OK","Wrong format"))</f>
        <v/>
      </c>
      <c r="AL708" s="27">
        <f>IF(TRIM(H708)="","",IF(AND(LEN(UPPER(TRIM(H708)))=10,SUMPRODUCT(--ISERROR(FIND(MID(UPPER(TRIM(H708)),{1,2,3,4,10},1),"ABCDEFGHIJKLMNOPQRSTUVWXYZ")))=0,SUMPRODUCT(--ISERROR(FIND(MID(UPPER(TRIM(H708)),{5,6,7,8,9},1),"0123456789")))=0),"OK","Wrong format"))</f>
        <v/>
      </c>
      <c r="AM708" s="28">
        <f>IF(NOT(COUNTA(A708:AE708)&gt;0),"",IF(AS708&lt;&gt;"","✖ "&amp;LEFT(AS708,LEN(AS708)-2),IF(AR708&gt;0,"✔ Ready — client + "&amp;AR708&amp;" service(s)","✔ Ready — client only")))</f>
        <v/>
      </c>
      <c r="AN708" s="29">
        <f>UPPER(SUBSTITUTE(TRIM(F708)," ",""))</f>
        <v/>
      </c>
      <c r="AO708" s="29">
        <f>UPPER(SUBSTITUTE(TRIM(E708)," ",""))</f>
        <v/>
      </c>
      <c r="AP708" s="29">
        <f>IF(D708&lt;&gt;"",D708,IFERROR(VLOOKUP(MID(AG708,4,1),Lists!$E$2:$F$8,2,FALSE),""))</f>
        <v/>
      </c>
      <c r="AQ708" s="29">
        <f>IFERROR(VLOOKUP(AP708,Lists!$A$2:$C$12,3,FALSE),"")</f>
        <v/>
      </c>
      <c r="AR708" s="29">
        <f>COUNTIF(W708:AC708,"Yes")</f>
        <v/>
      </c>
      <c r="AS708" s="29">
        <f>IF(TRIM(B708)="","Legal name missing; ","")&amp;IF(AND(AJ708&lt;&gt;"",AJ708&lt;&gt;"OK"),"GSTIN: "&amp;AJ708&amp;"; ","")&amp;IF(AND(AK708&lt;&gt;"",AK708&lt;&gt;"OK"),"PAN wrong format; ","")&amp;IF(AND(AO708&lt;&gt;"",LEN(AN708)=15,MID(AN708,3,10)&lt;&gt;AO708),"PAN does not match GSTIN; ","")&amp;IF(AND(AL708&lt;&gt;"",AL708&lt;&gt;"OK"),"TAN wrong format; ","")&amp;IF(AG708="","PAN missing; ","")&amp;IF(AP708="","Entity type missing; ","")&amp;IF(AND(AN708&lt;&gt;"",COUNTIF($AN$6:$AN$1005,AN708)&gt;1),"GSTIN repeated in this sheet; ","")&amp;IF(AND(AG708&lt;&gt;"",COUNTIF($AG$6:$AG$1005,AG708)&gt;1),"PAN repeated in this sheet (same client? put extra GSTINs in Other GSTINs); ","")&amp;IF(AND(AR708&gt;0,V708=""),"Financial year missing; ","")&amp;IF(AND(AR708=0,V708&lt;&gt;""),"Financial year given but no service is Yes; ","")&amp;IF(AND(W708="Yes",AN708=""),"GST needs a GSTIN; ","")&amp;IF(AND(W708="Yes",X708=""),"GST return frequency missing; ","")&amp;IF(AND(Y708="Yes",TRIM(H708)=""),"TDS needs a TAN; ","")&amp;IF(AND(AA708="Yes",AQ708&lt;&gt;"",AQ708&lt;&gt;"company",AQ708&lt;&gt;"llp"),"ROC is only for a company / LLP; ","")&amp;IF(AND(AA708="Yes",OR(AQ708="company",AQ708="llp"),TRIM(I708)=""),"ROC needs the CIN / LLPIN; ","")</f>
        <v/>
      </c>
    </row>
    <row r="709">
      <c r="A709" s="30" t="n"/>
      <c r="B709" s="31" t="n"/>
      <c r="C709" s="31" t="n"/>
      <c r="D709" s="31" t="n"/>
      <c r="E709" s="30" t="n"/>
      <c r="F709" s="30" t="n"/>
      <c r="G709" s="30" t="n"/>
      <c r="H709" s="30" t="n"/>
      <c r="I709" s="30" t="n"/>
      <c r="J709" s="32" t="n"/>
      <c r="K709" s="31" t="n"/>
      <c r="L709" s="30" t="n"/>
      <c r="M709" s="31" t="n"/>
      <c r="N709" s="31" t="n"/>
      <c r="O709" s="31" t="n"/>
      <c r="P709" s="30" t="n"/>
      <c r="Q709" s="31" t="n"/>
      <c r="R709" s="31" t="n"/>
      <c r="S709" s="31" t="n"/>
      <c r="T709" s="31" t="n"/>
      <c r="U709" s="30" t="n"/>
      <c r="V709" s="31" t="n"/>
      <c r="W709" s="31" t="n"/>
      <c r="X709" s="31" t="n"/>
      <c r="Y709" s="31" t="n"/>
      <c r="Z709" s="31" t="n"/>
      <c r="AA709" s="31" t="n"/>
      <c r="AB709" s="31" t="n"/>
      <c r="AC709" s="31" t="n"/>
      <c r="AD709" s="31" t="n"/>
      <c r="AE709" s="31" t="n"/>
      <c r="AF709" s="27">
        <f>IF(NOT(COUNTA(A709:AE709)&gt;0),"",IF(A709="","New client","Update"))</f>
        <v/>
      </c>
      <c r="AG709" s="27">
        <f>IF(AO709&lt;&gt;"",AO709,IF(LEN(AN709)=15,MID(AN709,3,10),""))</f>
        <v/>
      </c>
      <c r="AH709" s="27">
        <f>IF(AP709="","",AP709&amp;IF(D709="","  (guessed from PAN)",""))</f>
        <v/>
      </c>
      <c r="AI709" s="27">
        <f>IF(AN709="","",IFERROR(INDEX(Lists!$L$2:$L$38,MATCH(LEFT(AN709,2),Lists!$K$2:$K$38,0)),"Unknown code"))</f>
        <v/>
      </c>
      <c r="AJ709" s="27">
        <f>IF(AN709="","",IFERROR(IF(NOT(AND(LEN(AN709)=15,ISNUMBER(MATCH(LEFT(AN709,2),Lists!$K$2:$K$38,0)),SUMPRODUCT(--ISERROR(FIND(MID(MID(AN709,3,10),{1,2,3,4,5,10},1),"ABCDEFGHIJKLMNOPQRSTUVWXYZ")))=0,SUMPRODUCT(--ISERROR(FIND(MID(MID(AN709,3,10),{6,7,8,9},1),"0123456789")))=0,ISNUMBER(FIND(MID(AN709,13,1),"123456789ABCDEFGHIJKLMNOPQRSTUVWXYZ")),MID(AN709,14,1)="Z")),"Wrong format",IF(MID("0123456789ABCDEFGHIJKLMNOPQRSTUVWXYZ",MOD(36-MOD(SUMPRODUCT(INT((FIND(MID(AN709,{1,2,3,4,5,6,7,8,9,10,11,12,13,14},1),"0123456789ABCDEFGHIJKLMNOPQRSTUVWXYZ")-1)*{1,2,1,2,1,2,1,2,1,2,1,2,1,2}/36)+MOD((FIND(MID(AN709,{1,2,3,4,5,6,7,8,9,10,11,12,13,14},1),"0123456789ABCDEFGHIJKLMNOPQRSTUVWXYZ")-1)*{1,2,1,2,1,2,1,2,1,2,1,2,1,2},36)),36),36)+1,1)=MID(AN709,15,1),"OK","Typo? check digit wrong")),"Wrong format"))</f>
        <v/>
      </c>
      <c r="AK709" s="27">
        <f>IF(AO709="","",IF(AND(LEN(AO709)=10,SUMPRODUCT(--ISERROR(FIND(MID(AO709,{1,2,3,4,5,10},1),"ABCDEFGHIJKLMNOPQRSTUVWXYZ")))=0,SUMPRODUCT(--ISERROR(FIND(MID(AO709,{6,7,8,9},1),"0123456789")))=0),"OK","Wrong format"))</f>
        <v/>
      </c>
      <c r="AL709" s="27">
        <f>IF(TRIM(H709)="","",IF(AND(LEN(UPPER(TRIM(H709)))=10,SUMPRODUCT(--ISERROR(FIND(MID(UPPER(TRIM(H709)),{1,2,3,4,10},1),"ABCDEFGHIJKLMNOPQRSTUVWXYZ")))=0,SUMPRODUCT(--ISERROR(FIND(MID(UPPER(TRIM(H709)),{5,6,7,8,9},1),"0123456789")))=0),"OK","Wrong format"))</f>
        <v/>
      </c>
      <c r="AM709" s="28">
        <f>IF(NOT(COUNTA(A709:AE709)&gt;0),"",IF(AS709&lt;&gt;"","✖ "&amp;LEFT(AS709,LEN(AS709)-2),IF(AR709&gt;0,"✔ Ready — client + "&amp;AR709&amp;" service(s)","✔ Ready — client only")))</f>
        <v/>
      </c>
      <c r="AN709" s="29">
        <f>UPPER(SUBSTITUTE(TRIM(F709)," ",""))</f>
        <v/>
      </c>
      <c r="AO709" s="29">
        <f>UPPER(SUBSTITUTE(TRIM(E709)," ",""))</f>
        <v/>
      </c>
      <c r="AP709" s="29">
        <f>IF(D709&lt;&gt;"",D709,IFERROR(VLOOKUP(MID(AG709,4,1),Lists!$E$2:$F$8,2,FALSE),""))</f>
        <v/>
      </c>
      <c r="AQ709" s="29">
        <f>IFERROR(VLOOKUP(AP709,Lists!$A$2:$C$12,3,FALSE),"")</f>
        <v/>
      </c>
      <c r="AR709" s="29">
        <f>COUNTIF(W709:AC709,"Yes")</f>
        <v/>
      </c>
      <c r="AS709" s="29">
        <f>IF(TRIM(B709)="","Legal name missing; ","")&amp;IF(AND(AJ709&lt;&gt;"",AJ709&lt;&gt;"OK"),"GSTIN: "&amp;AJ709&amp;"; ","")&amp;IF(AND(AK709&lt;&gt;"",AK709&lt;&gt;"OK"),"PAN wrong format; ","")&amp;IF(AND(AO709&lt;&gt;"",LEN(AN709)=15,MID(AN709,3,10)&lt;&gt;AO709),"PAN does not match GSTIN; ","")&amp;IF(AND(AL709&lt;&gt;"",AL709&lt;&gt;"OK"),"TAN wrong format; ","")&amp;IF(AG709="","PAN missing; ","")&amp;IF(AP709="","Entity type missing; ","")&amp;IF(AND(AN709&lt;&gt;"",COUNTIF($AN$6:$AN$1005,AN709)&gt;1),"GSTIN repeated in this sheet; ","")&amp;IF(AND(AG709&lt;&gt;"",COUNTIF($AG$6:$AG$1005,AG709)&gt;1),"PAN repeated in this sheet (same client? put extra GSTINs in Other GSTINs); ","")&amp;IF(AND(AR709&gt;0,V709=""),"Financial year missing; ","")&amp;IF(AND(AR709=0,V709&lt;&gt;""),"Financial year given but no service is Yes; ","")&amp;IF(AND(W709="Yes",AN709=""),"GST needs a GSTIN; ","")&amp;IF(AND(W709="Yes",X709=""),"GST return frequency missing; ","")&amp;IF(AND(Y709="Yes",TRIM(H709)=""),"TDS needs a TAN; ","")&amp;IF(AND(AA709="Yes",AQ709&lt;&gt;"",AQ709&lt;&gt;"company",AQ709&lt;&gt;"llp"),"ROC is only for a company / LLP; ","")&amp;IF(AND(AA709="Yes",OR(AQ709="company",AQ709="llp"),TRIM(I709)=""),"ROC needs the CIN / LLPIN; ","")</f>
        <v/>
      </c>
    </row>
    <row r="710">
      <c r="A710" s="30" t="n"/>
      <c r="B710" s="31" t="n"/>
      <c r="C710" s="31" t="n"/>
      <c r="D710" s="31" t="n"/>
      <c r="E710" s="30" t="n"/>
      <c r="F710" s="30" t="n"/>
      <c r="G710" s="30" t="n"/>
      <c r="H710" s="30" t="n"/>
      <c r="I710" s="30" t="n"/>
      <c r="J710" s="32" t="n"/>
      <c r="K710" s="31" t="n"/>
      <c r="L710" s="30" t="n"/>
      <c r="M710" s="31" t="n"/>
      <c r="N710" s="31" t="n"/>
      <c r="O710" s="31" t="n"/>
      <c r="P710" s="30" t="n"/>
      <c r="Q710" s="31" t="n"/>
      <c r="R710" s="31" t="n"/>
      <c r="S710" s="31" t="n"/>
      <c r="T710" s="31" t="n"/>
      <c r="U710" s="30" t="n"/>
      <c r="V710" s="31" t="n"/>
      <c r="W710" s="31" t="n"/>
      <c r="X710" s="31" t="n"/>
      <c r="Y710" s="31" t="n"/>
      <c r="Z710" s="31" t="n"/>
      <c r="AA710" s="31" t="n"/>
      <c r="AB710" s="31" t="n"/>
      <c r="AC710" s="31" t="n"/>
      <c r="AD710" s="31" t="n"/>
      <c r="AE710" s="31" t="n"/>
      <c r="AF710" s="27">
        <f>IF(NOT(COUNTA(A710:AE710)&gt;0),"",IF(A710="","New client","Update"))</f>
        <v/>
      </c>
      <c r="AG710" s="27">
        <f>IF(AO710&lt;&gt;"",AO710,IF(LEN(AN710)=15,MID(AN710,3,10),""))</f>
        <v/>
      </c>
      <c r="AH710" s="27">
        <f>IF(AP710="","",AP710&amp;IF(D710="","  (guessed from PAN)",""))</f>
        <v/>
      </c>
      <c r="AI710" s="27">
        <f>IF(AN710="","",IFERROR(INDEX(Lists!$L$2:$L$38,MATCH(LEFT(AN710,2),Lists!$K$2:$K$38,0)),"Unknown code"))</f>
        <v/>
      </c>
      <c r="AJ710" s="27">
        <f>IF(AN710="","",IFERROR(IF(NOT(AND(LEN(AN710)=15,ISNUMBER(MATCH(LEFT(AN710,2),Lists!$K$2:$K$38,0)),SUMPRODUCT(--ISERROR(FIND(MID(MID(AN710,3,10),{1,2,3,4,5,10},1),"ABCDEFGHIJKLMNOPQRSTUVWXYZ")))=0,SUMPRODUCT(--ISERROR(FIND(MID(MID(AN710,3,10),{6,7,8,9},1),"0123456789")))=0,ISNUMBER(FIND(MID(AN710,13,1),"123456789ABCDEFGHIJKLMNOPQRSTUVWXYZ")),MID(AN710,14,1)="Z")),"Wrong format",IF(MID("0123456789ABCDEFGHIJKLMNOPQRSTUVWXYZ",MOD(36-MOD(SUMPRODUCT(INT((FIND(MID(AN710,{1,2,3,4,5,6,7,8,9,10,11,12,13,14},1),"0123456789ABCDEFGHIJKLMNOPQRSTUVWXYZ")-1)*{1,2,1,2,1,2,1,2,1,2,1,2,1,2}/36)+MOD((FIND(MID(AN710,{1,2,3,4,5,6,7,8,9,10,11,12,13,14},1),"0123456789ABCDEFGHIJKLMNOPQRSTUVWXYZ")-1)*{1,2,1,2,1,2,1,2,1,2,1,2,1,2},36)),36),36)+1,1)=MID(AN710,15,1),"OK","Typo? check digit wrong")),"Wrong format"))</f>
        <v/>
      </c>
      <c r="AK710" s="27">
        <f>IF(AO710="","",IF(AND(LEN(AO710)=10,SUMPRODUCT(--ISERROR(FIND(MID(AO710,{1,2,3,4,5,10},1),"ABCDEFGHIJKLMNOPQRSTUVWXYZ")))=0,SUMPRODUCT(--ISERROR(FIND(MID(AO710,{6,7,8,9},1),"0123456789")))=0),"OK","Wrong format"))</f>
        <v/>
      </c>
      <c r="AL710" s="27">
        <f>IF(TRIM(H710)="","",IF(AND(LEN(UPPER(TRIM(H710)))=10,SUMPRODUCT(--ISERROR(FIND(MID(UPPER(TRIM(H710)),{1,2,3,4,10},1),"ABCDEFGHIJKLMNOPQRSTUVWXYZ")))=0,SUMPRODUCT(--ISERROR(FIND(MID(UPPER(TRIM(H710)),{5,6,7,8,9},1),"0123456789")))=0),"OK","Wrong format"))</f>
        <v/>
      </c>
      <c r="AM710" s="28">
        <f>IF(NOT(COUNTA(A710:AE710)&gt;0),"",IF(AS710&lt;&gt;"","✖ "&amp;LEFT(AS710,LEN(AS710)-2),IF(AR710&gt;0,"✔ Ready — client + "&amp;AR710&amp;" service(s)","✔ Ready — client only")))</f>
        <v/>
      </c>
      <c r="AN710" s="29">
        <f>UPPER(SUBSTITUTE(TRIM(F710)," ",""))</f>
        <v/>
      </c>
      <c r="AO710" s="29">
        <f>UPPER(SUBSTITUTE(TRIM(E710)," ",""))</f>
        <v/>
      </c>
      <c r="AP710" s="29">
        <f>IF(D710&lt;&gt;"",D710,IFERROR(VLOOKUP(MID(AG710,4,1),Lists!$E$2:$F$8,2,FALSE),""))</f>
        <v/>
      </c>
      <c r="AQ710" s="29">
        <f>IFERROR(VLOOKUP(AP710,Lists!$A$2:$C$12,3,FALSE),"")</f>
        <v/>
      </c>
      <c r="AR710" s="29">
        <f>COUNTIF(W710:AC710,"Yes")</f>
        <v/>
      </c>
      <c r="AS710" s="29">
        <f>IF(TRIM(B710)="","Legal name missing; ","")&amp;IF(AND(AJ710&lt;&gt;"",AJ710&lt;&gt;"OK"),"GSTIN: "&amp;AJ710&amp;"; ","")&amp;IF(AND(AK710&lt;&gt;"",AK710&lt;&gt;"OK"),"PAN wrong format; ","")&amp;IF(AND(AO710&lt;&gt;"",LEN(AN710)=15,MID(AN710,3,10)&lt;&gt;AO710),"PAN does not match GSTIN; ","")&amp;IF(AND(AL710&lt;&gt;"",AL710&lt;&gt;"OK"),"TAN wrong format; ","")&amp;IF(AG710="","PAN missing; ","")&amp;IF(AP710="","Entity type missing; ","")&amp;IF(AND(AN710&lt;&gt;"",COUNTIF($AN$6:$AN$1005,AN710)&gt;1),"GSTIN repeated in this sheet; ","")&amp;IF(AND(AG710&lt;&gt;"",COUNTIF($AG$6:$AG$1005,AG710)&gt;1),"PAN repeated in this sheet (same client? put extra GSTINs in Other GSTINs); ","")&amp;IF(AND(AR710&gt;0,V710=""),"Financial year missing; ","")&amp;IF(AND(AR710=0,V710&lt;&gt;""),"Financial year given but no service is Yes; ","")&amp;IF(AND(W710="Yes",AN710=""),"GST needs a GSTIN; ","")&amp;IF(AND(W710="Yes",X710=""),"GST return frequency missing; ","")&amp;IF(AND(Y710="Yes",TRIM(H710)=""),"TDS needs a TAN; ","")&amp;IF(AND(AA710="Yes",AQ710&lt;&gt;"",AQ710&lt;&gt;"company",AQ710&lt;&gt;"llp"),"ROC is only for a company / LLP; ","")&amp;IF(AND(AA710="Yes",OR(AQ710="company",AQ710="llp"),TRIM(I710)=""),"ROC needs the CIN / LLPIN; ","")</f>
        <v/>
      </c>
    </row>
    <row r="711">
      <c r="A711" s="30" t="n"/>
      <c r="B711" s="31" t="n"/>
      <c r="C711" s="31" t="n"/>
      <c r="D711" s="31" t="n"/>
      <c r="E711" s="30" t="n"/>
      <c r="F711" s="30" t="n"/>
      <c r="G711" s="30" t="n"/>
      <c r="H711" s="30" t="n"/>
      <c r="I711" s="30" t="n"/>
      <c r="J711" s="32" t="n"/>
      <c r="K711" s="31" t="n"/>
      <c r="L711" s="30" t="n"/>
      <c r="M711" s="31" t="n"/>
      <c r="N711" s="31" t="n"/>
      <c r="O711" s="31" t="n"/>
      <c r="P711" s="30" t="n"/>
      <c r="Q711" s="31" t="n"/>
      <c r="R711" s="31" t="n"/>
      <c r="S711" s="31" t="n"/>
      <c r="T711" s="31" t="n"/>
      <c r="U711" s="30" t="n"/>
      <c r="V711" s="31" t="n"/>
      <c r="W711" s="31" t="n"/>
      <c r="X711" s="31" t="n"/>
      <c r="Y711" s="31" t="n"/>
      <c r="Z711" s="31" t="n"/>
      <c r="AA711" s="31" t="n"/>
      <c r="AB711" s="31" t="n"/>
      <c r="AC711" s="31" t="n"/>
      <c r="AD711" s="31" t="n"/>
      <c r="AE711" s="31" t="n"/>
      <c r="AF711" s="27">
        <f>IF(NOT(COUNTA(A711:AE711)&gt;0),"",IF(A711="","New client","Update"))</f>
        <v/>
      </c>
      <c r="AG711" s="27">
        <f>IF(AO711&lt;&gt;"",AO711,IF(LEN(AN711)=15,MID(AN711,3,10),""))</f>
        <v/>
      </c>
      <c r="AH711" s="27">
        <f>IF(AP711="","",AP711&amp;IF(D711="","  (guessed from PAN)",""))</f>
        <v/>
      </c>
      <c r="AI711" s="27">
        <f>IF(AN711="","",IFERROR(INDEX(Lists!$L$2:$L$38,MATCH(LEFT(AN711,2),Lists!$K$2:$K$38,0)),"Unknown code"))</f>
        <v/>
      </c>
      <c r="AJ711" s="27">
        <f>IF(AN711="","",IFERROR(IF(NOT(AND(LEN(AN711)=15,ISNUMBER(MATCH(LEFT(AN711,2),Lists!$K$2:$K$38,0)),SUMPRODUCT(--ISERROR(FIND(MID(MID(AN711,3,10),{1,2,3,4,5,10},1),"ABCDEFGHIJKLMNOPQRSTUVWXYZ")))=0,SUMPRODUCT(--ISERROR(FIND(MID(MID(AN711,3,10),{6,7,8,9},1),"0123456789")))=0,ISNUMBER(FIND(MID(AN711,13,1),"123456789ABCDEFGHIJKLMNOPQRSTUVWXYZ")),MID(AN711,14,1)="Z")),"Wrong format",IF(MID("0123456789ABCDEFGHIJKLMNOPQRSTUVWXYZ",MOD(36-MOD(SUMPRODUCT(INT((FIND(MID(AN711,{1,2,3,4,5,6,7,8,9,10,11,12,13,14},1),"0123456789ABCDEFGHIJKLMNOPQRSTUVWXYZ")-1)*{1,2,1,2,1,2,1,2,1,2,1,2,1,2}/36)+MOD((FIND(MID(AN711,{1,2,3,4,5,6,7,8,9,10,11,12,13,14},1),"0123456789ABCDEFGHIJKLMNOPQRSTUVWXYZ")-1)*{1,2,1,2,1,2,1,2,1,2,1,2,1,2},36)),36),36)+1,1)=MID(AN711,15,1),"OK","Typo? check digit wrong")),"Wrong format"))</f>
        <v/>
      </c>
      <c r="AK711" s="27">
        <f>IF(AO711="","",IF(AND(LEN(AO711)=10,SUMPRODUCT(--ISERROR(FIND(MID(AO711,{1,2,3,4,5,10},1),"ABCDEFGHIJKLMNOPQRSTUVWXYZ")))=0,SUMPRODUCT(--ISERROR(FIND(MID(AO711,{6,7,8,9},1),"0123456789")))=0),"OK","Wrong format"))</f>
        <v/>
      </c>
      <c r="AL711" s="27">
        <f>IF(TRIM(H711)="","",IF(AND(LEN(UPPER(TRIM(H711)))=10,SUMPRODUCT(--ISERROR(FIND(MID(UPPER(TRIM(H711)),{1,2,3,4,10},1),"ABCDEFGHIJKLMNOPQRSTUVWXYZ")))=0,SUMPRODUCT(--ISERROR(FIND(MID(UPPER(TRIM(H711)),{5,6,7,8,9},1),"0123456789")))=0),"OK","Wrong format"))</f>
        <v/>
      </c>
      <c r="AM711" s="28">
        <f>IF(NOT(COUNTA(A711:AE711)&gt;0),"",IF(AS711&lt;&gt;"","✖ "&amp;LEFT(AS711,LEN(AS711)-2),IF(AR711&gt;0,"✔ Ready — client + "&amp;AR711&amp;" service(s)","✔ Ready — client only")))</f>
        <v/>
      </c>
      <c r="AN711" s="29">
        <f>UPPER(SUBSTITUTE(TRIM(F711)," ",""))</f>
        <v/>
      </c>
      <c r="AO711" s="29">
        <f>UPPER(SUBSTITUTE(TRIM(E711)," ",""))</f>
        <v/>
      </c>
      <c r="AP711" s="29">
        <f>IF(D711&lt;&gt;"",D711,IFERROR(VLOOKUP(MID(AG711,4,1),Lists!$E$2:$F$8,2,FALSE),""))</f>
        <v/>
      </c>
      <c r="AQ711" s="29">
        <f>IFERROR(VLOOKUP(AP711,Lists!$A$2:$C$12,3,FALSE),"")</f>
        <v/>
      </c>
      <c r="AR711" s="29">
        <f>COUNTIF(W711:AC711,"Yes")</f>
        <v/>
      </c>
      <c r="AS711" s="29">
        <f>IF(TRIM(B711)="","Legal name missing; ","")&amp;IF(AND(AJ711&lt;&gt;"",AJ711&lt;&gt;"OK"),"GSTIN: "&amp;AJ711&amp;"; ","")&amp;IF(AND(AK711&lt;&gt;"",AK711&lt;&gt;"OK"),"PAN wrong format; ","")&amp;IF(AND(AO711&lt;&gt;"",LEN(AN711)=15,MID(AN711,3,10)&lt;&gt;AO711),"PAN does not match GSTIN; ","")&amp;IF(AND(AL711&lt;&gt;"",AL711&lt;&gt;"OK"),"TAN wrong format; ","")&amp;IF(AG711="","PAN missing; ","")&amp;IF(AP711="","Entity type missing; ","")&amp;IF(AND(AN711&lt;&gt;"",COUNTIF($AN$6:$AN$1005,AN711)&gt;1),"GSTIN repeated in this sheet; ","")&amp;IF(AND(AG711&lt;&gt;"",COUNTIF($AG$6:$AG$1005,AG711)&gt;1),"PAN repeated in this sheet (same client? put extra GSTINs in Other GSTINs); ","")&amp;IF(AND(AR711&gt;0,V711=""),"Financial year missing; ","")&amp;IF(AND(AR711=0,V711&lt;&gt;""),"Financial year given but no service is Yes; ","")&amp;IF(AND(W711="Yes",AN711=""),"GST needs a GSTIN; ","")&amp;IF(AND(W711="Yes",X711=""),"GST return frequency missing; ","")&amp;IF(AND(Y711="Yes",TRIM(H711)=""),"TDS needs a TAN; ","")&amp;IF(AND(AA711="Yes",AQ711&lt;&gt;"",AQ711&lt;&gt;"company",AQ711&lt;&gt;"llp"),"ROC is only for a company / LLP; ","")&amp;IF(AND(AA711="Yes",OR(AQ711="company",AQ711="llp"),TRIM(I711)=""),"ROC needs the CIN / LLPIN; ","")</f>
        <v/>
      </c>
    </row>
    <row r="712">
      <c r="A712" s="30" t="n"/>
      <c r="B712" s="31" t="n"/>
      <c r="C712" s="31" t="n"/>
      <c r="D712" s="31" t="n"/>
      <c r="E712" s="30" t="n"/>
      <c r="F712" s="30" t="n"/>
      <c r="G712" s="30" t="n"/>
      <c r="H712" s="30" t="n"/>
      <c r="I712" s="30" t="n"/>
      <c r="J712" s="32" t="n"/>
      <c r="K712" s="31" t="n"/>
      <c r="L712" s="30" t="n"/>
      <c r="M712" s="31" t="n"/>
      <c r="N712" s="31" t="n"/>
      <c r="O712" s="31" t="n"/>
      <c r="P712" s="30" t="n"/>
      <c r="Q712" s="31" t="n"/>
      <c r="R712" s="31" t="n"/>
      <c r="S712" s="31" t="n"/>
      <c r="T712" s="31" t="n"/>
      <c r="U712" s="30" t="n"/>
      <c r="V712" s="31" t="n"/>
      <c r="W712" s="31" t="n"/>
      <c r="X712" s="31" t="n"/>
      <c r="Y712" s="31" t="n"/>
      <c r="Z712" s="31" t="n"/>
      <c r="AA712" s="31" t="n"/>
      <c r="AB712" s="31" t="n"/>
      <c r="AC712" s="31" t="n"/>
      <c r="AD712" s="31" t="n"/>
      <c r="AE712" s="31" t="n"/>
      <c r="AF712" s="27">
        <f>IF(NOT(COUNTA(A712:AE712)&gt;0),"",IF(A712="","New client","Update"))</f>
        <v/>
      </c>
      <c r="AG712" s="27">
        <f>IF(AO712&lt;&gt;"",AO712,IF(LEN(AN712)=15,MID(AN712,3,10),""))</f>
        <v/>
      </c>
      <c r="AH712" s="27">
        <f>IF(AP712="","",AP712&amp;IF(D712="","  (guessed from PAN)",""))</f>
        <v/>
      </c>
      <c r="AI712" s="27">
        <f>IF(AN712="","",IFERROR(INDEX(Lists!$L$2:$L$38,MATCH(LEFT(AN712,2),Lists!$K$2:$K$38,0)),"Unknown code"))</f>
        <v/>
      </c>
      <c r="AJ712" s="27">
        <f>IF(AN712="","",IFERROR(IF(NOT(AND(LEN(AN712)=15,ISNUMBER(MATCH(LEFT(AN712,2),Lists!$K$2:$K$38,0)),SUMPRODUCT(--ISERROR(FIND(MID(MID(AN712,3,10),{1,2,3,4,5,10},1),"ABCDEFGHIJKLMNOPQRSTUVWXYZ")))=0,SUMPRODUCT(--ISERROR(FIND(MID(MID(AN712,3,10),{6,7,8,9},1),"0123456789")))=0,ISNUMBER(FIND(MID(AN712,13,1),"123456789ABCDEFGHIJKLMNOPQRSTUVWXYZ")),MID(AN712,14,1)="Z")),"Wrong format",IF(MID("0123456789ABCDEFGHIJKLMNOPQRSTUVWXYZ",MOD(36-MOD(SUMPRODUCT(INT((FIND(MID(AN712,{1,2,3,4,5,6,7,8,9,10,11,12,13,14},1),"0123456789ABCDEFGHIJKLMNOPQRSTUVWXYZ")-1)*{1,2,1,2,1,2,1,2,1,2,1,2,1,2}/36)+MOD((FIND(MID(AN712,{1,2,3,4,5,6,7,8,9,10,11,12,13,14},1),"0123456789ABCDEFGHIJKLMNOPQRSTUVWXYZ")-1)*{1,2,1,2,1,2,1,2,1,2,1,2,1,2},36)),36),36)+1,1)=MID(AN712,15,1),"OK","Typo? check digit wrong")),"Wrong format"))</f>
        <v/>
      </c>
      <c r="AK712" s="27">
        <f>IF(AO712="","",IF(AND(LEN(AO712)=10,SUMPRODUCT(--ISERROR(FIND(MID(AO712,{1,2,3,4,5,10},1),"ABCDEFGHIJKLMNOPQRSTUVWXYZ")))=0,SUMPRODUCT(--ISERROR(FIND(MID(AO712,{6,7,8,9},1),"0123456789")))=0),"OK","Wrong format"))</f>
        <v/>
      </c>
      <c r="AL712" s="27">
        <f>IF(TRIM(H712)="","",IF(AND(LEN(UPPER(TRIM(H712)))=10,SUMPRODUCT(--ISERROR(FIND(MID(UPPER(TRIM(H712)),{1,2,3,4,10},1),"ABCDEFGHIJKLMNOPQRSTUVWXYZ")))=0,SUMPRODUCT(--ISERROR(FIND(MID(UPPER(TRIM(H712)),{5,6,7,8,9},1),"0123456789")))=0),"OK","Wrong format"))</f>
        <v/>
      </c>
      <c r="AM712" s="28">
        <f>IF(NOT(COUNTA(A712:AE712)&gt;0),"",IF(AS712&lt;&gt;"","✖ "&amp;LEFT(AS712,LEN(AS712)-2),IF(AR712&gt;0,"✔ Ready — client + "&amp;AR712&amp;" service(s)","✔ Ready — client only")))</f>
        <v/>
      </c>
      <c r="AN712" s="29">
        <f>UPPER(SUBSTITUTE(TRIM(F712)," ",""))</f>
        <v/>
      </c>
      <c r="AO712" s="29">
        <f>UPPER(SUBSTITUTE(TRIM(E712)," ",""))</f>
        <v/>
      </c>
      <c r="AP712" s="29">
        <f>IF(D712&lt;&gt;"",D712,IFERROR(VLOOKUP(MID(AG712,4,1),Lists!$E$2:$F$8,2,FALSE),""))</f>
        <v/>
      </c>
      <c r="AQ712" s="29">
        <f>IFERROR(VLOOKUP(AP712,Lists!$A$2:$C$12,3,FALSE),"")</f>
        <v/>
      </c>
      <c r="AR712" s="29">
        <f>COUNTIF(W712:AC712,"Yes")</f>
        <v/>
      </c>
      <c r="AS712" s="29">
        <f>IF(TRIM(B712)="","Legal name missing; ","")&amp;IF(AND(AJ712&lt;&gt;"",AJ712&lt;&gt;"OK"),"GSTIN: "&amp;AJ712&amp;"; ","")&amp;IF(AND(AK712&lt;&gt;"",AK712&lt;&gt;"OK"),"PAN wrong format; ","")&amp;IF(AND(AO712&lt;&gt;"",LEN(AN712)=15,MID(AN712,3,10)&lt;&gt;AO712),"PAN does not match GSTIN; ","")&amp;IF(AND(AL712&lt;&gt;"",AL712&lt;&gt;"OK"),"TAN wrong format; ","")&amp;IF(AG712="","PAN missing; ","")&amp;IF(AP712="","Entity type missing; ","")&amp;IF(AND(AN712&lt;&gt;"",COUNTIF($AN$6:$AN$1005,AN712)&gt;1),"GSTIN repeated in this sheet; ","")&amp;IF(AND(AG712&lt;&gt;"",COUNTIF($AG$6:$AG$1005,AG712)&gt;1),"PAN repeated in this sheet (same client? put extra GSTINs in Other GSTINs); ","")&amp;IF(AND(AR712&gt;0,V712=""),"Financial year missing; ","")&amp;IF(AND(AR712=0,V712&lt;&gt;""),"Financial year given but no service is Yes; ","")&amp;IF(AND(W712="Yes",AN712=""),"GST needs a GSTIN; ","")&amp;IF(AND(W712="Yes",X712=""),"GST return frequency missing; ","")&amp;IF(AND(Y712="Yes",TRIM(H712)=""),"TDS needs a TAN; ","")&amp;IF(AND(AA712="Yes",AQ712&lt;&gt;"",AQ712&lt;&gt;"company",AQ712&lt;&gt;"llp"),"ROC is only for a company / LLP; ","")&amp;IF(AND(AA712="Yes",OR(AQ712="company",AQ712="llp"),TRIM(I712)=""),"ROC needs the CIN / LLPIN; ","")</f>
        <v/>
      </c>
    </row>
    <row r="713">
      <c r="A713" s="30" t="n"/>
      <c r="B713" s="31" t="n"/>
      <c r="C713" s="31" t="n"/>
      <c r="D713" s="31" t="n"/>
      <c r="E713" s="30" t="n"/>
      <c r="F713" s="30" t="n"/>
      <c r="G713" s="30" t="n"/>
      <c r="H713" s="30" t="n"/>
      <c r="I713" s="30" t="n"/>
      <c r="J713" s="32" t="n"/>
      <c r="K713" s="31" t="n"/>
      <c r="L713" s="30" t="n"/>
      <c r="M713" s="31" t="n"/>
      <c r="N713" s="31" t="n"/>
      <c r="O713" s="31" t="n"/>
      <c r="P713" s="30" t="n"/>
      <c r="Q713" s="31" t="n"/>
      <c r="R713" s="31" t="n"/>
      <c r="S713" s="31" t="n"/>
      <c r="T713" s="31" t="n"/>
      <c r="U713" s="30" t="n"/>
      <c r="V713" s="31" t="n"/>
      <c r="W713" s="31" t="n"/>
      <c r="X713" s="31" t="n"/>
      <c r="Y713" s="31" t="n"/>
      <c r="Z713" s="31" t="n"/>
      <c r="AA713" s="31" t="n"/>
      <c r="AB713" s="31" t="n"/>
      <c r="AC713" s="31" t="n"/>
      <c r="AD713" s="31" t="n"/>
      <c r="AE713" s="31" t="n"/>
      <c r="AF713" s="27">
        <f>IF(NOT(COUNTA(A713:AE713)&gt;0),"",IF(A713="","New client","Update"))</f>
        <v/>
      </c>
      <c r="AG713" s="27">
        <f>IF(AO713&lt;&gt;"",AO713,IF(LEN(AN713)=15,MID(AN713,3,10),""))</f>
        <v/>
      </c>
      <c r="AH713" s="27">
        <f>IF(AP713="","",AP713&amp;IF(D713="","  (guessed from PAN)",""))</f>
        <v/>
      </c>
      <c r="AI713" s="27">
        <f>IF(AN713="","",IFERROR(INDEX(Lists!$L$2:$L$38,MATCH(LEFT(AN713,2),Lists!$K$2:$K$38,0)),"Unknown code"))</f>
        <v/>
      </c>
      <c r="AJ713" s="27">
        <f>IF(AN713="","",IFERROR(IF(NOT(AND(LEN(AN713)=15,ISNUMBER(MATCH(LEFT(AN713,2),Lists!$K$2:$K$38,0)),SUMPRODUCT(--ISERROR(FIND(MID(MID(AN713,3,10),{1,2,3,4,5,10},1),"ABCDEFGHIJKLMNOPQRSTUVWXYZ")))=0,SUMPRODUCT(--ISERROR(FIND(MID(MID(AN713,3,10),{6,7,8,9},1),"0123456789")))=0,ISNUMBER(FIND(MID(AN713,13,1),"123456789ABCDEFGHIJKLMNOPQRSTUVWXYZ")),MID(AN713,14,1)="Z")),"Wrong format",IF(MID("0123456789ABCDEFGHIJKLMNOPQRSTUVWXYZ",MOD(36-MOD(SUMPRODUCT(INT((FIND(MID(AN713,{1,2,3,4,5,6,7,8,9,10,11,12,13,14},1),"0123456789ABCDEFGHIJKLMNOPQRSTUVWXYZ")-1)*{1,2,1,2,1,2,1,2,1,2,1,2,1,2}/36)+MOD((FIND(MID(AN713,{1,2,3,4,5,6,7,8,9,10,11,12,13,14},1),"0123456789ABCDEFGHIJKLMNOPQRSTUVWXYZ")-1)*{1,2,1,2,1,2,1,2,1,2,1,2,1,2},36)),36),36)+1,1)=MID(AN713,15,1),"OK","Typo? check digit wrong")),"Wrong format"))</f>
        <v/>
      </c>
      <c r="AK713" s="27">
        <f>IF(AO713="","",IF(AND(LEN(AO713)=10,SUMPRODUCT(--ISERROR(FIND(MID(AO713,{1,2,3,4,5,10},1),"ABCDEFGHIJKLMNOPQRSTUVWXYZ")))=0,SUMPRODUCT(--ISERROR(FIND(MID(AO713,{6,7,8,9},1),"0123456789")))=0),"OK","Wrong format"))</f>
        <v/>
      </c>
      <c r="AL713" s="27">
        <f>IF(TRIM(H713)="","",IF(AND(LEN(UPPER(TRIM(H713)))=10,SUMPRODUCT(--ISERROR(FIND(MID(UPPER(TRIM(H713)),{1,2,3,4,10},1),"ABCDEFGHIJKLMNOPQRSTUVWXYZ")))=0,SUMPRODUCT(--ISERROR(FIND(MID(UPPER(TRIM(H713)),{5,6,7,8,9},1),"0123456789")))=0),"OK","Wrong format"))</f>
        <v/>
      </c>
      <c r="AM713" s="28">
        <f>IF(NOT(COUNTA(A713:AE713)&gt;0),"",IF(AS713&lt;&gt;"","✖ "&amp;LEFT(AS713,LEN(AS713)-2),IF(AR713&gt;0,"✔ Ready — client + "&amp;AR713&amp;" service(s)","✔ Ready — client only")))</f>
        <v/>
      </c>
      <c r="AN713" s="29">
        <f>UPPER(SUBSTITUTE(TRIM(F713)," ",""))</f>
        <v/>
      </c>
      <c r="AO713" s="29">
        <f>UPPER(SUBSTITUTE(TRIM(E713)," ",""))</f>
        <v/>
      </c>
      <c r="AP713" s="29">
        <f>IF(D713&lt;&gt;"",D713,IFERROR(VLOOKUP(MID(AG713,4,1),Lists!$E$2:$F$8,2,FALSE),""))</f>
        <v/>
      </c>
      <c r="AQ713" s="29">
        <f>IFERROR(VLOOKUP(AP713,Lists!$A$2:$C$12,3,FALSE),"")</f>
        <v/>
      </c>
      <c r="AR713" s="29">
        <f>COUNTIF(W713:AC713,"Yes")</f>
        <v/>
      </c>
      <c r="AS713" s="29">
        <f>IF(TRIM(B713)="","Legal name missing; ","")&amp;IF(AND(AJ713&lt;&gt;"",AJ713&lt;&gt;"OK"),"GSTIN: "&amp;AJ713&amp;"; ","")&amp;IF(AND(AK713&lt;&gt;"",AK713&lt;&gt;"OK"),"PAN wrong format; ","")&amp;IF(AND(AO713&lt;&gt;"",LEN(AN713)=15,MID(AN713,3,10)&lt;&gt;AO713),"PAN does not match GSTIN; ","")&amp;IF(AND(AL713&lt;&gt;"",AL713&lt;&gt;"OK"),"TAN wrong format; ","")&amp;IF(AG713="","PAN missing; ","")&amp;IF(AP713="","Entity type missing; ","")&amp;IF(AND(AN713&lt;&gt;"",COUNTIF($AN$6:$AN$1005,AN713)&gt;1),"GSTIN repeated in this sheet; ","")&amp;IF(AND(AG713&lt;&gt;"",COUNTIF($AG$6:$AG$1005,AG713)&gt;1),"PAN repeated in this sheet (same client? put extra GSTINs in Other GSTINs); ","")&amp;IF(AND(AR713&gt;0,V713=""),"Financial year missing; ","")&amp;IF(AND(AR713=0,V713&lt;&gt;""),"Financial year given but no service is Yes; ","")&amp;IF(AND(W713="Yes",AN713=""),"GST needs a GSTIN; ","")&amp;IF(AND(W713="Yes",X713=""),"GST return frequency missing; ","")&amp;IF(AND(Y713="Yes",TRIM(H713)=""),"TDS needs a TAN; ","")&amp;IF(AND(AA713="Yes",AQ713&lt;&gt;"",AQ713&lt;&gt;"company",AQ713&lt;&gt;"llp"),"ROC is only for a company / LLP; ","")&amp;IF(AND(AA713="Yes",OR(AQ713="company",AQ713="llp"),TRIM(I713)=""),"ROC needs the CIN / LLPIN; ","")</f>
        <v/>
      </c>
    </row>
    <row r="714">
      <c r="A714" s="30" t="n"/>
      <c r="B714" s="31" t="n"/>
      <c r="C714" s="31" t="n"/>
      <c r="D714" s="31" t="n"/>
      <c r="E714" s="30" t="n"/>
      <c r="F714" s="30" t="n"/>
      <c r="G714" s="30" t="n"/>
      <c r="H714" s="30" t="n"/>
      <c r="I714" s="30" t="n"/>
      <c r="J714" s="32" t="n"/>
      <c r="K714" s="31" t="n"/>
      <c r="L714" s="30" t="n"/>
      <c r="M714" s="31" t="n"/>
      <c r="N714" s="31" t="n"/>
      <c r="O714" s="31" t="n"/>
      <c r="P714" s="30" t="n"/>
      <c r="Q714" s="31" t="n"/>
      <c r="R714" s="31" t="n"/>
      <c r="S714" s="31" t="n"/>
      <c r="T714" s="31" t="n"/>
      <c r="U714" s="30" t="n"/>
      <c r="V714" s="31" t="n"/>
      <c r="W714" s="31" t="n"/>
      <c r="X714" s="31" t="n"/>
      <c r="Y714" s="31" t="n"/>
      <c r="Z714" s="31" t="n"/>
      <c r="AA714" s="31" t="n"/>
      <c r="AB714" s="31" t="n"/>
      <c r="AC714" s="31" t="n"/>
      <c r="AD714" s="31" t="n"/>
      <c r="AE714" s="31" t="n"/>
      <c r="AF714" s="27">
        <f>IF(NOT(COUNTA(A714:AE714)&gt;0),"",IF(A714="","New client","Update"))</f>
        <v/>
      </c>
      <c r="AG714" s="27">
        <f>IF(AO714&lt;&gt;"",AO714,IF(LEN(AN714)=15,MID(AN714,3,10),""))</f>
        <v/>
      </c>
      <c r="AH714" s="27">
        <f>IF(AP714="","",AP714&amp;IF(D714="","  (guessed from PAN)",""))</f>
        <v/>
      </c>
      <c r="AI714" s="27">
        <f>IF(AN714="","",IFERROR(INDEX(Lists!$L$2:$L$38,MATCH(LEFT(AN714,2),Lists!$K$2:$K$38,0)),"Unknown code"))</f>
        <v/>
      </c>
      <c r="AJ714" s="27">
        <f>IF(AN714="","",IFERROR(IF(NOT(AND(LEN(AN714)=15,ISNUMBER(MATCH(LEFT(AN714,2),Lists!$K$2:$K$38,0)),SUMPRODUCT(--ISERROR(FIND(MID(MID(AN714,3,10),{1,2,3,4,5,10},1),"ABCDEFGHIJKLMNOPQRSTUVWXYZ")))=0,SUMPRODUCT(--ISERROR(FIND(MID(MID(AN714,3,10),{6,7,8,9},1),"0123456789")))=0,ISNUMBER(FIND(MID(AN714,13,1),"123456789ABCDEFGHIJKLMNOPQRSTUVWXYZ")),MID(AN714,14,1)="Z")),"Wrong format",IF(MID("0123456789ABCDEFGHIJKLMNOPQRSTUVWXYZ",MOD(36-MOD(SUMPRODUCT(INT((FIND(MID(AN714,{1,2,3,4,5,6,7,8,9,10,11,12,13,14},1),"0123456789ABCDEFGHIJKLMNOPQRSTUVWXYZ")-1)*{1,2,1,2,1,2,1,2,1,2,1,2,1,2}/36)+MOD((FIND(MID(AN714,{1,2,3,4,5,6,7,8,9,10,11,12,13,14},1),"0123456789ABCDEFGHIJKLMNOPQRSTUVWXYZ")-1)*{1,2,1,2,1,2,1,2,1,2,1,2,1,2},36)),36),36)+1,1)=MID(AN714,15,1),"OK","Typo? check digit wrong")),"Wrong format"))</f>
        <v/>
      </c>
      <c r="AK714" s="27">
        <f>IF(AO714="","",IF(AND(LEN(AO714)=10,SUMPRODUCT(--ISERROR(FIND(MID(AO714,{1,2,3,4,5,10},1),"ABCDEFGHIJKLMNOPQRSTUVWXYZ")))=0,SUMPRODUCT(--ISERROR(FIND(MID(AO714,{6,7,8,9},1),"0123456789")))=0),"OK","Wrong format"))</f>
        <v/>
      </c>
      <c r="AL714" s="27">
        <f>IF(TRIM(H714)="","",IF(AND(LEN(UPPER(TRIM(H714)))=10,SUMPRODUCT(--ISERROR(FIND(MID(UPPER(TRIM(H714)),{1,2,3,4,10},1),"ABCDEFGHIJKLMNOPQRSTUVWXYZ")))=0,SUMPRODUCT(--ISERROR(FIND(MID(UPPER(TRIM(H714)),{5,6,7,8,9},1),"0123456789")))=0),"OK","Wrong format"))</f>
        <v/>
      </c>
      <c r="AM714" s="28">
        <f>IF(NOT(COUNTA(A714:AE714)&gt;0),"",IF(AS714&lt;&gt;"","✖ "&amp;LEFT(AS714,LEN(AS714)-2),IF(AR714&gt;0,"✔ Ready — client + "&amp;AR714&amp;" service(s)","✔ Ready — client only")))</f>
        <v/>
      </c>
      <c r="AN714" s="29">
        <f>UPPER(SUBSTITUTE(TRIM(F714)," ",""))</f>
        <v/>
      </c>
      <c r="AO714" s="29">
        <f>UPPER(SUBSTITUTE(TRIM(E714)," ",""))</f>
        <v/>
      </c>
      <c r="AP714" s="29">
        <f>IF(D714&lt;&gt;"",D714,IFERROR(VLOOKUP(MID(AG714,4,1),Lists!$E$2:$F$8,2,FALSE),""))</f>
        <v/>
      </c>
      <c r="AQ714" s="29">
        <f>IFERROR(VLOOKUP(AP714,Lists!$A$2:$C$12,3,FALSE),"")</f>
        <v/>
      </c>
      <c r="AR714" s="29">
        <f>COUNTIF(W714:AC714,"Yes")</f>
        <v/>
      </c>
      <c r="AS714" s="29">
        <f>IF(TRIM(B714)="","Legal name missing; ","")&amp;IF(AND(AJ714&lt;&gt;"",AJ714&lt;&gt;"OK"),"GSTIN: "&amp;AJ714&amp;"; ","")&amp;IF(AND(AK714&lt;&gt;"",AK714&lt;&gt;"OK"),"PAN wrong format; ","")&amp;IF(AND(AO714&lt;&gt;"",LEN(AN714)=15,MID(AN714,3,10)&lt;&gt;AO714),"PAN does not match GSTIN; ","")&amp;IF(AND(AL714&lt;&gt;"",AL714&lt;&gt;"OK"),"TAN wrong format; ","")&amp;IF(AG714="","PAN missing; ","")&amp;IF(AP714="","Entity type missing; ","")&amp;IF(AND(AN714&lt;&gt;"",COUNTIF($AN$6:$AN$1005,AN714)&gt;1),"GSTIN repeated in this sheet; ","")&amp;IF(AND(AG714&lt;&gt;"",COUNTIF($AG$6:$AG$1005,AG714)&gt;1),"PAN repeated in this sheet (same client? put extra GSTINs in Other GSTINs); ","")&amp;IF(AND(AR714&gt;0,V714=""),"Financial year missing; ","")&amp;IF(AND(AR714=0,V714&lt;&gt;""),"Financial year given but no service is Yes; ","")&amp;IF(AND(W714="Yes",AN714=""),"GST needs a GSTIN; ","")&amp;IF(AND(W714="Yes",X714=""),"GST return frequency missing; ","")&amp;IF(AND(Y714="Yes",TRIM(H714)=""),"TDS needs a TAN; ","")&amp;IF(AND(AA714="Yes",AQ714&lt;&gt;"",AQ714&lt;&gt;"company",AQ714&lt;&gt;"llp"),"ROC is only for a company / LLP; ","")&amp;IF(AND(AA714="Yes",OR(AQ714="company",AQ714="llp"),TRIM(I714)=""),"ROC needs the CIN / LLPIN; ","")</f>
        <v/>
      </c>
    </row>
    <row r="715">
      <c r="A715" s="30" t="n"/>
      <c r="B715" s="31" t="n"/>
      <c r="C715" s="31" t="n"/>
      <c r="D715" s="31" t="n"/>
      <c r="E715" s="30" t="n"/>
      <c r="F715" s="30" t="n"/>
      <c r="G715" s="30" t="n"/>
      <c r="H715" s="30" t="n"/>
      <c r="I715" s="30" t="n"/>
      <c r="J715" s="32" t="n"/>
      <c r="K715" s="31" t="n"/>
      <c r="L715" s="30" t="n"/>
      <c r="M715" s="31" t="n"/>
      <c r="N715" s="31" t="n"/>
      <c r="O715" s="31" t="n"/>
      <c r="P715" s="30" t="n"/>
      <c r="Q715" s="31" t="n"/>
      <c r="R715" s="31" t="n"/>
      <c r="S715" s="31" t="n"/>
      <c r="T715" s="31" t="n"/>
      <c r="U715" s="30" t="n"/>
      <c r="V715" s="31" t="n"/>
      <c r="W715" s="31" t="n"/>
      <c r="X715" s="31" t="n"/>
      <c r="Y715" s="31" t="n"/>
      <c r="Z715" s="31" t="n"/>
      <c r="AA715" s="31" t="n"/>
      <c r="AB715" s="31" t="n"/>
      <c r="AC715" s="31" t="n"/>
      <c r="AD715" s="31" t="n"/>
      <c r="AE715" s="31" t="n"/>
      <c r="AF715" s="27">
        <f>IF(NOT(COUNTA(A715:AE715)&gt;0),"",IF(A715="","New client","Update"))</f>
        <v/>
      </c>
      <c r="AG715" s="27">
        <f>IF(AO715&lt;&gt;"",AO715,IF(LEN(AN715)=15,MID(AN715,3,10),""))</f>
        <v/>
      </c>
      <c r="AH715" s="27">
        <f>IF(AP715="","",AP715&amp;IF(D715="","  (guessed from PAN)",""))</f>
        <v/>
      </c>
      <c r="AI715" s="27">
        <f>IF(AN715="","",IFERROR(INDEX(Lists!$L$2:$L$38,MATCH(LEFT(AN715,2),Lists!$K$2:$K$38,0)),"Unknown code"))</f>
        <v/>
      </c>
      <c r="AJ715" s="27">
        <f>IF(AN715="","",IFERROR(IF(NOT(AND(LEN(AN715)=15,ISNUMBER(MATCH(LEFT(AN715,2),Lists!$K$2:$K$38,0)),SUMPRODUCT(--ISERROR(FIND(MID(MID(AN715,3,10),{1,2,3,4,5,10},1),"ABCDEFGHIJKLMNOPQRSTUVWXYZ")))=0,SUMPRODUCT(--ISERROR(FIND(MID(MID(AN715,3,10),{6,7,8,9},1),"0123456789")))=0,ISNUMBER(FIND(MID(AN715,13,1),"123456789ABCDEFGHIJKLMNOPQRSTUVWXYZ")),MID(AN715,14,1)="Z")),"Wrong format",IF(MID("0123456789ABCDEFGHIJKLMNOPQRSTUVWXYZ",MOD(36-MOD(SUMPRODUCT(INT((FIND(MID(AN715,{1,2,3,4,5,6,7,8,9,10,11,12,13,14},1),"0123456789ABCDEFGHIJKLMNOPQRSTUVWXYZ")-1)*{1,2,1,2,1,2,1,2,1,2,1,2,1,2}/36)+MOD((FIND(MID(AN715,{1,2,3,4,5,6,7,8,9,10,11,12,13,14},1),"0123456789ABCDEFGHIJKLMNOPQRSTUVWXYZ")-1)*{1,2,1,2,1,2,1,2,1,2,1,2,1,2},36)),36),36)+1,1)=MID(AN715,15,1),"OK","Typo? check digit wrong")),"Wrong format"))</f>
        <v/>
      </c>
      <c r="AK715" s="27">
        <f>IF(AO715="","",IF(AND(LEN(AO715)=10,SUMPRODUCT(--ISERROR(FIND(MID(AO715,{1,2,3,4,5,10},1),"ABCDEFGHIJKLMNOPQRSTUVWXYZ")))=0,SUMPRODUCT(--ISERROR(FIND(MID(AO715,{6,7,8,9},1),"0123456789")))=0),"OK","Wrong format"))</f>
        <v/>
      </c>
      <c r="AL715" s="27">
        <f>IF(TRIM(H715)="","",IF(AND(LEN(UPPER(TRIM(H715)))=10,SUMPRODUCT(--ISERROR(FIND(MID(UPPER(TRIM(H715)),{1,2,3,4,10},1),"ABCDEFGHIJKLMNOPQRSTUVWXYZ")))=0,SUMPRODUCT(--ISERROR(FIND(MID(UPPER(TRIM(H715)),{5,6,7,8,9},1),"0123456789")))=0),"OK","Wrong format"))</f>
        <v/>
      </c>
      <c r="AM715" s="28">
        <f>IF(NOT(COUNTA(A715:AE715)&gt;0),"",IF(AS715&lt;&gt;"","✖ "&amp;LEFT(AS715,LEN(AS715)-2),IF(AR715&gt;0,"✔ Ready — client + "&amp;AR715&amp;" service(s)","✔ Ready — client only")))</f>
        <v/>
      </c>
      <c r="AN715" s="29">
        <f>UPPER(SUBSTITUTE(TRIM(F715)," ",""))</f>
        <v/>
      </c>
      <c r="AO715" s="29">
        <f>UPPER(SUBSTITUTE(TRIM(E715)," ",""))</f>
        <v/>
      </c>
      <c r="AP715" s="29">
        <f>IF(D715&lt;&gt;"",D715,IFERROR(VLOOKUP(MID(AG715,4,1),Lists!$E$2:$F$8,2,FALSE),""))</f>
        <v/>
      </c>
      <c r="AQ715" s="29">
        <f>IFERROR(VLOOKUP(AP715,Lists!$A$2:$C$12,3,FALSE),"")</f>
        <v/>
      </c>
      <c r="AR715" s="29">
        <f>COUNTIF(W715:AC715,"Yes")</f>
        <v/>
      </c>
      <c r="AS715" s="29">
        <f>IF(TRIM(B715)="","Legal name missing; ","")&amp;IF(AND(AJ715&lt;&gt;"",AJ715&lt;&gt;"OK"),"GSTIN: "&amp;AJ715&amp;"; ","")&amp;IF(AND(AK715&lt;&gt;"",AK715&lt;&gt;"OK"),"PAN wrong format; ","")&amp;IF(AND(AO715&lt;&gt;"",LEN(AN715)=15,MID(AN715,3,10)&lt;&gt;AO715),"PAN does not match GSTIN; ","")&amp;IF(AND(AL715&lt;&gt;"",AL715&lt;&gt;"OK"),"TAN wrong format; ","")&amp;IF(AG715="","PAN missing; ","")&amp;IF(AP715="","Entity type missing; ","")&amp;IF(AND(AN715&lt;&gt;"",COUNTIF($AN$6:$AN$1005,AN715)&gt;1),"GSTIN repeated in this sheet; ","")&amp;IF(AND(AG715&lt;&gt;"",COUNTIF($AG$6:$AG$1005,AG715)&gt;1),"PAN repeated in this sheet (same client? put extra GSTINs in Other GSTINs); ","")&amp;IF(AND(AR715&gt;0,V715=""),"Financial year missing; ","")&amp;IF(AND(AR715=0,V715&lt;&gt;""),"Financial year given but no service is Yes; ","")&amp;IF(AND(W715="Yes",AN715=""),"GST needs a GSTIN; ","")&amp;IF(AND(W715="Yes",X715=""),"GST return frequency missing; ","")&amp;IF(AND(Y715="Yes",TRIM(H715)=""),"TDS needs a TAN; ","")&amp;IF(AND(AA715="Yes",AQ715&lt;&gt;"",AQ715&lt;&gt;"company",AQ715&lt;&gt;"llp"),"ROC is only for a company / LLP; ","")&amp;IF(AND(AA715="Yes",OR(AQ715="company",AQ715="llp"),TRIM(I715)=""),"ROC needs the CIN / LLPIN; ","")</f>
        <v/>
      </c>
    </row>
    <row r="716">
      <c r="A716" s="30" t="n"/>
      <c r="B716" s="31" t="n"/>
      <c r="C716" s="31" t="n"/>
      <c r="D716" s="31" t="n"/>
      <c r="E716" s="30" t="n"/>
      <c r="F716" s="30" t="n"/>
      <c r="G716" s="30" t="n"/>
      <c r="H716" s="30" t="n"/>
      <c r="I716" s="30" t="n"/>
      <c r="J716" s="32" t="n"/>
      <c r="K716" s="31" t="n"/>
      <c r="L716" s="30" t="n"/>
      <c r="M716" s="31" t="n"/>
      <c r="N716" s="31" t="n"/>
      <c r="O716" s="31" t="n"/>
      <c r="P716" s="30" t="n"/>
      <c r="Q716" s="31" t="n"/>
      <c r="R716" s="31" t="n"/>
      <c r="S716" s="31" t="n"/>
      <c r="T716" s="31" t="n"/>
      <c r="U716" s="30" t="n"/>
      <c r="V716" s="31" t="n"/>
      <c r="W716" s="31" t="n"/>
      <c r="X716" s="31" t="n"/>
      <c r="Y716" s="31" t="n"/>
      <c r="Z716" s="31" t="n"/>
      <c r="AA716" s="31" t="n"/>
      <c r="AB716" s="31" t="n"/>
      <c r="AC716" s="31" t="n"/>
      <c r="AD716" s="31" t="n"/>
      <c r="AE716" s="31" t="n"/>
      <c r="AF716" s="27">
        <f>IF(NOT(COUNTA(A716:AE716)&gt;0),"",IF(A716="","New client","Update"))</f>
        <v/>
      </c>
      <c r="AG716" s="27">
        <f>IF(AO716&lt;&gt;"",AO716,IF(LEN(AN716)=15,MID(AN716,3,10),""))</f>
        <v/>
      </c>
      <c r="AH716" s="27">
        <f>IF(AP716="","",AP716&amp;IF(D716="","  (guessed from PAN)",""))</f>
        <v/>
      </c>
      <c r="AI716" s="27">
        <f>IF(AN716="","",IFERROR(INDEX(Lists!$L$2:$L$38,MATCH(LEFT(AN716,2),Lists!$K$2:$K$38,0)),"Unknown code"))</f>
        <v/>
      </c>
      <c r="AJ716" s="27">
        <f>IF(AN716="","",IFERROR(IF(NOT(AND(LEN(AN716)=15,ISNUMBER(MATCH(LEFT(AN716,2),Lists!$K$2:$K$38,0)),SUMPRODUCT(--ISERROR(FIND(MID(MID(AN716,3,10),{1,2,3,4,5,10},1),"ABCDEFGHIJKLMNOPQRSTUVWXYZ")))=0,SUMPRODUCT(--ISERROR(FIND(MID(MID(AN716,3,10),{6,7,8,9},1),"0123456789")))=0,ISNUMBER(FIND(MID(AN716,13,1),"123456789ABCDEFGHIJKLMNOPQRSTUVWXYZ")),MID(AN716,14,1)="Z")),"Wrong format",IF(MID("0123456789ABCDEFGHIJKLMNOPQRSTUVWXYZ",MOD(36-MOD(SUMPRODUCT(INT((FIND(MID(AN716,{1,2,3,4,5,6,7,8,9,10,11,12,13,14},1),"0123456789ABCDEFGHIJKLMNOPQRSTUVWXYZ")-1)*{1,2,1,2,1,2,1,2,1,2,1,2,1,2}/36)+MOD((FIND(MID(AN716,{1,2,3,4,5,6,7,8,9,10,11,12,13,14},1),"0123456789ABCDEFGHIJKLMNOPQRSTUVWXYZ")-1)*{1,2,1,2,1,2,1,2,1,2,1,2,1,2},36)),36),36)+1,1)=MID(AN716,15,1),"OK","Typo? check digit wrong")),"Wrong format"))</f>
        <v/>
      </c>
      <c r="AK716" s="27">
        <f>IF(AO716="","",IF(AND(LEN(AO716)=10,SUMPRODUCT(--ISERROR(FIND(MID(AO716,{1,2,3,4,5,10},1),"ABCDEFGHIJKLMNOPQRSTUVWXYZ")))=0,SUMPRODUCT(--ISERROR(FIND(MID(AO716,{6,7,8,9},1),"0123456789")))=0),"OK","Wrong format"))</f>
        <v/>
      </c>
      <c r="AL716" s="27">
        <f>IF(TRIM(H716)="","",IF(AND(LEN(UPPER(TRIM(H716)))=10,SUMPRODUCT(--ISERROR(FIND(MID(UPPER(TRIM(H716)),{1,2,3,4,10},1),"ABCDEFGHIJKLMNOPQRSTUVWXYZ")))=0,SUMPRODUCT(--ISERROR(FIND(MID(UPPER(TRIM(H716)),{5,6,7,8,9},1),"0123456789")))=0),"OK","Wrong format"))</f>
        <v/>
      </c>
      <c r="AM716" s="28">
        <f>IF(NOT(COUNTA(A716:AE716)&gt;0),"",IF(AS716&lt;&gt;"","✖ "&amp;LEFT(AS716,LEN(AS716)-2),IF(AR716&gt;0,"✔ Ready — client + "&amp;AR716&amp;" service(s)","✔ Ready — client only")))</f>
        <v/>
      </c>
      <c r="AN716" s="29">
        <f>UPPER(SUBSTITUTE(TRIM(F716)," ",""))</f>
        <v/>
      </c>
      <c r="AO716" s="29">
        <f>UPPER(SUBSTITUTE(TRIM(E716)," ",""))</f>
        <v/>
      </c>
      <c r="AP716" s="29">
        <f>IF(D716&lt;&gt;"",D716,IFERROR(VLOOKUP(MID(AG716,4,1),Lists!$E$2:$F$8,2,FALSE),""))</f>
        <v/>
      </c>
      <c r="AQ716" s="29">
        <f>IFERROR(VLOOKUP(AP716,Lists!$A$2:$C$12,3,FALSE),"")</f>
        <v/>
      </c>
      <c r="AR716" s="29">
        <f>COUNTIF(W716:AC716,"Yes")</f>
        <v/>
      </c>
      <c r="AS716" s="29">
        <f>IF(TRIM(B716)="","Legal name missing; ","")&amp;IF(AND(AJ716&lt;&gt;"",AJ716&lt;&gt;"OK"),"GSTIN: "&amp;AJ716&amp;"; ","")&amp;IF(AND(AK716&lt;&gt;"",AK716&lt;&gt;"OK"),"PAN wrong format; ","")&amp;IF(AND(AO716&lt;&gt;"",LEN(AN716)=15,MID(AN716,3,10)&lt;&gt;AO716),"PAN does not match GSTIN; ","")&amp;IF(AND(AL716&lt;&gt;"",AL716&lt;&gt;"OK"),"TAN wrong format; ","")&amp;IF(AG716="","PAN missing; ","")&amp;IF(AP716="","Entity type missing; ","")&amp;IF(AND(AN716&lt;&gt;"",COUNTIF($AN$6:$AN$1005,AN716)&gt;1),"GSTIN repeated in this sheet; ","")&amp;IF(AND(AG716&lt;&gt;"",COUNTIF($AG$6:$AG$1005,AG716)&gt;1),"PAN repeated in this sheet (same client? put extra GSTINs in Other GSTINs); ","")&amp;IF(AND(AR716&gt;0,V716=""),"Financial year missing; ","")&amp;IF(AND(AR716=0,V716&lt;&gt;""),"Financial year given but no service is Yes; ","")&amp;IF(AND(W716="Yes",AN716=""),"GST needs a GSTIN; ","")&amp;IF(AND(W716="Yes",X716=""),"GST return frequency missing; ","")&amp;IF(AND(Y716="Yes",TRIM(H716)=""),"TDS needs a TAN; ","")&amp;IF(AND(AA716="Yes",AQ716&lt;&gt;"",AQ716&lt;&gt;"company",AQ716&lt;&gt;"llp"),"ROC is only for a company / LLP; ","")&amp;IF(AND(AA716="Yes",OR(AQ716="company",AQ716="llp"),TRIM(I716)=""),"ROC needs the CIN / LLPIN; ","")</f>
        <v/>
      </c>
    </row>
    <row r="717">
      <c r="A717" s="30" t="n"/>
      <c r="B717" s="31" t="n"/>
      <c r="C717" s="31" t="n"/>
      <c r="D717" s="31" t="n"/>
      <c r="E717" s="30" t="n"/>
      <c r="F717" s="30" t="n"/>
      <c r="G717" s="30" t="n"/>
      <c r="H717" s="30" t="n"/>
      <c r="I717" s="30" t="n"/>
      <c r="J717" s="32" t="n"/>
      <c r="K717" s="31" t="n"/>
      <c r="L717" s="30" t="n"/>
      <c r="M717" s="31" t="n"/>
      <c r="N717" s="31" t="n"/>
      <c r="O717" s="31" t="n"/>
      <c r="P717" s="30" t="n"/>
      <c r="Q717" s="31" t="n"/>
      <c r="R717" s="31" t="n"/>
      <c r="S717" s="31" t="n"/>
      <c r="T717" s="31" t="n"/>
      <c r="U717" s="30" t="n"/>
      <c r="V717" s="31" t="n"/>
      <c r="W717" s="31" t="n"/>
      <c r="X717" s="31" t="n"/>
      <c r="Y717" s="31" t="n"/>
      <c r="Z717" s="31" t="n"/>
      <c r="AA717" s="31" t="n"/>
      <c r="AB717" s="31" t="n"/>
      <c r="AC717" s="31" t="n"/>
      <c r="AD717" s="31" t="n"/>
      <c r="AE717" s="31" t="n"/>
      <c r="AF717" s="27">
        <f>IF(NOT(COUNTA(A717:AE717)&gt;0),"",IF(A717="","New client","Update"))</f>
        <v/>
      </c>
      <c r="AG717" s="27">
        <f>IF(AO717&lt;&gt;"",AO717,IF(LEN(AN717)=15,MID(AN717,3,10),""))</f>
        <v/>
      </c>
      <c r="AH717" s="27">
        <f>IF(AP717="","",AP717&amp;IF(D717="","  (guessed from PAN)",""))</f>
        <v/>
      </c>
      <c r="AI717" s="27">
        <f>IF(AN717="","",IFERROR(INDEX(Lists!$L$2:$L$38,MATCH(LEFT(AN717,2),Lists!$K$2:$K$38,0)),"Unknown code"))</f>
        <v/>
      </c>
      <c r="AJ717" s="27">
        <f>IF(AN717="","",IFERROR(IF(NOT(AND(LEN(AN717)=15,ISNUMBER(MATCH(LEFT(AN717,2),Lists!$K$2:$K$38,0)),SUMPRODUCT(--ISERROR(FIND(MID(MID(AN717,3,10),{1,2,3,4,5,10},1),"ABCDEFGHIJKLMNOPQRSTUVWXYZ")))=0,SUMPRODUCT(--ISERROR(FIND(MID(MID(AN717,3,10),{6,7,8,9},1),"0123456789")))=0,ISNUMBER(FIND(MID(AN717,13,1),"123456789ABCDEFGHIJKLMNOPQRSTUVWXYZ")),MID(AN717,14,1)="Z")),"Wrong format",IF(MID("0123456789ABCDEFGHIJKLMNOPQRSTUVWXYZ",MOD(36-MOD(SUMPRODUCT(INT((FIND(MID(AN717,{1,2,3,4,5,6,7,8,9,10,11,12,13,14},1),"0123456789ABCDEFGHIJKLMNOPQRSTUVWXYZ")-1)*{1,2,1,2,1,2,1,2,1,2,1,2,1,2}/36)+MOD((FIND(MID(AN717,{1,2,3,4,5,6,7,8,9,10,11,12,13,14},1),"0123456789ABCDEFGHIJKLMNOPQRSTUVWXYZ")-1)*{1,2,1,2,1,2,1,2,1,2,1,2,1,2},36)),36),36)+1,1)=MID(AN717,15,1),"OK","Typo? check digit wrong")),"Wrong format"))</f>
        <v/>
      </c>
      <c r="AK717" s="27">
        <f>IF(AO717="","",IF(AND(LEN(AO717)=10,SUMPRODUCT(--ISERROR(FIND(MID(AO717,{1,2,3,4,5,10},1),"ABCDEFGHIJKLMNOPQRSTUVWXYZ")))=0,SUMPRODUCT(--ISERROR(FIND(MID(AO717,{6,7,8,9},1),"0123456789")))=0),"OK","Wrong format"))</f>
        <v/>
      </c>
      <c r="AL717" s="27">
        <f>IF(TRIM(H717)="","",IF(AND(LEN(UPPER(TRIM(H717)))=10,SUMPRODUCT(--ISERROR(FIND(MID(UPPER(TRIM(H717)),{1,2,3,4,10},1),"ABCDEFGHIJKLMNOPQRSTUVWXYZ")))=0,SUMPRODUCT(--ISERROR(FIND(MID(UPPER(TRIM(H717)),{5,6,7,8,9},1),"0123456789")))=0),"OK","Wrong format"))</f>
        <v/>
      </c>
      <c r="AM717" s="28">
        <f>IF(NOT(COUNTA(A717:AE717)&gt;0),"",IF(AS717&lt;&gt;"","✖ "&amp;LEFT(AS717,LEN(AS717)-2),IF(AR717&gt;0,"✔ Ready — client + "&amp;AR717&amp;" service(s)","✔ Ready — client only")))</f>
        <v/>
      </c>
      <c r="AN717" s="29">
        <f>UPPER(SUBSTITUTE(TRIM(F717)," ",""))</f>
        <v/>
      </c>
      <c r="AO717" s="29">
        <f>UPPER(SUBSTITUTE(TRIM(E717)," ",""))</f>
        <v/>
      </c>
      <c r="AP717" s="29">
        <f>IF(D717&lt;&gt;"",D717,IFERROR(VLOOKUP(MID(AG717,4,1),Lists!$E$2:$F$8,2,FALSE),""))</f>
        <v/>
      </c>
      <c r="AQ717" s="29">
        <f>IFERROR(VLOOKUP(AP717,Lists!$A$2:$C$12,3,FALSE),"")</f>
        <v/>
      </c>
      <c r="AR717" s="29">
        <f>COUNTIF(W717:AC717,"Yes")</f>
        <v/>
      </c>
      <c r="AS717" s="29">
        <f>IF(TRIM(B717)="","Legal name missing; ","")&amp;IF(AND(AJ717&lt;&gt;"",AJ717&lt;&gt;"OK"),"GSTIN: "&amp;AJ717&amp;"; ","")&amp;IF(AND(AK717&lt;&gt;"",AK717&lt;&gt;"OK"),"PAN wrong format; ","")&amp;IF(AND(AO717&lt;&gt;"",LEN(AN717)=15,MID(AN717,3,10)&lt;&gt;AO717),"PAN does not match GSTIN; ","")&amp;IF(AND(AL717&lt;&gt;"",AL717&lt;&gt;"OK"),"TAN wrong format; ","")&amp;IF(AG717="","PAN missing; ","")&amp;IF(AP717="","Entity type missing; ","")&amp;IF(AND(AN717&lt;&gt;"",COUNTIF($AN$6:$AN$1005,AN717)&gt;1),"GSTIN repeated in this sheet; ","")&amp;IF(AND(AG717&lt;&gt;"",COUNTIF($AG$6:$AG$1005,AG717)&gt;1),"PAN repeated in this sheet (same client? put extra GSTINs in Other GSTINs); ","")&amp;IF(AND(AR717&gt;0,V717=""),"Financial year missing; ","")&amp;IF(AND(AR717=0,V717&lt;&gt;""),"Financial year given but no service is Yes; ","")&amp;IF(AND(W717="Yes",AN717=""),"GST needs a GSTIN; ","")&amp;IF(AND(W717="Yes",X717=""),"GST return frequency missing; ","")&amp;IF(AND(Y717="Yes",TRIM(H717)=""),"TDS needs a TAN; ","")&amp;IF(AND(AA717="Yes",AQ717&lt;&gt;"",AQ717&lt;&gt;"company",AQ717&lt;&gt;"llp"),"ROC is only for a company / LLP; ","")&amp;IF(AND(AA717="Yes",OR(AQ717="company",AQ717="llp"),TRIM(I717)=""),"ROC needs the CIN / LLPIN; ","")</f>
        <v/>
      </c>
    </row>
    <row r="718">
      <c r="A718" s="30" t="n"/>
      <c r="B718" s="31" t="n"/>
      <c r="C718" s="31" t="n"/>
      <c r="D718" s="31" t="n"/>
      <c r="E718" s="30" t="n"/>
      <c r="F718" s="30" t="n"/>
      <c r="G718" s="30" t="n"/>
      <c r="H718" s="30" t="n"/>
      <c r="I718" s="30" t="n"/>
      <c r="J718" s="32" t="n"/>
      <c r="K718" s="31" t="n"/>
      <c r="L718" s="30" t="n"/>
      <c r="M718" s="31" t="n"/>
      <c r="N718" s="31" t="n"/>
      <c r="O718" s="31" t="n"/>
      <c r="P718" s="30" t="n"/>
      <c r="Q718" s="31" t="n"/>
      <c r="R718" s="31" t="n"/>
      <c r="S718" s="31" t="n"/>
      <c r="T718" s="31" t="n"/>
      <c r="U718" s="30" t="n"/>
      <c r="V718" s="31" t="n"/>
      <c r="W718" s="31" t="n"/>
      <c r="X718" s="31" t="n"/>
      <c r="Y718" s="31" t="n"/>
      <c r="Z718" s="31" t="n"/>
      <c r="AA718" s="31" t="n"/>
      <c r="AB718" s="31" t="n"/>
      <c r="AC718" s="31" t="n"/>
      <c r="AD718" s="31" t="n"/>
      <c r="AE718" s="31" t="n"/>
      <c r="AF718" s="27">
        <f>IF(NOT(COUNTA(A718:AE718)&gt;0),"",IF(A718="","New client","Update"))</f>
        <v/>
      </c>
      <c r="AG718" s="27">
        <f>IF(AO718&lt;&gt;"",AO718,IF(LEN(AN718)=15,MID(AN718,3,10),""))</f>
        <v/>
      </c>
      <c r="AH718" s="27">
        <f>IF(AP718="","",AP718&amp;IF(D718="","  (guessed from PAN)",""))</f>
        <v/>
      </c>
      <c r="AI718" s="27">
        <f>IF(AN718="","",IFERROR(INDEX(Lists!$L$2:$L$38,MATCH(LEFT(AN718,2),Lists!$K$2:$K$38,0)),"Unknown code"))</f>
        <v/>
      </c>
      <c r="AJ718" s="27">
        <f>IF(AN718="","",IFERROR(IF(NOT(AND(LEN(AN718)=15,ISNUMBER(MATCH(LEFT(AN718,2),Lists!$K$2:$K$38,0)),SUMPRODUCT(--ISERROR(FIND(MID(MID(AN718,3,10),{1,2,3,4,5,10},1),"ABCDEFGHIJKLMNOPQRSTUVWXYZ")))=0,SUMPRODUCT(--ISERROR(FIND(MID(MID(AN718,3,10),{6,7,8,9},1),"0123456789")))=0,ISNUMBER(FIND(MID(AN718,13,1),"123456789ABCDEFGHIJKLMNOPQRSTUVWXYZ")),MID(AN718,14,1)="Z")),"Wrong format",IF(MID("0123456789ABCDEFGHIJKLMNOPQRSTUVWXYZ",MOD(36-MOD(SUMPRODUCT(INT((FIND(MID(AN718,{1,2,3,4,5,6,7,8,9,10,11,12,13,14},1),"0123456789ABCDEFGHIJKLMNOPQRSTUVWXYZ")-1)*{1,2,1,2,1,2,1,2,1,2,1,2,1,2}/36)+MOD((FIND(MID(AN718,{1,2,3,4,5,6,7,8,9,10,11,12,13,14},1),"0123456789ABCDEFGHIJKLMNOPQRSTUVWXYZ")-1)*{1,2,1,2,1,2,1,2,1,2,1,2,1,2},36)),36),36)+1,1)=MID(AN718,15,1),"OK","Typo? check digit wrong")),"Wrong format"))</f>
        <v/>
      </c>
      <c r="AK718" s="27">
        <f>IF(AO718="","",IF(AND(LEN(AO718)=10,SUMPRODUCT(--ISERROR(FIND(MID(AO718,{1,2,3,4,5,10},1),"ABCDEFGHIJKLMNOPQRSTUVWXYZ")))=0,SUMPRODUCT(--ISERROR(FIND(MID(AO718,{6,7,8,9},1),"0123456789")))=0),"OK","Wrong format"))</f>
        <v/>
      </c>
      <c r="AL718" s="27">
        <f>IF(TRIM(H718)="","",IF(AND(LEN(UPPER(TRIM(H718)))=10,SUMPRODUCT(--ISERROR(FIND(MID(UPPER(TRIM(H718)),{1,2,3,4,10},1),"ABCDEFGHIJKLMNOPQRSTUVWXYZ")))=0,SUMPRODUCT(--ISERROR(FIND(MID(UPPER(TRIM(H718)),{5,6,7,8,9},1),"0123456789")))=0),"OK","Wrong format"))</f>
        <v/>
      </c>
      <c r="AM718" s="28">
        <f>IF(NOT(COUNTA(A718:AE718)&gt;0),"",IF(AS718&lt;&gt;"","✖ "&amp;LEFT(AS718,LEN(AS718)-2),IF(AR718&gt;0,"✔ Ready — client + "&amp;AR718&amp;" service(s)","✔ Ready — client only")))</f>
        <v/>
      </c>
      <c r="AN718" s="29">
        <f>UPPER(SUBSTITUTE(TRIM(F718)," ",""))</f>
        <v/>
      </c>
      <c r="AO718" s="29">
        <f>UPPER(SUBSTITUTE(TRIM(E718)," ",""))</f>
        <v/>
      </c>
      <c r="AP718" s="29">
        <f>IF(D718&lt;&gt;"",D718,IFERROR(VLOOKUP(MID(AG718,4,1),Lists!$E$2:$F$8,2,FALSE),""))</f>
        <v/>
      </c>
      <c r="AQ718" s="29">
        <f>IFERROR(VLOOKUP(AP718,Lists!$A$2:$C$12,3,FALSE),"")</f>
        <v/>
      </c>
      <c r="AR718" s="29">
        <f>COUNTIF(W718:AC718,"Yes")</f>
        <v/>
      </c>
      <c r="AS718" s="29">
        <f>IF(TRIM(B718)="","Legal name missing; ","")&amp;IF(AND(AJ718&lt;&gt;"",AJ718&lt;&gt;"OK"),"GSTIN: "&amp;AJ718&amp;"; ","")&amp;IF(AND(AK718&lt;&gt;"",AK718&lt;&gt;"OK"),"PAN wrong format; ","")&amp;IF(AND(AO718&lt;&gt;"",LEN(AN718)=15,MID(AN718,3,10)&lt;&gt;AO718),"PAN does not match GSTIN; ","")&amp;IF(AND(AL718&lt;&gt;"",AL718&lt;&gt;"OK"),"TAN wrong format; ","")&amp;IF(AG718="","PAN missing; ","")&amp;IF(AP718="","Entity type missing; ","")&amp;IF(AND(AN718&lt;&gt;"",COUNTIF($AN$6:$AN$1005,AN718)&gt;1),"GSTIN repeated in this sheet; ","")&amp;IF(AND(AG718&lt;&gt;"",COUNTIF($AG$6:$AG$1005,AG718)&gt;1),"PAN repeated in this sheet (same client? put extra GSTINs in Other GSTINs); ","")&amp;IF(AND(AR718&gt;0,V718=""),"Financial year missing; ","")&amp;IF(AND(AR718=0,V718&lt;&gt;""),"Financial year given but no service is Yes; ","")&amp;IF(AND(W718="Yes",AN718=""),"GST needs a GSTIN; ","")&amp;IF(AND(W718="Yes",X718=""),"GST return frequency missing; ","")&amp;IF(AND(Y718="Yes",TRIM(H718)=""),"TDS needs a TAN; ","")&amp;IF(AND(AA718="Yes",AQ718&lt;&gt;"",AQ718&lt;&gt;"company",AQ718&lt;&gt;"llp"),"ROC is only for a company / LLP; ","")&amp;IF(AND(AA718="Yes",OR(AQ718="company",AQ718="llp"),TRIM(I718)=""),"ROC needs the CIN / LLPIN; ","")</f>
        <v/>
      </c>
    </row>
    <row r="719">
      <c r="A719" s="30" t="n"/>
      <c r="B719" s="31" t="n"/>
      <c r="C719" s="31" t="n"/>
      <c r="D719" s="31" t="n"/>
      <c r="E719" s="30" t="n"/>
      <c r="F719" s="30" t="n"/>
      <c r="G719" s="30" t="n"/>
      <c r="H719" s="30" t="n"/>
      <c r="I719" s="30" t="n"/>
      <c r="J719" s="32" t="n"/>
      <c r="K719" s="31" t="n"/>
      <c r="L719" s="30" t="n"/>
      <c r="M719" s="31" t="n"/>
      <c r="N719" s="31" t="n"/>
      <c r="O719" s="31" t="n"/>
      <c r="P719" s="30" t="n"/>
      <c r="Q719" s="31" t="n"/>
      <c r="R719" s="31" t="n"/>
      <c r="S719" s="31" t="n"/>
      <c r="T719" s="31" t="n"/>
      <c r="U719" s="30" t="n"/>
      <c r="V719" s="31" t="n"/>
      <c r="W719" s="31" t="n"/>
      <c r="X719" s="31" t="n"/>
      <c r="Y719" s="31" t="n"/>
      <c r="Z719" s="31" t="n"/>
      <c r="AA719" s="31" t="n"/>
      <c r="AB719" s="31" t="n"/>
      <c r="AC719" s="31" t="n"/>
      <c r="AD719" s="31" t="n"/>
      <c r="AE719" s="31" t="n"/>
      <c r="AF719" s="27">
        <f>IF(NOT(COUNTA(A719:AE719)&gt;0),"",IF(A719="","New client","Update"))</f>
        <v/>
      </c>
      <c r="AG719" s="27">
        <f>IF(AO719&lt;&gt;"",AO719,IF(LEN(AN719)=15,MID(AN719,3,10),""))</f>
        <v/>
      </c>
      <c r="AH719" s="27">
        <f>IF(AP719="","",AP719&amp;IF(D719="","  (guessed from PAN)",""))</f>
        <v/>
      </c>
      <c r="AI719" s="27">
        <f>IF(AN719="","",IFERROR(INDEX(Lists!$L$2:$L$38,MATCH(LEFT(AN719,2),Lists!$K$2:$K$38,0)),"Unknown code"))</f>
        <v/>
      </c>
      <c r="AJ719" s="27">
        <f>IF(AN719="","",IFERROR(IF(NOT(AND(LEN(AN719)=15,ISNUMBER(MATCH(LEFT(AN719,2),Lists!$K$2:$K$38,0)),SUMPRODUCT(--ISERROR(FIND(MID(MID(AN719,3,10),{1,2,3,4,5,10},1),"ABCDEFGHIJKLMNOPQRSTUVWXYZ")))=0,SUMPRODUCT(--ISERROR(FIND(MID(MID(AN719,3,10),{6,7,8,9},1),"0123456789")))=0,ISNUMBER(FIND(MID(AN719,13,1),"123456789ABCDEFGHIJKLMNOPQRSTUVWXYZ")),MID(AN719,14,1)="Z")),"Wrong format",IF(MID("0123456789ABCDEFGHIJKLMNOPQRSTUVWXYZ",MOD(36-MOD(SUMPRODUCT(INT((FIND(MID(AN719,{1,2,3,4,5,6,7,8,9,10,11,12,13,14},1),"0123456789ABCDEFGHIJKLMNOPQRSTUVWXYZ")-1)*{1,2,1,2,1,2,1,2,1,2,1,2,1,2}/36)+MOD((FIND(MID(AN719,{1,2,3,4,5,6,7,8,9,10,11,12,13,14},1),"0123456789ABCDEFGHIJKLMNOPQRSTUVWXYZ")-1)*{1,2,1,2,1,2,1,2,1,2,1,2,1,2},36)),36),36)+1,1)=MID(AN719,15,1),"OK","Typo? check digit wrong")),"Wrong format"))</f>
        <v/>
      </c>
      <c r="AK719" s="27">
        <f>IF(AO719="","",IF(AND(LEN(AO719)=10,SUMPRODUCT(--ISERROR(FIND(MID(AO719,{1,2,3,4,5,10},1),"ABCDEFGHIJKLMNOPQRSTUVWXYZ")))=0,SUMPRODUCT(--ISERROR(FIND(MID(AO719,{6,7,8,9},1),"0123456789")))=0),"OK","Wrong format"))</f>
        <v/>
      </c>
      <c r="AL719" s="27">
        <f>IF(TRIM(H719)="","",IF(AND(LEN(UPPER(TRIM(H719)))=10,SUMPRODUCT(--ISERROR(FIND(MID(UPPER(TRIM(H719)),{1,2,3,4,10},1),"ABCDEFGHIJKLMNOPQRSTUVWXYZ")))=0,SUMPRODUCT(--ISERROR(FIND(MID(UPPER(TRIM(H719)),{5,6,7,8,9},1),"0123456789")))=0),"OK","Wrong format"))</f>
        <v/>
      </c>
      <c r="AM719" s="28">
        <f>IF(NOT(COUNTA(A719:AE719)&gt;0),"",IF(AS719&lt;&gt;"","✖ "&amp;LEFT(AS719,LEN(AS719)-2),IF(AR719&gt;0,"✔ Ready — client + "&amp;AR719&amp;" service(s)","✔ Ready — client only")))</f>
        <v/>
      </c>
      <c r="AN719" s="29">
        <f>UPPER(SUBSTITUTE(TRIM(F719)," ",""))</f>
        <v/>
      </c>
      <c r="AO719" s="29">
        <f>UPPER(SUBSTITUTE(TRIM(E719)," ",""))</f>
        <v/>
      </c>
      <c r="AP719" s="29">
        <f>IF(D719&lt;&gt;"",D719,IFERROR(VLOOKUP(MID(AG719,4,1),Lists!$E$2:$F$8,2,FALSE),""))</f>
        <v/>
      </c>
      <c r="AQ719" s="29">
        <f>IFERROR(VLOOKUP(AP719,Lists!$A$2:$C$12,3,FALSE),"")</f>
        <v/>
      </c>
      <c r="AR719" s="29">
        <f>COUNTIF(W719:AC719,"Yes")</f>
        <v/>
      </c>
      <c r="AS719" s="29">
        <f>IF(TRIM(B719)="","Legal name missing; ","")&amp;IF(AND(AJ719&lt;&gt;"",AJ719&lt;&gt;"OK"),"GSTIN: "&amp;AJ719&amp;"; ","")&amp;IF(AND(AK719&lt;&gt;"",AK719&lt;&gt;"OK"),"PAN wrong format; ","")&amp;IF(AND(AO719&lt;&gt;"",LEN(AN719)=15,MID(AN719,3,10)&lt;&gt;AO719),"PAN does not match GSTIN; ","")&amp;IF(AND(AL719&lt;&gt;"",AL719&lt;&gt;"OK"),"TAN wrong format; ","")&amp;IF(AG719="","PAN missing; ","")&amp;IF(AP719="","Entity type missing; ","")&amp;IF(AND(AN719&lt;&gt;"",COUNTIF($AN$6:$AN$1005,AN719)&gt;1),"GSTIN repeated in this sheet; ","")&amp;IF(AND(AG719&lt;&gt;"",COUNTIF($AG$6:$AG$1005,AG719)&gt;1),"PAN repeated in this sheet (same client? put extra GSTINs in Other GSTINs); ","")&amp;IF(AND(AR719&gt;0,V719=""),"Financial year missing; ","")&amp;IF(AND(AR719=0,V719&lt;&gt;""),"Financial year given but no service is Yes; ","")&amp;IF(AND(W719="Yes",AN719=""),"GST needs a GSTIN; ","")&amp;IF(AND(W719="Yes",X719=""),"GST return frequency missing; ","")&amp;IF(AND(Y719="Yes",TRIM(H719)=""),"TDS needs a TAN; ","")&amp;IF(AND(AA719="Yes",AQ719&lt;&gt;"",AQ719&lt;&gt;"company",AQ719&lt;&gt;"llp"),"ROC is only for a company / LLP; ","")&amp;IF(AND(AA719="Yes",OR(AQ719="company",AQ719="llp"),TRIM(I719)=""),"ROC needs the CIN / LLPIN; ","")</f>
        <v/>
      </c>
    </row>
    <row r="720">
      <c r="A720" s="30" t="n"/>
      <c r="B720" s="31" t="n"/>
      <c r="C720" s="31" t="n"/>
      <c r="D720" s="31" t="n"/>
      <c r="E720" s="30" t="n"/>
      <c r="F720" s="30" t="n"/>
      <c r="G720" s="30" t="n"/>
      <c r="H720" s="30" t="n"/>
      <c r="I720" s="30" t="n"/>
      <c r="J720" s="32" t="n"/>
      <c r="K720" s="31" t="n"/>
      <c r="L720" s="30" t="n"/>
      <c r="M720" s="31" t="n"/>
      <c r="N720" s="31" t="n"/>
      <c r="O720" s="31" t="n"/>
      <c r="P720" s="30" t="n"/>
      <c r="Q720" s="31" t="n"/>
      <c r="R720" s="31" t="n"/>
      <c r="S720" s="31" t="n"/>
      <c r="T720" s="31" t="n"/>
      <c r="U720" s="30" t="n"/>
      <c r="V720" s="31" t="n"/>
      <c r="W720" s="31" t="n"/>
      <c r="X720" s="31" t="n"/>
      <c r="Y720" s="31" t="n"/>
      <c r="Z720" s="31" t="n"/>
      <c r="AA720" s="31" t="n"/>
      <c r="AB720" s="31" t="n"/>
      <c r="AC720" s="31" t="n"/>
      <c r="AD720" s="31" t="n"/>
      <c r="AE720" s="31" t="n"/>
      <c r="AF720" s="27">
        <f>IF(NOT(COUNTA(A720:AE720)&gt;0),"",IF(A720="","New client","Update"))</f>
        <v/>
      </c>
      <c r="AG720" s="27">
        <f>IF(AO720&lt;&gt;"",AO720,IF(LEN(AN720)=15,MID(AN720,3,10),""))</f>
        <v/>
      </c>
      <c r="AH720" s="27">
        <f>IF(AP720="","",AP720&amp;IF(D720="","  (guessed from PAN)",""))</f>
        <v/>
      </c>
      <c r="AI720" s="27">
        <f>IF(AN720="","",IFERROR(INDEX(Lists!$L$2:$L$38,MATCH(LEFT(AN720,2),Lists!$K$2:$K$38,0)),"Unknown code"))</f>
        <v/>
      </c>
      <c r="AJ720" s="27">
        <f>IF(AN720="","",IFERROR(IF(NOT(AND(LEN(AN720)=15,ISNUMBER(MATCH(LEFT(AN720,2),Lists!$K$2:$K$38,0)),SUMPRODUCT(--ISERROR(FIND(MID(MID(AN720,3,10),{1,2,3,4,5,10},1),"ABCDEFGHIJKLMNOPQRSTUVWXYZ")))=0,SUMPRODUCT(--ISERROR(FIND(MID(MID(AN720,3,10),{6,7,8,9},1),"0123456789")))=0,ISNUMBER(FIND(MID(AN720,13,1),"123456789ABCDEFGHIJKLMNOPQRSTUVWXYZ")),MID(AN720,14,1)="Z")),"Wrong format",IF(MID("0123456789ABCDEFGHIJKLMNOPQRSTUVWXYZ",MOD(36-MOD(SUMPRODUCT(INT((FIND(MID(AN720,{1,2,3,4,5,6,7,8,9,10,11,12,13,14},1),"0123456789ABCDEFGHIJKLMNOPQRSTUVWXYZ")-1)*{1,2,1,2,1,2,1,2,1,2,1,2,1,2}/36)+MOD((FIND(MID(AN720,{1,2,3,4,5,6,7,8,9,10,11,12,13,14},1),"0123456789ABCDEFGHIJKLMNOPQRSTUVWXYZ")-1)*{1,2,1,2,1,2,1,2,1,2,1,2,1,2},36)),36),36)+1,1)=MID(AN720,15,1),"OK","Typo? check digit wrong")),"Wrong format"))</f>
        <v/>
      </c>
      <c r="AK720" s="27">
        <f>IF(AO720="","",IF(AND(LEN(AO720)=10,SUMPRODUCT(--ISERROR(FIND(MID(AO720,{1,2,3,4,5,10},1),"ABCDEFGHIJKLMNOPQRSTUVWXYZ")))=0,SUMPRODUCT(--ISERROR(FIND(MID(AO720,{6,7,8,9},1),"0123456789")))=0),"OK","Wrong format"))</f>
        <v/>
      </c>
      <c r="AL720" s="27">
        <f>IF(TRIM(H720)="","",IF(AND(LEN(UPPER(TRIM(H720)))=10,SUMPRODUCT(--ISERROR(FIND(MID(UPPER(TRIM(H720)),{1,2,3,4,10},1),"ABCDEFGHIJKLMNOPQRSTUVWXYZ")))=0,SUMPRODUCT(--ISERROR(FIND(MID(UPPER(TRIM(H720)),{5,6,7,8,9},1),"0123456789")))=0),"OK","Wrong format"))</f>
        <v/>
      </c>
      <c r="AM720" s="28">
        <f>IF(NOT(COUNTA(A720:AE720)&gt;0),"",IF(AS720&lt;&gt;"","✖ "&amp;LEFT(AS720,LEN(AS720)-2),IF(AR720&gt;0,"✔ Ready — client + "&amp;AR720&amp;" service(s)","✔ Ready — client only")))</f>
        <v/>
      </c>
      <c r="AN720" s="29">
        <f>UPPER(SUBSTITUTE(TRIM(F720)," ",""))</f>
        <v/>
      </c>
      <c r="AO720" s="29">
        <f>UPPER(SUBSTITUTE(TRIM(E720)," ",""))</f>
        <v/>
      </c>
      <c r="AP720" s="29">
        <f>IF(D720&lt;&gt;"",D720,IFERROR(VLOOKUP(MID(AG720,4,1),Lists!$E$2:$F$8,2,FALSE),""))</f>
        <v/>
      </c>
      <c r="AQ720" s="29">
        <f>IFERROR(VLOOKUP(AP720,Lists!$A$2:$C$12,3,FALSE),"")</f>
        <v/>
      </c>
      <c r="AR720" s="29">
        <f>COUNTIF(W720:AC720,"Yes")</f>
        <v/>
      </c>
      <c r="AS720" s="29">
        <f>IF(TRIM(B720)="","Legal name missing; ","")&amp;IF(AND(AJ720&lt;&gt;"",AJ720&lt;&gt;"OK"),"GSTIN: "&amp;AJ720&amp;"; ","")&amp;IF(AND(AK720&lt;&gt;"",AK720&lt;&gt;"OK"),"PAN wrong format; ","")&amp;IF(AND(AO720&lt;&gt;"",LEN(AN720)=15,MID(AN720,3,10)&lt;&gt;AO720),"PAN does not match GSTIN; ","")&amp;IF(AND(AL720&lt;&gt;"",AL720&lt;&gt;"OK"),"TAN wrong format; ","")&amp;IF(AG720="","PAN missing; ","")&amp;IF(AP720="","Entity type missing; ","")&amp;IF(AND(AN720&lt;&gt;"",COUNTIF($AN$6:$AN$1005,AN720)&gt;1),"GSTIN repeated in this sheet; ","")&amp;IF(AND(AG720&lt;&gt;"",COUNTIF($AG$6:$AG$1005,AG720)&gt;1),"PAN repeated in this sheet (same client? put extra GSTINs in Other GSTINs); ","")&amp;IF(AND(AR720&gt;0,V720=""),"Financial year missing; ","")&amp;IF(AND(AR720=0,V720&lt;&gt;""),"Financial year given but no service is Yes; ","")&amp;IF(AND(W720="Yes",AN720=""),"GST needs a GSTIN; ","")&amp;IF(AND(W720="Yes",X720=""),"GST return frequency missing; ","")&amp;IF(AND(Y720="Yes",TRIM(H720)=""),"TDS needs a TAN; ","")&amp;IF(AND(AA720="Yes",AQ720&lt;&gt;"",AQ720&lt;&gt;"company",AQ720&lt;&gt;"llp"),"ROC is only for a company / LLP; ","")&amp;IF(AND(AA720="Yes",OR(AQ720="company",AQ720="llp"),TRIM(I720)=""),"ROC needs the CIN / LLPIN; ","")</f>
        <v/>
      </c>
    </row>
    <row r="721">
      <c r="A721" s="30" t="n"/>
      <c r="B721" s="31" t="n"/>
      <c r="C721" s="31" t="n"/>
      <c r="D721" s="31" t="n"/>
      <c r="E721" s="30" t="n"/>
      <c r="F721" s="30" t="n"/>
      <c r="G721" s="30" t="n"/>
      <c r="H721" s="30" t="n"/>
      <c r="I721" s="30" t="n"/>
      <c r="J721" s="32" t="n"/>
      <c r="K721" s="31" t="n"/>
      <c r="L721" s="30" t="n"/>
      <c r="M721" s="31" t="n"/>
      <c r="N721" s="31" t="n"/>
      <c r="O721" s="31" t="n"/>
      <c r="P721" s="30" t="n"/>
      <c r="Q721" s="31" t="n"/>
      <c r="R721" s="31" t="n"/>
      <c r="S721" s="31" t="n"/>
      <c r="T721" s="31" t="n"/>
      <c r="U721" s="30" t="n"/>
      <c r="V721" s="31" t="n"/>
      <c r="W721" s="31" t="n"/>
      <c r="X721" s="31" t="n"/>
      <c r="Y721" s="31" t="n"/>
      <c r="Z721" s="31" t="n"/>
      <c r="AA721" s="31" t="n"/>
      <c r="AB721" s="31" t="n"/>
      <c r="AC721" s="31" t="n"/>
      <c r="AD721" s="31" t="n"/>
      <c r="AE721" s="31" t="n"/>
      <c r="AF721" s="27">
        <f>IF(NOT(COUNTA(A721:AE721)&gt;0),"",IF(A721="","New client","Update"))</f>
        <v/>
      </c>
      <c r="AG721" s="27">
        <f>IF(AO721&lt;&gt;"",AO721,IF(LEN(AN721)=15,MID(AN721,3,10),""))</f>
        <v/>
      </c>
      <c r="AH721" s="27">
        <f>IF(AP721="","",AP721&amp;IF(D721="","  (guessed from PAN)",""))</f>
        <v/>
      </c>
      <c r="AI721" s="27">
        <f>IF(AN721="","",IFERROR(INDEX(Lists!$L$2:$L$38,MATCH(LEFT(AN721,2),Lists!$K$2:$K$38,0)),"Unknown code"))</f>
        <v/>
      </c>
      <c r="AJ721" s="27">
        <f>IF(AN721="","",IFERROR(IF(NOT(AND(LEN(AN721)=15,ISNUMBER(MATCH(LEFT(AN721,2),Lists!$K$2:$K$38,0)),SUMPRODUCT(--ISERROR(FIND(MID(MID(AN721,3,10),{1,2,3,4,5,10},1),"ABCDEFGHIJKLMNOPQRSTUVWXYZ")))=0,SUMPRODUCT(--ISERROR(FIND(MID(MID(AN721,3,10),{6,7,8,9},1),"0123456789")))=0,ISNUMBER(FIND(MID(AN721,13,1),"123456789ABCDEFGHIJKLMNOPQRSTUVWXYZ")),MID(AN721,14,1)="Z")),"Wrong format",IF(MID("0123456789ABCDEFGHIJKLMNOPQRSTUVWXYZ",MOD(36-MOD(SUMPRODUCT(INT((FIND(MID(AN721,{1,2,3,4,5,6,7,8,9,10,11,12,13,14},1),"0123456789ABCDEFGHIJKLMNOPQRSTUVWXYZ")-1)*{1,2,1,2,1,2,1,2,1,2,1,2,1,2}/36)+MOD((FIND(MID(AN721,{1,2,3,4,5,6,7,8,9,10,11,12,13,14},1),"0123456789ABCDEFGHIJKLMNOPQRSTUVWXYZ")-1)*{1,2,1,2,1,2,1,2,1,2,1,2,1,2},36)),36),36)+1,1)=MID(AN721,15,1),"OK","Typo? check digit wrong")),"Wrong format"))</f>
        <v/>
      </c>
      <c r="AK721" s="27">
        <f>IF(AO721="","",IF(AND(LEN(AO721)=10,SUMPRODUCT(--ISERROR(FIND(MID(AO721,{1,2,3,4,5,10},1),"ABCDEFGHIJKLMNOPQRSTUVWXYZ")))=0,SUMPRODUCT(--ISERROR(FIND(MID(AO721,{6,7,8,9},1),"0123456789")))=0),"OK","Wrong format"))</f>
        <v/>
      </c>
      <c r="AL721" s="27">
        <f>IF(TRIM(H721)="","",IF(AND(LEN(UPPER(TRIM(H721)))=10,SUMPRODUCT(--ISERROR(FIND(MID(UPPER(TRIM(H721)),{1,2,3,4,10},1),"ABCDEFGHIJKLMNOPQRSTUVWXYZ")))=0,SUMPRODUCT(--ISERROR(FIND(MID(UPPER(TRIM(H721)),{5,6,7,8,9},1),"0123456789")))=0),"OK","Wrong format"))</f>
        <v/>
      </c>
      <c r="AM721" s="28">
        <f>IF(NOT(COUNTA(A721:AE721)&gt;0),"",IF(AS721&lt;&gt;"","✖ "&amp;LEFT(AS721,LEN(AS721)-2),IF(AR721&gt;0,"✔ Ready — client + "&amp;AR721&amp;" service(s)","✔ Ready — client only")))</f>
        <v/>
      </c>
      <c r="AN721" s="29">
        <f>UPPER(SUBSTITUTE(TRIM(F721)," ",""))</f>
        <v/>
      </c>
      <c r="AO721" s="29">
        <f>UPPER(SUBSTITUTE(TRIM(E721)," ",""))</f>
        <v/>
      </c>
      <c r="AP721" s="29">
        <f>IF(D721&lt;&gt;"",D721,IFERROR(VLOOKUP(MID(AG721,4,1),Lists!$E$2:$F$8,2,FALSE),""))</f>
        <v/>
      </c>
      <c r="AQ721" s="29">
        <f>IFERROR(VLOOKUP(AP721,Lists!$A$2:$C$12,3,FALSE),"")</f>
        <v/>
      </c>
      <c r="AR721" s="29">
        <f>COUNTIF(W721:AC721,"Yes")</f>
        <v/>
      </c>
      <c r="AS721" s="29">
        <f>IF(TRIM(B721)="","Legal name missing; ","")&amp;IF(AND(AJ721&lt;&gt;"",AJ721&lt;&gt;"OK"),"GSTIN: "&amp;AJ721&amp;"; ","")&amp;IF(AND(AK721&lt;&gt;"",AK721&lt;&gt;"OK"),"PAN wrong format; ","")&amp;IF(AND(AO721&lt;&gt;"",LEN(AN721)=15,MID(AN721,3,10)&lt;&gt;AO721),"PAN does not match GSTIN; ","")&amp;IF(AND(AL721&lt;&gt;"",AL721&lt;&gt;"OK"),"TAN wrong format; ","")&amp;IF(AG721="","PAN missing; ","")&amp;IF(AP721="","Entity type missing; ","")&amp;IF(AND(AN721&lt;&gt;"",COUNTIF($AN$6:$AN$1005,AN721)&gt;1),"GSTIN repeated in this sheet; ","")&amp;IF(AND(AG721&lt;&gt;"",COUNTIF($AG$6:$AG$1005,AG721)&gt;1),"PAN repeated in this sheet (same client? put extra GSTINs in Other GSTINs); ","")&amp;IF(AND(AR721&gt;0,V721=""),"Financial year missing; ","")&amp;IF(AND(AR721=0,V721&lt;&gt;""),"Financial year given but no service is Yes; ","")&amp;IF(AND(W721="Yes",AN721=""),"GST needs a GSTIN; ","")&amp;IF(AND(W721="Yes",X721=""),"GST return frequency missing; ","")&amp;IF(AND(Y721="Yes",TRIM(H721)=""),"TDS needs a TAN; ","")&amp;IF(AND(AA721="Yes",AQ721&lt;&gt;"",AQ721&lt;&gt;"company",AQ721&lt;&gt;"llp"),"ROC is only for a company / LLP; ","")&amp;IF(AND(AA721="Yes",OR(AQ721="company",AQ721="llp"),TRIM(I721)=""),"ROC needs the CIN / LLPIN; ","")</f>
        <v/>
      </c>
    </row>
    <row r="722">
      <c r="A722" s="30" t="n"/>
      <c r="B722" s="31" t="n"/>
      <c r="C722" s="31" t="n"/>
      <c r="D722" s="31" t="n"/>
      <c r="E722" s="30" t="n"/>
      <c r="F722" s="30" t="n"/>
      <c r="G722" s="30" t="n"/>
      <c r="H722" s="30" t="n"/>
      <c r="I722" s="30" t="n"/>
      <c r="J722" s="32" t="n"/>
      <c r="K722" s="31" t="n"/>
      <c r="L722" s="30" t="n"/>
      <c r="M722" s="31" t="n"/>
      <c r="N722" s="31" t="n"/>
      <c r="O722" s="31" t="n"/>
      <c r="P722" s="30" t="n"/>
      <c r="Q722" s="31" t="n"/>
      <c r="R722" s="31" t="n"/>
      <c r="S722" s="31" t="n"/>
      <c r="T722" s="31" t="n"/>
      <c r="U722" s="30" t="n"/>
      <c r="V722" s="31" t="n"/>
      <c r="W722" s="31" t="n"/>
      <c r="X722" s="31" t="n"/>
      <c r="Y722" s="31" t="n"/>
      <c r="Z722" s="31" t="n"/>
      <c r="AA722" s="31" t="n"/>
      <c r="AB722" s="31" t="n"/>
      <c r="AC722" s="31" t="n"/>
      <c r="AD722" s="31" t="n"/>
      <c r="AE722" s="31" t="n"/>
      <c r="AF722" s="27">
        <f>IF(NOT(COUNTA(A722:AE722)&gt;0),"",IF(A722="","New client","Update"))</f>
        <v/>
      </c>
      <c r="AG722" s="27">
        <f>IF(AO722&lt;&gt;"",AO722,IF(LEN(AN722)=15,MID(AN722,3,10),""))</f>
        <v/>
      </c>
      <c r="AH722" s="27">
        <f>IF(AP722="","",AP722&amp;IF(D722="","  (guessed from PAN)",""))</f>
        <v/>
      </c>
      <c r="AI722" s="27">
        <f>IF(AN722="","",IFERROR(INDEX(Lists!$L$2:$L$38,MATCH(LEFT(AN722,2),Lists!$K$2:$K$38,0)),"Unknown code"))</f>
        <v/>
      </c>
      <c r="AJ722" s="27">
        <f>IF(AN722="","",IFERROR(IF(NOT(AND(LEN(AN722)=15,ISNUMBER(MATCH(LEFT(AN722,2),Lists!$K$2:$K$38,0)),SUMPRODUCT(--ISERROR(FIND(MID(MID(AN722,3,10),{1,2,3,4,5,10},1),"ABCDEFGHIJKLMNOPQRSTUVWXYZ")))=0,SUMPRODUCT(--ISERROR(FIND(MID(MID(AN722,3,10),{6,7,8,9},1),"0123456789")))=0,ISNUMBER(FIND(MID(AN722,13,1),"123456789ABCDEFGHIJKLMNOPQRSTUVWXYZ")),MID(AN722,14,1)="Z")),"Wrong format",IF(MID("0123456789ABCDEFGHIJKLMNOPQRSTUVWXYZ",MOD(36-MOD(SUMPRODUCT(INT((FIND(MID(AN722,{1,2,3,4,5,6,7,8,9,10,11,12,13,14},1),"0123456789ABCDEFGHIJKLMNOPQRSTUVWXYZ")-1)*{1,2,1,2,1,2,1,2,1,2,1,2,1,2}/36)+MOD((FIND(MID(AN722,{1,2,3,4,5,6,7,8,9,10,11,12,13,14},1),"0123456789ABCDEFGHIJKLMNOPQRSTUVWXYZ")-1)*{1,2,1,2,1,2,1,2,1,2,1,2,1,2},36)),36),36)+1,1)=MID(AN722,15,1),"OK","Typo? check digit wrong")),"Wrong format"))</f>
        <v/>
      </c>
      <c r="AK722" s="27">
        <f>IF(AO722="","",IF(AND(LEN(AO722)=10,SUMPRODUCT(--ISERROR(FIND(MID(AO722,{1,2,3,4,5,10},1),"ABCDEFGHIJKLMNOPQRSTUVWXYZ")))=0,SUMPRODUCT(--ISERROR(FIND(MID(AO722,{6,7,8,9},1),"0123456789")))=0),"OK","Wrong format"))</f>
        <v/>
      </c>
      <c r="AL722" s="27">
        <f>IF(TRIM(H722)="","",IF(AND(LEN(UPPER(TRIM(H722)))=10,SUMPRODUCT(--ISERROR(FIND(MID(UPPER(TRIM(H722)),{1,2,3,4,10},1),"ABCDEFGHIJKLMNOPQRSTUVWXYZ")))=0,SUMPRODUCT(--ISERROR(FIND(MID(UPPER(TRIM(H722)),{5,6,7,8,9},1),"0123456789")))=0),"OK","Wrong format"))</f>
        <v/>
      </c>
      <c r="AM722" s="28">
        <f>IF(NOT(COUNTA(A722:AE722)&gt;0),"",IF(AS722&lt;&gt;"","✖ "&amp;LEFT(AS722,LEN(AS722)-2),IF(AR722&gt;0,"✔ Ready — client + "&amp;AR722&amp;" service(s)","✔ Ready — client only")))</f>
        <v/>
      </c>
      <c r="AN722" s="29">
        <f>UPPER(SUBSTITUTE(TRIM(F722)," ",""))</f>
        <v/>
      </c>
      <c r="AO722" s="29">
        <f>UPPER(SUBSTITUTE(TRIM(E722)," ",""))</f>
        <v/>
      </c>
      <c r="AP722" s="29">
        <f>IF(D722&lt;&gt;"",D722,IFERROR(VLOOKUP(MID(AG722,4,1),Lists!$E$2:$F$8,2,FALSE),""))</f>
        <v/>
      </c>
      <c r="AQ722" s="29">
        <f>IFERROR(VLOOKUP(AP722,Lists!$A$2:$C$12,3,FALSE),"")</f>
        <v/>
      </c>
      <c r="AR722" s="29">
        <f>COUNTIF(W722:AC722,"Yes")</f>
        <v/>
      </c>
      <c r="AS722" s="29">
        <f>IF(TRIM(B722)="","Legal name missing; ","")&amp;IF(AND(AJ722&lt;&gt;"",AJ722&lt;&gt;"OK"),"GSTIN: "&amp;AJ722&amp;"; ","")&amp;IF(AND(AK722&lt;&gt;"",AK722&lt;&gt;"OK"),"PAN wrong format; ","")&amp;IF(AND(AO722&lt;&gt;"",LEN(AN722)=15,MID(AN722,3,10)&lt;&gt;AO722),"PAN does not match GSTIN; ","")&amp;IF(AND(AL722&lt;&gt;"",AL722&lt;&gt;"OK"),"TAN wrong format; ","")&amp;IF(AG722="","PAN missing; ","")&amp;IF(AP722="","Entity type missing; ","")&amp;IF(AND(AN722&lt;&gt;"",COUNTIF($AN$6:$AN$1005,AN722)&gt;1),"GSTIN repeated in this sheet; ","")&amp;IF(AND(AG722&lt;&gt;"",COUNTIF($AG$6:$AG$1005,AG722)&gt;1),"PAN repeated in this sheet (same client? put extra GSTINs in Other GSTINs); ","")&amp;IF(AND(AR722&gt;0,V722=""),"Financial year missing; ","")&amp;IF(AND(AR722=0,V722&lt;&gt;""),"Financial year given but no service is Yes; ","")&amp;IF(AND(W722="Yes",AN722=""),"GST needs a GSTIN; ","")&amp;IF(AND(W722="Yes",X722=""),"GST return frequency missing; ","")&amp;IF(AND(Y722="Yes",TRIM(H722)=""),"TDS needs a TAN; ","")&amp;IF(AND(AA722="Yes",AQ722&lt;&gt;"",AQ722&lt;&gt;"company",AQ722&lt;&gt;"llp"),"ROC is only for a company / LLP; ","")&amp;IF(AND(AA722="Yes",OR(AQ722="company",AQ722="llp"),TRIM(I722)=""),"ROC needs the CIN / LLPIN; ","")</f>
        <v/>
      </c>
    </row>
    <row r="723">
      <c r="A723" s="30" t="n"/>
      <c r="B723" s="31" t="n"/>
      <c r="C723" s="31" t="n"/>
      <c r="D723" s="31" t="n"/>
      <c r="E723" s="30" t="n"/>
      <c r="F723" s="30" t="n"/>
      <c r="G723" s="30" t="n"/>
      <c r="H723" s="30" t="n"/>
      <c r="I723" s="30" t="n"/>
      <c r="J723" s="32" t="n"/>
      <c r="K723" s="31" t="n"/>
      <c r="L723" s="30" t="n"/>
      <c r="M723" s="31" t="n"/>
      <c r="N723" s="31" t="n"/>
      <c r="O723" s="31" t="n"/>
      <c r="P723" s="30" t="n"/>
      <c r="Q723" s="31" t="n"/>
      <c r="R723" s="31" t="n"/>
      <c r="S723" s="31" t="n"/>
      <c r="T723" s="31" t="n"/>
      <c r="U723" s="30" t="n"/>
      <c r="V723" s="31" t="n"/>
      <c r="W723" s="31" t="n"/>
      <c r="X723" s="31" t="n"/>
      <c r="Y723" s="31" t="n"/>
      <c r="Z723" s="31" t="n"/>
      <c r="AA723" s="31" t="n"/>
      <c r="AB723" s="31" t="n"/>
      <c r="AC723" s="31" t="n"/>
      <c r="AD723" s="31" t="n"/>
      <c r="AE723" s="31" t="n"/>
      <c r="AF723" s="27">
        <f>IF(NOT(COUNTA(A723:AE723)&gt;0),"",IF(A723="","New client","Update"))</f>
        <v/>
      </c>
      <c r="AG723" s="27">
        <f>IF(AO723&lt;&gt;"",AO723,IF(LEN(AN723)=15,MID(AN723,3,10),""))</f>
        <v/>
      </c>
      <c r="AH723" s="27">
        <f>IF(AP723="","",AP723&amp;IF(D723="","  (guessed from PAN)",""))</f>
        <v/>
      </c>
      <c r="AI723" s="27">
        <f>IF(AN723="","",IFERROR(INDEX(Lists!$L$2:$L$38,MATCH(LEFT(AN723,2),Lists!$K$2:$K$38,0)),"Unknown code"))</f>
        <v/>
      </c>
      <c r="AJ723" s="27">
        <f>IF(AN723="","",IFERROR(IF(NOT(AND(LEN(AN723)=15,ISNUMBER(MATCH(LEFT(AN723,2),Lists!$K$2:$K$38,0)),SUMPRODUCT(--ISERROR(FIND(MID(MID(AN723,3,10),{1,2,3,4,5,10},1),"ABCDEFGHIJKLMNOPQRSTUVWXYZ")))=0,SUMPRODUCT(--ISERROR(FIND(MID(MID(AN723,3,10),{6,7,8,9},1),"0123456789")))=0,ISNUMBER(FIND(MID(AN723,13,1),"123456789ABCDEFGHIJKLMNOPQRSTUVWXYZ")),MID(AN723,14,1)="Z")),"Wrong format",IF(MID("0123456789ABCDEFGHIJKLMNOPQRSTUVWXYZ",MOD(36-MOD(SUMPRODUCT(INT((FIND(MID(AN723,{1,2,3,4,5,6,7,8,9,10,11,12,13,14},1),"0123456789ABCDEFGHIJKLMNOPQRSTUVWXYZ")-1)*{1,2,1,2,1,2,1,2,1,2,1,2,1,2}/36)+MOD((FIND(MID(AN723,{1,2,3,4,5,6,7,8,9,10,11,12,13,14},1),"0123456789ABCDEFGHIJKLMNOPQRSTUVWXYZ")-1)*{1,2,1,2,1,2,1,2,1,2,1,2,1,2},36)),36),36)+1,1)=MID(AN723,15,1),"OK","Typo? check digit wrong")),"Wrong format"))</f>
        <v/>
      </c>
      <c r="AK723" s="27">
        <f>IF(AO723="","",IF(AND(LEN(AO723)=10,SUMPRODUCT(--ISERROR(FIND(MID(AO723,{1,2,3,4,5,10},1),"ABCDEFGHIJKLMNOPQRSTUVWXYZ")))=0,SUMPRODUCT(--ISERROR(FIND(MID(AO723,{6,7,8,9},1),"0123456789")))=0),"OK","Wrong format"))</f>
        <v/>
      </c>
      <c r="AL723" s="27">
        <f>IF(TRIM(H723)="","",IF(AND(LEN(UPPER(TRIM(H723)))=10,SUMPRODUCT(--ISERROR(FIND(MID(UPPER(TRIM(H723)),{1,2,3,4,10},1),"ABCDEFGHIJKLMNOPQRSTUVWXYZ")))=0,SUMPRODUCT(--ISERROR(FIND(MID(UPPER(TRIM(H723)),{5,6,7,8,9},1),"0123456789")))=0),"OK","Wrong format"))</f>
        <v/>
      </c>
      <c r="AM723" s="28">
        <f>IF(NOT(COUNTA(A723:AE723)&gt;0),"",IF(AS723&lt;&gt;"","✖ "&amp;LEFT(AS723,LEN(AS723)-2),IF(AR723&gt;0,"✔ Ready — client + "&amp;AR723&amp;" service(s)","✔ Ready — client only")))</f>
        <v/>
      </c>
      <c r="AN723" s="29">
        <f>UPPER(SUBSTITUTE(TRIM(F723)," ",""))</f>
        <v/>
      </c>
      <c r="AO723" s="29">
        <f>UPPER(SUBSTITUTE(TRIM(E723)," ",""))</f>
        <v/>
      </c>
      <c r="AP723" s="29">
        <f>IF(D723&lt;&gt;"",D723,IFERROR(VLOOKUP(MID(AG723,4,1),Lists!$E$2:$F$8,2,FALSE),""))</f>
        <v/>
      </c>
      <c r="AQ723" s="29">
        <f>IFERROR(VLOOKUP(AP723,Lists!$A$2:$C$12,3,FALSE),"")</f>
        <v/>
      </c>
      <c r="AR723" s="29">
        <f>COUNTIF(W723:AC723,"Yes")</f>
        <v/>
      </c>
      <c r="AS723" s="29">
        <f>IF(TRIM(B723)="","Legal name missing; ","")&amp;IF(AND(AJ723&lt;&gt;"",AJ723&lt;&gt;"OK"),"GSTIN: "&amp;AJ723&amp;"; ","")&amp;IF(AND(AK723&lt;&gt;"",AK723&lt;&gt;"OK"),"PAN wrong format; ","")&amp;IF(AND(AO723&lt;&gt;"",LEN(AN723)=15,MID(AN723,3,10)&lt;&gt;AO723),"PAN does not match GSTIN; ","")&amp;IF(AND(AL723&lt;&gt;"",AL723&lt;&gt;"OK"),"TAN wrong format; ","")&amp;IF(AG723="","PAN missing; ","")&amp;IF(AP723="","Entity type missing; ","")&amp;IF(AND(AN723&lt;&gt;"",COUNTIF($AN$6:$AN$1005,AN723)&gt;1),"GSTIN repeated in this sheet; ","")&amp;IF(AND(AG723&lt;&gt;"",COUNTIF($AG$6:$AG$1005,AG723)&gt;1),"PAN repeated in this sheet (same client? put extra GSTINs in Other GSTINs); ","")&amp;IF(AND(AR723&gt;0,V723=""),"Financial year missing; ","")&amp;IF(AND(AR723=0,V723&lt;&gt;""),"Financial year given but no service is Yes; ","")&amp;IF(AND(W723="Yes",AN723=""),"GST needs a GSTIN; ","")&amp;IF(AND(W723="Yes",X723=""),"GST return frequency missing; ","")&amp;IF(AND(Y723="Yes",TRIM(H723)=""),"TDS needs a TAN; ","")&amp;IF(AND(AA723="Yes",AQ723&lt;&gt;"",AQ723&lt;&gt;"company",AQ723&lt;&gt;"llp"),"ROC is only for a company / LLP; ","")&amp;IF(AND(AA723="Yes",OR(AQ723="company",AQ723="llp"),TRIM(I723)=""),"ROC needs the CIN / LLPIN; ","")</f>
        <v/>
      </c>
    </row>
    <row r="724">
      <c r="A724" s="30" t="n"/>
      <c r="B724" s="31" t="n"/>
      <c r="C724" s="31" t="n"/>
      <c r="D724" s="31" t="n"/>
      <c r="E724" s="30" t="n"/>
      <c r="F724" s="30" t="n"/>
      <c r="G724" s="30" t="n"/>
      <c r="H724" s="30" t="n"/>
      <c r="I724" s="30" t="n"/>
      <c r="J724" s="32" t="n"/>
      <c r="K724" s="31" t="n"/>
      <c r="L724" s="30" t="n"/>
      <c r="M724" s="31" t="n"/>
      <c r="N724" s="31" t="n"/>
      <c r="O724" s="31" t="n"/>
      <c r="P724" s="30" t="n"/>
      <c r="Q724" s="31" t="n"/>
      <c r="R724" s="31" t="n"/>
      <c r="S724" s="31" t="n"/>
      <c r="T724" s="31" t="n"/>
      <c r="U724" s="30" t="n"/>
      <c r="V724" s="31" t="n"/>
      <c r="W724" s="31" t="n"/>
      <c r="X724" s="31" t="n"/>
      <c r="Y724" s="31" t="n"/>
      <c r="Z724" s="31" t="n"/>
      <c r="AA724" s="31" t="n"/>
      <c r="AB724" s="31" t="n"/>
      <c r="AC724" s="31" t="n"/>
      <c r="AD724" s="31" t="n"/>
      <c r="AE724" s="31" t="n"/>
      <c r="AF724" s="27">
        <f>IF(NOT(COUNTA(A724:AE724)&gt;0),"",IF(A724="","New client","Update"))</f>
        <v/>
      </c>
      <c r="AG724" s="27">
        <f>IF(AO724&lt;&gt;"",AO724,IF(LEN(AN724)=15,MID(AN724,3,10),""))</f>
        <v/>
      </c>
      <c r="AH724" s="27">
        <f>IF(AP724="","",AP724&amp;IF(D724="","  (guessed from PAN)",""))</f>
        <v/>
      </c>
      <c r="AI724" s="27">
        <f>IF(AN724="","",IFERROR(INDEX(Lists!$L$2:$L$38,MATCH(LEFT(AN724,2),Lists!$K$2:$K$38,0)),"Unknown code"))</f>
        <v/>
      </c>
      <c r="AJ724" s="27">
        <f>IF(AN724="","",IFERROR(IF(NOT(AND(LEN(AN724)=15,ISNUMBER(MATCH(LEFT(AN724,2),Lists!$K$2:$K$38,0)),SUMPRODUCT(--ISERROR(FIND(MID(MID(AN724,3,10),{1,2,3,4,5,10},1),"ABCDEFGHIJKLMNOPQRSTUVWXYZ")))=0,SUMPRODUCT(--ISERROR(FIND(MID(MID(AN724,3,10),{6,7,8,9},1),"0123456789")))=0,ISNUMBER(FIND(MID(AN724,13,1),"123456789ABCDEFGHIJKLMNOPQRSTUVWXYZ")),MID(AN724,14,1)="Z")),"Wrong format",IF(MID("0123456789ABCDEFGHIJKLMNOPQRSTUVWXYZ",MOD(36-MOD(SUMPRODUCT(INT((FIND(MID(AN724,{1,2,3,4,5,6,7,8,9,10,11,12,13,14},1),"0123456789ABCDEFGHIJKLMNOPQRSTUVWXYZ")-1)*{1,2,1,2,1,2,1,2,1,2,1,2,1,2}/36)+MOD((FIND(MID(AN724,{1,2,3,4,5,6,7,8,9,10,11,12,13,14},1),"0123456789ABCDEFGHIJKLMNOPQRSTUVWXYZ")-1)*{1,2,1,2,1,2,1,2,1,2,1,2,1,2},36)),36),36)+1,1)=MID(AN724,15,1),"OK","Typo? check digit wrong")),"Wrong format"))</f>
        <v/>
      </c>
      <c r="AK724" s="27">
        <f>IF(AO724="","",IF(AND(LEN(AO724)=10,SUMPRODUCT(--ISERROR(FIND(MID(AO724,{1,2,3,4,5,10},1),"ABCDEFGHIJKLMNOPQRSTUVWXYZ")))=0,SUMPRODUCT(--ISERROR(FIND(MID(AO724,{6,7,8,9},1),"0123456789")))=0),"OK","Wrong format"))</f>
        <v/>
      </c>
      <c r="AL724" s="27">
        <f>IF(TRIM(H724)="","",IF(AND(LEN(UPPER(TRIM(H724)))=10,SUMPRODUCT(--ISERROR(FIND(MID(UPPER(TRIM(H724)),{1,2,3,4,10},1),"ABCDEFGHIJKLMNOPQRSTUVWXYZ")))=0,SUMPRODUCT(--ISERROR(FIND(MID(UPPER(TRIM(H724)),{5,6,7,8,9},1),"0123456789")))=0),"OK","Wrong format"))</f>
        <v/>
      </c>
      <c r="AM724" s="28">
        <f>IF(NOT(COUNTA(A724:AE724)&gt;0),"",IF(AS724&lt;&gt;"","✖ "&amp;LEFT(AS724,LEN(AS724)-2),IF(AR724&gt;0,"✔ Ready — client + "&amp;AR724&amp;" service(s)","✔ Ready — client only")))</f>
        <v/>
      </c>
      <c r="AN724" s="29">
        <f>UPPER(SUBSTITUTE(TRIM(F724)," ",""))</f>
        <v/>
      </c>
      <c r="AO724" s="29">
        <f>UPPER(SUBSTITUTE(TRIM(E724)," ",""))</f>
        <v/>
      </c>
      <c r="AP724" s="29">
        <f>IF(D724&lt;&gt;"",D724,IFERROR(VLOOKUP(MID(AG724,4,1),Lists!$E$2:$F$8,2,FALSE),""))</f>
        <v/>
      </c>
      <c r="AQ724" s="29">
        <f>IFERROR(VLOOKUP(AP724,Lists!$A$2:$C$12,3,FALSE),"")</f>
        <v/>
      </c>
      <c r="AR724" s="29">
        <f>COUNTIF(W724:AC724,"Yes")</f>
        <v/>
      </c>
      <c r="AS724" s="29">
        <f>IF(TRIM(B724)="","Legal name missing; ","")&amp;IF(AND(AJ724&lt;&gt;"",AJ724&lt;&gt;"OK"),"GSTIN: "&amp;AJ724&amp;"; ","")&amp;IF(AND(AK724&lt;&gt;"",AK724&lt;&gt;"OK"),"PAN wrong format; ","")&amp;IF(AND(AO724&lt;&gt;"",LEN(AN724)=15,MID(AN724,3,10)&lt;&gt;AO724),"PAN does not match GSTIN; ","")&amp;IF(AND(AL724&lt;&gt;"",AL724&lt;&gt;"OK"),"TAN wrong format; ","")&amp;IF(AG724="","PAN missing; ","")&amp;IF(AP724="","Entity type missing; ","")&amp;IF(AND(AN724&lt;&gt;"",COUNTIF($AN$6:$AN$1005,AN724)&gt;1),"GSTIN repeated in this sheet; ","")&amp;IF(AND(AG724&lt;&gt;"",COUNTIF($AG$6:$AG$1005,AG724)&gt;1),"PAN repeated in this sheet (same client? put extra GSTINs in Other GSTINs); ","")&amp;IF(AND(AR724&gt;0,V724=""),"Financial year missing; ","")&amp;IF(AND(AR724=0,V724&lt;&gt;""),"Financial year given but no service is Yes; ","")&amp;IF(AND(W724="Yes",AN724=""),"GST needs a GSTIN; ","")&amp;IF(AND(W724="Yes",X724=""),"GST return frequency missing; ","")&amp;IF(AND(Y724="Yes",TRIM(H724)=""),"TDS needs a TAN; ","")&amp;IF(AND(AA724="Yes",AQ724&lt;&gt;"",AQ724&lt;&gt;"company",AQ724&lt;&gt;"llp"),"ROC is only for a company / LLP; ","")&amp;IF(AND(AA724="Yes",OR(AQ724="company",AQ724="llp"),TRIM(I724)=""),"ROC needs the CIN / LLPIN; ","")</f>
        <v/>
      </c>
    </row>
    <row r="725">
      <c r="A725" s="30" t="n"/>
      <c r="B725" s="31" t="n"/>
      <c r="C725" s="31" t="n"/>
      <c r="D725" s="31" t="n"/>
      <c r="E725" s="30" t="n"/>
      <c r="F725" s="30" t="n"/>
      <c r="G725" s="30" t="n"/>
      <c r="H725" s="30" t="n"/>
      <c r="I725" s="30" t="n"/>
      <c r="J725" s="32" t="n"/>
      <c r="K725" s="31" t="n"/>
      <c r="L725" s="30" t="n"/>
      <c r="M725" s="31" t="n"/>
      <c r="N725" s="31" t="n"/>
      <c r="O725" s="31" t="n"/>
      <c r="P725" s="30" t="n"/>
      <c r="Q725" s="31" t="n"/>
      <c r="R725" s="31" t="n"/>
      <c r="S725" s="31" t="n"/>
      <c r="T725" s="31" t="n"/>
      <c r="U725" s="30" t="n"/>
      <c r="V725" s="31" t="n"/>
      <c r="W725" s="31" t="n"/>
      <c r="X725" s="31" t="n"/>
      <c r="Y725" s="31" t="n"/>
      <c r="Z725" s="31" t="n"/>
      <c r="AA725" s="31" t="n"/>
      <c r="AB725" s="31" t="n"/>
      <c r="AC725" s="31" t="n"/>
      <c r="AD725" s="31" t="n"/>
      <c r="AE725" s="31" t="n"/>
      <c r="AF725" s="27">
        <f>IF(NOT(COUNTA(A725:AE725)&gt;0),"",IF(A725="","New client","Update"))</f>
        <v/>
      </c>
      <c r="AG725" s="27">
        <f>IF(AO725&lt;&gt;"",AO725,IF(LEN(AN725)=15,MID(AN725,3,10),""))</f>
        <v/>
      </c>
      <c r="AH725" s="27">
        <f>IF(AP725="","",AP725&amp;IF(D725="","  (guessed from PAN)",""))</f>
        <v/>
      </c>
      <c r="AI725" s="27">
        <f>IF(AN725="","",IFERROR(INDEX(Lists!$L$2:$L$38,MATCH(LEFT(AN725,2),Lists!$K$2:$K$38,0)),"Unknown code"))</f>
        <v/>
      </c>
      <c r="AJ725" s="27">
        <f>IF(AN725="","",IFERROR(IF(NOT(AND(LEN(AN725)=15,ISNUMBER(MATCH(LEFT(AN725,2),Lists!$K$2:$K$38,0)),SUMPRODUCT(--ISERROR(FIND(MID(MID(AN725,3,10),{1,2,3,4,5,10},1),"ABCDEFGHIJKLMNOPQRSTUVWXYZ")))=0,SUMPRODUCT(--ISERROR(FIND(MID(MID(AN725,3,10),{6,7,8,9},1),"0123456789")))=0,ISNUMBER(FIND(MID(AN725,13,1),"123456789ABCDEFGHIJKLMNOPQRSTUVWXYZ")),MID(AN725,14,1)="Z")),"Wrong format",IF(MID("0123456789ABCDEFGHIJKLMNOPQRSTUVWXYZ",MOD(36-MOD(SUMPRODUCT(INT((FIND(MID(AN725,{1,2,3,4,5,6,7,8,9,10,11,12,13,14},1),"0123456789ABCDEFGHIJKLMNOPQRSTUVWXYZ")-1)*{1,2,1,2,1,2,1,2,1,2,1,2,1,2}/36)+MOD((FIND(MID(AN725,{1,2,3,4,5,6,7,8,9,10,11,12,13,14},1),"0123456789ABCDEFGHIJKLMNOPQRSTUVWXYZ")-1)*{1,2,1,2,1,2,1,2,1,2,1,2,1,2},36)),36),36)+1,1)=MID(AN725,15,1),"OK","Typo? check digit wrong")),"Wrong format"))</f>
        <v/>
      </c>
      <c r="AK725" s="27">
        <f>IF(AO725="","",IF(AND(LEN(AO725)=10,SUMPRODUCT(--ISERROR(FIND(MID(AO725,{1,2,3,4,5,10},1),"ABCDEFGHIJKLMNOPQRSTUVWXYZ")))=0,SUMPRODUCT(--ISERROR(FIND(MID(AO725,{6,7,8,9},1),"0123456789")))=0),"OK","Wrong format"))</f>
        <v/>
      </c>
      <c r="AL725" s="27">
        <f>IF(TRIM(H725)="","",IF(AND(LEN(UPPER(TRIM(H725)))=10,SUMPRODUCT(--ISERROR(FIND(MID(UPPER(TRIM(H725)),{1,2,3,4,10},1),"ABCDEFGHIJKLMNOPQRSTUVWXYZ")))=0,SUMPRODUCT(--ISERROR(FIND(MID(UPPER(TRIM(H725)),{5,6,7,8,9},1),"0123456789")))=0),"OK","Wrong format"))</f>
        <v/>
      </c>
      <c r="AM725" s="28">
        <f>IF(NOT(COUNTA(A725:AE725)&gt;0),"",IF(AS725&lt;&gt;"","✖ "&amp;LEFT(AS725,LEN(AS725)-2),IF(AR725&gt;0,"✔ Ready — client + "&amp;AR725&amp;" service(s)","✔ Ready — client only")))</f>
        <v/>
      </c>
      <c r="AN725" s="29">
        <f>UPPER(SUBSTITUTE(TRIM(F725)," ",""))</f>
        <v/>
      </c>
      <c r="AO725" s="29">
        <f>UPPER(SUBSTITUTE(TRIM(E725)," ",""))</f>
        <v/>
      </c>
      <c r="AP725" s="29">
        <f>IF(D725&lt;&gt;"",D725,IFERROR(VLOOKUP(MID(AG725,4,1),Lists!$E$2:$F$8,2,FALSE),""))</f>
        <v/>
      </c>
      <c r="AQ725" s="29">
        <f>IFERROR(VLOOKUP(AP725,Lists!$A$2:$C$12,3,FALSE),"")</f>
        <v/>
      </c>
      <c r="AR725" s="29">
        <f>COUNTIF(W725:AC725,"Yes")</f>
        <v/>
      </c>
      <c r="AS725" s="29">
        <f>IF(TRIM(B725)="","Legal name missing; ","")&amp;IF(AND(AJ725&lt;&gt;"",AJ725&lt;&gt;"OK"),"GSTIN: "&amp;AJ725&amp;"; ","")&amp;IF(AND(AK725&lt;&gt;"",AK725&lt;&gt;"OK"),"PAN wrong format; ","")&amp;IF(AND(AO725&lt;&gt;"",LEN(AN725)=15,MID(AN725,3,10)&lt;&gt;AO725),"PAN does not match GSTIN; ","")&amp;IF(AND(AL725&lt;&gt;"",AL725&lt;&gt;"OK"),"TAN wrong format; ","")&amp;IF(AG725="","PAN missing; ","")&amp;IF(AP725="","Entity type missing; ","")&amp;IF(AND(AN725&lt;&gt;"",COUNTIF($AN$6:$AN$1005,AN725)&gt;1),"GSTIN repeated in this sheet; ","")&amp;IF(AND(AG725&lt;&gt;"",COUNTIF($AG$6:$AG$1005,AG725)&gt;1),"PAN repeated in this sheet (same client? put extra GSTINs in Other GSTINs); ","")&amp;IF(AND(AR725&gt;0,V725=""),"Financial year missing; ","")&amp;IF(AND(AR725=0,V725&lt;&gt;""),"Financial year given but no service is Yes; ","")&amp;IF(AND(W725="Yes",AN725=""),"GST needs a GSTIN; ","")&amp;IF(AND(W725="Yes",X725=""),"GST return frequency missing; ","")&amp;IF(AND(Y725="Yes",TRIM(H725)=""),"TDS needs a TAN; ","")&amp;IF(AND(AA725="Yes",AQ725&lt;&gt;"",AQ725&lt;&gt;"company",AQ725&lt;&gt;"llp"),"ROC is only for a company / LLP; ","")&amp;IF(AND(AA725="Yes",OR(AQ725="company",AQ725="llp"),TRIM(I725)=""),"ROC needs the CIN / LLPIN; ","")</f>
        <v/>
      </c>
    </row>
    <row r="726">
      <c r="A726" s="30" t="n"/>
      <c r="B726" s="31" t="n"/>
      <c r="C726" s="31" t="n"/>
      <c r="D726" s="31" t="n"/>
      <c r="E726" s="30" t="n"/>
      <c r="F726" s="30" t="n"/>
      <c r="G726" s="30" t="n"/>
      <c r="H726" s="30" t="n"/>
      <c r="I726" s="30" t="n"/>
      <c r="J726" s="32" t="n"/>
      <c r="K726" s="31" t="n"/>
      <c r="L726" s="30" t="n"/>
      <c r="M726" s="31" t="n"/>
      <c r="N726" s="31" t="n"/>
      <c r="O726" s="31" t="n"/>
      <c r="P726" s="30" t="n"/>
      <c r="Q726" s="31" t="n"/>
      <c r="R726" s="31" t="n"/>
      <c r="S726" s="31" t="n"/>
      <c r="T726" s="31" t="n"/>
      <c r="U726" s="30" t="n"/>
      <c r="V726" s="31" t="n"/>
      <c r="W726" s="31" t="n"/>
      <c r="X726" s="31" t="n"/>
      <c r="Y726" s="31" t="n"/>
      <c r="Z726" s="31" t="n"/>
      <c r="AA726" s="31" t="n"/>
      <c r="AB726" s="31" t="n"/>
      <c r="AC726" s="31" t="n"/>
      <c r="AD726" s="31" t="n"/>
      <c r="AE726" s="31" t="n"/>
      <c r="AF726" s="27">
        <f>IF(NOT(COUNTA(A726:AE726)&gt;0),"",IF(A726="","New client","Update"))</f>
        <v/>
      </c>
      <c r="AG726" s="27">
        <f>IF(AO726&lt;&gt;"",AO726,IF(LEN(AN726)=15,MID(AN726,3,10),""))</f>
        <v/>
      </c>
      <c r="AH726" s="27">
        <f>IF(AP726="","",AP726&amp;IF(D726="","  (guessed from PAN)",""))</f>
        <v/>
      </c>
      <c r="AI726" s="27">
        <f>IF(AN726="","",IFERROR(INDEX(Lists!$L$2:$L$38,MATCH(LEFT(AN726,2),Lists!$K$2:$K$38,0)),"Unknown code"))</f>
        <v/>
      </c>
      <c r="AJ726" s="27">
        <f>IF(AN726="","",IFERROR(IF(NOT(AND(LEN(AN726)=15,ISNUMBER(MATCH(LEFT(AN726,2),Lists!$K$2:$K$38,0)),SUMPRODUCT(--ISERROR(FIND(MID(MID(AN726,3,10),{1,2,3,4,5,10},1),"ABCDEFGHIJKLMNOPQRSTUVWXYZ")))=0,SUMPRODUCT(--ISERROR(FIND(MID(MID(AN726,3,10),{6,7,8,9},1),"0123456789")))=0,ISNUMBER(FIND(MID(AN726,13,1),"123456789ABCDEFGHIJKLMNOPQRSTUVWXYZ")),MID(AN726,14,1)="Z")),"Wrong format",IF(MID("0123456789ABCDEFGHIJKLMNOPQRSTUVWXYZ",MOD(36-MOD(SUMPRODUCT(INT((FIND(MID(AN726,{1,2,3,4,5,6,7,8,9,10,11,12,13,14},1),"0123456789ABCDEFGHIJKLMNOPQRSTUVWXYZ")-1)*{1,2,1,2,1,2,1,2,1,2,1,2,1,2}/36)+MOD((FIND(MID(AN726,{1,2,3,4,5,6,7,8,9,10,11,12,13,14},1),"0123456789ABCDEFGHIJKLMNOPQRSTUVWXYZ")-1)*{1,2,1,2,1,2,1,2,1,2,1,2,1,2},36)),36),36)+1,1)=MID(AN726,15,1),"OK","Typo? check digit wrong")),"Wrong format"))</f>
        <v/>
      </c>
      <c r="AK726" s="27">
        <f>IF(AO726="","",IF(AND(LEN(AO726)=10,SUMPRODUCT(--ISERROR(FIND(MID(AO726,{1,2,3,4,5,10},1),"ABCDEFGHIJKLMNOPQRSTUVWXYZ")))=0,SUMPRODUCT(--ISERROR(FIND(MID(AO726,{6,7,8,9},1),"0123456789")))=0),"OK","Wrong format"))</f>
        <v/>
      </c>
      <c r="AL726" s="27">
        <f>IF(TRIM(H726)="","",IF(AND(LEN(UPPER(TRIM(H726)))=10,SUMPRODUCT(--ISERROR(FIND(MID(UPPER(TRIM(H726)),{1,2,3,4,10},1),"ABCDEFGHIJKLMNOPQRSTUVWXYZ")))=0,SUMPRODUCT(--ISERROR(FIND(MID(UPPER(TRIM(H726)),{5,6,7,8,9},1),"0123456789")))=0),"OK","Wrong format"))</f>
        <v/>
      </c>
      <c r="AM726" s="28">
        <f>IF(NOT(COUNTA(A726:AE726)&gt;0),"",IF(AS726&lt;&gt;"","✖ "&amp;LEFT(AS726,LEN(AS726)-2),IF(AR726&gt;0,"✔ Ready — client + "&amp;AR726&amp;" service(s)","✔ Ready — client only")))</f>
        <v/>
      </c>
      <c r="AN726" s="29">
        <f>UPPER(SUBSTITUTE(TRIM(F726)," ",""))</f>
        <v/>
      </c>
      <c r="AO726" s="29">
        <f>UPPER(SUBSTITUTE(TRIM(E726)," ",""))</f>
        <v/>
      </c>
      <c r="AP726" s="29">
        <f>IF(D726&lt;&gt;"",D726,IFERROR(VLOOKUP(MID(AG726,4,1),Lists!$E$2:$F$8,2,FALSE),""))</f>
        <v/>
      </c>
      <c r="AQ726" s="29">
        <f>IFERROR(VLOOKUP(AP726,Lists!$A$2:$C$12,3,FALSE),"")</f>
        <v/>
      </c>
      <c r="AR726" s="29">
        <f>COUNTIF(W726:AC726,"Yes")</f>
        <v/>
      </c>
      <c r="AS726" s="29">
        <f>IF(TRIM(B726)="","Legal name missing; ","")&amp;IF(AND(AJ726&lt;&gt;"",AJ726&lt;&gt;"OK"),"GSTIN: "&amp;AJ726&amp;"; ","")&amp;IF(AND(AK726&lt;&gt;"",AK726&lt;&gt;"OK"),"PAN wrong format; ","")&amp;IF(AND(AO726&lt;&gt;"",LEN(AN726)=15,MID(AN726,3,10)&lt;&gt;AO726),"PAN does not match GSTIN; ","")&amp;IF(AND(AL726&lt;&gt;"",AL726&lt;&gt;"OK"),"TAN wrong format; ","")&amp;IF(AG726="","PAN missing; ","")&amp;IF(AP726="","Entity type missing; ","")&amp;IF(AND(AN726&lt;&gt;"",COUNTIF($AN$6:$AN$1005,AN726)&gt;1),"GSTIN repeated in this sheet; ","")&amp;IF(AND(AG726&lt;&gt;"",COUNTIF($AG$6:$AG$1005,AG726)&gt;1),"PAN repeated in this sheet (same client? put extra GSTINs in Other GSTINs); ","")&amp;IF(AND(AR726&gt;0,V726=""),"Financial year missing; ","")&amp;IF(AND(AR726=0,V726&lt;&gt;""),"Financial year given but no service is Yes; ","")&amp;IF(AND(W726="Yes",AN726=""),"GST needs a GSTIN; ","")&amp;IF(AND(W726="Yes",X726=""),"GST return frequency missing; ","")&amp;IF(AND(Y726="Yes",TRIM(H726)=""),"TDS needs a TAN; ","")&amp;IF(AND(AA726="Yes",AQ726&lt;&gt;"",AQ726&lt;&gt;"company",AQ726&lt;&gt;"llp"),"ROC is only for a company / LLP; ","")&amp;IF(AND(AA726="Yes",OR(AQ726="company",AQ726="llp"),TRIM(I726)=""),"ROC needs the CIN / LLPIN; ","")</f>
        <v/>
      </c>
    </row>
    <row r="727">
      <c r="A727" s="30" t="n"/>
      <c r="B727" s="31" t="n"/>
      <c r="C727" s="31" t="n"/>
      <c r="D727" s="31" t="n"/>
      <c r="E727" s="30" t="n"/>
      <c r="F727" s="30" t="n"/>
      <c r="G727" s="30" t="n"/>
      <c r="H727" s="30" t="n"/>
      <c r="I727" s="30" t="n"/>
      <c r="J727" s="32" t="n"/>
      <c r="K727" s="31" t="n"/>
      <c r="L727" s="30" t="n"/>
      <c r="M727" s="31" t="n"/>
      <c r="N727" s="31" t="n"/>
      <c r="O727" s="31" t="n"/>
      <c r="P727" s="30" t="n"/>
      <c r="Q727" s="31" t="n"/>
      <c r="R727" s="31" t="n"/>
      <c r="S727" s="31" t="n"/>
      <c r="T727" s="31" t="n"/>
      <c r="U727" s="30" t="n"/>
      <c r="V727" s="31" t="n"/>
      <c r="W727" s="31" t="n"/>
      <c r="X727" s="31" t="n"/>
      <c r="Y727" s="31" t="n"/>
      <c r="Z727" s="31" t="n"/>
      <c r="AA727" s="31" t="n"/>
      <c r="AB727" s="31" t="n"/>
      <c r="AC727" s="31" t="n"/>
      <c r="AD727" s="31" t="n"/>
      <c r="AE727" s="31" t="n"/>
      <c r="AF727" s="27">
        <f>IF(NOT(COUNTA(A727:AE727)&gt;0),"",IF(A727="","New client","Update"))</f>
        <v/>
      </c>
      <c r="AG727" s="27">
        <f>IF(AO727&lt;&gt;"",AO727,IF(LEN(AN727)=15,MID(AN727,3,10),""))</f>
        <v/>
      </c>
      <c r="AH727" s="27">
        <f>IF(AP727="","",AP727&amp;IF(D727="","  (guessed from PAN)",""))</f>
        <v/>
      </c>
      <c r="AI727" s="27">
        <f>IF(AN727="","",IFERROR(INDEX(Lists!$L$2:$L$38,MATCH(LEFT(AN727,2),Lists!$K$2:$K$38,0)),"Unknown code"))</f>
        <v/>
      </c>
      <c r="AJ727" s="27">
        <f>IF(AN727="","",IFERROR(IF(NOT(AND(LEN(AN727)=15,ISNUMBER(MATCH(LEFT(AN727,2),Lists!$K$2:$K$38,0)),SUMPRODUCT(--ISERROR(FIND(MID(MID(AN727,3,10),{1,2,3,4,5,10},1),"ABCDEFGHIJKLMNOPQRSTUVWXYZ")))=0,SUMPRODUCT(--ISERROR(FIND(MID(MID(AN727,3,10),{6,7,8,9},1),"0123456789")))=0,ISNUMBER(FIND(MID(AN727,13,1),"123456789ABCDEFGHIJKLMNOPQRSTUVWXYZ")),MID(AN727,14,1)="Z")),"Wrong format",IF(MID("0123456789ABCDEFGHIJKLMNOPQRSTUVWXYZ",MOD(36-MOD(SUMPRODUCT(INT((FIND(MID(AN727,{1,2,3,4,5,6,7,8,9,10,11,12,13,14},1),"0123456789ABCDEFGHIJKLMNOPQRSTUVWXYZ")-1)*{1,2,1,2,1,2,1,2,1,2,1,2,1,2}/36)+MOD((FIND(MID(AN727,{1,2,3,4,5,6,7,8,9,10,11,12,13,14},1),"0123456789ABCDEFGHIJKLMNOPQRSTUVWXYZ")-1)*{1,2,1,2,1,2,1,2,1,2,1,2,1,2},36)),36),36)+1,1)=MID(AN727,15,1),"OK","Typo? check digit wrong")),"Wrong format"))</f>
        <v/>
      </c>
      <c r="AK727" s="27">
        <f>IF(AO727="","",IF(AND(LEN(AO727)=10,SUMPRODUCT(--ISERROR(FIND(MID(AO727,{1,2,3,4,5,10},1),"ABCDEFGHIJKLMNOPQRSTUVWXYZ")))=0,SUMPRODUCT(--ISERROR(FIND(MID(AO727,{6,7,8,9},1),"0123456789")))=0),"OK","Wrong format"))</f>
        <v/>
      </c>
      <c r="AL727" s="27">
        <f>IF(TRIM(H727)="","",IF(AND(LEN(UPPER(TRIM(H727)))=10,SUMPRODUCT(--ISERROR(FIND(MID(UPPER(TRIM(H727)),{1,2,3,4,10},1),"ABCDEFGHIJKLMNOPQRSTUVWXYZ")))=0,SUMPRODUCT(--ISERROR(FIND(MID(UPPER(TRIM(H727)),{5,6,7,8,9},1),"0123456789")))=0),"OK","Wrong format"))</f>
        <v/>
      </c>
      <c r="AM727" s="28">
        <f>IF(NOT(COUNTA(A727:AE727)&gt;0),"",IF(AS727&lt;&gt;"","✖ "&amp;LEFT(AS727,LEN(AS727)-2),IF(AR727&gt;0,"✔ Ready — client + "&amp;AR727&amp;" service(s)","✔ Ready — client only")))</f>
        <v/>
      </c>
      <c r="AN727" s="29">
        <f>UPPER(SUBSTITUTE(TRIM(F727)," ",""))</f>
        <v/>
      </c>
      <c r="AO727" s="29">
        <f>UPPER(SUBSTITUTE(TRIM(E727)," ",""))</f>
        <v/>
      </c>
      <c r="AP727" s="29">
        <f>IF(D727&lt;&gt;"",D727,IFERROR(VLOOKUP(MID(AG727,4,1),Lists!$E$2:$F$8,2,FALSE),""))</f>
        <v/>
      </c>
      <c r="AQ727" s="29">
        <f>IFERROR(VLOOKUP(AP727,Lists!$A$2:$C$12,3,FALSE),"")</f>
        <v/>
      </c>
      <c r="AR727" s="29">
        <f>COUNTIF(W727:AC727,"Yes")</f>
        <v/>
      </c>
      <c r="AS727" s="29">
        <f>IF(TRIM(B727)="","Legal name missing; ","")&amp;IF(AND(AJ727&lt;&gt;"",AJ727&lt;&gt;"OK"),"GSTIN: "&amp;AJ727&amp;"; ","")&amp;IF(AND(AK727&lt;&gt;"",AK727&lt;&gt;"OK"),"PAN wrong format; ","")&amp;IF(AND(AO727&lt;&gt;"",LEN(AN727)=15,MID(AN727,3,10)&lt;&gt;AO727),"PAN does not match GSTIN; ","")&amp;IF(AND(AL727&lt;&gt;"",AL727&lt;&gt;"OK"),"TAN wrong format; ","")&amp;IF(AG727="","PAN missing; ","")&amp;IF(AP727="","Entity type missing; ","")&amp;IF(AND(AN727&lt;&gt;"",COUNTIF($AN$6:$AN$1005,AN727)&gt;1),"GSTIN repeated in this sheet; ","")&amp;IF(AND(AG727&lt;&gt;"",COUNTIF($AG$6:$AG$1005,AG727)&gt;1),"PAN repeated in this sheet (same client? put extra GSTINs in Other GSTINs); ","")&amp;IF(AND(AR727&gt;0,V727=""),"Financial year missing; ","")&amp;IF(AND(AR727=0,V727&lt;&gt;""),"Financial year given but no service is Yes; ","")&amp;IF(AND(W727="Yes",AN727=""),"GST needs a GSTIN; ","")&amp;IF(AND(W727="Yes",X727=""),"GST return frequency missing; ","")&amp;IF(AND(Y727="Yes",TRIM(H727)=""),"TDS needs a TAN; ","")&amp;IF(AND(AA727="Yes",AQ727&lt;&gt;"",AQ727&lt;&gt;"company",AQ727&lt;&gt;"llp"),"ROC is only for a company / LLP; ","")&amp;IF(AND(AA727="Yes",OR(AQ727="company",AQ727="llp"),TRIM(I727)=""),"ROC needs the CIN / LLPIN; ","")</f>
        <v/>
      </c>
    </row>
    <row r="728">
      <c r="A728" s="30" t="n"/>
      <c r="B728" s="31" t="n"/>
      <c r="C728" s="31" t="n"/>
      <c r="D728" s="31" t="n"/>
      <c r="E728" s="30" t="n"/>
      <c r="F728" s="30" t="n"/>
      <c r="G728" s="30" t="n"/>
      <c r="H728" s="30" t="n"/>
      <c r="I728" s="30" t="n"/>
      <c r="J728" s="32" t="n"/>
      <c r="K728" s="31" t="n"/>
      <c r="L728" s="30" t="n"/>
      <c r="M728" s="31" t="n"/>
      <c r="N728" s="31" t="n"/>
      <c r="O728" s="31" t="n"/>
      <c r="P728" s="30" t="n"/>
      <c r="Q728" s="31" t="n"/>
      <c r="R728" s="31" t="n"/>
      <c r="S728" s="31" t="n"/>
      <c r="T728" s="31" t="n"/>
      <c r="U728" s="30" t="n"/>
      <c r="V728" s="31" t="n"/>
      <c r="W728" s="31" t="n"/>
      <c r="X728" s="31" t="n"/>
      <c r="Y728" s="31" t="n"/>
      <c r="Z728" s="31" t="n"/>
      <c r="AA728" s="31" t="n"/>
      <c r="AB728" s="31" t="n"/>
      <c r="AC728" s="31" t="n"/>
      <c r="AD728" s="31" t="n"/>
      <c r="AE728" s="31" t="n"/>
      <c r="AF728" s="27">
        <f>IF(NOT(COUNTA(A728:AE728)&gt;0),"",IF(A728="","New client","Update"))</f>
        <v/>
      </c>
      <c r="AG728" s="27">
        <f>IF(AO728&lt;&gt;"",AO728,IF(LEN(AN728)=15,MID(AN728,3,10),""))</f>
        <v/>
      </c>
      <c r="AH728" s="27">
        <f>IF(AP728="","",AP728&amp;IF(D728="","  (guessed from PAN)",""))</f>
        <v/>
      </c>
      <c r="AI728" s="27">
        <f>IF(AN728="","",IFERROR(INDEX(Lists!$L$2:$L$38,MATCH(LEFT(AN728,2),Lists!$K$2:$K$38,0)),"Unknown code"))</f>
        <v/>
      </c>
      <c r="AJ728" s="27">
        <f>IF(AN728="","",IFERROR(IF(NOT(AND(LEN(AN728)=15,ISNUMBER(MATCH(LEFT(AN728,2),Lists!$K$2:$K$38,0)),SUMPRODUCT(--ISERROR(FIND(MID(MID(AN728,3,10),{1,2,3,4,5,10},1),"ABCDEFGHIJKLMNOPQRSTUVWXYZ")))=0,SUMPRODUCT(--ISERROR(FIND(MID(MID(AN728,3,10),{6,7,8,9},1),"0123456789")))=0,ISNUMBER(FIND(MID(AN728,13,1),"123456789ABCDEFGHIJKLMNOPQRSTUVWXYZ")),MID(AN728,14,1)="Z")),"Wrong format",IF(MID("0123456789ABCDEFGHIJKLMNOPQRSTUVWXYZ",MOD(36-MOD(SUMPRODUCT(INT((FIND(MID(AN728,{1,2,3,4,5,6,7,8,9,10,11,12,13,14},1),"0123456789ABCDEFGHIJKLMNOPQRSTUVWXYZ")-1)*{1,2,1,2,1,2,1,2,1,2,1,2,1,2}/36)+MOD((FIND(MID(AN728,{1,2,3,4,5,6,7,8,9,10,11,12,13,14},1),"0123456789ABCDEFGHIJKLMNOPQRSTUVWXYZ")-1)*{1,2,1,2,1,2,1,2,1,2,1,2,1,2},36)),36),36)+1,1)=MID(AN728,15,1),"OK","Typo? check digit wrong")),"Wrong format"))</f>
        <v/>
      </c>
      <c r="AK728" s="27">
        <f>IF(AO728="","",IF(AND(LEN(AO728)=10,SUMPRODUCT(--ISERROR(FIND(MID(AO728,{1,2,3,4,5,10},1),"ABCDEFGHIJKLMNOPQRSTUVWXYZ")))=0,SUMPRODUCT(--ISERROR(FIND(MID(AO728,{6,7,8,9},1),"0123456789")))=0),"OK","Wrong format"))</f>
        <v/>
      </c>
      <c r="AL728" s="27">
        <f>IF(TRIM(H728)="","",IF(AND(LEN(UPPER(TRIM(H728)))=10,SUMPRODUCT(--ISERROR(FIND(MID(UPPER(TRIM(H728)),{1,2,3,4,10},1),"ABCDEFGHIJKLMNOPQRSTUVWXYZ")))=0,SUMPRODUCT(--ISERROR(FIND(MID(UPPER(TRIM(H728)),{5,6,7,8,9},1),"0123456789")))=0),"OK","Wrong format"))</f>
        <v/>
      </c>
      <c r="AM728" s="28">
        <f>IF(NOT(COUNTA(A728:AE728)&gt;0),"",IF(AS728&lt;&gt;"","✖ "&amp;LEFT(AS728,LEN(AS728)-2),IF(AR728&gt;0,"✔ Ready — client + "&amp;AR728&amp;" service(s)","✔ Ready — client only")))</f>
        <v/>
      </c>
      <c r="AN728" s="29">
        <f>UPPER(SUBSTITUTE(TRIM(F728)," ",""))</f>
        <v/>
      </c>
      <c r="AO728" s="29">
        <f>UPPER(SUBSTITUTE(TRIM(E728)," ",""))</f>
        <v/>
      </c>
      <c r="AP728" s="29">
        <f>IF(D728&lt;&gt;"",D728,IFERROR(VLOOKUP(MID(AG728,4,1),Lists!$E$2:$F$8,2,FALSE),""))</f>
        <v/>
      </c>
      <c r="AQ728" s="29">
        <f>IFERROR(VLOOKUP(AP728,Lists!$A$2:$C$12,3,FALSE),"")</f>
        <v/>
      </c>
      <c r="AR728" s="29">
        <f>COUNTIF(W728:AC728,"Yes")</f>
        <v/>
      </c>
      <c r="AS728" s="29">
        <f>IF(TRIM(B728)="","Legal name missing; ","")&amp;IF(AND(AJ728&lt;&gt;"",AJ728&lt;&gt;"OK"),"GSTIN: "&amp;AJ728&amp;"; ","")&amp;IF(AND(AK728&lt;&gt;"",AK728&lt;&gt;"OK"),"PAN wrong format; ","")&amp;IF(AND(AO728&lt;&gt;"",LEN(AN728)=15,MID(AN728,3,10)&lt;&gt;AO728),"PAN does not match GSTIN; ","")&amp;IF(AND(AL728&lt;&gt;"",AL728&lt;&gt;"OK"),"TAN wrong format; ","")&amp;IF(AG728="","PAN missing; ","")&amp;IF(AP728="","Entity type missing; ","")&amp;IF(AND(AN728&lt;&gt;"",COUNTIF($AN$6:$AN$1005,AN728)&gt;1),"GSTIN repeated in this sheet; ","")&amp;IF(AND(AG728&lt;&gt;"",COUNTIF($AG$6:$AG$1005,AG728)&gt;1),"PAN repeated in this sheet (same client? put extra GSTINs in Other GSTINs); ","")&amp;IF(AND(AR728&gt;0,V728=""),"Financial year missing; ","")&amp;IF(AND(AR728=0,V728&lt;&gt;""),"Financial year given but no service is Yes; ","")&amp;IF(AND(W728="Yes",AN728=""),"GST needs a GSTIN; ","")&amp;IF(AND(W728="Yes",X728=""),"GST return frequency missing; ","")&amp;IF(AND(Y728="Yes",TRIM(H728)=""),"TDS needs a TAN; ","")&amp;IF(AND(AA728="Yes",AQ728&lt;&gt;"",AQ728&lt;&gt;"company",AQ728&lt;&gt;"llp"),"ROC is only for a company / LLP; ","")&amp;IF(AND(AA728="Yes",OR(AQ728="company",AQ728="llp"),TRIM(I728)=""),"ROC needs the CIN / LLPIN; ","")</f>
        <v/>
      </c>
    </row>
    <row r="729">
      <c r="A729" s="30" t="n"/>
      <c r="B729" s="31" t="n"/>
      <c r="C729" s="31" t="n"/>
      <c r="D729" s="31" t="n"/>
      <c r="E729" s="30" t="n"/>
      <c r="F729" s="30" t="n"/>
      <c r="G729" s="30" t="n"/>
      <c r="H729" s="30" t="n"/>
      <c r="I729" s="30" t="n"/>
      <c r="J729" s="32" t="n"/>
      <c r="K729" s="31" t="n"/>
      <c r="L729" s="30" t="n"/>
      <c r="M729" s="31" t="n"/>
      <c r="N729" s="31" t="n"/>
      <c r="O729" s="31" t="n"/>
      <c r="P729" s="30" t="n"/>
      <c r="Q729" s="31" t="n"/>
      <c r="R729" s="31" t="n"/>
      <c r="S729" s="31" t="n"/>
      <c r="T729" s="31" t="n"/>
      <c r="U729" s="30" t="n"/>
      <c r="V729" s="31" t="n"/>
      <c r="W729" s="31" t="n"/>
      <c r="X729" s="31" t="n"/>
      <c r="Y729" s="31" t="n"/>
      <c r="Z729" s="31" t="n"/>
      <c r="AA729" s="31" t="n"/>
      <c r="AB729" s="31" t="n"/>
      <c r="AC729" s="31" t="n"/>
      <c r="AD729" s="31" t="n"/>
      <c r="AE729" s="31" t="n"/>
      <c r="AF729" s="27">
        <f>IF(NOT(COUNTA(A729:AE729)&gt;0),"",IF(A729="","New client","Update"))</f>
        <v/>
      </c>
      <c r="AG729" s="27">
        <f>IF(AO729&lt;&gt;"",AO729,IF(LEN(AN729)=15,MID(AN729,3,10),""))</f>
        <v/>
      </c>
      <c r="AH729" s="27">
        <f>IF(AP729="","",AP729&amp;IF(D729="","  (guessed from PAN)",""))</f>
        <v/>
      </c>
      <c r="AI729" s="27">
        <f>IF(AN729="","",IFERROR(INDEX(Lists!$L$2:$L$38,MATCH(LEFT(AN729,2),Lists!$K$2:$K$38,0)),"Unknown code"))</f>
        <v/>
      </c>
      <c r="AJ729" s="27">
        <f>IF(AN729="","",IFERROR(IF(NOT(AND(LEN(AN729)=15,ISNUMBER(MATCH(LEFT(AN729,2),Lists!$K$2:$K$38,0)),SUMPRODUCT(--ISERROR(FIND(MID(MID(AN729,3,10),{1,2,3,4,5,10},1),"ABCDEFGHIJKLMNOPQRSTUVWXYZ")))=0,SUMPRODUCT(--ISERROR(FIND(MID(MID(AN729,3,10),{6,7,8,9},1),"0123456789")))=0,ISNUMBER(FIND(MID(AN729,13,1),"123456789ABCDEFGHIJKLMNOPQRSTUVWXYZ")),MID(AN729,14,1)="Z")),"Wrong format",IF(MID("0123456789ABCDEFGHIJKLMNOPQRSTUVWXYZ",MOD(36-MOD(SUMPRODUCT(INT((FIND(MID(AN729,{1,2,3,4,5,6,7,8,9,10,11,12,13,14},1),"0123456789ABCDEFGHIJKLMNOPQRSTUVWXYZ")-1)*{1,2,1,2,1,2,1,2,1,2,1,2,1,2}/36)+MOD((FIND(MID(AN729,{1,2,3,4,5,6,7,8,9,10,11,12,13,14},1),"0123456789ABCDEFGHIJKLMNOPQRSTUVWXYZ")-1)*{1,2,1,2,1,2,1,2,1,2,1,2,1,2},36)),36),36)+1,1)=MID(AN729,15,1),"OK","Typo? check digit wrong")),"Wrong format"))</f>
        <v/>
      </c>
      <c r="AK729" s="27">
        <f>IF(AO729="","",IF(AND(LEN(AO729)=10,SUMPRODUCT(--ISERROR(FIND(MID(AO729,{1,2,3,4,5,10},1),"ABCDEFGHIJKLMNOPQRSTUVWXYZ")))=0,SUMPRODUCT(--ISERROR(FIND(MID(AO729,{6,7,8,9},1),"0123456789")))=0),"OK","Wrong format"))</f>
        <v/>
      </c>
      <c r="AL729" s="27">
        <f>IF(TRIM(H729)="","",IF(AND(LEN(UPPER(TRIM(H729)))=10,SUMPRODUCT(--ISERROR(FIND(MID(UPPER(TRIM(H729)),{1,2,3,4,10},1),"ABCDEFGHIJKLMNOPQRSTUVWXYZ")))=0,SUMPRODUCT(--ISERROR(FIND(MID(UPPER(TRIM(H729)),{5,6,7,8,9},1),"0123456789")))=0),"OK","Wrong format"))</f>
        <v/>
      </c>
      <c r="AM729" s="28">
        <f>IF(NOT(COUNTA(A729:AE729)&gt;0),"",IF(AS729&lt;&gt;"","✖ "&amp;LEFT(AS729,LEN(AS729)-2),IF(AR729&gt;0,"✔ Ready — client + "&amp;AR729&amp;" service(s)","✔ Ready — client only")))</f>
        <v/>
      </c>
      <c r="AN729" s="29">
        <f>UPPER(SUBSTITUTE(TRIM(F729)," ",""))</f>
        <v/>
      </c>
      <c r="AO729" s="29">
        <f>UPPER(SUBSTITUTE(TRIM(E729)," ",""))</f>
        <v/>
      </c>
      <c r="AP729" s="29">
        <f>IF(D729&lt;&gt;"",D729,IFERROR(VLOOKUP(MID(AG729,4,1),Lists!$E$2:$F$8,2,FALSE),""))</f>
        <v/>
      </c>
      <c r="AQ729" s="29">
        <f>IFERROR(VLOOKUP(AP729,Lists!$A$2:$C$12,3,FALSE),"")</f>
        <v/>
      </c>
      <c r="AR729" s="29">
        <f>COUNTIF(W729:AC729,"Yes")</f>
        <v/>
      </c>
      <c r="AS729" s="29">
        <f>IF(TRIM(B729)="","Legal name missing; ","")&amp;IF(AND(AJ729&lt;&gt;"",AJ729&lt;&gt;"OK"),"GSTIN: "&amp;AJ729&amp;"; ","")&amp;IF(AND(AK729&lt;&gt;"",AK729&lt;&gt;"OK"),"PAN wrong format; ","")&amp;IF(AND(AO729&lt;&gt;"",LEN(AN729)=15,MID(AN729,3,10)&lt;&gt;AO729),"PAN does not match GSTIN; ","")&amp;IF(AND(AL729&lt;&gt;"",AL729&lt;&gt;"OK"),"TAN wrong format; ","")&amp;IF(AG729="","PAN missing; ","")&amp;IF(AP729="","Entity type missing; ","")&amp;IF(AND(AN729&lt;&gt;"",COUNTIF($AN$6:$AN$1005,AN729)&gt;1),"GSTIN repeated in this sheet; ","")&amp;IF(AND(AG729&lt;&gt;"",COUNTIF($AG$6:$AG$1005,AG729)&gt;1),"PAN repeated in this sheet (same client? put extra GSTINs in Other GSTINs); ","")&amp;IF(AND(AR729&gt;0,V729=""),"Financial year missing; ","")&amp;IF(AND(AR729=0,V729&lt;&gt;""),"Financial year given but no service is Yes; ","")&amp;IF(AND(W729="Yes",AN729=""),"GST needs a GSTIN; ","")&amp;IF(AND(W729="Yes",X729=""),"GST return frequency missing; ","")&amp;IF(AND(Y729="Yes",TRIM(H729)=""),"TDS needs a TAN; ","")&amp;IF(AND(AA729="Yes",AQ729&lt;&gt;"",AQ729&lt;&gt;"company",AQ729&lt;&gt;"llp"),"ROC is only for a company / LLP; ","")&amp;IF(AND(AA729="Yes",OR(AQ729="company",AQ729="llp"),TRIM(I729)=""),"ROC needs the CIN / LLPIN; ","")</f>
        <v/>
      </c>
    </row>
    <row r="730">
      <c r="A730" s="30" t="n"/>
      <c r="B730" s="31" t="n"/>
      <c r="C730" s="31" t="n"/>
      <c r="D730" s="31" t="n"/>
      <c r="E730" s="30" t="n"/>
      <c r="F730" s="30" t="n"/>
      <c r="G730" s="30" t="n"/>
      <c r="H730" s="30" t="n"/>
      <c r="I730" s="30" t="n"/>
      <c r="J730" s="32" t="n"/>
      <c r="K730" s="31" t="n"/>
      <c r="L730" s="30" t="n"/>
      <c r="M730" s="31" t="n"/>
      <c r="N730" s="31" t="n"/>
      <c r="O730" s="31" t="n"/>
      <c r="P730" s="30" t="n"/>
      <c r="Q730" s="31" t="n"/>
      <c r="R730" s="31" t="n"/>
      <c r="S730" s="31" t="n"/>
      <c r="T730" s="31" t="n"/>
      <c r="U730" s="30" t="n"/>
      <c r="V730" s="31" t="n"/>
      <c r="W730" s="31" t="n"/>
      <c r="X730" s="31" t="n"/>
      <c r="Y730" s="31" t="n"/>
      <c r="Z730" s="31" t="n"/>
      <c r="AA730" s="31" t="n"/>
      <c r="AB730" s="31" t="n"/>
      <c r="AC730" s="31" t="n"/>
      <c r="AD730" s="31" t="n"/>
      <c r="AE730" s="31" t="n"/>
      <c r="AF730" s="27">
        <f>IF(NOT(COUNTA(A730:AE730)&gt;0),"",IF(A730="","New client","Update"))</f>
        <v/>
      </c>
      <c r="AG730" s="27">
        <f>IF(AO730&lt;&gt;"",AO730,IF(LEN(AN730)=15,MID(AN730,3,10),""))</f>
        <v/>
      </c>
      <c r="AH730" s="27">
        <f>IF(AP730="","",AP730&amp;IF(D730="","  (guessed from PAN)",""))</f>
        <v/>
      </c>
      <c r="AI730" s="27">
        <f>IF(AN730="","",IFERROR(INDEX(Lists!$L$2:$L$38,MATCH(LEFT(AN730,2),Lists!$K$2:$K$38,0)),"Unknown code"))</f>
        <v/>
      </c>
      <c r="AJ730" s="27">
        <f>IF(AN730="","",IFERROR(IF(NOT(AND(LEN(AN730)=15,ISNUMBER(MATCH(LEFT(AN730,2),Lists!$K$2:$K$38,0)),SUMPRODUCT(--ISERROR(FIND(MID(MID(AN730,3,10),{1,2,3,4,5,10},1),"ABCDEFGHIJKLMNOPQRSTUVWXYZ")))=0,SUMPRODUCT(--ISERROR(FIND(MID(MID(AN730,3,10),{6,7,8,9},1),"0123456789")))=0,ISNUMBER(FIND(MID(AN730,13,1),"123456789ABCDEFGHIJKLMNOPQRSTUVWXYZ")),MID(AN730,14,1)="Z")),"Wrong format",IF(MID("0123456789ABCDEFGHIJKLMNOPQRSTUVWXYZ",MOD(36-MOD(SUMPRODUCT(INT((FIND(MID(AN730,{1,2,3,4,5,6,7,8,9,10,11,12,13,14},1),"0123456789ABCDEFGHIJKLMNOPQRSTUVWXYZ")-1)*{1,2,1,2,1,2,1,2,1,2,1,2,1,2}/36)+MOD((FIND(MID(AN730,{1,2,3,4,5,6,7,8,9,10,11,12,13,14},1),"0123456789ABCDEFGHIJKLMNOPQRSTUVWXYZ")-1)*{1,2,1,2,1,2,1,2,1,2,1,2,1,2},36)),36),36)+1,1)=MID(AN730,15,1),"OK","Typo? check digit wrong")),"Wrong format"))</f>
        <v/>
      </c>
      <c r="AK730" s="27">
        <f>IF(AO730="","",IF(AND(LEN(AO730)=10,SUMPRODUCT(--ISERROR(FIND(MID(AO730,{1,2,3,4,5,10},1),"ABCDEFGHIJKLMNOPQRSTUVWXYZ")))=0,SUMPRODUCT(--ISERROR(FIND(MID(AO730,{6,7,8,9},1),"0123456789")))=0),"OK","Wrong format"))</f>
        <v/>
      </c>
      <c r="AL730" s="27">
        <f>IF(TRIM(H730)="","",IF(AND(LEN(UPPER(TRIM(H730)))=10,SUMPRODUCT(--ISERROR(FIND(MID(UPPER(TRIM(H730)),{1,2,3,4,10},1),"ABCDEFGHIJKLMNOPQRSTUVWXYZ")))=0,SUMPRODUCT(--ISERROR(FIND(MID(UPPER(TRIM(H730)),{5,6,7,8,9},1),"0123456789")))=0),"OK","Wrong format"))</f>
        <v/>
      </c>
      <c r="AM730" s="28">
        <f>IF(NOT(COUNTA(A730:AE730)&gt;0),"",IF(AS730&lt;&gt;"","✖ "&amp;LEFT(AS730,LEN(AS730)-2),IF(AR730&gt;0,"✔ Ready — client + "&amp;AR730&amp;" service(s)","✔ Ready — client only")))</f>
        <v/>
      </c>
      <c r="AN730" s="29">
        <f>UPPER(SUBSTITUTE(TRIM(F730)," ",""))</f>
        <v/>
      </c>
      <c r="AO730" s="29">
        <f>UPPER(SUBSTITUTE(TRIM(E730)," ",""))</f>
        <v/>
      </c>
      <c r="AP730" s="29">
        <f>IF(D730&lt;&gt;"",D730,IFERROR(VLOOKUP(MID(AG730,4,1),Lists!$E$2:$F$8,2,FALSE),""))</f>
        <v/>
      </c>
      <c r="AQ730" s="29">
        <f>IFERROR(VLOOKUP(AP730,Lists!$A$2:$C$12,3,FALSE),"")</f>
        <v/>
      </c>
      <c r="AR730" s="29">
        <f>COUNTIF(W730:AC730,"Yes")</f>
        <v/>
      </c>
      <c r="AS730" s="29">
        <f>IF(TRIM(B730)="","Legal name missing; ","")&amp;IF(AND(AJ730&lt;&gt;"",AJ730&lt;&gt;"OK"),"GSTIN: "&amp;AJ730&amp;"; ","")&amp;IF(AND(AK730&lt;&gt;"",AK730&lt;&gt;"OK"),"PAN wrong format; ","")&amp;IF(AND(AO730&lt;&gt;"",LEN(AN730)=15,MID(AN730,3,10)&lt;&gt;AO730),"PAN does not match GSTIN; ","")&amp;IF(AND(AL730&lt;&gt;"",AL730&lt;&gt;"OK"),"TAN wrong format; ","")&amp;IF(AG730="","PAN missing; ","")&amp;IF(AP730="","Entity type missing; ","")&amp;IF(AND(AN730&lt;&gt;"",COUNTIF($AN$6:$AN$1005,AN730)&gt;1),"GSTIN repeated in this sheet; ","")&amp;IF(AND(AG730&lt;&gt;"",COUNTIF($AG$6:$AG$1005,AG730)&gt;1),"PAN repeated in this sheet (same client? put extra GSTINs in Other GSTINs); ","")&amp;IF(AND(AR730&gt;0,V730=""),"Financial year missing; ","")&amp;IF(AND(AR730=0,V730&lt;&gt;""),"Financial year given but no service is Yes; ","")&amp;IF(AND(W730="Yes",AN730=""),"GST needs a GSTIN; ","")&amp;IF(AND(W730="Yes",X730=""),"GST return frequency missing; ","")&amp;IF(AND(Y730="Yes",TRIM(H730)=""),"TDS needs a TAN; ","")&amp;IF(AND(AA730="Yes",AQ730&lt;&gt;"",AQ730&lt;&gt;"company",AQ730&lt;&gt;"llp"),"ROC is only for a company / LLP; ","")&amp;IF(AND(AA730="Yes",OR(AQ730="company",AQ730="llp"),TRIM(I730)=""),"ROC needs the CIN / LLPIN; ","")</f>
        <v/>
      </c>
    </row>
    <row r="731">
      <c r="A731" s="30" t="n"/>
      <c r="B731" s="31" t="n"/>
      <c r="C731" s="31" t="n"/>
      <c r="D731" s="31" t="n"/>
      <c r="E731" s="30" t="n"/>
      <c r="F731" s="30" t="n"/>
      <c r="G731" s="30" t="n"/>
      <c r="H731" s="30" t="n"/>
      <c r="I731" s="30" t="n"/>
      <c r="J731" s="32" t="n"/>
      <c r="K731" s="31" t="n"/>
      <c r="L731" s="30" t="n"/>
      <c r="M731" s="31" t="n"/>
      <c r="N731" s="31" t="n"/>
      <c r="O731" s="31" t="n"/>
      <c r="P731" s="30" t="n"/>
      <c r="Q731" s="31" t="n"/>
      <c r="R731" s="31" t="n"/>
      <c r="S731" s="31" t="n"/>
      <c r="T731" s="31" t="n"/>
      <c r="U731" s="30" t="n"/>
      <c r="V731" s="31" t="n"/>
      <c r="W731" s="31" t="n"/>
      <c r="X731" s="31" t="n"/>
      <c r="Y731" s="31" t="n"/>
      <c r="Z731" s="31" t="n"/>
      <c r="AA731" s="31" t="n"/>
      <c r="AB731" s="31" t="n"/>
      <c r="AC731" s="31" t="n"/>
      <c r="AD731" s="31" t="n"/>
      <c r="AE731" s="31" t="n"/>
      <c r="AF731" s="27">
        <f>IF(NOT(COUNTA(A731:AE731)&gt;0),"",IF(A731="","New client","Update"))</f>
        <v/>
      </c>
      <c r="AG731" s="27">
        <f>IF(AO731&lt;&gt;"",AO731,IF(LEN(AN731)=15,MID(AN731,3,10),""))</f>
        <v/>
      </c>
      <c r="AH731" s="27">
        <f>IF(AP731="","",AP731&amp;IF(D731="","  (guessed from PAN)",""))</f>
        <v/>
      </c>
      <c r="AI731" s="27">
        <f>IF(AN731="","",IFERROR(INDEX(Lists!$L$2:$L$38,MATCH(LEFT(AN731,2),Lists!$K$2:$K$38,0)),"Unknown code"))</f>
        <v/>
      </c>
      <c r="AJ731" s="27">
        <f>IF(AN731="","",IFERROR(IF(NOT(AND(LEN(AN731)=15,ISNUMBER(MATCH(LEFT(AN731,2),Lists!$K$2:$K$38,0)),SUMPRODUCT(--ISERROR(FIND(MID(MID(AN731,3,10),{1,2,3,4,5,10},1),"ABCDEFGHIJKLMNOPQRSTUVWXYZ")))=0,SUMPRODUCT(--ISERROR(FIND(MID(MID(AN731,3,10),{6,7,8,9},1),"0123456789")))=0,ISNUMBER(FIND(MID(AN731,13,1),"123456789ABCDEFGHIJKLMNOPQRSTUVWXYZ")),MID(AN731,14,1)="Z")),"Wrong format",IF(MID("0123456789ABCDEFGHIJKLMNOPQRSTUVWXYZ",MOD(36-MOD(SUMPRODUCT(INT((FIND(MID(AN731,{1,2,3,4,5,6,7,8,9,10,11,12,13,14},1),"0123456789ABCDEFGHIJKLMNOPQRSTUVWXYZ")-1)*{1,2,1,2,1,2,1,2,1,2,1,2,1,2}/36)+MOD((FIND(MID(AN731,{1,2,3,4,5,6,7,8,9,10,11,12,13,14},1),"0123456789ABCDEFGHIJKLMNOPQRSTUVWXYZ")-1)*{1,2,1,2,1,2,1,2,1,2,1,2,1,2},36)),36),36)+1,1)=MID(AN731,15,1),"OK","Typo? check digit wrong")),"Wrong format"))</f>
        <v/>
      </c>
      <c r="AK731" s="27">
        <f>IF(AO731="","",IF(AND(LEN(AO731)=10,SUMPRODUCT(--ISERROR(FIND(MID(AO731,{1,2,3,4,5,10},1),"ABCDEFGHIJKLMNOPQRSTUVWXYZ")))=0,SUMPRODUCT(--ISERROR(FIND(MID(AO731,{6,7,8,9},1),"0123456789")))=0),"OK","Wrong format"))</f>
        <v/>
      </c>
      <c r="AL731" s="27">
        <f>IF(TRIM(H731)="","",IF(AND(LEN(UPPER(TRIM(H731)))=10,SUMPRODUCT(--ISERROR(FIND(MID(UPPER(TRIM(H731)),{1,2,3,4,10},1),"ABCDEFGHIJKLMNOPQRSTUVWXYZ")))=0,SUMPRODUCT(--ISERROR(FIND(MID(UPPER(TRIM(H731)),{5,6,7,8,9},1),"0123456789")))=0),"OK","Wrong format"))</f>
        <v/>
      </c>
      <c r="AM731" s="28">
        <f>IF(NOT(COUNTA(A731:AE731)&gt;0),"",IF(AS731&lt;&gt;"","✖ "&amp;LEFT(AS731,LEN(AS731)-2),IF(AR731&gt;0,"✔ Ready — client + "&amp;AR731&amp;" service(s)","✔ Ready — client only")))</f>
        <v/>
      </c>
      <c r="AN731" s="29">
        <f>UPPER(SUBSTITUTE(TRIM(F731)," ",""))</f>
        <v/>
      </c>
      <c r="AO731" s="29">
        <f>UPPER(SUBSTITUTE(TRIM(E731)," ",""))</f>
        <v/>
      </c>
      <c r="AP731" s="29">
        <f>IF(D731&lt;&gt;"",D731,IFERROR(VLOOKUP(MID(AG731,4,1),Lists!$E$2:$F$8,2,FALSE),""))</f>
        <v/>
      </c>
      <c r="AQ731" s="29">
        <f>IFERROR(VLOOKUP(AP731,Lists!$A$2:$C$12,3,FALSE),"")</f>
        <v/>
      </c>
      <c r="AR731" s="29">
        <f>COUNTIF(W731:AC731,"Yes")</f>
        <v/>
      </c>
      <c r="AS731" s="29">
        <f>IF(TRIM(B731)="","Legal name missing; ","")&amp;IF(AND(AJ731&lt;&gt;"",AJ731&lt;&gt;"OK"),"GSTIN: "&amp;AJ731&amp;"; ","")&amp;IF(AND(AK731&lt;&gt;"",AK731&lt;&gt;"OK"),"PAN wrong format; ","")&amp;IF(AND(AO731&lt;&gt;"",LEN(AN731)=15,MID(AN731,3,10)&lt;&gt;AO731),"PAN does not match GSTIN; ","")&amp;IF(AND(AL731&lt;&gt;"",AL731&lt;&gt;"OK"),"TAN wrong format; ","")&amp;IF(AG731="","PAN missing; ","")&amp;IF(AP731="","Entity type missing; ","")&amp;IF(AND(AN731&lt;&gt;"",COUNTIF($AN$6:$AN$1005,AN731)&gt;1),"GSTIN repeated in this sheet; ","")&amp;IF(AND(AG731&lt;&gt;"",COUNTIF($AG$6:$AG$1005,AG731)&gt;1),"PAN repeated in this sheet (same client? put extra GSTINs in Other GSTINs); ","")&amp;IF(AND(AR731&gt;0,V731=""),"Financial year missing; ","")&amp;IF(AND(AR731=0,V731&lt;&gt;""),"Financial year given but no service is Yes; ","")&amp;IF(AND(W731="Yes",AN731=""),"GST needs a GSTIN; ","")&amp;IF(AND(W731="Yes",X731=""),"GST return frequency missing; ","")&amp;IF(AND(Y731="Yes",TRIM(H731)=""),"TDS needs a TAN; ","")&amp;IF(AND(AA731="Yes",AQ731&lt;&gt;"",AQ731&lt;&gt;"company",AQ731&lt;&gt;"llp"),"ROC is only for a company / LLP; ","")&amp;IF(AND(AA731="Yes",OR(AQ731="company",AQ731="llp"),TRIM(I731)=""),"ROC needs the CIN / LLPIN; ","")</f>
        <v/>
      </c>
    </row>
    <row r="732">
      <c r="A732" s="30" t="n"/>
      <c r="B732" s="31" t="n"/>
      <c r="C732" s="31" t="n"/>
      <c r="D732" s="31" t="n"/>
      <c r="E732" s="30" t="n"/>
      <c r="F732" s="30" t="n"/>
      <c r="G732" s="30" t="n"/>
      <c r="H732" s="30" t="n"/>
      <c r="I732" s="30" t="n"/>
      <c r="J732" s="32" t="n"/>
      <c r="K732" s="31" t="n"/>
      <c r="L732" s="30" t="n"/>
      <c r="M732" s="31" t="n"/>
      <c r="N732" s="31" t="n"/>
      <c r="O732" s="31" t="n"/>
      <c r="P732" s="30" t="n"/>
      <c r="Q732" s="31" t="n"/>
      <c r="R732" s="31" t="n"/>
      <c r="S732" s="31" t="n"/>
      <c r="T732" s="31" t="n"/>
      <c r="U732" s="30" t="n"/>
      <c r="V732" s="31" t="n"/>
      <c r="W732" s="31" t="n"/>
      <c r="X732" s="31" t="n"/>
      <c r="Y732" s="31" t="n"/>
      <c r="Z732" s="31" t="n"/>
      <c r="AA732" s="31" t="n"/>
      <c r="AB732" s="31" t="n"/>
      <c r="AC732" s="31" t="n"/>
      <c r="AD732" s="31" t="n"/>
      <c r="AE732" s="31" t="n"/>
      <c r="AF732" s="27">
        <f>IF(NOT(COUNTA(A732:AE732)&gt;0),"",IF(A732="","New client","Update"))</f>
        <v/>
      </c>
      <c r="AG732" s="27">
        <f>IF(AO732&lt;&gt;"",AO732,IF(LEN(AN732)=15,MID(AN732,3,10),""))</f>
        <v/>
      </c>
      <c r="AH732" s="27">
        <f>IF(AP732="","",AP732&amp;IF(D732="","  (guessed from PAN)",""))</f>
        <v/>
      </c>
      <c r="AI732" s="27">
        <f>IF(AN732="","",IFERROR(INDEX(Lists!$L$2:$L$38,MATCH(LEFT(AN732,2),Lists!$K$2:$K$38,0)),"Unknown code"))</f>
        <v/>
      </c>
      <c r="AJ732" s="27">
        <f>IF(AN732="","",IFERROR(IF(NOT(AND(LEN(AN732)=15,ISNUMBER(MATCH(LEFT(AN732,2),Lists!$K$2:$K$38,0)),SUMPRODUCT(--ISERROR(FIND(MID(MID(AN732,3,10),{1,2,3,4,5,10},1),"ABCDEFGHIJKLMNOPQRSTUVWXYZ")))=0,SUMPRODUCT(--ISERROR(FIND(MID(MID(AN732,3,10),{6,7,8,9},1),"0123456789")))=0,ISNUMBER(FIND(MID(AN732,13,1),"123456789ABCDEFGHIJKLMNOPQRSTUVWXYZ")),MID(AN732,14,1)="Z")),"Wrong format",IF(MID("0123456789ABCDEFGHIJKLMNOPQRSTUVWXYZ",MOD(36-MOD(SUMPRODUCT(INT((FIND(MID(AN732,{1,2,3,4,5,6,7,8,9,10,11,12,13,14},1),"0123456789ABCDEFGHIJKLMNOPQRSTUVWXYZ")-1)*{1,2,1,2,1,2,1,2,1,2,1,2,1,2}/36)+MOD((FIND(MID(AN732,{1,2,3,4,5,6,7,8,9,10,11,12,13,14},1),"0123456789ABCDEFGHIJKLMNOPQRSTUVWXYZ")-1)*{1,2,1,2,1,2,1,2,1,2,1,2,1,2},36)),36),36)+1,1)=MID(AN732,15,1),"OK","Typo? check digit wrong")),"Wrong format"))</f>
        <v/>
      </c>
      <c r="AK732" s="27">
        <f>IF(AO732="","",IF(AND(LEN(AO732)=10,SUMPRODUCT(--ISERROR(FIND(MID(AO732,{1,2,3,4,5,10},1),"ABCDEFGHIJKLMNOPQRSTUVWXYZ")))=0,SUMPRODUCT(--ISERROR(FIND(MID(AO732,{6,7,8,9},1),"0123456789")))=0),"OK","Wrong format"))</f>
        <v/>
      </c>
      <c r="AL732" s="27">
        <f>IF(TRIM(H732)="","",IF(AND(LEN(UPPER(TRIM(H732)))=10,SUMPRODUCT(--ISERROR(FIND(MID(UPPER(TRIM(H732)),{1,2,3,4,10},1),"ABCDEFGHIJKLMNOPQRSTUVWXYZ")))=0,SUMPRODUCT(--ISERROR(FIND(MID(UPPER(TRIM(H732)),{5,6,7,8,9},1),"0123456789")))=0),"OK","Wrong format"))</f>
        <v/>
      </c>
      <c r="AM732" s="28">
        <f>IF(NOT(COUNTA(A732:AE732)&gt;0),"",IF(AS732&lt;&gt;"","✖ "&amp;LEFT(AS732,LEN(AS732)-2),IF(AR732&gt;0,"✔ Ready — client + "&amp;AR732&amp;" service(s)","✔ Ready — client only")))</f>
        <v/>
      </c>
      <c r="AN732" s="29">
        <f>UPPER(SUBSTITUTE(TRIM(F732)," ",""))</f>
        <v/>
      </c>
      <c r="AO732" s="29">
        <f>UPPER(SUBSTITUTE(TRIM(E732)," ",""))</f>
        <v/>
      </c>
      <c r="AP732" s="29">
        <f>IF(D732&lt;&gt;"",D732,IFERROR(VLOOKUP(MID(AG732,4,1),Lists!$E$2:$F$8,2,FALSE),""))</f>
        <v/>
      </c>
      <c r="AQ732" s="29">
        <f>IFERROR(VLOOKUP(AP732,Lists!$A$2:$C$12,3,FALSE),"")</f>
        <v/>
      </c>
      <c r="AR732" s="29">
        <f>COUNTIF(W732:AC732,"Yes")</f>
        <v/>
      </c>
      <c r="AS732" s="29">
        <f>IF(TRIM(B732)="","Legal name missing; ","")&amp;IF(AND(AJ732&lt;&gt;"",AJ732&lt;&gt;"OK"),"GSTIN: "&amp;AJ732&amp;"; ","")&amp;IF(AND(AK732&lt;&gt;"",AK732&lt;&gt;"OK"),"PAN wrong format; ","")&amp;IF(AND(AO732&lt;&gt;"",LEN(AN732)=15,MID(AN732,3,10)&lt;&gt;AO732),"PAN does not match GSTIN; ","")&amp;IF(AND(AL732&lt;&gt;"",AL732&lt;&gt;"OK"),"TAN wrong format; ","")&amp;IF(AG732="","PAN missing; ","")&amp;IF(AP732="","Entity type missing; ","")&amp;IF(AND(AN732&lt;&gt;"",COUNTIF($AN$6:$AN$1005,AN732)&gt;1),"GSTIN repeated in this sheet; ","")&amp;IF(AND(AG732&lt;&gt;"",COUNTIF($AG$6:$AG$1005,AG732)&gt;1),"PAN repeated in this sheet (same client? put extra GSTINs in Other GSTINs); ","")&amp;IF(AND(AR732&gt;0,V732=""),"Financial year missing; ","")&amp;IF(AND(AR732=0,V732&lt;&gt;""),"Financial year given but no service is Yes; ","")&amp;IF(AND(W732="Yes",AN732=""),"GST needs a GSTIN; ","")&amp;IF(AND(W732="Yes",X732=""),"GST return frequency missing; ","")&amp;IF(AND(Y732="Yes",TRIM(H732)=""),"TDS needs a TAN; ","")&amp;IF(AND(AA732="Yes",AQ732&lt;&gt;"",AQ732&lt;&gt;"company",AQ732&lt;&gt;"llp"),"ROC is only for a company / LLP; ","")&amp;IF(AND(AA732="Yes",OR(AQ732="company",AQ732="llp"),TRIM(I732)=""),"ROC needs the CIN / LLPIN; ","")</f>
        <v/>
      </c>
    </row>
    <row r="733">
      <c r="A733" s="30" t="n"/>
      <c r="B733" s="31" t="n"/>
      <c r="C733" s="31" t="n"/>
      <c r="D733" s="31" t="n"/>
      <c r="E733" s="30" t="n"/>
      <c r="F733" s="30" t="n"/>
      <c r="G733" s="30" t="n"/>
      <c r="H733" s="30" t="n"/>
      <c r="I733" s="30" t="n"/>
      <c r="J733" s="32" t="n"/>
      <c r="K733" s="31" t="n"/>
      <c r="L733" s="30" t="n"/>
      <c r="M733" s="31" t="n"/>
      <c r="N733" s="31" t="n"/>
      <c r="O733" s="31" t="n"/>
      <c r="P733" s="30" t="n"/>
      <c r="Q733" s="31" t="n"/>
      <c r="R733" s="31" t="n"/>
      <c r="S733" s="31" t="n"/>
      <c r="T733" s="31" t="n"/>
      <c r="U733" s="30" t="n"/>
      <c r="V733" s="31" t="n"/>
      <c r="W733" s="31" t="n"/>
      <c r="X733" s="31" t="n"/>
      <c r="Y733" s="31" t="n"/>
      <c r="Z733" s="31" t="n"/>
      <c r="AA733" s="31" t="n"/>
      <c r="AB733" s="31" t="n"/>
      <c r="AC733" s="31" t="n"/>
      <c r="AD733" s="31" t="n"/>
      <c r="AE733" s="31" t="n"/>
      <c r="AF733" s="27">
        <f>IF(NOT(COUNTA(A733:AE733)&gt;0),"",IF(A733="","New client","Update"))</f>
        <v/>
      </c>
      <c r="AG733" s="27">
        <f>IF(AO733&lt;&gt;"",AO733,IF(LEN(AN733)=15,MID(AN733,3,10),""))</f>
        <v/>
      </c>
      <c r="AH733" s="27">
        <f>IF(AP733="","",AP733&amp;IF(D733="","  (guessed from PAN)",""))</f>
        <v/>
      </c>
      <c r="AI733" s="27">
        <f>IF(AN733="","",IFERROR(INDEX(Lists!$L$2:$L$38,MATCH(LEFT(AN733,2),Lists!$K$2:$K$38,0)),"Unknown code"))</f>
        <v/>
      </c>
      <c r="AJ733" s="27">
        <f>IF(AN733="","",IFERROR(IF(NOT(AND(LEN(AN733)=15,ISNUMBER(MATCH(LEFT(AN733,2),Lists!$K$2:$K$38,0)),SUMPRODUCT(--ISERROR(FIND(MID(MID(AN733,3,10),{1,2,3,4,5,10},1),"ABCDEFGHIJKLMNOPQRSTUVWXYZ")))=0,SUMPRODUCT(--ISERROR(FIND(MID(MID(AN733,3,10),{6,7,8,9},1),"0123456789")))=0,ISNUMBER(FIND(MID(AN733,13,1),"123456789ABCDEFGHIJKLMNOPQRSTUVWXYZ")),MID(AN733,14,1)="Z")),"Wrong format",IF(MID("0123456789ABCDEFGHIJKLMNOPQRSTUVWXYZ",MOD(36-MOD(SUMPRODUCT(INT((FIND(MID(AN733,{1,2,3,4,5,6,7,8,9,10,11,12,13,14},1),"0123456789ABCDEFGHIJKLMNOPQRSTUVWXYZ")-1)*{1,2,1,2,1,2,1,2,1,2,1,2,1,2}/36)+MOD((FIND(MID(AN733,{1,2,3,4,5,6,7,8,9,10,11,12,13,14},1),"0123456789ABCDEFGHIJKLMNOPQRSTUVWXYZ")-1)*{1,2,1,2,1,2,1,2,1,2,1,2,1,2},36)),36),36)+1,1)=MID(AN733,15,1),"OK","Typo? check digit wrong")),"Wrong format"))</f>
        <v/>
      </c>
      <c r="AK733" s="27">
        <f>IF(AO733="","",IF(AND(LEN(AO733)=10,SUMPRODUCT(--ISERROR(FIND(MID(AO733,{1,2,3,4,5,10},1),"ABCDEFGHIJKLMNOPQRSTUVWXYZ")))=0,SUMPRODUCT(--ISERROR(FIND(MID(AO733,{6,7,8,9},1),"0123456789")))=0),"OK","Wrong format"))</f>
        <v/>
      </c>
      <c r="AL733" s="27">
        <f>IF(TRIM(H733)="","",IF(AND(LEN(UPPER(TRIM(H733)))=10,SUMPRODUCT(--ISERROR(FIND(MID(UPPER(TRIM(H733)),{1,2,3,4,10},1),"ABCDEFGHIJKLMNOPQRSTUVWXYZ")))=0,SUMPRODUCT(--ISERROR(FIND(MID(UPPER(TRIM(H733)),{5,6,7,8,9},1),"0123456789")))=0),"OK","Wrong format"))</f>
        <v/>
      </c>
      <c r="AM733" s="28">
        <f>IF(NOT(COUNTA(A733:AE733)&gt;0),"",IF(AS733&lt;&gt;"","✖ "&amp;LEFT(AS733,LEN(AS733)-2),IF(AR733&gt;0,"✔ Ready — client + "&amp;AR733&amp;" service(s)","✔ Ready — client only")))</f>
        <v/>
      </c>
      <c r="AN733" s="29">
        <f>UPPER(SUBSTITUTE(TRIM(F733)," ",""))</f>
        <v/>
      </c>
      <c r="AO733" s="29">
        <f>UPPER(SUBSTITUTE(TRIM(E733)," ",""))</f>
        <v/>
      </c>
      <c r="AP733" s="29">
        <f>IF(D733&lt;&gt;"",D733,IFERROR(VLOOKUP(MID(AG733,4,1),Lists!$E$2:$F$8,2,FALSE),""))</f>
        <v/>
      </c>
      <c r="AQ733" s="29">
        <f>IFERROR(VLOOKUP(AP733,Lists!$A$2:$C$12,3,FALSE),"")</f>
        <v/>
      </c>
      <c r="AR733" s="29">
        <f>COUNTIF(W733:AC733,"Yes")</f>
        <v/>
      </c>
      <c r="AS733" s="29">
        <f>IF(TRIM(B733)="","Legal name missing; ","")&amp;IF(AND(AJ733&lt;&gt;"",AJ733&lt;&gt;"OK"),"GSTIN: "&amp;AJ733&amp;"; ","")&amp;IF(AND(AK733&lt;&gt;"",AK733&lt;&gt;"OK"),"PAN wrong format; ","")&amp;IF(AND(AO733&lt;&gt;"",LEN(AN733)=15,MID(AN733,3,10)&lt;&gt;AO733),"PAN does not match GSTIN; ","")&amp;IF(AND(AL733&lt;&gt;"",AL733&lt;&gt;"OK"),"TAN wrong format; ","")&amp;IF(AG733="","PAN missing; ","")&amp;IF(AP733="","Entity type missing; ","")&amp;IF(AND(AN733&lt;&gt;"",COUNTIF($AN$6:$AN$1005,AN733)&gt;1),"GSTIN repeated in this sheet; ","")&amp;IF(AND(AG733&lt;&gt;"",COUNTIF($AG$6:$AG$1005,AG733)&gt;1),"PAN repeated in this sheet (same client? put extra GSTINs in Other GSTINs); ","")&amp;IF(AND(AR733&gt;0,V733=""),"Financial year missing; ","")&amp;IF(AND(AR733=0,V733&lt;&gt;""),"Financial year given but no service is Yes; ","")&amp;IF(AND(W733="Yes",AN733=""),"GST needs a GSTIN; ","")&amp;IF(AND(W733="Yes",X733=""),"GST return frequency missing; ","")&amp;IF(AND(Y733="Yes",TRIM(H733)=""),"TDS needs a TAN; ","")&amp;IF(AND(AA733="Yes",AQ733&lt;&gt;"",AQ733&lt;&gt;"company",AQ733&lt;&gt;"llp"),"ROC is only for a company / LLP; ","")&amp;IF(AND(AA733="Yes",OR(AQ733="company",AQ733="llp"),TRIM(I733)=""),"ROC needs the CIN / LLPIN; ","")</f>
        <v/>
      </c>
    </row>
    <row r="734">
      <c r="A734" s="30" t="n"/>
      <c r="B734" s="31" t="n"/>
      <c r="C734" s="31" t="n"/>
      <c r="D734" s="31" t="n"/>
      <c r="E734" s="30" t="n"/>
      <c r="F734" s="30" t="n"/>
      <c r="G734" s="30" t="n"/>
      <c r="H734" s="30" t="n"/>
      <c r="I734" s="30" t="n"/>
      <c r="J734" s="32" t="n"/>
      <c r="K734" s="31" t="n"/>
      <c r="L734" s="30" t="n"/>
      <c r="M734" s="31" t="n"/>
      <c r="N734" s="31" t="n"/>
      <c r="O734" s="31" t="n"/>
      <c r="P734" s="30" t="n"/>
      <c r="Q734" s="31" t="n"/>
      <c r="R734" s="31" t="n"/>
      <c r="S734" s="31" t="n"/>
      <c r="T734" s="31" t="n"/>
      <c r="U734" s="30" t="n"/>
      <c r="V734" s="31" t="n"/>
      <c r="W734" s="31" t="n"/>
      <c r="X734" s="31" t="n"/>
      <c r="Y734" s="31" t="n"/>
      <c r="Z734" s="31" t="n"/>
      <c r="AA734" s="31" t="n"/>
      <c r="AB734" s="31" t="n"/>
      <c r="AC734" s="31" t="n"/>
      <c r="AD734" s="31" t="n"/>
      <c r="AE734" s="31" t="n"/>
      <c r="AF734" s="27">
        <f>IF(NOT(COUNTA(A734:AE734)&gt;0),"",IF(A734="","New client","Update"))</f>
        <v/>
      </c>
      <c r="AG734" s="27">
        <f>IF(AO734&lt;&gt;"",AO734,IF(LEN(AN734)=15,MID(AN734,3,10),""))</f>
        <v/>
      </c>
      <c r="AH734" s="27">
        <f>IF(AP734="","",AP734&amp;IF(D734="","  (guessed from PAN)",""))</f>
        <v/>
      </c>
      <c r="AI734" s="27">
        <f>IF(AN734="","",IFERROR(INDEX(Lists!$L$2:$L$38,MATCH(LEFT(AN734,2),Lists!$K$2:$K$38,0)),"Unknown code"))</f>
        <v/>
      </c>
      <c r="AJ734" s="27">
        <f>IF(AN734="","",IFERROR(IF(NOT(AND(LEN(AN734)=15,ISNUMBER(MATCH(LEFT(AN734,2),Lists!$K$2:$K$38,0)),SUMPRODUCT(--ISERROR(FIND(MID(MID(AN734,3,10),{1,2,3,4,5,10},1),"ABCDEFGHIJKLMNOPQRSTUVWXYZ")))=0,SUMPRODUCT(--ISERROR(FIND(MID(MID(AN734,3,10),{6,7,8,9},1),"0123456789")))=0,ISNUMBER(FIND(MID(AN734,13,1),"123456789ABCDEFGHIJKLMNOPQRSTUVWXYZ")),MID(AN734,14,1)="Z")),"Wrong format",IF(MID("0123456789ABCDEFGHIJKLMNOPQRSTUVWXYZ",MOD(36-MOD(SUMPRODUCT(INT((FIND(MID(AN734,{1,2,3,4,5,6,7,8,9,10,11,12,13,14},1),"0123456789ABCDEFGHIJKLMNOPQRSTUVWXYZ")-1)*{1,2,1,2,1,2,1,2,1,2,1,2,1,2}/36)+MOD((FIND(MID(AN734,{1,2,3,4,5,6,7,8,9,10,11,12,13,14},1),"0123456789ABCDEFGHIJKLMNOPQRSTUVWXYZ")-1)*{1,2,1,2,1,2,1,2,1,2,1,2,1,2},36)),36),36)+1,1)=MID(AN734,15,1),"OK","Typo? check digit wrong")),"Wrong format"))</f>
        <v/>
      </c>
      <c r="AK734" s="27">
        <f>IF(AO734="","",IF(AND(LEN(AO734)=10,SUMPRODUCT(--ISERROR(FIND(MID(AO734,{1,2,3,4,5,10},1),"ABCDEFGHIJKLMNOPQRSTUVWXYZ")))=0,SUMPRODUCT(--ISERROR(FIND(MID(AO734,{6,7,8,9},1),"0123456789")))=0),"OK","Wrong format"))</f>
        <v/>
      </c>
      <c r="AL734" s="27">
        <f>IF(TRIM(H734)="","",IF(AND(LEN(UPPER(TRIM(H734)))=10,SUMPRODUCT(--ISERROR(FIND(MID(UPPER(TRIM(H734)),{1,2,3,4,10},1),"ABCDEFGHIJKLMNOPQRSTUVWXYZ")))=0,SUMPRODUCT(--ISERROR(FIND(MID(UPPER(TRIM(H734)),{5,6,7,8,9},1),"0123456789")))=0),"OK","Wrong format"))</f>
        <v/>
      </c>
      <c r="AM734" s="28">
        <f>IF(NOT(COUNTA(A734:AE734)&gt;0),"",IF(AS734&lt;&gt;"","✖ "&amp;LEFT(AS734,LEN(AS734)-2),IF(AR734&gt;0,"✔ Ready — client + "&amp;AR734&amp;" service(s)","✔ Ready — client only")))</f>
        <v/>
      </c>
      <c r="AN734" s="29">
        <f>UPPER(SUBSTITUTE(TRIM(F734)," ",""))</f>
        <v/>
      </c>
      <c r="AO734" s="29">
        <f>UPPER(SUBSTITUTE(TRIM(E734)," ",""))</f>
        <v/>
      </c>
      <c r="AP734" s="29">
        <f>IF(D734&lt;&gt;"",D734,IFERROR(VLOOKUP(MID(AG734,4,1),Lists!$E$2:$F$8,2,FALSE),""))</f>
        <v/>
      </c>
      <c r="AQ734" s="29">
        <f>IFERROR(VLOOKUP(AP734,Lists!$A$2:$C$12,3,FALSE),"")</f>
        <v/>
      </c>
      <c r="AR734" s="29">
        <f>COUNTIF(W734:AC734,"Yes")</f>
        <v/>
      </c>
      <c r="AS734" s="29">
        <f>IF(TRIM(B734)="","Legal name missing; ","")&amp;IF(AND(AJ734&lt;&gt;"",AJ734&lt;&gt;"OK"),"GSTIN: "&amp;AJ734&amp;"; ","")&amp;IF(AND(AK734&lt;&gt;"",AK734&lt;&gt;"OK"),"PAN wrong format; ","")&amp;IF(AND(AO734&lt;&gt;"",LEN(AN734)=15,MID(AN734,3,10)&lt;&gt;AO734),"PAN does not match GSTIN; ","")&amp;IF(AND(AL734&lt;&gt;"",AL734&lt;&gt;"OK"),"TAN wrong format; ","")&amp;IF(AG734="","PAN missing; ","")&amp;IF(AP734="","Entity type missing; ","")&amp;IF(AND(AN734&lt;&gt;"",COUNTIF($AN$6:$AN$1005,AN734)&gt;1),"GSTIN repeated in this sheet; ","")&amp;IF(AND(AG734&lt;&gt;"",COUNTIF($AG$6:$AG$1005,AG734)&gt;1),"PAN repeated in this sheet (same client? put extra GSTINs in Other GSTINs); ","")&amp;IF(AND(AR734&gt;0,V734=""),"Financial year missing; ","")&amp;IF(AND(AR734=0,V734&lt;&gt;""),"Financial year given but no service is Yes; ","")&amp;IF(AND(W734="Yes",AN734=""),"GST needs a GSTIN; ","")&amp;IF(AND(W734="Yes",X734=""),"GST return frequency missing; ","")&amp;IF(AND(Y734="Yes",TRIM(H734)=""),"TDS needs a TAN; ","")&amp;IF(AND(AA734="Yes",AQ734&lt;&gt;"",AQ734&lt;&gt;"company",AQ734&lt;&gt;"llp"),"ROC is only for a company / LLP; ","")&amp;IF(AND(AA734="Yes",OR(AQ734="company",AQ734="llp"),TRIM(I734)=""),"ROC needs the CIN / LLPIN; ","")</f>
        <v/>
      </c>
    </row>
    <row r="735">
      <c r="A735" s="30" t="n"/>
      <c r="B735" s="31" t="n"/>
      <c r="C735" s="31" t="n"/>
      <c r="D735" s="31" t="n"/>
      <c r="E735" s="30" t="n"/>
      <c r="F735" s="30" t="n"/>
      <c r="G735" s="30" t="n"/>
      <c r="H735" s="30" t="n"/>
      <c r="I735" s="30" t="n"/>
      <c r="J735" s="32" t="n"/>
      <c r="K735" s="31" t="n"/>
      <c r="L735" s="30" t="n"/>
      <c r="M735" s="31" t="n"/>
      <c r="N735" s="31" t="n"/>
      <c r="O735" s="31" t="n"/>
      <c r="P735" s="30" t="n"/>
      <c r="Q735" s="31" t="n"/>
      <c r="R735" s="31" t="n"/>
      <c r="S735" s="31" t="n"/>
      <c r="T735" s="31" t="n"/>
      <c r="U735" s="30" t="n"/>
      <c r="V735" s="31" t="n"/>
      <c r="W735" s="31" t="n"/>
      <c r="X735" s="31" t="n"/>
      <c r="Y735" s="31" t="n"/>
      <c r="Z735" s="31" t="n"/>
      <c r="AA735" s="31" t="n"/>
      <c r="AB735" s="31" t="n"/>
      <c r="AC735" s="31" t="n"/>
      <c r="AD735" s="31" t="n"/>
      <c r="AE735" s="31" t="n"/>
      <c r="AF735" s="27">
        <f>IF(NOT(COUNTA(A735:AE735)&gt;0),"",IF(A735="","New client","Update"))</f>
        <v/>
      </c>
      <c r="AG735" s="27">
        <f>IF(AO735&lt;&gt;"",AO735,IF(LEN(AN735)=15,MID(AN735,3,10),""))</f>
        <v/>
      </c>
      <c r="AH735" s="27">
        <f>IF(AP735="","",AP735&amp;IF(D735="","  (guessed from PAN)",""))</f>
        <v/>
      </c>
      <c r="AI735" s="27">
        <f>IF(AN735="","",IFERROR(INDEX(Lists!$L$2:$L$38,MATCH(LEFT(AN735,2),Lists!$K$2:$K$38,0)),"Unknown code"))</f>
        <v/>
      </c>
      <c r="AJ735" s="27">
        <f>IF(AN735="","",IFERROR(IF(NOT(AND(LEN(AN735)=15,ISNUMBER(MATCH(LEFT(AN735,2),Lists!$K$2:$K$38,0)),SUMPRODUCT(--ISERROR(FIND(MID(MID(AN735,3,10),{1,2,3,4,5,10},1),"ABCDEFGHIJKLMNOPQRSTUVWXYZ")))=0,SUMPRODUCT(--ISERROR(FIND(MID(MID(AN735,3,10),{6,7,8,9},1),"0123456789")))=0,ISNUMBER(FIND(MID(AN735,13,1),"123456789ABCDEFGHIJKLMNOPQRSTUVWXYZ")),MID(AN735,14,1)="Z")),"Wrong format",IF(MID("0123456789ABCDEFGHIJKLMNOPQRSTUVWXYZ",MOD(36-MOD(SUMPRODUCT(INT((FIND(MID(AN735,{1,2,3,4,5,6,7,8,9,10,11,12,13,14},1),"0123456789ABCDEFGHIJKLMNOPQRSTUVWXYZ")-1)*{1,2,1,2,1,2,1,2,1,2,1,2,1,2}/36)+MOD((FIND(MID(AN735,{1,2,3,4,5,6,7,8,9,10,11,12,13,14},1),"0123456789ABCDEFGHIJKLMNOPQRSTUVWXYZ")-1)*{1,2,1,2,1,2,1,2,1,2,1,2,1,2},36)),36),36)+1,1)=MID(AN735,15,1),"OK","Typo? check digit wrong")),"Wrong format"))</f>
        <v/>
      </c>
      <c r="AK735" s="27">
        <f>IF(AO735="","",IF(AND(LEN(AO735)=10,SUMPRODUCT(--ISERROR(FIND(MID(AO735,{1,2,3,4,5,10},1),"ABCDEFGHIJKLMNOPQRSTUVWXYZ")))=0,SUMPRODUCT(--ISERROR(FIND(MID(AO735,{6,7,8,9},1),"0123456789")))=0),"OK","Wrong format"))</f>
        <v/>
      </c>
      <c r="AL735" s="27">
        <f>IF(TRIM(H735)="","",IF(AND(LEN(UPPER(TRIM(H735)))=10,SUMPRODUCT(--ISERROR(FIND(MID(UPPER(TRIM(H735)),{1,2,3,4,10},1),"ABCDEFGHIJKLMNOPQRSTUVWXYZ")))=0,SUMPRODUCT(--ISERROR(FIND(MID(UPPER(TRIM(H735)),{5,6,7,8,9},1),"0123456789")))=0),"OK","Wrong format"))</f>
        <v/>
      </c>
      <c r="AM735" s="28">
        <f>IF(NOT(COUNTA(A735:AE735)&gt;0),"",IF(AS735&lt;&gt;"","✖ "&amp;LEFT(AS735,LEN(AS735)-2),IF(AR735&gt;0,"✔ Ready — client + "&amp;AR735&amp;" service(s)","✔ Ready — client only")))</f>
        <v/>
      </c>
      <c r="AN735" s="29">
        <f>UPPER(SUBSTITUTE(TRIM(F735)," ",""))</f>
        <v/>
      </c>
      <c r="AO735" s="29">
        <f>UPPER(SUBSTITUTE(TRIM(E735)," ",""))</f>
        <v/>
      </c>
      <c r="AP735" s="29">
        <f>IF(D735&lt;&gt;"",D735,IFERROR(VLOOKUP(MID(AG735,4,1),Lists!$E$2:$F$8,2,FALSE),""))</f>
        <v/>
      </c>
      <c r="AQ735" s="29">
        <f>IFERROR(VLOOKUP(AP735,Lists!$A$2:$C$12,3,FALSE),"")</f>
        <v/>
      </c>
      <c r="AR735" s="29">
        <f>COUNTIF(W735:AC735,"Yes")</f>
        <v/>
      </c>
      <c r="AS735" s="29">
        <f>IF(TRIM(B735)="","Legal name missing; ","")&amp;IF(AND(AJ735&lt;&gt;"",AJ735&lt;&gt;"OK"),"GSTIN: "&amp;AJ735&amp;"; ","")&amp;IF(AND(AK735&lt;&gt;"",AK735&lt;&gt;"OK"),"PAN wrong format; ","")&amp;IF(AND(AO735&lt;&gt;"",LEN(AN735)=15,MID(AN735,3,10)&lt;&gt;AO735),"PAN does not match GSTIN; ","")&amp;IF(AND(AL735&lt;&gt;"",AL735&lt;&gt;"OK"),"TAN wrong format; ","")&amp;IF(AG735="","PAN missing; ","")&amp;IF(AP735="","Entity type missing; ","")&amp;IF(AND(AN735&lt;&gt;"",COUNTIF($AN$6:$AN$1005,AN735)&gt;1),"GSTIN repeated in this sheet; ","")&amp;IF(AND(AG735&lt;&gt;"",COUNTIF($AG$6:$AG$1005,AG735)&gt;1),"PAN repeated in this sheet (same client? put extra GSTINs in Other GSTINs); ","")&amp;IF(AND(AR735&gt;0,V735=""),"Financial year missing; ","")&amp;IF(AND(AR735=0,V735&lt;&gt;""),"Financial year given but no service is Yes; ","")&amp;IF(AND(W735="Yes",AN735=""),"GST needs a GSTIN; ","")&amp;IF(AND(W735="Yes",X735=""),"GST return frequency missing; ","")&amp;IF(AND(Y735="Yes",TRIM(H735)=""),"TDS needs a TAN; ","")&amp;IF(AND(AA735="Yes",AQ735&lt;&gt;"",AQ735&lt;&gt;"company",AQ735&lt;&gt;"llp"),"ROC is only for a company / LLP; ","")&amp;IF(AND(AA735="Yes",OR(AQ735="company",AQ735="llp"),TRIM(I735)=""),"ROC needs the CIN / LLPIN; ","")</f>
        <v/>
      </c>
    </row>
    <row r="736">
      <c r="A736" s="30" t="n"/>
      <c r="B736" s="31" t="n"/>
      <c r="C736" s="31" t="n"/>
      <c r="D736" s="31" t="n"/>
      <c r="E736" s="30" t="n"/>
      <c r="F736" s="30" t="n"/>
      <c r="G736" s="30" t="n"/>
      <c r="H736" s="30" t="n"/>
      <c r="I736" s="30" t="n"/>
      <c r="J736" s="32" t="n"/>
      <c r="K736" s="31" t="n"/>
      <c r="L736" s="30" t="n"/>
      <c r="M736" s="31" t="n"/>
      <c r="N736" s="31" t="n"/>
      <c r="O736" s="31" t="n"/>
      <c r="P736" s="30" t="n"/>
      <c r="Q736" s="31" t="n"/>
      <c r="R736" s="31" t="n"/>
      <c r="S736" s="31" t="n"/>
      <c r="T736" s="31" t="n"/>
      <c r="U736" s="30" t="n"/>
      <c r="V736" s="31" t="n"/>
      <c r="W736" s="31" t="n"/>
      <c r="X736" s="31" t="n"/>
      <c r="Y736" s="31" t="n"/>
      <c r="Z736" s="31" t="n"/>
      <c r="AA736" s="31" t="n"/>
      <c r="AB736" s="31" t="n"/>
      <c r="AC736" s="31" t="n"/>
      <c r="AD736" s="31" t="n"/>
      <c r="AE736" s="31" t="n"/>
      <c r="AF736" s="27">
        <f>IF(NOT(COUNTA(A736:AE736)&gt;0),"",IF(A736="","New client","Update"))</f>
        <v/>
      </c>
      <c r="AG736" s="27">
        <f>IF(AO736&lt;&gt;"",AO736,IF(LEN(AN736)=15,MID(AN736,3,10),""))</f>
        <v/>
      </c>
      <c r="AH736" s="27">
        <f>IF(AP736="","",AP736&amp;IF(D736="","  (guessed from PAN)",""))</f>
        <v/>
      </c>
      <c r="AI736" s="27">
        <f>IF(AN736="","",IFERROR(INDEX(Lists!$L$2:$L$38,MATCH(LEFT(AN736,2),Lists!$K$2:$K$38,0)),"Unknown code"))</f>
        <v/>
      </c>
      <c r="AJ736" s="27">
        <f>IF(AN736="","",IFERROR(IF(NOT(AND(LEN(AN736)=15,ISNUMBER(MATCH(LEFT(AN736,2),Lists!$K$2:$K$38,0)),SUMPRODUCT(--ISERROR(FIND(MID(MID(AN736,3,10),{1,2,3,4,5,10},1),"ABCDEFGHIJKLMNOPQRSTUVWXYZ")))=0,SUMPRODUCT(--ISERROR(FIND(MID(MID(AN736,3,10),{6,7,8,9},1),"0123456789")))=0,ISNUMBER(FIND(MID(AN736,13,1),"123456789ABCDEFGHIJKLMNOPQRSTUVWXYZ")),MID(AN736,14,1)="Z")),"Wrong format",IF(MID("0123456789ABCDEFGHIJKLMNOPQRSTUVWXYZ",MOD(36-MOD(SUMPRODUCT(INT((FIND(MID(AN736,{1,2,3,4,5,6,7,8,9,10,11,12,13,14},1),"0123456789ABCDEFGHIJKLMNOPQRSTUVWXYZ")-1)*{1,2,1,2,1,2,1,2,1,2,1,2,1,2}/36)+MOD((FIND(MID(AN736,{1,2,3,4,5,6,7,8,9,10,11,12,13,14},1),"0123456789ABCDEFGHIJKLMNOPQRSTUVWXYZ")-1)*{1,2,1,2,1,2,1,2,1,2,1,2,1,2},36)),36),36)+1,1)=MID(AN736,15,1),"OK","Typo? check digit wrong")),"Wrong format"))</f>
        <v/>
      </c>
      <c r="AK736" s="27">
        <f>IF(AO736="","",IF(AND(LEN(AO736)=10,SUMPRODUCT(--ISERROR(FIND(MID(AO736,{1,2,3,4,5,10},1),"ABCDEFGHIJKLMNOPQRSTUVWXYZ")))=0,SUMPRODUCT(--ISERROR(FIND(MID(AO736,{6,7,8,9},1),"0123456789")))=0),"OK","Wrong format"))</f>
        <v/>
      </c>
      <c r="AL736" s="27">
        <f>IF(TRIM(H736)="","",IF(AND(LEN(UPPER(TRIM(H736)))=10,SUMPRODUCT(--ISERROR(FIND(MID(UPPER(TRIM(H736)),{1,2,3,4,10},1),"ABCDEFGHIJKLMNOPQRSTUVWXYZ")))=0,SUMPRODUCT(--ISERROR(FIND(MID(UPPER(TRIM(H736)),{5,6,7,8,9},1),"0123456789")))=0),"OK","Wrong format"))</f>
        <v/>
      </c>
      <c r="AM736" s="28">
        <f>IF(NOT(COUNTA(A736:AE736)&gt;0),"",IF(AS736&lt;&gt;"","✖ "&amp;LEFT(AS736,LEN(AS736)-2),IF(AR736&gt;0,"✔ Ready — client + "&amp;AR736&amp;" service(s)","✔ Ready — client only")))</f>
        <v/>
      </c>
      <c r="AN736" s="29">
        <f>UPPER(SUBSTITUTE(TRIM(F736)," ",""))</f>
        <v/>
      </c>
      <c r="AO736" s="29">
        <f>UPPER(SUBSTITUTE(TRIM(E736)," ",""))</f>
        <v/>
      </c>
      <c r="AP736" s="29">
        <f>IF(D736&lt;&gt;"",D736,IFERROR(VLOOKUP(MID(AG736,4,1),Lists!$E$2:$F$8,2,FALSE),""))</f>
        <v/>
      </c>
      <c r="AQ736" s="29">
        <f>IFERROR(VLOOKUP(AP736,Lists!$A$2:$C$12,3,FALSE),"")</f>
        <v/>
      </c>
      <c r="AR736" s="29">
        <f>COUNTIF(W736:AC736,"Yes")</f>
        <v/>
      </c>
      <c r="AS736" s="29">
        <f>IF(TRIM(B736)="","Legal name missing; ","")&amp;IF(AND(AJ736&lt;&gt;"",AJ736&lt;&gt;"OK"),"GSTIN: "&amp;AJ736&amp;"; ","")&amp;IF(AND(AK736&lt;&gt;"",AK736&lt;&gt;"OK"),"PAN wrong format; ","")&amp;IF(AND(AO736&lt;&gt;"",LEN(AN736)=15,MID(AN736,3,10)&lt;&gt;AO736),"PAN does not match GSTIN; ","")&amp;IF(AND(AL736&lt;&gt;"",AL736&lt;&gt;"OK"),"TAN wrong format; ","")&amp;IF(AG736="","PAN missing; ","")&amp;IF(AP736="","Entity type missing; ","")&amp;IF(AND(AN736&lt;&gt;"",COUNTIF($AN$6:$AN$1005,AN736)&gt;1),"GSTIN repeated in this sheet; ","")&amp;IF(AND(AG736&lt;&gt;"",COUNTIF($AG$6:$AG$1005,AG736)&gt;1),"PAN repeated in this sheet (same client? put extra GSTINs in Other GSTINs); ","")&amp;IF(AND(AR736&gt;0,V736=""),"Financial year missing; ","")&amp;IF(AND(AR736=0,V736&lt;&gt;""),"Financial year given but no service is Yes; ","")&amp;IF(AND(W736="Yes",AN736=""),"GST needs a GSTIN; ","")&amp;IF(AND(W736="Yes",X736=""),"GST return frequency missing; ","")&amp;IF(AND(Y736="Yes",TRIM(H736)=""),"TDS needs a TAN; ","")&amp;IF(AND(AA736="Yes",AQ736&lt;&gt;"",AQ736&lt;&gt;"company",AQ736&lt;&gt;"llp"),"ROC is only for a company / LLP; ","")&amp;IF(AND(AA736="Yes",OR(AQ736="company",AQ736="llp"),TRIM(I736)=""),"ROC needs the CIN / LLPIN; ","")</f>
        <v/>
      </c>
    </row>
    <row r="737">
      <c r="A737" s="30" t="n"/>
      <c r="B737" s="31" t="n"/>
      <c r="C737" s="31" t="n"/>
      <c r="D737" s="31" t="n"/>
      <c r="E737" s="30" t="n"/>
      <c r="F737" s="30" t="n"/>
      <c r="G737" s="30" t="n"/>
      <c r="H737" s="30" t="n"/>
      <c r="I737" s="30" t="n"/>
      <c r="J737" s="32" t="n"/>
      <c r="K737" s="31" t="n"/>
      <c r="L737" s="30" t="n"/>
      <c r="M737" s="31" t="n"/>
      <c r="N737" s="31" t="n"/>
      <c r="O737" s="31" t="n"/>
      <c r="P737" s="30" t="n"/>
      <c r="Q737" s="31" t="n"/>
      <c r="R737" s="31" t="n"/>
      <c r="S737" s="31" t="n"/>
      <c r="T737" s="31" t="n"/>
      <c r="U737" s="30" t="n"/>
      <c r="V737" s="31" t="n"/>
      <c r="W737" s="31" t="n"/>
      <c r="X737" s="31" t="n"/>
      <c r="Y737" s="31" t="n"/>
      <c r="Z737" s="31" t="n"/>
      <c r="AA737" s="31" t="n"/>
      <c r="AB737" s="31" t="n"/>
      <c r="AC737" s="31" t="n"/>
      <c r="AD737" s="31" t="n"/>
      <c r="AE737" s="31" t="n"/>
      <c r="AF737" s="27">
        <f>IF(NOT(COUNTA(A737:AE737)&gt;0),"",IF(A737="","New client","Update"))</f>
        <v/>
      </c>
      <c r="AG737" s="27">
        <f>IF(AO737&lt;&gt;"",AO737,IF(LEN(AN737)=15,MID(AN737,3,10),""))</f>
        <v/>
      </c>
      <c r="AH737" s="27">
        <f>IF(AP737="","",AP737&amp;IF(D737="","  (guessed from PAN)",""))</f>
        <v/>
      </c>
      <c r="AI737" s="27">
        <f>IF(AN737="","",IFERROR(INDEX(Lists!$L$2:$L$38,MATCH(LEFT(AN737,2),Lists!$K$2:$K$38,0)),"Unknown code"))</f>
        <v/>
      </c>
      <c r="AJ737" s="27">
        <f>IF(AN737="","",IFERROR(IF(NOT(AND(LEN(AN737)=15,ISNUMBER(MATCH(LEFT(AN737,2),Lists!$K$2:$K$38,0)),SUMPRODUCT(--ISERROR(FIND(MID(MID(AN737,3,10),{1,2,3,4,5,10},1),"ABCDEFGHIJKLMNOPQRSTUVWXYZ")))=0,SUMPRODUCT(--ISERROR(FIND(MID(MID(AN737,3,10),{6,7,8,9},1),"0123456789")))=0,ISNUMBER(FIND(MID(AN737,13,1),"123456789ABCDEFGHIJKLMNOPQRSTUVWXYZ")),MID(AN737,14,1)="Z")),"Wrong format",IF(MID("0123456789ABCDEFGHIJKLMNOPQRSTUVWXYZ",MOD(36-MOD(SUMPRODUCT(INT((FIND(MID(AN737,{1,2,3,4,5,6,7,8,9,10,11,12,13,14},1),"0123456789ABCDEFGHIJKLMNOPQRSTUVWXYZ")-1)*{1,2,1,2,1,2,1,2,1,2,1,2,1,2}/36)+MOD((FIND(MID(AN737,{1,2,3,4,5,6,7,8,9,10,11,12,13,14},1),"0123456789ABCDEFGHIJKLMNOPQRSTUVWXYZ")-1)*{1,2,1,2,1,2,1,2,1,2,1,2,1,2},36)),36),36)+1,1)=MID(AN737,15,1),"OK","Typo? check digit wrong")),"Wrong format"))</f>
        <v/>
      </c>
      <c r="AK737" s="27">
        <f>IF(AO737="","",IF(AND(LEN(AO737)=10,SUMPRODUCT(--ISERROR(FIND(MID(AO737,{1,2,3,4,5,10},1),"ABCDEFGHIJKLMNOPQRSTUVWXYZ")))=0,SUMPRODUCT(--ISERROR(FIND(MID(AO737,{6,7,8,9},1),"0123456789")))=0),"OK","Wrong format"))</f>
        <v/>
      </c>
      <c r="AL737" s="27">
        <f>IF(TRIM(H737)="","",IF(AND(LEN(UPPER(TRIM(H737)))=10,SUMPRODUCT(--ISERROR(FIND(MID(UPPER(TRIM(H737)),{1,2,3,4,10},1),"ABCDEFGHIJKLMNOPQRSTUVWXYZ")))=0,SUMPRODUCT(--ISERROR(FIND(MID(UPPER(TRIM(H737)),{5,6,7,8,9},1),"0123456789")))=0),"OK","Wrong format"))</f>
        <v/>
      </c>
      <c r="AM737" s="28">
        <f>IF(NOT(COUNTA(A737:AE737)&gt;0),"",IF(AS737&lt;&gt;"","✖ "&amp;LEFT(AS737,LEN(AS737)-2),IF(AR737&gt;0,"✔ Ready — client + "&amp;AR737&amp;" service(s)","✔ Ready — client only")))</f>
        <v/>
      </c>
      <c r="AN737" s="29">
        <f>UPPER(SUBSTITUTE(TRIM(F737)," ",""))</f>
        <v/>
      </c>
      <c r="AO737" s="29">
        <f>UPPER(SUBSTITUTE(TRIM(E737)," ",""))</f>
        <v/>
      </c>
      <c r="AP737" s="29">
        <f>IF(D737&lt;&gt;"",D737,IFERROR(VLOOKUP(MID(AG737,4,1),Lists!$E$2:$F$8,2,FALSE),""))</f>
        <v/>
      </c>
      <c r="AQ737" s="29">
        <f>IFERROR(VLOOKUP(AP737,Lists!$A$2:$C$12,3,FALSE),"")</f>
        <v/>
      </c>
      <c r="AR737" s="29">
        <f>COUNTIF(W737:AC737,"Yes")</f>
        <v/>
      </c>
      <c r="AS737" s="29">
        <f>IF(TRIM(B737)="","Legal name missing; ","")&amp;IF(AND(AJ737&lt;&gt;"",AJ737&lt;&gt;"OK"),"GSTIN: "&amp;AJ737&amp;"; ","")&amp;IF(AND(AK737&lt;&gt;"",AK737&lt;&gt;"OK"),"PAN wrong format; ","")&amp;IF(AND(AO737&lt;&gt;"",LEN(AN737)=15,MID(AN737,3,10)&lt;&gt;AO737),"PAN does not match GSTIN; ","")&amp;IF(AND(AL737&lt;&gt;"",AL737&lt;&gt;"OK"),"TAN wrong format; ","")&amp;IF(AG737="","PAN missing; ","")&amp;IF(AP737="","Entity type missing; ","")&amp;IF(AND(AN737&lt;&gt;"",COUNTIF($AN$6:$AN$1005,AN737)&gt;1),"GSTIN repeated in this sheet; ","")&amp;IF(AND(AG737&lt;&gt;"",COUNTIF($AG$6:$AG$1005,AG737)&gt;1),"PAN repeated in this sheet (same client? put extra GSTINs in Other GSTINs); ","")&amp;IF(AND(AR737&gt;0,V737=""),"Financial year missing; ","")&amp;IF(AND(AR737=0,V737&lt;&gt;""),"Financial year given but no service is Yes; ","")&amp;IF(AND(W737="Yes",AN737=""),"GST needs a GSTIN; ","")&amp;IF(AND(W737="Yes",X737=""),"GST return frequency missing; ","")&amp;IF(AND(Y737="Yes",TRIM(H737)=""),"TDS needs a TAN; ","")&amp;IF(AND(AA737="Yes",AQ737&lt;&gt;"",AQ737&lt;&gt;"company",AQ737&lt;&gt;"llp"),"ROC is only for a company / LLP; ","")&amp;IF(AND(AA737="Yes",OR(AQ737="company",AQ737="llp"),TRIM(I737)=""),"ROC needs the CIN / LLPIN; ","")</f>
        <v/>
      </c>
    </row>
    <row r="738">
      <c r="A738" s="30" t="n"/>
      <c r="B738" s="31" t="n"/>
      <c r="C738" s="31" t="n"/>
      <c r="D738" s="31" t="n"/>
      <c r="E738" s="30" t="n"/>
      <c r="F738" s="30" t="n"/>
      <c r="G738" s="30" t="n"/>
      <c r="H738" s="30" t="n"/>
      <c r="I738" s="30" t="n"/>
      <c r="J738" s="32" t="n"/>
      <c r="K738" s="31" t="n"/>
      <c r="L738" s="30" t="n"/>
      <c r="M738" s="31" t="n"/>
      <c r="N738" s="31" t="n"/>
      <c r="O738" s="31" t="n"/>
      <c r="P738" s="30" t="n"/>
      <c r="Q738" s="31" t="n"/>
      <c r="R738" s="31" t="n"/>
      <c r="S738" s="31" t="n"/>
      <c r="T738" s="31" t="n"/>
      <c r="U738" s="30" t="n"/>
      <c r="V738" s="31" t="n"/>
      <c r="W738" s="31" t="n"/>
      <c r="X738" s="31" t="n"/>
      <c r="Y738" s="31" t="n"/>
      <c r="Z738" s="31" t="n"/>
      <c r="AA738" s="31" t="n"/>
      <c r="AB738" s="31" t="n"/>
      <c r="AC738" s="31" t="n"/>
      <c r="AD738" s="31" t="n"/>
      <c r="AE738" s="31" t="n"/>
      <c r="AF738" s="27">
        <f>IF(NOT(COUNTA(A738:AE738)&gt;0),"",IF(A738="","New client","Update"))</f>
        <v/>
      </c>
      <c r="AG738" s="27">
        <f>IF(AO738&lt;&gt;"",AO738,IF(LEN(AN738)=15,MID(AN738,3,10),""))</f>
        <v/>
      </c>
      <c r="AH738" s="27">
        <f>IF(AP738="","",AP738&amp;IF(D738="","  (guessed from PAN)",""))</f>
        <v/>
      </c>
      <c r="AI738" s="27">
        <f>IF(AN738="","",IFERROR(INDEX(Lists!$L$2:$L$38,MATCH(LEFT(AN738,2),Lists!$K$2:$K$38,0)),"Unknown code"))</f>
        <v/>
      </c>
      <c r="AJ738" s="27">
        <f>IF(AN738="","",IFERROR(IF(NOT(AND(LEN(AN738)=15,ISNUMBER(MATCH(LEFT(AN738,2),Lists!$K$2:$K$38,0)),SUMPRODUCT(--ISERROR(FIND(MID(MID(AN738,3,10),{1,2,3,4,5,10},1),"ABCDEFGHIJKLMNOPQRSTUVWXYZ")))=0,SUMPRODUCT(--ISERROR(FIND(MID(MID(AN738,3,10),{6,7,8,9},1),"0123456789")))=0,ISNUMBER(FIND(MID(AN738,13,1),"123456789ABCDEFGHIJKLMNOPQRSTUVWXYZ")),MID(AN738,14,1)="Z")),"Wrong format",IF(MID("0123456789ABCDEFGHIJKLMNOPQRSTUVWXYZ",MOD(36-MOD(SUMPRODUCT(INT((FIND(MID(AN738,{1,2,3,4,5,6,7,8,9,10,11,12,13,14},1),"0123456789ABCDEFGHIJKLMNOPQRSTUVWXYZ")-1)*{1,2,1,2,1,2,1,2,1,2,1,2,1,2}/36)+MOD((FIND(MID(AN738,{1,2,3,4,5,6,7,8,9,10,11,12,13,14},1),"0123456789ABCDEFGHIJKLMNOPQRSTUVWXYZ")-1)*{1,2,1,2,1,2,1,2,1,2,1,2,1,2},36)),36),36)+1,1)=MID(AN738,15,1),"OK","Typo? check digit wrong")),"Wrong format"))</f>
        <v/>
      </c>
      <c r="AK738" s="27">
        <f>IF(AO738="","",IF(AND(LEN(AO738)=10,SUMPRODUCT(--ISERROR(FIND(MID(AO738,{1,2,3,4,5,10},1),"ABCDEFGHIJKLMNOPQRSTUVWXYZ")))=0,SUMPRODUCT(--ISERROR(FIND(MID(AO738,{6,7,8,9},1),"0123456789")))=0),"OK","Wrong format"))</f>
        <v/>
      </c>
      <c r="AL738" s="27">
        <f>IF(TRIM(H738)="","",IF(AND(LEN(UPPER(TRIM(H738)))=10,SUMPRODUCT(--ISERROR(FIND(MID(UPPER(TRIM(H738)),{1,2,3,4,10},1),"ABCDEFGHIJKLMNOPQRSTUVWXYZ")))=0,SUMPRODUCT(--ISERROR(FIND(MID(UPPER(TRIM(H738)),{5,6,7,8,9},1),"0123456789")))=0),"OK","Wrong format"))</f>
        <v/>
      </c>
      <c r="AM738" s="28">
        <f>IF(NOT(COUNTA(A738:AE738)&gt;0),"",IF(AS738&lt;&gt;"","✖ "&amp;LEFT(AS738,LEN(AS738)-2),IF(AR738&gt;0,"✔ Ready — client + "&amp;AR738&amp;" service(s)","✔ Ready — client only")))</f>
        <v/>
      </c>
      <c r="AN738" s="29">
        <f>UPPER(SUBSTITUTE(TRIM(F738)," ",""))</f>
        <v/>
      </c>
      <c r="AO738" s="29">
        <f>UPPER(SUBSTITUTE(TRIM(E738)," ",""))</f>
        <v/>
      </c>
      <c r="AP738" s="29">
        <f>IF(D738&lt;&gt;"",D738,IFERROR(VLOOKUP(MID(AG738,4,1),Lists!$E$2:$F$8,2,FALSE),""))</f>
        <v/>
      </c>
      <c r="AQ738" s="29">
        <f>IFERROR(VLOOKUP(AP738,Lists!$A$2:$C$12,3,FALSE),"")</f>
        <v/>
      </c>
      <c r="AR738" s="29">
        <f>COUNTIF(W738:AC738,"Yes")</f>
        <v/>
      </c>
      <c r="AS738" s="29">
        <f>IF(TRIM(B738)="","Legal name missing; ","")&amp;IF(AND(AJ738&lt;&gt;"",AJ738&lt;&gt;"OK"),"GSTIN: "&amp;AJ738&amp;"; ","")&amp;IF(AND(AK738&lt;&gt;"",AK738&lt;&gt;"OK"),"PAN wrong format; ","")&amp;IF(AND(AO738&lt;&gt;"",LEN(AN738)=15,MID(AN738,3,10)&lt;&gt;AO738),"PAN does not match GSTIN; ","")&amp;IF(AND(AL738&lt;&gt;"",AL738&lt;&gt;"OK"),"TAN wrong format; ","")&amp;IF(AG738="","PAN missing; ","")&amp;IF(AP738="","Entity type missing; ","")&amp;IF(AND(AN738&lt;&gt;"",COUNTIF($AN$6:$AN$1005,AN738)&gt;1),"GSTIN repeated in this sheet; ","")&amp;IF(AND(AG738&lt;&gt;"",COUNTIF($AG$6:$AG$1005,AG738)&gt;1),"PAN repeated in this sheet (same client? put extra GSTINs in Other GSTINs); ","")&amp;IF(AND(AR738&gt;0,V738=""),"Financial year missing; ","")&amp;IF(AND(AR738=0,V738&lt;&gt;""),"Financial year given but no service is Yes; ","")&amp;IF(AND(W738="Yes",AN738=""),"GST needs a GSTIN; ","")&amp;IF(AND(W738="Yes",X738=""),"GST return frequency missing; ","")&amp;IF(AND(Y738="Yes",TRIM(H738)=""),"TDS needs a TAN; ","")&amp;IF(AND(AA738="Yes",AQ738&lt;&gt;"",AQ738&lt;&gt;"company",AQ738&lt;&gt;"llp"),"ROC is only for a company / LLP; ","")&amp;IF(AND(AA738="Yes",OR(AQ738="company",AQ738="llp"),TRIM(I738)=""),"ROC needs the CIN / LLPIN; ","")</f>
        <v/>
      </c>
    </row>
    <row r="739">
      <c r="A739" s="30" t="n"/>
      <c r="B739" s="31" t="n"/>
      <c r="C739" s="31" t="n"/>
      <c r="D739" s="31" t="n"/>
      <c r="E739" s="30" t="n"/>
      <c r="F739" s="30" t="n"/>
      <c r="G739" s="30" t="n"/>
      <c r="H739" s="30" t="n"/>
      <c r="I739" s="30" t="n"/>
      <c r="J739" s="32" t="n"/>
      <c r="K739" s="31" t="n"/>
      <c r="L739" s="30" t="n"/>
      <c r="M739" s="31" t="n"/>
      <c r="N739" s="31" t="n"/>
      <c r="O739" s="31" t="n"/>
      <c r="P739" s="30" t="n"/>
      <c r="Q739" s="31" t="n"/>
      <c r="R739" s="31" t="n"/>
      <c r="S739" s="31" t="n"/>
      <c r="T739" s="31" t="n"/>
      <c r="U739" s="30" t="n"/>
      <c r="V739" s="31" t="n"/>
      <c r="W739" s="31" t="n"/>
      <c r="X739" s="31" t="n"/>
      <c r="Y739" s="31" t="n"/>
      <c r="Z739" s="31" t="n"/>
      <c r="AA739" s="31" t="n"/>
      <c r="AB739" s="31" t="n"/>
      <c r="AC739" s="31" t="n"/>
      <c r="AD739" s="31" t="n"/>
      <c r="AE739" s="31" t="n"/>
      <c r="AF739" s="27">
        <f>IF(NOT(COUNTA(A739:AE739)&gt;0),"",IF(A739="","New client","Update"))</f>
        <v/>
      </c>
      <c r="AG739" s="27">
        <f>IF(AO739&lt;&gt;"",AO739,IF(LEN(AN739)=15,MID(AN739,3,10),""))</f>
        <v/>
      </c>
      <c r="AH739" s="27">
        <f>IF(AP739="","",AP739&amp;IF(D739="","  (guessed from PAN)",""))</f>
        <v/>
      </c>
      <c r="AI739" s="27">
        <f>IF(AN739="","",IFERROR(INDEX(Lists!$L$2:$L$38,MATCH(LEFT(AN739,2),Lists!$K$2:$K$38,0)),"Unknown code"))</f>
        <v/>
      </c>
      <c r="AJ739" s="27">
        <f>IF(AN739="","",IFERROR(IF(NOT(AND(LEN(AN739)=15,ISNUMBER(MATCH(LEFT(AN739,2),Lists!$K$2:$K$38,0)),SUMPRODUCT(--ISERROR(FIND(MID(MID(AN739,3,10),{1,2,3,4,5,10},1),"ABCDEFGHIJKLMNOPQRSTUVWXYZ")))=0,SUMPRODUCT(--ISERROR(FIND(MID(MID(AN739,3,10),{6,7,8,9},1),"0123456789")))=0,ISNUMBER(FIND(MID(AN739,13,1),"123456789ABCDEFGHIJKLMNOPQRSTUVWXYZ")),MID(AN739,14,1)="Z")),"Wrong format",IF(MID("0123456789ABCDEFGHIJKLMNOPQRSTUVWXYZ",MOD(36-MOD(SUMPRODUCT(INT((FIND(MID(AN739,{1,2,3,4,5,6,7,8,9,10,11,12,13,14},1),"0123456789ABCDEFGHIJKLMNOPQRSTUVWXYZ")-1)*{1,2,1,2,1,2,1,2,1,2,1,2,1,2}/36)+MOD((FIND(MID(AN739,{1,2,3,4,5,6,7,8,9,10,11,12,13,14},1),"0123456789ABCDEFGHIJKLMNOPQRSTUVWXYZ")-1)*{1,2,1,2,1,2,1,2,1,2,1,2,1,2},36)),36),36)+1,1)=MID(AN739,15,1),"OK","Typo? check digit wrong")),"Wrong format"))</f>
        <v/>
      </c>
      <c r="AK739" s="27">
        <f>IF(AO739="","",IF(AND(LEN(AO739)=10,SUMPRODUCT(--ISERROR(FIND(MID(AO739,{1,2,3,4,5,10},1),"ABCDEFGHIJKLMNOPQRSTUVWXYZ")))=0,SUMPRODUCT(--ISERROR(FIND(MID(AO739,{6,7,8,9},1),"0123456789")))=0),"OK","Wrong format"))</f>
        <v/>
      </c>
      <c r="AL739" s="27">
        <f>IF(TRIM(H739)="","",IF(AND(LEN(UPPER(TRIM(H739)))=10,SUMPRODUCT(--ISERROR(FIND(MID(UPPER(TRIM(H739)),{1,2,3,4,10},1),"ABCDEFGHIJKLMNOPQRSTUVWXYZ")))=0,SUMPRODUCT(--ISERROR(FIND(MID(UPPER(TRIM(H739)),{5,6,7,8,9},1),"0123456789")))=0),"OK","Wrong format"))</f>
        <v/>
      </c>
      <c r="AM739" s="28">
        <f>IF(NOT(COUNTA(A739:AE739)&gt;0),"",IF(AS739&lt;&gt;"","✖ "&amp;LEFT(AS739,LEN(AS739)-2),IF(AR739&gt;0,"✔ Ready — client + "&amp;AR739&amp;" service(s)","✔ Ready — client only")))</f>
        <v/>
      </c>
      <c r="AN739" s="29">
        <f>UPPER(SUBSTITUTE(TRIM(F739)," ",""))</f>
        <v/>
      </c>
      <c r="AO739" s="29">
        <f>UPPER(SUBSTITUTE(TRIM(E739)," ",""))</f>
        <v/>
      </c>
      <c r="AP739" s="29">
        <f>IF(D739&lt;&gt;"",D739,IFERROR(VLOOKUP(MID(AG739,4,1),Lists!$E$2:$F$8,2,FALSE),""))</f>
        <v/>
      </c>
      <c r="AQ739" s="29">
        <f>IFERROR(VLOOKUP(AP739,Lists!$A$2:$C$12,3,FALSE),"")</f>
        <v/>
      </c>
      <c r="AR739" s="29">
        <f>COUNTIF(W739:AC739,"Yes")</f>
        <v/>
      </c>
      <c r="AS739" s="29">
        <f>IF(TRIM(B739)="","Legal name missing; ","")&amp;IF(AND(AJ739&lt;&gt;"",AJ739&lt;&gt;"OK"),"GSTIN: "&amp;AJ739&amp;"; ","")&amp;IF(AND(AK739&lt;&gt;"",AK739&lt;&gt;"OK"),"PAN wrong format; ","")&amp;IF(AND(AO739&lt;&gt;"",LEN(AN739)=15,MID(AN739,3,10)&lt;&gt;AO739),"PAN does not match GSTIN; ","")&amp;IF(AND(AL739&lt;&gt;"",AL739&lt;&gt;"OK"),"TAN wrong format; ","")&amp;IF(AG739="","PAN missing; ","")&amp;IF(AP739="","Entity type missing; ","")&amp;IF(AND(AN739&lt;&gt;"",COUNTIF($AN$6:$AN$1005,AN739)&gt;1),"GSTIN repeated in this sheet; ","")&amp;IF(AND(AG739&lt;&gt;"",COUNTIF($AG$6:$AG$1005,AG739)&gt;1),"PAN repeated in this sheet (same client? put extra GSTINs in Other GSTINs); ","")&amp;IF(AND(AR739&gt;0,V739=""),"Financial year missing; ","")&amp;IF(AND(AR739=0,V739&lt;&gt;""),"Financial year given but no service is Yes; ","")&amp;IF(AND(W739="Yes",AN739=""),"GST needs a GSTIN; ","")&amp;IF(AND(W739="Yes",X739=""),"GST return frequency missing; ","")&amp;IF(AND(Y739="Yes",TRIM(H739)=""),"TDS needs a TAN; ","")&amp;IF(AND(AA739="Yes",AQ739&lt;&gt;"",AQ739&lt;&gt;"company",AQ739&lt;&gt;"llp"),"ROC is only for a company / LLP; ","")&amp;IF(AND(AA739="Yes",OR(AQ739="company",AQ739="llp"),TRIM(I739)=""),"ROC needs the CIN / LLPIN; ","")</f>
        <v/>
      </c>
    </row>
    <row r="740">
      <c r="A740" s="30" t="n"/>
      <c r="B740" s="31" t="n"/>
      <c r="C740" s="31" t="n"/>
      <c r="D740" s="31" t="n"/>
      <c r="E740" s="30" t="n"/>
      <c r="F740" s="30" t="n"/>
      <c r="G740" s="30" t="n"/>
      <c r="H740" s="30" t="n"/>
      <c r="I740" s="30" t="n"/>
      <c r="J740" s="32" t="n"/>
      <c r="K740" s="31" t="n"/>
      <c r="L740" s="30" t="n"/>
      <c r="M740" s="31" t="n"/>
      <c r="N740" s="31" t="n"/>
      <c r="O740" s="31" t="n"/>
      <c r="P740" s="30" t="n"/>
      <c r="Q740" s="31" t="n"/>
      <c r="R740" s="31" t="n"/>
      <c r="S740" s="31" t="n"/>
      <c r="T740" s="31" t="n"/>
      <c r="U740" s="30" t="n"/>
      <c r="V740" s="31" t="n"/>
      <c r="W740" s="31" t="n"/>
      <c r="X740" s="31" t="n"/>
      <c r="Y740" s="31" t="n"/>
      <c r="Z740" s="31" t="n"/>
      <c r="AA740" s="31" t="n"/>
      <c r="AB740" s="31" t="n"/>
      <c r="AC740" s="31" t="n"/>
      <c r="AD740" s="31" t="n"/>
      <c r="AE740" s="31" t="n"/>
      <c r="AF740" s="27">
        <f>IF(NOT(COUNTA(A740:AE740)&gt;0),"",IF(A740="","New client","Update"))</f>
        <v/>
      </c>
      <c r="AG740" s="27">
        <f>IF(AO740&lt;&gt;"",AO740,IF(LEN(AN740)=15,MID(AN740,3,10),""))</f>
        <v/>
      </c>
      <c r="AH740" s="27">
        <f>IF(AP740="","",AP740&amp;IF(D740="","  (guessed from PAN)",""))</f>
        <v/>
      </c>
      <c r="AI740" s="27">
        <f>IF(AN740="","",IFERROR(INDEX(Lists!$L$2:$L$38,MATCH(LEFT(AN740,2),Lists!$K$2:$K$38,0)),"Unknown code"))</f>
        <v/>
      </c>
      <c r="AJ740" s="27">
        <f>IF(AN740="","",IFERROR(IF(NOT(AND(LEN(AN740)=15,ISNUMBER(MATCH(LEFT(AN740,2),Lists!$K$2:$K$38,0)),SUMPRODUCT(--ISERROR(FIND(MID(MID(AN740,3,10),{1,2,3,4,5,10},1),"ABCDEFGHIJKLMNOPQRSTUVWXYZ")))=0,SUMPRODUCT(--ISERROR(FIND(MID(MID(AN740,3,10),{6,7,8,9},1),"0123456789")))=0,ISNUMBER(FIND(MID(AN740,13,1),"123456789ABCDEFGHIJKLMNOPQRSTUVWXYZ")),MID(AN740,14,1)="Z")),"Wrong format",IF(MID("0123456789ABCDEFGHIJKLMNOPQRSTUVWXYZ",MOD(36-MOD(SUMPRODUCT(INT((FIND(MID(AN740,{1,2,3,4,5,6,7,8,9,10,11,12,13,14},1),"0123456789ABCDEFGHIJKLMNOPQRSTUVWXYZ")-1)*{1,2,1,2,1,2,1,2,1,2,1,2,1,2}/36)+MOD((FIND(MID(AN740,{1,2,3,4,5,6,7,8,9,10,11,12,13,14},1),"0123456789ABCDEFGHIJKLMNOPQRSTUVWXYZ")-1)*{1,2,1,2,1,2,1,2,1,2,1,2,1,2},36)),36),36)+1,1)=MID(AN740,15,1),"OK","Typo? check digit wrong")),"Wrong format"))</f>
        <v/>
      </c>
      <c r="AK740" s="27">
        <f>IF(AO740="","",IF(AND(LEN(AO740)=10,SUMPRODUCT(--ISERROR(FIND(MID(AO740,{1,2,3,4,5,10},1),"ABCDEFGHIJKLMNOPQRSTUVWXYZ")))=0,SUMPRODUCT(--ISERROR(FIND(MID(AO740,{6,7,8,9},1),"0123456789")))=0),"OK","Wrong format"))</f>
        <v/>
      </c>
      <c r="AL740" s="27">
        <f>IF(TRIM(H740)="","",IF(AND(LEN(UPPER(TRIM(H740)))=10,SUMPRODUCT(--ISERROR(FIND(MID(UPPER(TRIM(H740)),{1,2,3,4,10},1),"ABCDEFGHIJKLMNOPQRSTUVWXYZ")))=0,SUMPRODUCT(--ISERROR(FIND(MID(UPPER(TRIM(H740)),{5,6,7,8,9},1),"0123456789")))=0),"OK","Wrong format"))</f>
        <v/>
      </c>
      <c r="AM740" s="28">
        <f>IF(NOT(COUNTA(A740:AE740)&gt;0),"",IF(AS740&lt;&gt;"","✖ "&amp;LEFT(AS740,LEN(AS740)-2),IF(AR740&gt;0,"✔ Ready — client + "&amp;AR740&amp;" service(s)","✔ Ready — client only")))</f>
        <v/>
      </c>
      <c r="AN740" s="29">
        <f>UPPER(SUBSTITUTE(TRIM(F740)," ",""))</f>
        <v/>
      </c>
      <c r="AO740" s="29">
        <f>UPPER(SUBSTITUTE(TRIM(E740)," ",""))</f>
        <v/>
      </c>
      <c r="AP740" s="29">
        <f>IF(D740&lt;&gt;"",D740,IFERROR(VLOOKUP(MID(AG740,4,1),Lists!$E$2:$F$8,2,FALSE),""))</f>
        <v/>
      </c>
      <c r="AQ740" s="29">
        <f>IFERROR(VLOOKUP(AP740,Lists!$A$2:$C$12,3,FALSE),"")</f>
        <v/>
      </c>
      <c r="AR740" s="29">
        <f>COUNTIF(W740:AC740,"Yes")</f>
        <v/>
      </c>
      <c r="AS740" s="29">
        <f>IF(TRIM(B740)="","Legal name missing; ","")&amp;IF(AND(AJ740&lt;&gt;"",AJ740&lt;&gt;"OK"),"GSTIN: "&amp;AJ740&amp;"; ","")&amp;IF(AND(AK740&lt;&gt;"",AK740&lt;&gt;"OK"),"PAN wrong format; ","")&amp;IF(AND(AO740&lt;&gt;"",LEN(AN740)=15,MID(AN740,3,10)&lt;&gt;AO740),"PAN does not match GSTIN; ","")&amp;IF(AND(AL740&lt;&gt;"",AL740&lt;&gt;"OK"),"TAN wrong format; ","")&amp;IF(AG740="","PAN missing; ","")&amp;IF(AP740="","Entity type missing; ","")&amp;IF(AND(AN740&lt;&gt;"",COUNTIF($AN$6:$AN$1005,AN740)&gt;1),"GSTIN repeated in this sheet; ","")&amp;IF(AND(AG740&lt;&gt;"",COUNTIF($AG$6:$AG$1005,AG740)&gt;1),"PAN repeated in this sheet (same client? put extra GSTINs in Other GSTINs); ","")&amp;IF(AND(AR740&gt;0,V740=""),"Financial year missing; ","")&amp;IF(AND(AR740=0,V740&lt;&gt;""),"Financial year given but no service is Yes; ","")&amp;IF(AND(W740="Yes",AN740=""),"GST needs a GSTIN; ","")&amp;IF(AND(W740="Yes",X740=""),"GST return frequency missing; ","")&amp;IF(AND(Y740="Yes",TRIM(H740)=""),"TDS needs a TAN; ","")&amp;IF(AND(AA740="Yes",AQ740&lt;&gt;"",AQ740&lt;&gt;"company",AQ740&lt;&gt;"llp"),"ROC is only for a company / LLP; ","")&amp;IF(AND(AA740="Yes",OR(AQ740="company",AQ740="llp"),TRIM(I740)=""),"ROC needs the CIN / LLPIN; ","")</f>
        <v/>
      </c>
    </row>
    <row r="741">
      <c r="A741" s="30" t="n"/>
      <c r="B741" s="31" t="n"/>
      <c r="C741" s="31" t="n"/>
      <c r="D741" s="31" t="n"/>
      <c r="E741" s="30" t="n"/>
      <c r="F741" s="30" t="n"/>
      <c r="G741" s="30" t="n"/>
      <c r="H741" s="30" t="n"/>
      <c r="I741" s="30" t="n"/>
      <c r="J741" s="32" t="n"/>
      <c r="K741" s="31" t="n"/>
      <c r="L741" s="30" t="n"/>
      <c r="M741" s="31" t="n"/>
      <c r="N741" s="31" t="n"/>
      <c r="O741" s="31" t="n"/>
      <c r="P741" s="30" t="n"/>
      <c r="Q741" s="31" t="n"/>
      <c r="R741" s="31" t="n"/>
      <c r="S741" s="31" t="n"/>
      <c r="T741" s="31" t="n"/>
      <c r="U741" s="30" t="n"/>
      <c r="V741" s="31" t="n"/>
      <c r="W741" s="31" t="n"/>
      <c r="X741" s="31" t="n"/>
      <c r="Y741" s="31" t="n"/>
      <c r="Z741" s="31" t="n"/>
      <c r="AA741" s="31" t="n"/>
      <c r="AB741" s="31" t="n"/>
      <c r="AC741" s="31" t="n"/>
      <c r="AD741" s="31" t="n"/>
      <c r="AE741" s="31" t="n"/>
      <c r="AF741" s="27">
        <f>IF(NOT(COUNTA(A741:AE741)&gt;0),"",IF(A741="","New client","Update"))</f>
        <v/>
      </c>
      <c r="AG741" s="27">
        <f>IF(AO741&lt;&gt;"",AO741,IF(LEN(AN741)=15,MID(AN741,3,10),""))</f>
        <v/>
      </c>
      <c r="AH741" s="27">
        <f>IF(AP741="","",AP741&amp;IF(D741="","  (guessed from PAN)",""))</f>
        <v/>
      </c>
      <c r="AI741" s="27">
        <f>IF(AN741="","",IFERROR(INDEX(Lists!$L$2:$L$38,MATCH(LEFT(AN741,2),Lists!$K$2:$K$38,0)),"Unknown code"))</f>
        <v/>
      </c>
      <c r="AJ741" s="27">
        <f>IF(AN741="","",IFERROR(IF(NOT(AND(LEN(AN741)=15,ISNUMBER(MATCH(LEFT(AN741,2),Lists!$K$2:$K$38,0)),SUMPRODUCT(--ISERROR(FIND(MID(MID(AN741,3,10),{1,2,3,4,5,10},1),"ABCDEFGHIJKLMNOPQRSTUVWXYZ")))=0,SUMPRODUCT(--ISERROR(FIND(MID(MID(AN741,3,10),{6,7,8,9},1),"0123456789")))=0,ISNUMBER(FIND(MID(AN741,13,1),"123456789ABCDEFGHIJKLMNOPQRSTUVWXYZ")),MID(AN741,14,1)="Z")),"Wrong format",IF(MID("0123456789ABCDEFGHIJKLMNOPQRSTUVWXYZ",MOD(36-MOD(SUMPRODUCT(INT((FIND(MID(AN741,{1,2,3,4,5,6,7,8,9,10,11,12,13,14},1),"0123456789ABCDEFGHIJKLMNOPQRSTUVWXYZ")-1)*{1,2,1,2,1,2,1,2,1,2,1,2,1,2}/36)+MOD((FIND(MID(AN741,{1,2,3,4,5,6,7,8,9,10,11,12,13,14},1),"0123456789ABCDEFGHIJKLMNOPQRSTUVWXYZ")-1)*{1,2,1,2,1,2,1,2,1,2,1,2,1,2},36)),36),36)+1,1)=MID(AN741,15,1),"OK","Typo? check digit wrong")),"Wrong format"))</f>
        <v/>
      </c>
      <c r="AK741" s="27">
        <f>IF(AO741="","",IF(AND(LEN(AO741)=10,SUMPRODUCT(--ISERROR(FIND(MID(AO741,{1,2,3,4,5,10},1),"ABCDEFGHIJKLMNOPQRSTUVWXYZ")))=0,SUMPRODUCT(--ISERROR(FIND(MID(AO741,{6,7,8,9},1),"0123456789")))=0),"OK","Wrong format"))</f>
        <v/>
      </c>
      <c r="AL741" s="27">
        <f>IF(TRIM(H741)="","",IF(AND(LEN(UPPER(TRIM(H741)))=10,SUMPRODUCT(--ISERROR(FIND(MID(UPPER(TRIM(H741)),{1,2,3,4,10},1),"ABCDEFGHIJKLMNOPQRSTUVWXYZ")))=0,SUMPRODUCT(--ISERROR(FIND(MID(UPPER(TRIM(H741)),{5,6,7,8,9},1),"0123456789")))=0),"OK","Wrong format"))</f>
        <v/>
      </c>
      <c r="AM741" s="28">
        <f>IF(NOT(COUNTA(A741:AE741)&gt;0),"",IF(AS741&lt;&gt;"","✖ "&amp;LEFT(AS741,LEN(AS741)-2),IF(AR741&gt;0,"✔ Ready — client + "&amp;AR741&amp;" service(s)","✔ Ready — client only")))</f>
        <v/>
      </c>
      <c r="AN741" s="29">
        <f>UPPER(SUBSTITUTE(TRIM(F741)," ",""))</f>
        <v/>
      </c>
      <c r="AO741" s="29">
        <f>UPPER(SUBSTITUTE(TRIM(E741)," ",""))</f>
        <v/>
      </c>
      <c r="AP741" s="29">
        <f>IF(D741&lt;&gt;"",D741,IFERROR(VLOOKUP(MID(AG741,4,1),Lists!$E$2:$F$8,2,FALSE),""))</f>
        <v/>
      </c>
      <c r="AQ741" s="29">
        <f>IFERROR(VLOOKUP(AP741,Lists!$A$2:$C$12,3,FALSE),"")</f>
        <v/>
      </c>
      <c r="AR741" s="29">
        <f>COUNTIF(W741:AC741,"Yes")</f>
        <v/>
      </c>
      <c r="AS741" s="29">
        <f>IF(TRIM(B741)="","Legal name missing; ","")&amp;IF(AND(AJ741&lt;&gt;"",AJ741&lt;&gt;"OK"),"GSTIN: "&amp;AJ741&amp;"; ","")&amp;IF(AND(AK741&lt;&gt;"",AK741&lt;&gt;"OK"),"PAN wrong format; ","")&amp;IF(AND(AO741&lt;&gt;"",LEN(AN741)=15,MID(AN741,3,10)&lt;&gt;AO741),"PAN does not match GSTIN; ","")&amp;IF(AND(AL741&lt;&gt;"",AL741&lt;&gt;"OK"),"TAN wrong format; ","")&amp;IF(AG741="","PAN missing; ","")&amp;IF(AP741="","Entity type missing; ","")&amp;IF(AND(AN741&lt;&gt;"",COUNTIF($AN$6:$AN$1005,AN741)&gt;1),"GSTIN repeated in this sheet; ","")&amp;IF(AND(AG741&lt;&gt;"",COUNTIF($AG$6:$AG$1005,AG741)&gt;1),"PAN repeated in this sheet (same client? put extra GSTINs in Other GSTINs); ","")&amp;IF(AND(AR741&gt;0,V741=""),"Financial year missing; ","")&amp;IF(AND(AR741=0,V741&lt;&gt;""),"Financial year given but no service is Yes; ","")&amp;IF(AND(W741="Yes",AN741=""),"GST needs a GSTIN; ","")&amp;IF(AND(W741="Yes",X741=""),"GST return frequency missing; ","")&amp;IF(AND(Y741="Yes",TRIM(H741)=""),"TDS needs a TAN; ","")&amp;IF(AND(AA741="Yes",AQ741&lt;&gt;"",AQ741&lt;&gt;"company",AQ741&lt;&gt;"llp"),"ROC is only for a company / LLP; ","")&amp;IF(AND(AA741="Yes",OR(AQ741="company",AQ741="llp"),TRIM(I741)=""),"ROC needs the CIN / LLPIN; ","")</f>
        <v/>
      </c>
    </row>
    <row r="742">
      <c r="A742" s="30" t="n"/>
      <c r="B742" s="31" t="n"/>
      <c r="C742" s="31" t="n"/>
      <c r="D742" s="31" t="n"/>
      <c r="E742" s="30" t="n"/>
      <c r="F742" s="30" t="n"/>
      <c r="G742" s="30" t="n"/>
      <c r="H742" s="30" t="n"/>
      <c r="I742" s="30" t="n"/>
      <c r="J742" s="32" t="n"/>
      <c r="K742" s="31" t="n"/>
      <c r="L742" s="30" t="n"/>
      <c r="M742" s="31" t="n"/>
      <c r="N742" s="31" t="n"/>
      <c r="O742" s="31" t="n"/>
      <c r="P742" s="30" t="n"/>
      <c r="Q742" s="31" t="n"/>
      <c r="R742" s="31" t="n"/>
      <c r="S742" s="31" t="n"/>
      <c r="T742" s="31" t="n"/>
      <c r="U742" s="30" t="n"/>
      <c r="V742" s="31" t="n"/>
      <c r="W742" s="31" t="n"/>
      <c r="X742" s="31" t="n"/>
      <c r="Y742" s="31" t="n"/>
      <c r="Z742" s="31" t="n"/>
      <c r="AA742" s="31" t="n"/>
      <c r="AB742" s="31" t="n"/>
      <c r="AC742" s="31" t="n"/>
      <c r="AD742" s="31" t="n"/>
      <c r="AE742" s="31" t="n"/>
      <c r="AF742" s="27">
        <f>IF(NOT(COUNTA(A742:AE742)&gt;0),"",IF(A742="","New client","Update"))</f>
        <v/>
      </c>
      <c r="AG742" s="27">
        <f>IF(AO742&lt;&gt;"",AO742,IF(LEN(AN742)=15,MID(AN742,3,10),""))</f>
        <v/>
      </c>
      <c r="AH742" s="27">
        <f>IF(AP742="","",AP742&amp;IF(D742="","  (guessed from PAN)",""))</f>
        <v/>
      </c>
      <c r="AI742" s="27">
        <f>IF(AN742="","",IFERROR(INDEX(Lists!$L$2:$L$38,MATCH(LEFT(AN742,2),Lists!$K$2:$K$38,0)),"Unknown code"))</f>
        <v/>
      </c>
      <c r="AJ742" s="27">
        <f>IF(AN742="","",IFERROR(IF(NOT(AND(LEN(AN742)=15,ISNUMBER(MATCH(LEFT(AN742,2),Lists!$K$2:$K$38,0)),SUMPRODUCT(--ISERROR(FIND(MID(MID(AN742,3,10),{1,2,3,4,5,10},1),"ABCDEFGHIJKLMNOPQRSTUVWXYZ")))=0,SUMPRODUCT(--ISERROR(FIND(MID(MID(AN742,3,10),{6,7,8,9},1),"0123456789")))=0,ISNUMBER(FIND(MID(AN742,13,1),"123456789ABCDEFGHIJKLMNOPQRSTUVWXYZ")),MID(AN742,14,1)="Z")),"Wrong format",IF(MID("0123456789ABCDEFGHIJKLMNOPQRSTUVWXYZ",MOD(36-MOD(SUMPRODUCT(INT((FIND(MID(AN742,{1,2,3,4,5,6,7,8,9,10,11,12,13,14},1),"0123456789ABCDEFGHIJKLMNOPQRSTUVWXYZ")-1)*{1,2,1,2,1,2,1,2,1,2,1,2,1,2}/36)+MOD((FIND(MID(AN742,{1,2,3,4,5,6,7,8,9,10,11,12,13,14},1),"0123456789ABCDEFGHIJKLMNOPQRSTUVWXYZ")-1)*{1,2,1,2,1,2,1,2,1,2,1,2,1,2},36)),36),36)+1,1)=MID(AN742,15,1),"OK","Typo? check digit wrong")),"Wrong format"))</f>
        <v/>
      </c>
      <c r="AK742" s="27">
        <f>IF(AO742="","",IF(AND(LEN(AO742)=10,SUMPRODUCT(--ISERROR(FIND(MID(AO742,{1,2,3,4,5,10},1),"ABCDEFGHIJKLMNOPQRSTUVWXYZ")))=0,SUMPRODUCT(--ISERROR(FIND(MID(AO742,{6,7,8,9},1),"0123456789")))=0),"OK","Wrong format"))</f>
        <v/>
      </c>
      <c r="AL742" s="27">
        <f>IF(TRIM(H742)="","",IF(AND(LEN(UPPER(TRIM(H742)))=10,SUMPRODUCT(--ISERROR(FIND(MID(UPPER(TRIM(H742)),{1,2,3,4,10},1),"ABCDEFGHIJKLMNOPQRSTUVWXYZ")))=0,SUMPRODUCT(--ISERROR(FIND(MID(UPPER(TRIM(H742)),{5,6,7,8,9},1),"0123456789")))=0),"OK","Wrong format"))</f>
        <v/>
      </c>
      <c r="AM742" s="28">
        <f>IF(NOT(COUNTA(A742:AE742)&gt;0),"",IF(AS742&lt;&gt;"","✖ "&amp;LEFT(AS742,LEN(AS742)-2),IF(AR742&gt;0,"✔ Ready — client + "&amp;AR742&amp;" service(s)","✔ Ready — client only")))</f>
        <v/>
      </c>
      <c r="AN742" s="29">
        <f>UPPER(SUBSTITUTE(TRIM(F742)," ",""))</f>
        <v/>
      </c>
      <c r="AO742" s="29">
        <f>UPPER(SUBSTITUTE(TRIM(E742)," ",""))</f>
        <v/>
      </c>
      <c r="AP742" s="29">
        <f>IF(D742&lt;&gt;"",D742,IFERROR(VLOOKUP(MID(AG742,4,1),Lists!$E$2:$F$8,2,FALSE),""))</f>
        <v/>
      </c>
      <c r="AQ742" s="29">
        <f>IFERROR(VLOOKUP(AP742,Lists!$A$2:$C$12,3,FALSE),"")</f>
        <v/>
      </c>
      <c r="AR742" s="29">
        <f>COUNTIF(W742:AC742,"Yes")</f>
        <v/>
      </c>
      <c r="AS742" s="29">
        <f>IF(TRIM(B742)="","Legal name missing; ","")&amp;IF(AND(AJ742&lt;&gt;"",AJ742&lt;&gt;"OK"),"GSTIN: "&amp;AJ742&amp;"; ","")&amp;IF(AND(AK742&lt;&gt;"",AK742&lt;&gt;"OK"),"PAN wrong format; ","")&amp;IF(AND(AO742&lt;&gt;"",LEN(AN742)=15,MID(AN742,3,10)&lt;&gt;AO742),"PAN does not match GSTIN; ","")&amp;IF(AND(AL742&lt;&gt;"",AL742&lt;&gt;"OK"),"TAN wrong format; ","")&amp;IF(AG742="","PAN missing; ","")&amp;IF(AP742="","Entity type missing; ","")&amp;IF(AND(AN742&lt;&gt;"",COUNTIF($AN$6:$AN$1005,AN742)&gt;1),"GSTIN repeated in this sheet; ","")&amp;IF(AND(AG742&lt;&gt;"",COUNTIF($AG$6:$AG$1005,AG742)&gt;1),"PAN repeated in this sheet (same client? put extra GSTINs in Other GSTINs); ","")&amp;IF(AND(AR742&gt;0,V742=""),"Financial year missing; ","")&amp;IF(AND(AR742=0,V742&lt;&gt;""),"Financial year given but no service is Yes; ","")&amp;IF(AND(W742="Yes",AN742=""),"GST needs a GSTIN; ","")&amp;IF(AND(W742="Yes",X742=""),"GST return frequency missing; ","")&amp;IF(AND(Y742="Yes",TRIM(H742)=""),"TDS needs a TAN; ","")&amp;IF(AND(AA742="Yes",AQ742&lt;&gt;"",AQ742&lt;&gt;"company",AQ742&lt;&gt;"llp"),"ROC is only for a company / LLP; ","")&amp;IF(AND(AA742="Yes",OR(AQ742="company",AQ742="llp"),TRIM(I742)=""),"ROC needs the CIN / LLPIN; ","")</f>
        <v/>
      </c>
    </row>
    <row r="743">
      <c r="A743" s="30" t="n"/>
      <c r="B743" s="31" t="n"/>
      <c r="C743" s="31" t="n"/>
      <c r="D743" s="31" t="n"/>
      <c r="E743" s="30" t="n"/>
      <c r="F743" s="30" t="n"/>
      <c r="G743" s="30" t="n"/>
      <c r="H743" s="30" t="n"/>
      <c r="I743" s="30" t="n"/>
      <c r="J743" s="32" t="n"/>
      <c r="K743" s="31" t="n"/>
      <c r="L743" s="30" t="n"/>
      <c r="M743" s="31" t="n"/>
      <c r="N743" s="31" t="n"/>
      <c r="O743" s="31" t="n"/>
      <c r="P743" s="30" t="n"/>
      <c r="Q743" s="31" t="n"/>
      <c r="R743" s="31" t="n"/>
      <c r="S743" s="31" t="n"/>
      <c r="T743" s="31" t="n"/>
      <c r="U743" s="30" t="n"/>
      <c r="V743" s="31" t="n"/>
      <c r="W743" s="31" t="n"/>
      <c r="X743" s="31" t="n"/>
      <c r="Y743" s="31" t="n"/>
      <c r="Z743" s="31" t="n"/>
      <c r="AA743" s="31" t="n"/>
      <c r="AB743" s="31" t="n"/>
      <c r="AC743" s="31" t="n"/>
      <c r="AD743" s="31" t="n"/>
      <c r="AE743" s="31" t="n"/>
      <c r="AF743" s="27">
        <f>IF(NOT(COUNTA(A743:AE743)&gt;0),"",IF(A743="","New client","Update"))</f>
        <v/>
      </c>
      <c r="AG743" s="27">
        <f>IF(AO743&lt;&gt;"",AO743,IF(LEN(AN743)=15,MID(AN743,3,10),""))</f>
        <v/>
      </c>
      <c r="AH743" s="27">
        <f>IF(AP743="","",AP743&amp;IF(D743="","  (guessed from PAN)",""))</f>
        <v/>
      </c>
      <c r="AI743" s="27">
        <f>IF(AN743="","",IFERROR(INDEX(Lists!$L$2:$L$38,MATCH(LEFT(AN743,2),Lists!$K$2:$K$38,0)),"Unknown code"))</f>
        <v/>
      </c>
      <c r="AJ743" s="27">
        <f>IF(AN743="","",IFERROR(IF(NOT(AND(LEN(AN743)=15,ISNUMBER(MATCH(LEFT(AN743,2),Lists!$K$2:$K$38,0)),SUMPRODUCT(--ISERROR(FIND(MID(MID(AN743,3,10),{1,2,3,4,5,10},1),"ABCDEFGHIJKLMNOPQRSTUVWXYZ")))=0,SUMPRODUCT(--ISERROR(FIND(MID(MID(AN743,3,10),{6,7,8,9},1),"0123456789")))=0,ISNUMBER(FIND(MID(AN743,13,1),"123456789ABCDEFGHIJKLMNOPQRSTUVWXYZ")),MID(AN743,14,1)="Z")),"Wrong format",IF(MID("0123456789ABCDEFGHIJKLMNOPQRSTUVWXYZ",MOD(36-MOD(SUMPRODUCT(INT((FIND(MID(AN743,{1,2,3,4,5,6,7,8,9,10,11,12,13,14},1),"0123456789ABCDEFGHIJKLMNOPQRSTUVWXYZ")-1)*{1,2,1,2,1,2,1,2,1,2,1,2,1,2}/36)+MOD((FIND(MID(AN743,{1,2,3,4,5,6,7,8,9,10,11,12,13,14},1),"0123456789ABCDEFGHIJKLMNOPQRSTUVWXYZ")-1)*{1,2,1,2,1,2,1,2,1,2,1,2,1,2},36)),36),36)+1,1)=MID(AN743,15,1),"OK","Typo? check digit wrong")),"Wrong format"))</f>
        <v/>
      </c>
      <c r="AK743" s="27">
        <f>IF(AO743="","",IF(AND(LEN(AO743)=10,SUMPRODUCT(--ISERROR(FIND(MID(AO743,{1,2,3,4,5,10},1),"ABCDEFGHIJKLMNOPQRSTUVWXYZ")))=0,SUMPRODUCT(--ISERROR(FIND(MID(AO743,{6,7,8,9},1),"0123456789")))=0),"OK","Wrong format"))</f>
        <v/>
      </c>
      <c r="AL743" s="27">
        <f>IF(TRIM(H743)="","",IF(AND(LEN(UPPER(TRIM(H743)))=10,SUMPRODUCT(--ISERROR(FIND(MID(UPPER(TRIM(H743)),{1,2,3,4,10},1),"ABCDEFGHIJKLMNOPQRSTUVWXYZ")))=0,SUMPRODUCT(--ISERROR(FIND(MID(UPPER(TRIM(H743)),{5,6,7,8,9},1),"0123456789")))=0),"OK","Wrong format"))</f>
        <v/>
      </c>
      <c r="AM743" s="28">
        <f>IF(NOT(COUNTA(A743:AE743)&gt;0),"",IF(AS743&lt;&gt;"","✖ "&amp;LEFT(AS743,LEN(AS743)-2),IF(AR743&gt;0,"✔ Ready — client + "&amp;AR743&amp;" service(s)","✔ Ready — client only")))</f>
        <v/>
      </c>
      <c r="AN743" s="29">
        <f>UPPER(SUBSTITUTE(TRIM(F743)," ",""))</f>
        <v/>
      </c>
      <c r="AO743" s="29">
        <f>UPPER(SUBSTITUTE(TRIM(E743)," ",""))</f>
        <v/>
      </c>
      <c r="AP743" s="29">
        <f>IF(D743&lt;&gt;"",D743,IFERROR(VLOOKUP(MID(AG743,4,1),Lists!$E$2:$F$8,2,FALSE),""))</f>
        <v/>
      </c>
      <c r="AQ743" s="29">
        <f>IFERROR(VLOOKUP(AP743,Lists!$A$2:$C$12,3,FALSE),"")</f>
        <v/>
      </c>
      <c r="AR743" s="29">
        <f>COUNTIF(W743:AC743,"Yes")</f>
        <v/>
      </c>
      <c r="AS743" s="29">
        <f>IF(TRIM(B743)="","Legal name missing; ","")&amp;IF(AND(AJ743&lt;&gt;"",AJ743&lt;&gt;"OK"),"GSTIN: "&amp;AJ743&amp;"; ","")&amp;IF(AND(AK743&lt;&gt;"",AK743&lt;&gt;"OK"),"PAN wrong format; ","")&amp;IF(AND(AO743&lt;&gt;"",LEN(AN743)=15,MID(AN743,3,10)&lt;&gt;AO743),"PAN does not match GSTIN; ","")&amp;IF(AND(AL743&lt;&gt;"",AL743&lt;&gt;"OK"),"TAN wrong format; ","")&amp;IF(AG743="","PAN missing; ","")&amp;IF(AP743="","Entity type missing; ","")&amp;IF(AND(AN743&lt;&gt;"",COUNTIF($AN$6:$AN$1005,AN743)&gt;1),"GSTIN repeated in this sheet; ","")&amp;IF(AND(AG743&lt;&gt;"",COUNTIF($AG$6:$AG$1005,AG743)&gt;1),"PAN repeated in this sheet (same client? put extra GSTINs in Other GSTINs); ","")&amp;IF(AND(AR743&gt;0,V743=""),"Financial year missing; ","")&amp;IF(AND(AR743=0,V743&lt;&gt;""),"Financial year given but no service is Yes; ","")&amp;IF(AND(W743="Yes",AN743=""),"GST needs a GSTIN; ","")&amp;IF(AND(W743="Yes",X743=""),"GST return frequency missing; ","")&amp;IF(AND(Y743="Yes",TRIM(H743)=""),"TDS needs a TAN; ","")&amp;IF(AND(AA743="Yes",AQ743&lt;&gt;"",AQ743&lt;&gt;"company",AQ743&lt;&gt;"llp"),"ROC is only for a company / LLP; ","")&amp;IF(AND(AA743="Yes",OR(AQ743="company",AQ743="llp"),TRIM(I743)=""),"ROC needs the CIN / LLPIN; ","")</f>
        <v/>
      </c>
    </row>
    <row r="744">
      <c r="A744" s="30" t="n"/>
      <c r="B744" s="31" t="n"/>
      <c r="C744" s="31" t="n"/>
      <c r="D744" s="31" t="n"/>
      <c r="E744" s="30" t="n"/>
      <c r="F744" s="30" t="n"/>
      <c r="G744" s="30" t="n"/>
      <c r="H744" s="30" t="n"/>
      <c r="I744" s="30" t="n"/>
      <c r="J744" s="32" t="n"/>
      <c r="K744" s="31" t="n"/>
      <c r="L744" s="30" t="n"/>
      <c r="M744" s="31" t="n"/>
      <c r="N744" s="31" t="n"/>
      <c r="O744" s="31" t="n"/>
      <c r="P744" s="30" t="n"/>
      <c r="Q744" s="31" t="n"/>
      <c r="R744" s="31" t="n"/>
      <c r="S744" s="31" t="n"/>
      <c r="T744" s="31" t="n"/>
      <c r="U744" s="30" t="n"/>
      <c r="V744" s="31" t="n"/>
      <c r="W744" s="31" t="n"/>
      <c r="X744" s="31" t="n"/>
      <c r="Y744" s="31" t="n"/>
      <c r="Z744" s="31" t="n"/>
      <c r="AA744" s="31" t="n"/>
      <c r="AB744" s="31" t="n"/>
      <c r="AC744" s="31" t="n"/>
      <c r="AD744" s="31" t="n"/>
      <c r="AE744" s="31" t="n"/>
      <c r="AF744" s="27">
        <f>IF(NOT(COUNTA(A744:AE744)&gt;0),"",IF(A744="","New client","Update"))</f>
        <v/>
      </c>
      <c r="AG744" s="27">
        <f>IF(AO744&lt;&gt;"",AO744,IF(LEN(AN744)=15,MID(AN744,3,10),""))</f>
        <v/>
      </c>
      <c r="AH744" s="27">
        <f>IF(AP744="","",AP744&amp;IF(D744="","  (guessed from PAN)",""))</f>
        <v/>
      </c>
      <c r="AI744" s="27">
        <f>IF(AN744="","",IFERROR(INDEX(Lists!$L$2:$L$38,MATCH(LEFT(AN744,2),Lists!$K$2:$K$38,0)),"Unknown code"))</f>
        <v/>
      </c>
      <c r="AJ744" s="27">
        <f>IF(AN744="","",IFERROR(IF(NOT(AND(LEN(AN744)=15,ISNUMBER(MATCH(LEFT(AN744,2),Lists!$K$2:$K$38,0)),SUMPRODUCT(--ISERROR(FIND(MID(MID(AN744,3,10),{1,2,3,4,5,10},1),"ABCDEFGHIJKLMNOPQRSTUVWXYZ")))=0,SUMPRODUCT(--ISERROR(FIND(MID(MID(AN744,3,10),{6,7,8,9},1),"0123456789")))=0,ISNUMBER(FIND(MID(AN744,13,1),"123456789ABCDEFGHIJKLMNOPQRSTUVWXYZ")),MID(AN744,14,1)="Z")),"Wrong format",IF(MID("0123456789ABCDEFGHIJKLMNOPQRSTUVWXYZ",MOD(36-MOD(SUMPRODUCT(INT((FIND(MID(AN744,{1,2,3,4,5,6,7,8,9,10,11,12,13,14},1),"0123456789ABCDEFGHIJKLMNOPQRSTUVWXYZ")-1)*{1,2,1,2,1,2,1,2,1,2,1,2,1,2}/36)+MOD((FIND(MID(AN744,{1,2,3,4,5,6,7,8,9,10,11,12,13,14},1),"0123456789ABCDEFGHIJKLMNOPQRSTUVWXYZ")-1)*{1,2,1,2,1,2,1,2,1,2,1,2,1,2},36)),36),36)+1,1)=MID(AN744,15,1),"OK","Typo? check digit wrong")),"Wrong format"))</f>
        <v/>
      </c>
      <c r="AK744" s="27">
        <f>IF(AO744="","",IF(AND(LEN(AO744)=10,SUMPRODUCT(--ISERROR(FIND(MID(AO744,{1,2,3,4,5,10},1),"ABCDEFGHIJKLMNOPQRSTUVWXYZ")))=0,SUMPRODUCT(--ISERROR(FIND(MID(AO744,{6,7,8,9},1),"0123456789")))=0),"OK","Wrong format"))</f>
        <v/>
      </c>
      <c r="AL744" s="27">
        <f>IF(TRIM(H744)="","",IF(AND(LEN(UPPER(TRIM(H744)))=10,SUMPRODUCT(--ISERROR(FIND(MID(UPPER(TRIM(H744)),{1,2,3,4,10},1),"ABCDEFGHIJKLMNOPQRSTUVWXYZ")))=0,SUMPRODUCT(--ISERROR(FIND(MID(UPPER(TRIM(H744)),{5,6,7,8,9},1),"0123456789")))=0),"OK","Wrong format"))</f>
        <v/>
      </c>
      <c r="AM744" s="28">
        <f>IF(NOT(COUNTA(A744:AE744)&gt;0),"",IF(AS744&lt;&gt;"","✖ "&amp;LEFT(AS744,LEN(AS744)-2),IF(AR744&gt;0,"✔ Ready — client + "&amp;AR744&amp;" service(s)","✔ Ready — client only")))</f>
        <v/>
      </c>
      <c r="AN744" s="29">
        <f>UPPER(SUBSTITUTE(TRIM(F744)," ",""))</f>
        <v/>
      </c>
      <c r="AO744" s="29">
        <f>UPPER(SUBSTITUTE(TRIM(E744)," ",""))</f>
        <v/>
      </c>
      <c r="AP744" s="29">
        <f>IF(D744&lt;&gt;"",D744,IFERROR(VLOOKUP(MID(AG744,4,1),Lists!$E$2:$F$8,2,FALSE),""))</f>
        <v/>
      </c>
      <c r="AQ744" s="29">
        <f>IFERROR(VLOOKUP(AP744,Lists!$A$2:$C$12,3,FALSE),"")</f>
        <v/>
      </c>
      <c r="AR744" s="29">
        <f>COUNTIF(W744:AC744,"Yes")</f>
        <v/>
      </c>
      <c r="AS744" s="29">
        <f>IF(TRIM(B744)="","Legal name missing; ","")&amp;IF(AND(AJ744&lt;&gt;"",AJ744&lt;&gt;"OK"),"GSTIN: "&amp;AJ744&amp;"; ","")&amp;IF(AND(AK744&lt;&gt;"",AK744&lt;&gt;"OK"),"PAN wrong format; ","")&amp;IF(AND(AO744&lt;&gt;"",LEN(AN744)=15,MID(AN744,3,10)&lt;&gt;AO744),"PAN does not match GSTIN; ","")&amp;IF(AND(AL744&lt;&gt;"",AL744&lt;&gt;"OK"),"TAN wrong format; ","")&amp;IF(AG744="","PAN missing; ","")&amp;IF(AP744="","Entity type missing; ","")&amp;IF(AND(AN744&lt;&gt;"",COUNTIF($AN$6:$AN$1005,AN744)&gt;1),"GSTIN repeated in this sheet; ","")&amp;IF(AND(AG744&lt;&gt;"",COUNTIF($AG$6:$AG$1005,AG744)&gt;1),"PAN repeated in this sheet (same client? put extra GSTINs in Other GSTINs); ","")&amp;IF(AND(AR744&gt;0,V744=""),"Financial year missing; ","")&amp;IF(AND(AR744=0,V744&lt;&gt;""),"Financial year given but no service is Yes; ","")&amp;IF(AND(W744="Yes",AN744=""),"GST needs a GSTIN; ","")&amp;IF(AND(W744="Yes",X744=""),"GST return frequency missing; ","")&amp;IF(AND(Y744="Yes",TRIM(H744)=""),"TDS needs a TAN; ","")&amp;IF(AND(AA744="Yes",AQ744&lt;&gt;"",AQ744&lt;&gt;"company",AQ744&lt;&gt;"llp"),"ROC is only for a company / LLP; ","")&amp;IF(AND(AA744="Yes",OR(AQ744="company",AQ744="llp"),TRIM(I744)=""),"ROC needs the CIN / LLPIN; ","")</f>
        <v/>
      </c>
    </row>
    <row r="745">
      <c r="A745" s="30" t="n"/>
      <c r="B745" s="31" t="n"/>
      <c r="C745" s="31" t="n"/>
      <c r="D745" s="31" t="n"/>
      <c r="E745" s="30" t="n"/>
      <c r="F745" s="30" t="n"/>
      <c r="G745" s="30" t="n"/>
      <c r="H745" s="30" t="n"/>
      <c r="I745" s="30" t="n"/>
      <c r="J745" s="32" t="n"/>
      <c r="K745" s="31" t="n"/>
      <c r="L745" s="30" t="n"/>
      <c r="M745" s="31" t="n"/>
      <c r="N745" s="31" t="n"/>
      <c r="O745" s="31" t="n"/>
      <c r="P745" s="30" t="n"/>
      <c r="Q745" s="31" t="n"/>
      <c r="R745" s="31" t="n"/>
      <c r="S745" s="31" t="n"/>
      <c r="T745" s="31" t="n"/>
      <c r="U745" s="30" t="n"/>
      <c r="V745" s="31" t="n"/>
      <c r="W745" s="31" t="n"/>
      <c r="X745" s="31" t="n"/>
      <c r="Y745" s="31" t="n"/>
      <c r="Z745" s="31" t="n"/>
      <c r="AA745" s="31" t="n"/>
      <c r="AB745" s="31" t="n"/>
      <c r="AC745" s="31" t="n"/>
      <c r="AD745" s="31" t="n"/>
      <c r="AE745" s="31" t="n"/>
      <c r="AF745" s="27">
        <f>IF(NOT(COUNTA(A745:AE745)&gt;0),"",IF(A745="","New client","Update"))</f>
        <v/>
      </c>
      <c r="AG745" s="27">
        <f>IF(AO745&lt;&gt;"",AO745,IF(LEN(AN745)=15,MID(AN745,3,10),""))</f>
        <v/>
      </c>
      <c r="AH745" s="27">
        <f>IF(AP745="","",AP745&amp;IF(D745="","  (guessed from PAN)",""))</f>
        <v/>
      </c>
      <c r="AI745" s="27">
        <f>IF(AN745="","",IFERROR(INDEX(Lists!$L$2:$L$38,MATCH(LEFT(AN745,2),Lists!$K$2:$K$38,0)),"Unknown code"))</f>
        <v/>
      </c>
      <c r="AJ745" s="27">
        <f>IF(AN745="","",IFERROR(IF(NOT(AND(LEN(AN745)=15,ISNUMBER(MATCH(LEFT(AN745,2),Lists!$K$2:$K$38,0)),SUMPRODUCT(--ISERROR(FIND(MID(MID(AN745,3,10),{1,2,3,4,5,10},1),"ABCDEFGHIJKLMNOPQRSTUVWXYZ")))=0,SUMPRODUCT(--ISERROR(FIND(MID(MID(AN745,3,10),{6,7,8,9},1),"0123456789")))=0,ISNUMBER(FIND(MID(AN745,13,1),"123456789ABCDEFGHIJKLMNOPQRSTUVWXYZ")),MID(AN745,14,1)="Z")),"Wrong format",IF(MID("0123456789ABCDEFGHIJKLMNOPQRSTUVWXYZ",MOD(36-MOD(SUMPRODUCT(INT((FIND(MID(AN745,{1,2,3,4,5,6,7,8,9,10,11,12,13,14},1),"0123456789ABCDEFGHIJKLMNOPQRSTUVWXYZ")-1)*{1,2,1,2,1,2,1,2,1,2,1,2,1,2}/36)+MOD((FIND(MID(AN745,{1,2,3,4,5,6,7,8,9,10,11,12,13,14},1),"0123456789ABCDEFGHIJKLMNOPQRSTUVWXYZ")-1)*{1,2,1,2,1,2,1,2,1,2,1,2,1,2},36)),36),36)+1,1)=MID(AN745,15,1),"OK","Typo? check digit wrong")),"Wrong format"))</f>
        <v/>
      </c>
      <c r="AK745" s="27">
        <f>IF(AO745="","",IF(AND(LEN(AO745)=10,SUMPRODUCT(--ISERROR(FIND(MID(AO745,{1,2,3,4,5,10},1),"ABCDEFGHIJKLMNOPQRSTUVWXYZ")))=0,SUMPRODUCT(--ISERROR(FIND(MID(AO745,{6,7,8,9},1),"0123456789")))=0),"OK","Wrong format"))</f>
        <v/>
      </c>
      <c r="AL745" s="27">
        <f>IF(TRIM(H745)="","",IF(AND(LEN(UPPER(TRIM(H745)))=10,SUMPRODUCT(--ISERROR(FIND(MID(UPPER(TRIM(H745)),{1,2,3,4,10},1),"ABCDEFGHIJKLMNOPQRSTUVWXYZ")))=0,SUMPRODUCT(--ISERROR(FIND(MID(UPPER(TRIM(H745)),{5,6,7,8,9},1),"0123456789")))=0),"OK","Wrong format"))</f>
        <v/>
      </c>
      <c r="AM745" s="28">
        <f>IF(NOT(COUNTA(A745:AE745)&gt;0),"",IF(AS745&lt;&gt;"","✖ "&amp;LEFT(AS745,LEN(AS745)-2),IF(AR745&gt;0,"✔ Ready — client + "&amp;AR745&amp;" service(s)","✔ Ready — client only")))</f>
        <v/>
      </c>
      <c r="AN745" s="29">
        <f>UPPER(SUBSTITUTE(TRIM(F745)," ",""))</f>
        <v/>
      </c>
      <c r="AO745" s="29">
        <f>UPPER(SUBSTITUTE(TRIM(E745)," ",""))</f>
        <v/>
      </c>
      <c r="AP745" s="29">
        <f>IF(D745&lt;&gt;"",D745,IFERROR(VLOOKUP(MID(AG745,4,1),Lists!$E$2:$F$8,2,FALSE),""))</f>
        <v/>
      </c>
      <c r="AQ745" s="29">
        <f>IFERROR(VLOOKUP(AP745,Lists!$A$2:$C$12,3,FALSE),"")</f>
        <v/>
      </c>
      <c r="AR745" s="29">
        <f>COUNTIF(W745:AC745,"Yes")</f>
        <v/>
      </c>
      <c r="AS745" s="29">
        <f>IF(TRIM(B745)="","Legal name missing; ","")&amp;IF(AND(AJ745&lt;&gt;"",AJ745&lt;&gt;"OK"),"GSTIN: "&amp;AJ745&amp;"; ","")&amp;IF(AND(AK745&lt;&gt;"",AK745&lt;&gt;"OK"),"PAN wrong format; ","")&amp;IF(AND(AO745&lt;&gt;"",LEN(AN745)=15,MID(AN745,3,10)&lt;&gt;AO745),"PAN does not match GSTIN; ","")&amp;IF(AND(AL745&lt;&gt;"",AL745&lt;&gt;"OK"),"TAN wrong format; ","")&amp;IF(AG745="","PAN missing; ","")&amp;IF(AP745="","Entity type missing; ","")&amp;IF(AND(AN745&lt;&gt;"",COUNTIF($AN$6:$AN$1005,AN745)&gt;1),"GSTIN repeated in this sheet; ","")&amp;IF(AND(AG745&lt;&gt;"",COUNTIF($AG$6:$AG$1005,AG745)&gt;1),"PAN repeated in this sheet (same client? put extra GSTINs in Other GSTINs); ","")&amp;IF(AND(AR745&gt;0,V745=""),"Financial year missing; ","")&amp;IF(AND(AR745=0,V745&lt;&gt;""),"Financial year given but no service is Yes; ","")&amp;IF(AND(W745="Yes",AN745=""),"GST needs a GSTIN; ","")&amp;IF(AND(W745="Yes",X745=""),"GST return frequency missing; ","")&amp;IF(AND(Y745="Yes",TRIM(H745)=""),"TDS needs a TAN; ","")&amp;IF(AND(AA745="Yes",AQ745&lt;&gt;"",AQ745&lt;&gt;"company",AQ745&lt;&gt;"llp"),"ROC is only for a company / LLP; ","")&amp;IF(AND(AA745="Yes",OR(AQ745="company",AQ745="llp"),TRIM(I745)=""),"ROC needs the CIN / LLPIN; ","")</f>
        <v/>
      </c>
    </row>
    <row r="746">
      <c r="A746" s="30" t="n"/>
      <c r="B746" s="31" t="n"/>
      <c r="C746" s="31" t="n"/>
      <c r="D746" s="31" t="n"/>
      <c r="E746" s="30" t="n"/>
      <c r="F746" s="30" t="n"/>
      <c r="G746" s="30" t="n"/>
      <c r="H746" s="30" t="n"/>
      <c r="I746" s="30" t="n"/>
      <c r="J746" s="32" t="n"/>
      <c r="K746" s="31" t="n"/>
      <c r="L746" s="30" t="n"/>
      <c r="M746" s="31" t="n"/>
      <c r="N746" s="31" t="n"/>
      <c r="O746" s="31" t="n"/>
      <c r="P746" s="30" t="n"/>
      <c r="Q746" s="31" t="n"/>
      <c r="R746" s="31" t="n"/>
      <c r="S746" s="31" t="n"/>
      <c r="T746" s="31" t="n"/>
      <c r="U746" s="30" t="n"/>
      <c r="V746" s="31" t="n"/>
      <c r="W746" s="31" t="n"/>
      <c r="X746" s="31" t="n"/>
      <c r="Y746" s="31" t="n"/>
      <c r="Z746" s="31" t="n"/>
      <c r="AA746" s="31" t="n"/>
      <c r="AB746" s="31" t="n"/>
      <c r="AC746" s="31" t="n"/>
      <c r="AD746" s="31" t="n"/>
      <c r="AE746" s="31" t="n"/>
      <c r="AF746" s="27">
        <f>IF(NOT(COUNTA(A746:AE746)&gt;0),"",IF(A746="","New client","Update"))</f>
        <v/>
      </c>
      <c r="AG746" s="27">
        <f>IF(AO746&lt;&gt;"",AO746,IF(LEN(AN746)=15,MID(AN746,3,10),""))</f>
        <v/>
      </c>
      <c r="AH746" s="27">
        <f>IF(AP746="","",AP746&amp;IF(D746="","  (guessed from PAN)",""))</f>
        <v/>
      </c>
      <c r="AI746" s="27">
        <f>IF(AN746="","",IFERROR(INDEX(Lists!$L$2:$L$38,MATCH(LEFT(AN746,2),Lists!$K$2:$K$38,0)),"Unknown code"))</f>
        <v/>
      </c>
      <c r="AJ746" s="27">
        <f>IF(AN746="","",IFERROR(IF(NOT(AND(LEN(AN746)=15,ISNUMBER(MATCH(LEFT(AN746,2),Lists!$K$2:$K$38,0)),SUMPRODUCT(--ISERROR(FIND(MID(MID(AN746,3,10),{1,2,3,4,5,10},1),"ABCDEFGHIJKLMNOPQRSTUVWXYZ")))=0,SUMPRODUCT(--ISERROR(FIND(MID(MID(AN746,3,10),{6,7,8,9},1),"0123456789")))=0,ISNUMBER(FIND(MID(AN746,13,1),"123456789ABCDEFGHIJKLMNOPQRSTUVWXYZ")),MID(AN746,14,1)="Z")),"Wrong format",IF(MID("0123456789ABCDEFGHIJKLMNOPQRSTUVWXYZ",MOD(36-MOD(SUMPRODUCT(INT((FIND(MID(AN746,{1,2,3,4,5,6,7,8,9,10,11,12,13,14},1),"0123456789ABCDEFGHIJKLMNOPQRSTUVWXYZ")-1)*{1,2,1,2,1,2,1,2,1,2,1,2,1,2}/36)+MOD((FIND(MID(AN746,{1,2,3,4,5,6,7,8,9,10,11,12,13,14},1),"0123456789ABCDEFGHIJKLMNOPQRSTUVWXYZ")-1)*{1,2,1,2,1,2,1,2,1,2,1,2,1,2},36)),36),36)+1,1)=MID(AN746,15,1),"OK","Typo? check digit wrong")),"Wrong format"))</f>
        <v/>
      </c>
      <c r="AK746" s="27">
        <f>IF(AO746="","",IF(AND(LEN(AO746)=10,SUMPRODUCT(--ISERROR(FIND(MID(AO746,{1,2,3,4,5,10},1),"ABCDEFGHIJKLMNOPQRSTUVWXYZ")))=0,SUMPRODUCT(--ISERROR(FIND(MID(AO746,{6,7,8,9},1),"0123456789")))=0),"OK","Wrong format"))</f>
        <v/>
      </c>
      <c r="AL746" s="27">
        <f>IF(TRIM(H746)="","",IF(AND(LEN(UPPER(TRIM(H746)))=10,SUMPRODUCT(--ISERROR(FIND(MID(UPPER(TRIM(H746)),{1,2,3,4,10},1),"ABCDEFGHIJKLMNOPQRSTUVWXYZ")))=0,SUMPRODUCT(--ISERROR(FIND(MID(UPPER(TRIM(H746)),{5,6,7,8,9},1),"0123456789")))=0),"OK","Wrong format"))</f>
        <v/>
      </c>
      <c r="AM746" s="28">
        <f>IF(NOT(COUNTA(A746:AE746)&gt;0),"",IF(AS746&lt;&gt;"","✖ "&amp;LEFT(AS746,LEN(AS746)-2),IF(AR746&gt;0,"✔ Ready — client + "&amp;AR746&amp;" service(s)","✔ Ready — client only")))</f>
        <v/>
      </c>
      <c r="AN746" s="29">
        <f>UPPER(SUBSTITUTE(TRIM(F746)," ",""))</f>
        <v/>
      </c>
      <c r="AO746" s="29">
        <f>UPPER(SUBSTITUTE(TRIM(E746)," ",""))</f>
        <v/>
      </c>
      <c r="AP746" s="29">
        <f>IF(D746&lt;&gt;"",D746,IFERROR(VLOOKUP(MID(AG746,4,1),Lists!$E$2:$F$8,2,FALSE),""))</f>
        <v/>
      </c>
      <c r="AQ746" s="29">
        <f>IFERROR(VLOOKUP(AP746,Lists!$A$2:$C$12,3,FALSE),"")</f>
        <v/>
      </c>
      <c r="AR746" s="29">
        <f>COUNTIF(W746:AC746,"Yes")</f>
        <v/>
      </c>
      <c r="AS746" s="29">
        <f>IF(TRIM(B746)="","Legal name missing; ","")&amp;IF(AND(AJ746&lt;&gt;"",AJ746&lt;&gt;"OK"),"GSTIN: "&amp;AJ746&amp;"; ","")&amp;IF(AND(AK746&lt;&gt;"",AK746&lt;&gt;"OK"),"PAN wrong format; ","")&amp;IF(AND(AO746&lt;&gt;"",LEN(AN746)=15,MID(AN746,3,10)&lt;&gt;AO746),"PAN does not match GSTIN; ","")&amp;IF(AND(AL746&lt;&gt;"",AL746&lt;&gt;"OK"),"TAN wrong format; ","")&amp;IF(AG746="","PAN missing; ","")&amp;IF(AP746="","Entity type missing; ","")&amp;IF(AND(AN746&lt;&gt;"",COUNTIF($AN$6:$AN$1005,AN746)&gt;1),"GSTIN repeated in this sheet; ","")&amp;IF(AND(AG746&lt;&gt;"",COUNTIF($AG$6:$AG$1005,AG746)&gt;1),"PAN repeated in this sheet (same client? put extra GSTINs in Other GSTINs); ","")&amp;IF(AND(AR746&gt;0,V746=""),"Financial year missing; ","")&amp;IF(AND(AR746=0,V746&lt;&gt;""),"Financial year given but no service is Yes; ","")&amp;IF(AND(W746="Yes",AN746=""),"GST needs a GSTIN; ","")&amp;IF(AND(W746="Yes",X746=""),"GST return frequency missing; ","")&amp;IF(AND(Y746="Yes",TRIM(H746)=""),"TDS needs a TAN; ","")&amp;IF(AND(AA746="Yes",AQ746&lt;&gt;"",AQ746&lt;&gt;"company",AQ746&lt;&gt;"llp"),"ROC is only for a company / LLP; ","")&amp;IF(AND(AA746="Yes",OR(AQ746="company",AQ746="llp"),TRIM(I746)=""),"ROC needs the CIN / LLPIN; ","")</f>
        <v/>
      </c>
    </row>
    <row r="747">
      <c r="A747" s="30" t="n"/>
      <c r="B747" s="31" t="n"/>
      <c r="C747" s="31" t="n"/>
      <c r="D747" s="31" t="n"/>
      <c r="E747" s="30" t="n"/>
      <c r="F747" s="30" t="n"/>
      <c r="G747" s="30" t="n"/>
      <c r="H747" s="30" t="n"/>
      <c r="I747" s="30" t="n"/>
      <c r="J747" s="32" t="n"/>
      <c r="K747" s="31" t="n"/>
      <c r="L747" s="30" t="n"/>
      <c r="M747" s="31" t="n"/>
      <c r="N747" s="31" t="n"/>
      <c r="O747" s="31" t="n"/>
      <c r="P747" s="30" t="n"/>
      <c r="Q747" s="31" t="n"/>
      <c r="R747" s="31" t="n"/>
      <c r="S747" s="31" t="n"/>
      <c r="T747" s="31" t="n"/>
      <c r="U747" s="30" t="n"/>
      <c r="V747" s="31" t="n"/>
      <c r="W747" s="31" t="n"/>
      <c r="X747" s="31" t="n"/>
      <c r="Y747" s="31" t="n"/>
      <c r="Z747" s="31" t="n"/>
      <c r="AA747" s="31" t="n"/>
      <c r="AB747" s="31" t="n"/>
      <c r="AC747" s="31" t="n"/>
      <c r="AD747" s="31" t="n"/>
      <c r="AE747" s="31" t="n"/>
      <c r="AF747" s="27">
        <f>IF(NOT(COUNTA(A747:AE747)&gt;0),"",IF(A747="","New client","Update"))</f>
        <v/>
      </c>
      <c r="AG747" s="27">
        <f>IF(AO747&lt;&gt;"",AO747,IF(LEN(AN747)=15,MID(AN747,3,10),""))</f>
        <v/>
      </c>
      <c r="AH747" s="27">
        <f>IF(AP747="","",AP747&amp;IF(D747="","  (guessed from PAN)",""))</f>
        <v/>
      </c>
      <c r="AI747" s="27">
        <f>IF(AN747="","",IFERROR(INDEX(Lists!$L$2:$L$38,MATCH(LEFT(AN747,2),Lists!$K$2:$K$38,0)),"Unknown code"))</f>
        <v/>
      </c>
      <c r="AJ747" s="27">
        <f>IF(AN747="","",IFERROR(IF(NOT(AND(LEN(AN747)=15,ISNUMBER(MATCH(LEFT(AN747,2),Lists!$K$2:$K$38,0)),SUMPRODUCT(--ISERROR(FIND(MID(MID(AN747,3,10),{1,2,3,4,5,10},1),"ABCDEFGHIJKLMNOPQRSTUVWXYZ")))=0,SUMPRODUCT(--ISERROR(FIND(MID(MID(AN747,3,10),{6,7,8,9},1),"0123456789")))=0,ISNUMBER(FIND(MID(AN747,13,1),"123456789ABCDEFGHIJKLMNOPQRSTUVWXYZ")),MID(AN747,14,1)="Z")),"Wrong format",IF(MID("0123456789ABCDEFGHIJKLMNOPQRSTUVWXYZ",MOD(36-MOD(SUMPRODUCT(INT((FIND(MID(AN747,{1,2,3,4,5,6,7,8,9,10,11,12,13,14},1),"0123456789ABCDEFGHIJKLMNOPQRSTUVWXYZ")-1)*{1,2,1,2,1,2,1,2,1,2,1,2,1,2}/36)+MOD((FIND(MID(AN747,{1,2,3,4,5,6,7,8,9,10,11,12,13,14},1),"0123456789ABCDEFGHIJKLMNOPQRSTUVWXYZ")-1)*{1,2,1,2,1,2,1,2,1,2,1,2,1,2},36)),36),36)+1,1)=MID(AN747,15,1),"OK","Typo? check digit wrong")),"Wrong format"))</f>
        <v/>
      </c>
      <c r="AK747" s="27">
        <f>IF(AO747="","",IF(AND(LEN(AO747)=10,SUMPRODUCT(--ISERROR(FIND(MID(AO747,{1,2,3,4,5,10},1),"ABCDEFGHIJKLMNOPQRSTUVWXYZ")))=0,SUMPRODUCT(--ISERROR(FIND(MID(AO747,{6,7,8,9},1),"0123456789")))=0),"OK","Wrong format"))</f>
        <v/>
      </c>
      <c r="AL747" s="27">
        <f>IF(TRIM(H747)="","",IF(AND(LEN(UPPER(TRIM(H747)))=10,SUMPRODUCT(--ISERROR(FIND(MID(UPPER(TRIM(H747)),{1,2,3,4,10},1),"ABCDEFGHIJKLMNOPQRSTUVWXYZ")))=0,SUMPRODUCT(--ISERROR(FIND(MID(UPPER(TRIM(H747)),{5,6,7,8,9},1),"0123456789")))=0),"OK","Wrong format"))</f>
        <v/>
      </c>
      <c r="AM747" s="28">
        <f>IF(NOT(COUNTA(A747:AE747)&gt;0),"",IF(AS747&lt;&gt;"","✖ "&amp;LEFT(AS747,LEN(AS747)-2),IF(AR747&gt;0,"✔ Ready — client + "&amp;AR747&amp;" service(s)","✔ Ready — client only")))</f>
        <v/>
      </c>
      <c r="AN747" s="29">
        <f>UPPER(SUBSTITUTE(TRIM(F747)," ",""))</f>
        <v/>
      </c>
      <c r="AO747" s="29">
        <f>UPPER(SUBSTITUTE(TRIM(E747)," ",""))</f>
        <v/>
      </c>
      <c r="AP747" s="29">
        <f>IF(D747&lt;&gt;"",D747,IFERROR(VLOOKUP(MID(AG747,4,1),Lists!$E$2:$F$8,2,FALSE),""))</f>
        <v/>
      </c>
      <c r="AQ747" s="29">
        <f>IFERROR(VLOOKUP(AP747,Lists!$A$2:$C$12,3,FALSE),"")</f>
        <v/>
      </c>
      <c r="AR747" s="29">
        <f>COUNTIF(W747:AC747,"Yes")</f>
        <v/>
      </c>
      <c r="AS747" s="29">
        <f>IF(TRIM(B747)="","Legal name missing; ","")&amp;IF(AND(AJ747&lt;&gt;"",AJ747&lt;&gt;"OK"),"GSTIN: "&amp;AJ747&amp;"; ","")&amp;IF(AND(AK747&lt;&gt;"",AK747&lt;&gt;"OK"),"PAN wrong format; ","")&amp;IF(AND(AO747&lt;&gt;"",LEN(AN747)=15,MID(AN747,3,10)&lt;&gt;AO747),"PAN does not match GSTIN; ","")&amp;IF(AND(AL747&lt;&gt;"",AL747&lt;&gt;"OK"),"TAN wrong format; ","")&amp;IF(AG747="","PAN missing; ","")&amp;IF(AP747="","Entity type missing; ","")&amp;IF(AND(AN747&lt;&gt;"",COUNTIF($AN$6:$AN$1005,AN747)&gt;1),"GSTIN repeated in this sheet; ","")&amp;IF(AND(AG747&lt;&gt;"",COUNTIF($AG$6:$AG$1005,AG747)&gt;1),"PAN repeated in this sheet (same client? put extra GSTINs in Other GSTINs); ","")&amp;IF(AND(AR747&gt;0,V747=""),"Financial year missing; ","")&amp;IF(AND(AR747=0,V747&lt;&gt;""),"Financial year given but no service is Yes; ","")&amp;IF(AND(W747="Yes",AN747=""),"GST needs a GSTIN; ","")&amp;IF(AND(W747="Yes",X747=""),"GST return frequency missing; ","")&amp;IF(AND(Y747="Yes",TRIM(H747)=""),"TDS needs a TAN; ","")&amp;IF(AND(AA747="Yes",AQ747&lt;&gt;"",AQ747&lt;&gt;"company",AQ747&lt;&gt;"llp"),"ROC is only for a company / LLP; ","")&amp;IF(AND(AA747="Yes",OR(AQ747="company",AQ747="llp"),TRIM(I747)=""),"ROC needs the CIN / LLPIN; ","")</f>
        <v/>
      </c>
    </row>
    <row r="748">
      <c r="A748" s="30" t="n"/>
      <c r="B748" s="31" t="n"/>
      <c r="C748" s="31" t="n"/>
      <c r="D748" s="31" t="n"/>
      <c r="E748" s="30" t="n"/>
      <c r="F748" s="30" t="n"/>
      <c r="G748" s="30" t="n"/>
      <c r="H748" s="30" t="n"/>
      <c r="I748" s="30" t="n"/>
      <c r="J748" s="32" t="n"/>
      <c r="K748" s="31" t="n"/>
      <c r="L748" s="30" t="n"/>
      <c r="M748" s="31" t="n"/>
      <c r="N748" s="31" t="n"/>
      <c r="O748" s="31" t="n"/>
      <c r="P748" s="30" t="n"/>
      <c r="Q748" s="31" t="n"/>
      <c r="R748" s="31" t="n"/>
      <c r="S748" s="31" t="n"/>
      <c r="T748" s="31" t="n"/>
      <c r="U748" s="30" t="n"/>
      <c r="V748" s="31" t="n"/>
      <c r="W748" s="31" t="n"/>
      <c r="X748" s="31" t="n"/>
      <c r="Y748" s="31" t="n"/>
      <c r="Z748" s="31" t="n"/>
      <c r="AA748" s="31" t="n"/>
      <c r="AB748" s="31" t="n"/>
      <c r="AC748" s="31" t="n"/>
      <c r="AD748" s="31" t="n"/>
      <c r="AE748" s="31" t="n"/>
      <c r="AF748" s="27">
        <f>IF(NOT(COUNTA(A748:AE748)&gt;0),"",IF(A748="","New client","Update"))</f>
        <v/>
      </c>
      <c r="AG748" s="27">
        <f>IF(AO748&lt;&gt;"",AO748,IF(LEN(AN748)=15,MID(AN748,3,10),""))</f>
        <v/>
      </c>
      <c r="AH748" s="27">
        <f>IF(AP748="","",AP748&amp;IF(D748="","  (guessed from PAN)",""))</f>
        <v/>
      </c>
      <c r="AI748" s="27">
        <f>IF(AN748="","",IFERROR(INDEX(Lists!$L$2:$L$38,MATCH(LEFT(AN748,2),Lists!$K$2:$K$38,0)),"Unknown code"))</f>
        <v/>
      </c>
      <c r="AJ748" s="27">
        <f>IF(AN748="","",IFERROR(IF(NOT(AND(LEN(AN748)=15,ISNUMBER(MATCH(LEFT(AN748,2),Lists!$K$2:$K$38,0)),SUMPRODUCT(--ISERROR(FIND(MID(MID(AN748,3,10),{1,2,3,4,5,10},1),"ABCDEFGHIJKLMNOPQRSTUVWXYZ")))=0,SUMPRODUCT(--ISERROR(FIND(MID(MID(AN748,3,10),{6,7,8,9},1),"0123456789")))=0,ISNUMBER(FIND(MID(AN748,13,1),"123456789ABCDEFGHIJKLMNOPQRSTUVWXYZ")),MID(AN748,14,1)="Z")),"Wrong format",IF(MID("0123456789ABCDEFGHIJKLMNOPQRSTUVWXYZ",MOD(36-MOD(SUMPRODUCT(INT((FIND(MID(AN748,{1,2,3,4,5,6,7,8,9,10,11,12,13,14},1),"0123456789ABCDEFGHIJKLMNOPQRSTUVWXYZ")-1)*{1,2,1,2,1,2,1,2,1,2,1,2,1,2}/36)+MOD((FIND(MID(AN748,{1,2,3,4,5,6,7,8,9,10,11,12,13,14},1),"0123456789ABCDEFGHIJKLMNOPQRSTUVWXYZ")-1)*{1,2,1,2,1,2,1,2,1,2,1,2,1,2},36)),36),36)+1,1)=MID(AN748,15,1),"OK","Typo? check digit wrong")),"Wrong format"))</f>
        <v/>
      </c>
      <c r="AK748" s="27">
        <f>IF(AO748="","",IF(AND(LEN(AO748)=10,SUMPRODUCT(--ISERROR(FIND(MID(AO748,{1,2,3,4,5,10},1),"ABCDEFGHIJKLMNOPQRSTUVWXYZ")))=0,SUMPRODUCT(--ISERROR(FIND(MID(AO748,{6,7,8,9},1),"0123456789")))=0),"OK","Wrong format"))</f>
        <v/>
      </c>
      <c r="AL748" s="27">
        <f>IF(TRIM(H748)="","",IF(AND(LEN(UPPER(TRIM(H748)))=10,SUMPRODUCT(--ISERROR(FIND(MID(UPPER(TRIM(H748)),{1,2,3,4,10},1),"ABCDEFGHIJKLMNOPQRSTUVWXYZ")))=0,SUMPRODUCT(--ISERROR(FIND(MID(UPPER(TRIM(H748)),{5,6,7,8,9},1),"0123456789")))=0),"OK","Wrong format"))</f>
        <v/>
      </c>
      <c r="AM748" s="28">
        <f>IF(NOT(COUNTA(A748:AE748)&gt;0),"",IF(AS748&lt;&gt;"","✖ "&amp;LEFT(AS748,LEN(AS748)-2),IF(AR748&gt;0,"✔ Ready — client + "&amp;AR748&amp;" service(s)","✔ Ready — client only")))</f>
        <v/>
      </c>
      <c r="AN748" s="29">
        <f>UPPER(SUBSTITUTE(TRIM(F748)," ",""))</f>
        <v/>
      </c>
      <c r="AO748" s="29">
        <f>UPPER(SUBSTITUTE(TRIM(E748)," ",""))</f>
        <v/>
      </c>
      <c r="AP748" s="29">
        <f>IF(D748&lt;&gt;"",D748,IFERROR(VLOOKUP(MID(AG748,4,1),Lists!$E$2:$F$8,2,FALSE),""))</f>
        <v/>
      </c>
      <c r="AQ748" s="29">
        <f>IFERROR(VLOOKUP(AP748,Lists!$A$2:$C$12,3,FALSE),"")</f>
        <v/>
      </c>
      <c r="AR748" s="29">
        <f>COUNTIF(W748:AC748,"Yes")</f>
        <v/>
      </c>
      <c r="AS748" s="29">
        <f>IF(TRIM(B748)="","Legal name missing; ","")&amp;IF(AND(AJ748&lt;&gt;"",AJ748&lt;&gt;"OK"),"GSTIN: "&amp;AJ748&amp;"; ","")&amp;IF(AND(AK748&lt;&gt;"",AK748&lt;&gt;"OK"),"PAN wrong format; ","")&amp;IF(AND(AO748&lt;&gt;"",LEN(AN748)=15,MID(AN748,3,10)&lt;&gt;AO748),"PAN does not match GSTIN; ","")&amp;IF(AND(AL748&lt;&gt;"",AL748&lt;&gt;"OK"),"TAN wrong format; ","")&amp;IF(AG748="","PAN missing; ","")&amp;IF(AP748="","Entity type missing; ","")&amp;IF(AND(AN748&lt;&gt;"",COUNTIF($AN$6:$AN$1005,AN748)&gt;1),"GSTIN repeated in this sheet; ","")&amp;IF(AND(AG748&lt;&gt;"",COUNTIF($AG$6:$AG$1005,AG748)&gt;1),"PAN repeated in this sheet (same client? put extra GSTINs in Other GSTINs); ","")&amp;IF(AND(AR748&gt;0,V748=""),"Financial year missing; ","")&amp;IF(AND(AR748=0,V748&lt;&gt;""),"Financial year given but no service is Yes; ","")&amp;IF(AND(W748="Yes",AN748=""),"GST needs a GSTIN; ","")&amp;IF(AND(W748="Yes",X748=""),"GST return frequency missing; ","")&amp;IF(AND(Y748="Yes",TRIM(H748)=""),"TDS needs a TAN; ","")&amp;IF(AND(AA748="Yes",AQ748&lt;&gt;"",AQ748&lt;&gt;"company",AQ748&lt;&gt;"llp"),"ROC is only for a company / LLP; ","")&amp;IF(AND(AA748="Yes",OR(AQ748="company",AQ748="llp"),TRIM(I748)=""),"ROC needs the CIN / LLPIN; ","")</f>
        <v/>
      </c>
    </row>
    <row r="749">
      <c r="A749" s="30" t="n"/>
      <c r="B749" s="31" t="n"/>
      <c r="C749" s="31" t="n"/>
      <c r="D749" s="31" t="n"/>
      <c r="E749" s="30" t="n"/>
      <c r="F749" s="30" t="n"/>
      <c r="G749" s="30" t="n"/>
      <c r="H749" s="30" t="n"/>
      <c r="I749" s="30" t="n"/>
      <c r="J749" s="32" t="n"/>
      <c r="K749" s="31" t="n"/>
      <c r="L749" s="30" t="n"/>
      <c r="M749" s="31" t="n"/>
      <c r="N749" s="31" t="n"/>
      <c r="O749" s="31" t="n"/>
      <c r="P749" s="30" t="n"/>
      <c r="Q749" s="31" t="n"/>
      <c r="R749" s="31" t="n"/>
      <c r="S749" s="31" t="n"/>
      <c r="T749" s="31" t="n"/>
      <c r="U749" s="30" t="n"/>
      <c r="V749" s="31" t="n"/>
      <c r="W749" s="31" t="n"/>
      <c r="X749" s="31" t="n"/>
      <c r="Y749" s="31" t="n"/>
      <c r="Z749" s="31" t="n"/>
      <c r="AA749" s="31" t="n"/>
      <c r="AB749" s="31" t="n"/>
      <c r="AC749" s="31" t="n"/>
      <c r="AD749" s="31" t="n"/>
      <c r="AE749" s="31" t="n"/>
      <c r="AF749" s="27">
        <f>IF(NOT(COUNTA(A749:AE749)&gt;0),"",IF(A749="","New client","Update"))</f>
        <v/>
      </c>
      <c r="AG749" s="27">
        <f>IF(AO749&lt;&gt;"",AO749,IF(LEN(AN749)=15,MID(AN749,3,10),""))</f>
        <v/>
      </c>
      <c r="AH749" s="27">
        <f>IF(AP749="","",AP749&amp;IF(D749="","  (guessed from PAN)",""))</f>
        <v/>
      </c>
      <c r="AI749" s="27">
        <f>IF(AN749="","",IFERROR(INDEX(Lists!$L$2:$L$38,MATCH(LEFT(AN749,2),Lists!$K$2:$K$38,0)),"Unknown code"))</f>
        <v/>
      </c>
      <c r="AJ749" s="27">
        <f>IF(AN749="","",IFERROR(IF(NOT(AND(LEN(AN749)=15,ISNUMBER(MATCH(LEFT(AN749,2),Lists!$K$2:$K$38,0)),SUMPRODUCT(--ISERROR(FIND(MID(MID(AN749,3,10),{1,2,3,4,5,10},1),"ABCDEFGHIJKLMNOPQRSTUVWXYZ")))=0,SUMPRODUCT(--ISERROR(FIND(MID(MID(AN749,3,10),{6,7,8,9},1),"0123456789")))=0,ISNUMBER(FIND(MID(AN749,13,1),"123456789ABCDEFGHIJKLMNOPQRSTUVWXYZ")),MID(AN749,14,1)="Z")),"Wrong format",IF(MID("0123456789ABCDEFGHIJKLMNOPQRSTUVWXYZ",MOD(36-MOD(SUMPRODUCT(INT((FIND(MID(AN749,{1,2,3,4,5,6,7,8,9,10,11,12,13,14},1),"0123456789ABCDEFGHIJKLMNOPQRSTUVWXYZ")-1)*{1,2,1,2,1,2,1,2,1,2,1,2,1,2}/36)+MOD((FIND(MID(AN749,{1,2,3,4,5,6,7,8,9,10,11,12,13,14},1),"0123456789ABCDEFGHIJKLMNOPQRSTUVWXYZ")-1)*{1,2,1,2,1,2,1,2,1,2,1,2,1,2},36)),36),36)+1,1)=MID(AN749,15,1),"OK","Typo? check digit wrong")),"Wrong format"))</f>
        <v/>
      </c>
      <c r="AK749" s="27">
        <f>IF(AO749="","",IF(AND(LEN(AO749)=10,SUMPRODUCT(--ISERROR(FIND(MID(AO749,{1,2,3,4,5,10},1),"ABCDEFGHIJKLMNOPQRSTUVWXYZ")))=0,SUMPRODUCT(--ISERROR(FIND(MID(AO749,{6,7,8,9},1),"0123456789")))=0),"OK","Wrong format"))</f>
        <v/>
      </c>
      <c r="AL749" s="27">
        <f>IF(TRIM(H749)="","",IF(AND(LEN(UPPER(TRIM(H749)))=10,SUMPRODUCT(--ISERROR(FIND(MID(UPPER(TRIM(H749)),{1,2,3,4,10},1),"ABCDEFGHIJKLMNOPQRSTUVWXYZ")))=0,SUMPRODUCT(--ISERROR(FIND(MID(UPPER(TRIM(H749)),{5,6,7,8,9},1),"0123456789")))=0),"OK","Wrong format"))</f>
        <v/>
      </c>
      <c r="AM749" s="28">
        <f>IF(NOT(COUNTA(A749:AE749)&gt;0),"",IF(AS749&lt;&gt;"","✖ "&amp;LEFT(AS749,LEN(AS749)-2),IF(AR749&gt;0,"✔ Ready — client + "&amp;AR749&amp;" service(s)","✔ Ready — client only")))</f>
        <v/>
      </c>
      <c r="AN749" s="29">
        <f>UPPER(SUBSTITUTE(TRIM(F749)," ",""))</f>
        <v/>
      </c>
      <c r="AO749" s="29">
        <f>UPPER(SUBSTITUTE(TRIM(E749)," ",""))</f>
        <v/>
      </c>
      <c r="AP749" s="29">
        <f>IF(D749&lt;&gt;"",D749,IFERROR(VLOOKUP(MID(AG749,4,1),Lists!$E$2:$F$8,2,FALSE),""))</f>
        <v/>
      </c>
      <c r="AQ749" s="29">
        <f>IFERROR(VLOOKUP(AP749,Lists!$A$2:$C$12,3,FALSE),"")</f>
        <v/>
      </c>
      <c r="AR749" s="29">
        <f>COUNTIF(W749:AC749,"Yes")</f>
        <v/>
      </c>
      <c r="AS749" s="29">
        <f>IF(TRIM(B749)="","Legal name missing; ","")&amp;IF(AND(AJ749&lt;&gt;"",AJ749&lt;&gt;"OK"),"GSTIN: "&amp;AJ749&amp;"; ","")&amp;IF(AND(AK749&lt;&gt;"",AK749&lt;&gt;"OK"),"PAN wrong format; ","")&amp;IF(AND(AO749&lt;&gt;"",LEN(AN749)=15,MID(AN749,3,10)&lt;&gt;AO749),"PAN does not match GSTIN; ","")&amp;IF(AND(AL749&lt;&gt;"",AL749&lt;&gt;"OK"),"TAN wrong format; ","")&amp;IF(AG749="","PAN missing; ","")&amp;IF(AP749="","Entity type missing; ","")&amp;IF(AND(AN749&lt;&gt;"",COUNTIF($AN$6:$AN$1005,AN749)&gt;1),"GSTIN repeated in this sheet; ","")&amp;IF(AND(AG749&lt;&gt;"",COUNTIF($AG$6:$AG$1005,AG749)&gt;1),"PAN repeated in this sheet (same client? put extra GSTINs in Other GSTINs); ","")&amp;IF(AND(AR749&gt;0,V749=""),"Financial year missing; ","")&amp;IF(AND(AR749=0,V749&lt;&gt;""),"Financial year given but no service is Yes; ","")&amp;IF(AND(W749="Yes",AN749=""),"GST needs a GSTIN; ","")&amp;IF(AND(W749="Yes",X749=""),"GST return frequency missing; ","")&amp;IF(AND(Y749="Yes",TRIM(H749)=""),"TDS needs a TAN; ","")&amp;IF(AND(AA749="Yes",AQ749&lt;&gt;"",AQ749&lt;&gt;"company",AQ749&lt;&gt;"llp"),"ROC is only for a company / LLP; ","")&amp;IF(AND(AA749="Yes",OR(AQ749="company",AQ749="llp"),TRIM(I749)=""),"ROC needs the CIN / LLPIN; ","")</f>
        <v/>
      </c>
    </row>
    <row r="750">
      <c r="A750" s="30" t="n"/>
      <c r="B750" s="31" t="n"/>
      <c r="C750" s="31" t="n"/>
      <c r="D750" s="31" t="n"/>
      <c r="E750" s="30" t="n"/>
      <c r="F750" s="30" t="n"/>
      <c r="G750" s="30" t="n"/>
      <c r="H750" s="30" t="n"/>
      <c r="I750" s="30" t="n"/>
      <c r="J750" s="32" t="n"/>
      <c r="K750" s="31" t="n"/>
      <c r="L750" s="30" t="n"/>
      <c r="M750" s="31" t="n"/>
      <c r="N750" s="31" t="n"/>
      <c r="O750" s="31" t="n"/>
      <c r="P750" s="30" t="n"/>
      <c r="Q750" s="31" t="n"/>
      <c r="R750" s="31" t="n"/>
      <c r="S750" s="31" t="n"/>
      <c r="T750" s="31" t="n"/>
      <c r="U750" s="30" t="n"/>
      <c r="V750" s="31" t="n"/>
      <c r="W750" s="31" t="n"/>
      <c r="X750" s="31" t="n"/>
      <c r="Y750" s="31" t="n"/>
      <c r="Z750" s="31" t="n"/>
      <c r="AA750" s="31" t="n"/>
      <c r="AB750" s="31" t="n"/>
      <c r="AC750" s="31" t="n"/>
      <c r="AD750" s="31" t="n"/>
      <c r="AE750" s="31" t="n"/>
      <c r="AF750" s="27">
        <f>IF(NOT(COUNTA(A750:AE750)&gt;0),"",IF(A750="","New client","Update"))</f>
        <v/>
      </c>
      <c r="AG750" s="27">
        <f>IF(AO750&lt;&gt;"",AO750,IF(LEN(AN750)=15,MID(AN750,3,10),""))</f>
        <v/>
      </c>
      <c r="AH750" s="27">
        <f>IF(AP750="","",AP750&amp;IF(D750="","  (guessed from PAN)",""))</f>
        <v/>
      </c>
      <c r="AI750" s="27">
        <f>IF(AN750="","",IFERROR(INDEX(Lists!$L$2:$L$38,MATCH(LEFT(AN750,2),Lists!$K$2:$K$38,0)),"Unknown code"))</f>
        <v/>
      </c>
      <c r="AJ750" s="27">
        <f>IF(AN750="","",IFERROR(IF(NOT(AND(LEN(AN750)=15,ISNUMBER(MATCH(LEFT(AN750,2),Lists!$K$2:$K$38,0)),SUMPRODUCT(--ISERROR(FIND(MID(MID(AN750,3,10),{1,2,3,4,5,10},1),"ABCDEFGHIJKLMNOPQRSTUVWXYZ")))=0,SUMPRODUCT(--ISERROR(FIND(MID(MID(AN750,3,10),{6,7,8,9},1),"0123456789")))=0,ISNUMBER(FIND(MID(AN750,13,1),"123456789ABCDEFGHIJKLMNOPQRSTUVWXYZ")),MID(AN750,14,1)="Z")),"Wrong format",IF(MID("0123456789ABCDEFGHIJKLMNOPQRSTUVWXYZ",MOD(36-MOD(SUMPRODUCT(INT((FIND(MID(AN750,{1,2,3,4,5,6,7,8,9,10,11,12,13,14},1),"0123456789ABCDEFGHIJKLMNOPQRSTUVWXYZ")-1)*{1,2,1,2,1,2,1,2,1,2,1,2,1,2}/36)+MOD((FIND(MID(AN750,{1,2,3,4,5,6,7,8,9,10,11,12,13,14},1),"0123456789ABCDEFGHIJKLMNOPQRSTUVWXYZ")-1)*{1,2,1,2,1,2,1,2,1,2,1,2,1,2},36)),36),36)+1,1)=MID(AN750,15,1),"OK","Typo? check digit wrong")),"Wrong format"))</f>
        <v/>
      </c>
      <c r="AK750" s="27">
        <f>IF(AO750="","",IF(AND(LEN(AO750)=10,SUMPRODUCT(--ISERROR(FIND(MID(AO750,{1,2,3,4,5,10},1),"ABCDEFGHIJKLMNOPQRSTUVWXYZ")))=0,SUMPRODUCT(--ISERROR(FIND(MID(AO750,{6,7,8,9},1),"0123456789")))=0),"OK","Wrong format"))</f>
        <v/>
      </c>
      <c r="AL750" s="27">
        <f>IF(TRIM(H750)="","",IF(AND(LEN(UPPER(TRIM(H750)))=10,SUMPRODUCT(--ISERROR(FIND(MID(UPPER(TRIM(H750)),{1,2,3,4,10},1),"ABCDEFGHIJKLMNOPQRSTUVWXYZ")))=0,SUMPRODUCT(--ISERROR(FIND(MID(UPPER(TRIM(H750)),{5,6,7,8,9},1),"0123456789")))=0),"OK","Wrong format"))</f>
        <v/>
      </c>
      <c r="AM750" s="28">
        <f>IF(NOT(COUNTA(A750:AE750)&gt;0),"",IF(AS750&lt;&gt;"","✖ "&amp;LEFT(AS750,LEN(AS750)-2),IF(AR750&gt;0,"✔ Ready — client + "&amp;AR750&amp;" service(s)","✔ Ready — client only")))</f>
        <v/>
      </c>
      <c r="AN750" s="29">
        <f>UPPER(SUBSTITUTE(TRIM(F750)," ",""))</f>
        <v/>
      </c>
      <c r="AO750" s="29">
        <f>UPPER(SUBSTITUTE(TRIM(E750)," ",""))</f>
        <v/>
      </c>
      <c r="AP750" s="29">
        <f>IF(D750&lt;&gt;"",D750,IFERROR(VLOOKUP(MID(AG750,4,1),Lists!$E$2:$F$8,2,FALSE),""))</f>
        <v/>
      </c>
      <c r="AQ750" s="29">
        <f>IFERROR(VLOOKUP(AP750,Lists!$A$2:$C$12,3,FALSE),"")</f>
        <v/>
      </c>
      <c r="AR750" s="29">
        <f>COUNTIF(W750:AC750,"Yes")</f>
        <v/>
      </c>
      <c r="AS750" s="29">
        <f>IF(TRIM(B750)="","Legal name missing; ","")&amp;IF(AND(AJ750&lt;&gt;"",AJ750&lt;&gt;"OK"),"GSTIN: "&amp;AJ750&amp;"; ","")&amp;IF(AND(AK750&lt;&gt;"",AK750&lt;&gt;"OK"),"PAN wrong format; ","")&amp;IF(AND(AO750&lt;&gt;"",LEN(AN750)=15,MID(AN750,3,10)&lt;&gt;AO750),"PAN does not match GSTIN; ","")&amp;IF(AND(AL750&lt;&gt;"",AL750&lt;&gt;"OK"),"TAN wrong format; ","")&amp;IF(AG750="","PAN missing; ","")&amp;IF(AP750="","Entity type missing; ","")&amp;IF(AND(AN750&lt;&gt;"",COUNTIF($AN$6:$AN$1005,AN750)&gt;1),"GSTIN repeated in this sheet; ","")&amp;IF(AND(AG750&lt;&gt;"",COUNTIF($AG$6:$AG$1005,AG750)&gt;1),"PAN repeated in this sheet (same client? put extra GSTINs in Other GSTINs); ","")&amp;IF(AND(AR750&gt;0,V750=""),"Financial year missing; ","")&amp;IF(AND(AR750=0,V750&lt;&gt;""),"Financial year given but no service is Yes; ","")&amp;IF(AND(W750="Yes",AN750=""),"GST needs a GSTIN; ","")&amp;IF(AND(W750="Yes",X750=""),"GST return frequency missing; ","")&amp;IF(AND(Y750="Yes",TRIM(H750)=""),"TDS needs a TAN; ","")&amp;IF(AND(AA750="Yes",AQ750&lt;&gt;"",AQ750&lt;&gt;"company",AQ750&lt;&gt;"llp"),"ROC is only for a company / LLP; ","")&amp;IF(AND(AA750="Yes",OR(AQ750="company",AQ750="llp"),TRIM(I750)=""),"ROC needs the CIN / LLPIN; ","")</f>
        <v/>
      </c>
    </row>
    <row r="751">
      <c r="A751" s="30" t="n"/>
      <c r="B751" s="31" t="n"/>
      <c r="C751" s="31" t="n"/>
      <c r="D751" s="31" t="n"/>
      <c r="E751" s="30" t="n"/>
      <c r="F751" s="30" t="n"/>
      <c r="G751" s="30" t="n"/>
      <c r="H751" s="30" t="n"/>
      <c r="I751" s="30" t="n"/>
      <c r="J751" s="32" t="n"/>
      <c r="K751" s="31" t="n"/>
      <c r="L751" s="30" t="n"/>
      <c r="M751" s="31" t="n"/>
      <c r="N751" s="31" t="n"/>
      <c r="O751" s="31" t="n"/>
      <c r="P751" s="30" t="n"/>
      <c r="Q751" s="31" t="n"/>
      <c r="R751" s="31" t="n"/>
      <c r="S751" s="31" t="n"/>
      <c r="T751" s="31" t="n"/>
      <c r="U751" s="30" t="n"/>
      <c r="V751" s="31" t="n"/>
      <c r="W751" s="31" t="n"/>
      <c r="X751" s="31" t="n"/>
      <c r="Y751" s="31" t="n"/>
      <c r="Z751" s="31" t="n"/>
      <c r="AA751" s="31" t="n"/>
      <c r="AB751" s="31" t="n"/>
      <c r="AC751" s="31" t="n"/>
      <c r="AD751" s="31" t="n"/>
      <c r="AE751" s="31" t="n"/>
      <c r="AF751" s="27">
        <f>IF(NOT(COUNTA(A751:AE751)&gt;0),"",IF(A751="","New client","Update"))</f>
        <v/>
      </c>
      <c r="AG751" s="27">
        <f>IF(AO751&lt;&gt;"",AO751,IF(LEN(AN751)=15,MID(AN751,3,10),""))</f>
        <v/>
      </c>
      <c r="AH751" s="27">
        <f>IF(AP751="","",AP751&amp;IF(D751="","  (guessed from PAN)",""))</f>
        <v/>
      </c>
      <c r="AI751" s="27">
        <f>IF(AN751="","",IFERROR(INDEX(Lists!$L$2:$L$38,MATCH(LEFT(AN751,2),Lists!$K$2:$K$38,0)),"Unknown code"))</f>
        <v/>
      </c>
      <c r="AJ751" s="27">
        <f>IF(AN751="","",IFERROR(IF(NOT(AND(LEN(AN751)=15,ISNUMBER(MATCH(LEFT(AN751,2),Lists!$K$2:$K$38,0)),SUMPRODUCT(--ISERROR(FIND(MID(MID(AN751,3,10),{1,2,3,4,5,10},1),"ABCDEFGHIJKLMNOPQRSTUVWXYZ")))=0,SUMPRODUCT(--ISERROR(FIND(MID(MID(AN751,3,10),{6,7,8,9},1),"0123456789")))=0,ISNUMBER(FIND(MID(AN751,13,1),"123456789ABCDEFGHIJKLMNOPQRSTUVWXYZ")),MID(AN751,14,1)="Z")),"Wrong format",IF(MID("0123456789ABCDEFGHIJKLMNOPQRSTUVWXYZ",MOD(36-MOD(SUMPRODUCT(INT((FIND(MID(AN751,{1,2,3,4,5,6,7,8,9,10,11,12,13,14},1),"0123456789ABCDEFGHIJKLMNOPQRSTUVWXYZ")-1)*{1,2,1,2,1,2,1,2,1,2,1,2,1,2}/36)+MOD((FIND(MID(AN751,{1,2,3,4,5,6,7,8,9,10,11,12,13,14},1),"0123456789ABCDEFGHIJKLMNOPQRSTUVWXYZ")-1)*{1,2,1,2,1,2,1,2,1,2,1,2,1,2},36)),36),36)+1,1)=MID(AN751,15,1),"OK","Typo? check digit wrong")),"Wrong format"))</f>
        <v/>
      </c>
      <c r="AK751" s="27">
        <f>IF(AO751="","",IF(AND(LEN(AO751)=10,SUMPRODUCT(--ISERROR(FIND(MID(AO751,{1,2,3,4,5,10},1),"ABCDEFGHIJKLMNOPQRSTUVWXYZ")))=0,SUMPRODUCT(--ISERROR(FIND(MID(AO751,{6,7,8,9},1),"0123456789")))=0),"OK","Wrong format"))</f>
        <v/>
      </c>
      <c r="AL751" s="27">
        <f>IF(TRIM(H751)="","",IF(AND(LEN(UPPER(TRIM(H751)))=10,SUMPRODUCT(--ISERROR(FIND(MID(UPPER(TRIM(H751)),{1,2,3,4,10},1),"ABCDEFGHIJKLMNOPQRSTUVWXYZ")))=0,SUMPRODUCT(--ISERROR(FIND(MID(UPPER(TRIM(H751)),{5,6,7,8,9},1),"0123456789")))=0),"OK","Wrong format"))</f>
        <v/>
      </c>
      <c r="AM751" s="28">
        <f>IF(NOT(COUNTA(A751:AE751)&gt;0),"",IF(AS751&lt;&gt;"","✖ "&amp;LEFT(AS751,LEN(AS751)-2),IF(AR751&gt;0,"✔ Ready — client + "&amp;AR751&amp;" service(s)","✔ Ready — client only")))</f>
        <v/>
      </c>
      <c r="AN751" s="29">
        <f>UPPER(SUBSTITUTE(TRIM(F751)," ",""))</f>
        <v/>
      </c>
      <c r="AO751" s="29">
        <f>UPPER(SUBSTITUTE(TRIM(E751)," ",""))</f>
        <v/>
      </c>
      <c r="AP751" s="29">
        <f>IF(D751&lt;&gt;"",D751,IFERROR(VLOOKUP(MID(AG751,4,1),Lists!$E$2:$F$8,2,FALSE),""))</f>
        <v/>
      </c>
      <c r="AQ751" s="29">
        <f>IFERROR(VLOOKUP(AP751,Lists!$A$2:$C$12,3,FALSE),"")</f>
        <v/>
      </c>
      <c r="AR751" s="29">
        <f>COUNTIF(W751:AC751,"Yes")</f>
        <v/>
      </c>
      <c r="AS751" s="29">
        <f>IF(TRIM(B751)="","Legal name missing; ","")&amp;IF(AND(AJ751&lt;&gt;"",AJ751&lt;&gt;"OK"),"GSTIN: "&amp;AJ751&amp;"; ","")&amp;IF(AND(AK751&lt;&gt;"",AK751&lt;&gt;"OK"),"PAN wrong format; ","")&amp;IF(AND(AO751&lt;&gt;"",LEN(AN751)=15,MID(AN751,3,10)&lt;&gt;AO751),"PAN does not match GSTIN; ","")&amp;IF(AND(AL751&lt;&gt;"",AL751&lt;&gt;"OK"),"TAN wrong format; ","")&amp;IF(AG751="","PAN missing; ","")&amp;IF(AP751="","Entity type missing; ","")&amp;IF(AND(AN751&lt;&gt;"",COUNTIF($AN$6:$AN$1005,AN751)&gt;1),"GSTIN repeated in this sheet; ","")&amp;IF(AND(AG751&lt;&gt;"",COUNTIF($AG$6:$AG$1005,AG751)&gt;1),"PAN repeated in this sheet (same client? put extra GSTINs in Other GSTINs); ","")&amp;IF(AND(AR751&gt;0,V751=""),"Financial year missing; ","")&amp;IF(AND(AR751=0,V751&lt;&gt;""),"Financial year given but no service is Yes; ","")&amp;IF(AND(W751="Yes",AN751=""),"GST needs a GSTIN; ","")&amp;IF(AND(W751="Yes",X751=""),"GST return frequency missing; ","")&amp;IF(AND(Y751="Yes",TRIM(H751)=""),"TDS needs a TAN; ","")&amp;IF(AND(AA751="Yes",AQ751&lt;&gt;"",AQ751&lt;&gt;"company",AQ751&lt;&gt;"llp"),"ROC is only for a company / LLP; ","")&amp;IF(AND(AA751="Yes",OR(AQ751="company",AQ751="llp"),TRIM(I751)=""),"ROC needs the CIN / LLPIN; ","")</f>
        <v/>
      </c>
    </row>
    <row r="752">
      <c r="A752" s="30" t="n"/>
      <c r="B752" s="31" t="n"/>
      <c r="C752" s="31" t="n"/>
      <c r="D752" s="31" t="n"/>
      <c r="E752" s="30" t="n"/>
      <c r="F752" s="30" t="n"/>
      <c r="G752" s="30" t="n"/>
      <c r="H752" s="30" t="n"/>
      <c r="I752" s="30" t="n"/>
      <c r="J752" s="32" t="n"/>
      <c r="K752" s="31" t="n"/>
      <c r="L752" s="30" t="n"/>
      <c r="M752" s="31" t="n"/>
      <c r="N752" s="31" t="n"/>
      <c r="O752" s="31" t="n"/>
      <c r="P752" s="30" t="n"/>
      <c r="Q752" s="31" t="n"/>
      <c r="R752" s="31" t="n"/>
      <c r="S752" s="31" t="n"/>
      <c r="T752" s="31" t="n"/>
      <c r="U752" s="30" t="n"/>
      <c r="V752" s="31" t="n"/>
      <c r="W752" s="31" t="n"/>
      <c r="X752" s="31" t="n"/>
      <c r="Y752" s="31" t="n"/>
      <c r="Z752" s="31" t="n"/>
      <c r="AA752" s="31" t="n"/>
      <c r="AB752" s="31" t="n"/>
      <c r="AC752" s="31" t="n"/>
      <c r="AD752" s="31" t="n"/>
      <c r="AE752" s="31" t="n"/>
      <c r="AF752" s="27">
        <f>IF(NOT(COUNTA(A752:AE752)&gt;0),"",IF(A752="","New client","Update"))</f>
        <v/>
      </c>
      <c r="AG752" s="27">
        <f>IF(AO752&lt;&gt;"",AO752,IF(LEN(AN752)=15,MID(AN752,3,10),""))</f>
        <v/>
      </c>
      <c r="AH752" s="27">
        <f>IF(AP752="","",AP752&amp;IF(D752="","  (guessed from PAN)",""))</f>
        <v/>
      </c>
      <c r="AI752" s="27">
        <f>IF(AN752="","",IFERROR(INDEX(Lists!$L$2:$L$38,MATCH(LEFT(AN752,2),Lists!$K$2:$K$38,0)),"Unknown code"))</f>
        <v/>
      </c>
      <c r="AJ752" s="27">
        <f>IF(AN752="","",IFERROR(IF(NOT(AND(LEN(AN752)=15,ISNUMBER(MATCH(LEFT(AN752,2),Lists!$K$2:$K$38,0)),SUMPRODUCT(--ISERROR(FIND(MID(MID(AN752,3,10),{1,2,3,4,5,10},1),"ABCDEFGHIJKLMNOPQRSTUVWXYZ")))=0,SUMPRODUCT(--ISERROR(FIND(MID(MID(AN752,3,10),{6,7,8,9},1),"0123456789")))=0,ISNUMBER(FIND(MID(AN752,13,1),"123456789ABCDEFGHIJKLMNOPQRSTUVWXYZ")),MID(AN752,14,1)="Z")),"Wrong format",IF(MID("0123456789ABCDEFGHIJKLMNOPQRSTUVWXYZ",MOD(36-MOD(SUMPRODUCT(INT((FIND(MID(AN752,{1,2,3,4,5,6,7,8,9,10,11,12,13,14},1),"0123456789ABCDEFGHIJKLMNOPQRSTUVWXYZ")-1)*{1,2,1,2,1,2,1,2,1,2,1,2,1,2}/36)+MOD((FIND(MID(AN752,{1,2,3,4,5,6,7,8,9,10,11,12,13,14},1),"0123456789ABCDEFGHIJKLMNOPQRSTUVWXYZ")-1)*{1,2,1,2,1,2,1,2,1,2,1,2,1,2},36)),36),36)+1,1)=MID(AN752,15,1),"OK","Typo? check digit wrong")),"Wrong format"))</f>
        <v/>
      </c>
      <c r="AK752" s="27">
        <f>IF(AO752="","",IF(AND(LEN(AO752)=10,SUMPRODUCT(--ISERROR(FIND(MID(AO752,{1,2,3,4,5,10},1),"ABCDEFGHIJKLMNOPQRSTUVWXYZ")))=0,SUMPRODUCT(--ISERROR(FIND(MID(AO752,{6,7,8,9},1),"0123456789")))=0),"OK","Wrong format"))</f>
        <v/>
      </c>
      <c r="AL752" s="27">
        <f>IF(TRIM(H752)="","",IF(AND(LEN(UPPER(TRIM(H752)))=10,SUMPRODUCT(--ISERROR(FIND(MID(UPPER(TRIM(H752)),{1,2,3,4,10},1),"ABCDEFGHIJKLMNOPQRSTUVWXYZ")))=0,SUMPRODUCT(--ISERROR(FIND(MID(UPPER(TRIM(H752)),{5,6,7,8,9},1),"0123456789")))=0),"OK","Wrong format"))</f>
        <v/>
      </c>
      <c r="AM752" s="28">
        <f>IF(NOT(COUNTA(A752:AE752)&gt;0),"",IF(AS752&lt;&gt;"","✖ "&amp;LEFT(AS752,LEN(AS752)-2),IF(AR752&gt;0,"✔ Ready — client + "&amp;AR752&amp;" service(s)","✔ Ready — client only")))</f>
        <v/>
      </c>
      <c r="AN752" s="29">
        <f>UPPER(SUBSTITUTE(TRIM(F752)," ",""))</f>
        <v/>
      </c>
      <c r="AO752" s="29">
        <f>UPPER(SUBSTITUTE(TRIM(E752)," ",""))</f>
        <v/>
      </c>
      <c r="AP752" s="29">
        <f>IF(D752&lt;&gt;"",D752,IFERROR(VLOOKUP(MID(AG752,4,1),Lists!$E$2:$F$8,2,FALSE),""))</f>
        <v/>
      </c>
      <c r="AQ752" s="29">
        <f>IFERROR(VLOOKUP(AP752,Lists!$A$2:$C$12,3,FALSE),"")</f>
        <v/>
      </c>
      <c r="AR752" s="29">
        <f>COUNTIF(W752:AC752,"Yes")</f>
        <v/>
      </c>
      <c r="AS752" s="29">
        <f>IF(TRIM(B752)="","Legal name missing; ","")&amp;IF(AND(AJ752&lt;&gt;"",AJ752&lt;&gt;"OK"),"GSTIN: "&amp;AJ752&amp;"; ","")&amp;IF(AND(AK752&lt;&gt;"",AK752&lt;&gt;"OK"),"PAN wrong format; ","")&amp;IF(AND(AO752&lt;&gt;"",LEN(AN752)=15,MID(AN752,3,10)&lt;&gt;AO752),"PAN does not match GSTIN; ","")&amp;IF(AND(AL752&lt;&gt;"",AL752&lt;&gt;"OK"),"TAN wrong format; ","")&amp;IF(AG752="","PAN missing; ","")&amp;IF(AP752="","Entity type missing; ","")&amp;IF(AND(AN752&lt;&gt;"",COUNTIF($AN$6:$AN$1005,AN752)&gt;1),"GSTIN repeated in this sheet; ","")&amp;IF(AND(AG752&lt;&gt;"",COUNTIF($AG$6:$AG$1005,AG752)&gt;1),"PAN repeated in this sheet (same client? put extra GSTINs in Other GSTINs); ","")&amp;IF(AND(AR752&gt;0,V752=""),"Financial year missing; ","")&amp;IF(AND(AR752=0,V752&lt;&gt;""),"Financial year given but no service is Yes; ","")&amp;IF(AND(W752="Yes",AN752=""),"GST needs a GSTIN; ","")&amp;IF(AND(W752="Yes",X752=""),"GST return frequency missing; ","")&amp;IF(AND(Y752="Yes",TRIM(H752)=""),"TDS needs a TAN; ","")&amp;IF(AND(AA752="Yes",AQ752&lt;&gt;"",AQ752&lt;&gt;"company",AQ752&lt;&gt;"llp"),"ROC is only for a company / LLP; ","")&amp;IF(AND(AA752="Yes",OR(AQ752="company",AQ752="llp"),TRIM(I752)=""),"ROC needs the CIN / LLPIN; ","")</f>
        <v/>
      </c>
    </row>
    <row r="753">
      <c r="A753" s="30" t="n"/>
      <c r="B753" s="31" t="n"/>
      <c r="C753" s="31" t="n"/>
      <c r="D753" s="31" t="n"/>
      <c r="E753" s="30" t="n"/>
      <c r="F753" s="30" t="n"/>
      <c r="G753" s="30" t="n"/>
      <c r="H753" s="30" t="n"/>
      <c r="I753" s="30" t="n"/>
      <c r="J753" s="32" t="n"/>
      <c r="K753" s="31" t="n"/>
      <c r="L753" s="30" t="n"/>
      <c r="M753" s="31" t="n"/>
      <c r="N753" s="31" t="n"/>
      <c r="O753" s="31" t="n"/>
      <c r="P753" s="30" t="n"/>
      <c r="Q753" s="31" t="n"/>
      <c r="R753" s="31" t="n"/>
      <c r="S753" s="31" t="n"/>
      <c r="T753" s="31" t="n"/>
      <c r="U753" s="30" t="n"/>
      <c r="V753" s="31" t="n"/>
      <c r="W753" s="31" t="n"/>
      <c r="X753" s="31" t="n"/>
      <c r="Y753" s="31" t="n"/>
      <c r="Z753" s="31" t="n"/>
      <c r="AA753" s="31" t="n"/>
      <c r="AB753" s="31" t="n"/>
      <c r="AC753" s="31" t="n"/>
      <c r="AD753" s="31" t="n"/>
      <c r="AE753" s="31" t="n"/>
      <c r="AF753" s="27">
        <f>IF(NOT(COUNTA(A753:AE753)&gt;0),"",IF(A753="","New client","Update"))</f>
        <v/>
      </c>
      <c r="AG753" s="27">
        <f>IF(AO753&lt;&gt;"",AO753,IF(LEN(AN753)=15,MID(AN753,3,10),""))</f>
        <v/>
      </c>
      <c r="AH753" s="27">
        <f>IF(AP753="","",AP753&amp;IF(D753="","  (guessed from PAN)",""))</f>
        <v/>
      </c>
      <c r="AI753" s="27">
        <f>IF(AN753="","",IFERROR(INDEX(Lists!$L$2:$L$38,MATCH(LEFT(AN753,2),Lists!$K$2:$K$38,0)),"Unknown code"))</f>
        <v/>
      </c>
      <c r="AJ753" s="27">
        <f>IF(AN753="","",IFERROR(IF(NOT(AND(LEN(AN753)=15,ISNUMBER(MATCH(LEFT(AN753,2),Lists!$K$2:$K$38,0)),SUMPRODUCT(--ISERROR(FIND(MID(MID(AN753,3,10),{1,2,3,4,5,10},1),"ABCDEFGHIJKLMNOPQRSTUVWXYZ")))=0,SUMPRODUCT(--ISERROR(FIND(MID(MID(AN753,3,10),{6,7,8,9},1),"0123456789")))=0,ISNUMBER(FIND(MID(AN753,13,1),"123456789ABCDEFGHIJKLMNOPQRSTUVWXYZ")),MID(AN753,14,1)="Z")),"Wrong format",IF(MID("0123456789ABCDEFGHIJKLMNOPQRSTUVWXYZ",MOD(36-MOD(SUMPRODUCT(INT((FIND(MID(AN753,{1,2,3,4,5,6,7,8,9,10,11,12,13,14},1),"0123456789ABCDEFGHIJKLMNOPQRSTUVWXYZ")-1)*{1,2,1,2,1,2,1,2,1,2,1,2,1,2}/36)+MOD((FIND(MID(AN753,{1,2,3,4,5,6,7,8,9,10,11,12,13,14},1),"0123456789ABCDEFGHIJKLMNOPQRSTUVWXYZ")-1)*{1,2,1,2,1,2,1,2,1,2,1,2,1,2},36)),36),36)+1,1)=MID(AN753,15,1),"OK","Typo? check digit wrong")),"Wrong format"))</f>
        <v/>
      </c>
      <c r="AK753" s="27">
        <f>IF(AO753="","",IF(AND(LEN(AO753)=10,SUMPRODUCT(--ISERROR(FIND(MID(AO753,{1,2,3,4,5,10},1),"ABCDEFGHIJKLMNOPQRSTUVWXYZ")))=0,SUMPRODUCT(--ISERROR(FIND(MID(AO753,{6,7,8,9},1),"0123456789")))=0),"OK","Wrong format"))</f>
        <v/>
      </c>
      <c r="AL753" s="27">
        <f>IF(TRIM(H753)="","",IF(AND(LEN(UPPER(TRIM(H753)))=10,SUMPRODUCT(--ISERROR(FIND(MID(UPPER(TRIM(H753)),{1,2,3,4,10},1),"ABCDEFGHIJKLMNOPQRSTUVWXYZ")))=0,SUMPRODUCT(--ISERROR(FIND(MID(UPPER(TRIM(H753)),{5,6,7,8,9},1),"0123456789")))=0),"OK","Wrong format"))</f>
        <v/>
      </c>
      <c r="AM753" s="28">
        <f>IF(NOT(COUNTA(A753:AE753)&gt;0),"",IF(AS753&lt;&gt;"","✖ "&amp;LEFT(AS753,LEN(AS753)-2),IF(AR753&gt;0,"✔ Ready — client + "&amp;AR753&amp;" service(s)","✔ Ready — client only")))</f>
        <v/>
      </c>
      <c r="AN753" s="29">
        <f>UPPER(SUBSTITUTE(TRIM(F753)," ",""))</f>
        <v/>
      </c>
      <c r="AO753" s="29">
        <f>UPPER(SUBSTITUTE(TRIM(E753)," ",""))</f>
        <v/>
      </c>
      <c r="AP753" s="29">
        <f>IF(D753&lt;&gt;"",D753,IFERROR(VLOOKUP(MID(AG753,4,1),Lists!$E$2:$F$8,2,FALSE),""))</f>
        <v/>
      </c>
      <c r="AQ753" s="29">
        <f>IFERROR(VLOOKUP(AP753,Lists!$A$2:$C$12,3,FALSE),"")</f>
        <v/>
      </c>
      <c r="AR753" s="29">
        <f>COUNTIF(W753:AC753,"Yes")</f>
        <v/>
      </c>
      <c r="AS753" s="29">
        <f>IF(TRIM(B753)="","Legal name missing; ","")&amp;IF(AND(AJ753&lt;&gt;"",AJ753&lt;&gt;"OK"),"GSTIN: "&amp;AJ753&amp;"; ","")&amp;IF(AND(AK753&lt;&gt;"",AK753&lt;&gt;"OK"),"PAN wrong format; ","")&amp;IF(AND(AO753&lt;&gt;"",LEN(AN753)=15,MID(AN753,3,10)&lt;&gt;AO753),"PAN does not match GSTIN; ","")&amp;IF(AND(AL753&lt;&gt;"",AL753&lt;&gt;"OK"),"TAN wrong format; ","")&amp;IF(AG753="","PAN missing; ","")&amp;IF(AP753="","Entity type missing; ","")&amp;IF(AND(AN753&lt;&gt;"",COUNTIF($AN$6:$AN$1005,AN753)&gt;1),"GSTIN repeated in this sheet; ","")&amp;IF(AND(AG753&lt;&gt;"",COUNTIF($AG$6:$AG$1005,AG753)&gt;1),"PAN repeated in this sheet (same client? put extra GSTINs in Other GSTINs); ","")&amp;IF(AND(AR753&gt;0,V753=""),"Financial year missing; ","")&amp;IF(AND(AR753=0,V753&lt;&gt;""),"Financial year given but no service is Yes; ","")&amp;IF(AND(W753="Yes",AN753=""),"GST needs a GSTIN; ","")&amp;IF(AND(W753="Yes",X753=""),"GST return frequency missing; ","")&amp;IF(AND(Y753="Yes",TRIM(H753)=""),"TDS needs a TAN; ","")&amp;IF(AND(AA753="Yes",AQ753&lt;&gt;"",AQ753&lt;&gt;"company",AQ753&lt;&gt;"llp"),"ROC is only for a company / LLP; ","")&amp;IF(AND(AA753="Yes",OR(AQ753="company",AQ753="llp"),TRIM(I753)=""),"ROC needs the CIN / LLPIN; ","")</f>
        <v/>
      </c>
    </row>
    <row r="754">
      <c r="A754" s="30" t="n"/>
      <c r="B754" s="31" t="n"/>
      <c r="C754" s="31" t="n"/>
      <c r="D754" s="31" t="n"/>
      <c r="E754" s="30" t="n"/>
      <c r="F754" s="30" t="n"/>
      <c r="G754" s="30" t="n"/>
      <c r="H754" s="30" t="n"/>
      <c r="I754" s="30" t="n"/>
      <c r="J754" s="32" t="n"/>
      <c r="K754" s="31" t="n"/>
      <c r="L754" s="30" t="n"/>
      <c r="M754" s="31" t="n"/>
      <c r="N754" s="31" t="n"/>
      <c r="O754" s="31" t="n"/>
      <c r="P754" s="30" t="n"/>
      <c r="Q754" s="31" t="n"/>
      <c r="R754" s="31" t="n"/>
      <c r="S754" s="31" t="n"/>
      <c r="T754" s="31" t="n"/>
      <c r="U754" s="30" t="n"/>
      <c r="V754" s="31" t="n"/>
      <c r="W754" s="31" t="n"/>
      <c r="X754" s="31" t="n"/>
      <c r="Y754" s="31" t="n"/>
      <c r="Z754" s="31" t="n"/>
      <c r="AA754" s="31" t="n"/>
      <c r="AB754" s="31" t="n"/>
      <c r="AC754" s="31" t="n"/>
      <c r="AD754" s="31" t="n"/>
      <c r="AE754" s="31" t="n"/>
      <c r="AF754" s="27">
        <f>IF(NOT(COUNTA(A754:AE754)&gt;0),"",IF(A754="","New client","Update"))</f>
        <v/>
      </c>
      <c r="AG754" s="27">
        <f>IF(AO754&lt;&gt;"",AO754,IF(LEN(AN754)=15,MID(AN754,3,10),""))</f>
        <v/>
      </c>
      <c r="AH754" s="27">
        <f>IF(AP754="","",AP754&amp;IF(D754="","  (guessed from PAN)",""))</f>
        <v/>
      </c>
      <c r="AI754" s="27">
        <f>IF(AN754="","",IFERROR(INDEX(Lists!$L$2:$L$38,MATCH(LEFT(AN754,2),Lists!$K$2:$K$38,0)),"Unknown code"))</f>
        <v/>
      </c>
      <c r="AJ754" s="27">
        <f>IF(AN754="","",IFERROR(IF(NOT(AND(LEN(AN754)=15,ISNUMBER(MATCH(LEFT(AN754,2),Lists!$K$2:$K$38,0)),SUMPRODUCT(--ISERROR(FIND(MID(MID(AN754,3,10),{1,2,3,4,5,10},1),"ABCDEFGHIJKLMNOPQRSTUVWXYZ")))=0,SUMPRODUCT(--ISERROR(FIND(MID(MID(AN754,3,10),{6,7,8,9},1),"0123456789")))=0,ISNUMBER(FIND(MID(AN754,13,1),"123456789ABCDEFGHIJKLMNOPQRSTUVWXYZ")),MID(AN754,14,1)="Z")),"Wrong format",IF(MID("0123456789ABCDEFGHIJKLMNOPQRSTUVWXYZ",MOD(36-MOD(SUMPRODUCT(INT((FIND(MID(AN754,{1,2,3,4,5,6,7,8,9,10,11,12,13,14},1),"0123456789ABCDEFGHIJKLMNOPQRSTUVWXYZ")-1)*{1,2,1,2,1,2,1,2,1,2,1,2,1,2}/36)+MOD((FIND(MID(AN754,{1,2,3,4,5,6,7,8,9,10,11,12,13,14},1),"0123456789ABCDEFGHIJKLMNOPQRSTUVWXYZ")-1)*{1,2,1,2,1,2,1,2,1,2,1,2,1,2},36)),36),36)+1,1)=MID(AN754,15,1),"OK","Typo? check digit wrong")),"Wrong format"))</f>
        <v/>
      </c>
      <c r="AK754" s="27">
        <f>IF(AO754="","",IF(AND(LEN(AO754)=10,SUMPRODUCT(--ISERROR(FIND(MID(AO754,{1,2,3,4,5,10},1),"ABCDEFGHIJKLMNOPQRSTUVWXYZ")))=0,SUMPRODUCT(--ISERROR(FIND(MID(AO754,{6,7,8,9},1),"0123456789")))=0),"OK","Wrong format"))</f>
        <v/>
      </c>
      <c r="AL754" s="27">
        <f>IF(TRIM(H754)="","",IF(AND(LEN(UPPER(TRIM(H754)))=10,SUMPRODUCT(--ISERROR(FIND(MID(UPPER(TRIM(H754)),{1,2,3,4,10},1),"ABCDEFGHIJKLMNOPQRSTUVWXYZ")))=0,SUMPRODUCT(--ISERROR(FIND(MID(UPPER(TRIM(H754)),{5,6,7,8,9},1),"0123456789")))=0),"OK","Wrong format"))</f>
        <v/>
      </c>
      <c r="AM754" s="28">
        <f>IF(NOT(COUNTA(A754:AE754)&gt;0),"",IF(AS754&lt;&gt;"","✖ "&amp;LEFT(AS754,LEN(AS754)-2),IF(AR754&gt;0,"✔ Ready — client + "&amp;AR754&amp;" service(s)","✔ Ready — client only")))</f>
        <v/>
      </c>
      <c r="AN754" s="29">
        <f>UPPER(SUBSTITUTE(TRIM(F754)," ",""))</f>
        <v/>
      </c>
      <c r="AO754" s="29">
        <f>UPPER(SUBSTITUTE(TRIM(E754)," ",""))</f>
        <v/>
      </c>
      <c r="AP754" s="29">
        <f>IF(D754&lt;&gt;"",D754,IFERROR(VLOOKUP(MID(AG754,4,1),Lists!$E$2:$F$8,2,FALSE),""))</f>
        <v/>
      </c>
      <c r="AQ754" s="29">
        <f>IFERROR(VLOOKUP(AP754,Lists!$A$2:$C$12,3,FALSE),"")</f>
        <v/>
      </c>
      <c r="AR754" s="29">
        <f>COUNTIF(W754:AC754,"Yes")</f>
        <v/>
      </c>
      <c r="AS754" s="29">
        <f>IF(TRIM(B754)="","Legal name missing; ","")&amp;IF(AND(AJ754&lt;&gt;"",AJ754&lt;&gt;"OK"),"GSTIN: "&amp;AJ754&amp;"; ","")&amp;IF(AND(AK754&lt;&gt;"",AK754&lt;&gt;"OK"),"PAN wrong format; ","")&amp;IF(AND(AO754&lt;&gt;"",LEN(AN754)=15,MID(AN754,3,10)&lt;&gt;AO754),"PAN does not match GSTIN; ","")&amp;IF(AND(AL754&lt;&gt;"",AL754&lt;&gt;"OK"),"TAN wrong format; ","")&amp;IF(AG754="","PAN missing; ","")&amp;IF(AP754="","Entity type missing; ","")&amp;IF(AND(AN754&lt;&gt;"",COUNTIF($AN$6:$AN$1005,AN754)&gt;1),"GSTIN repeated in this sheet; ","")&amp;IF(AND(AG754&lt;&gt;"",COUNTIF($AG$6:$AG$1005,AG754)&gt;1),"PAN repeated in this sheet (same client? put extra GSTINs in Other GSTINs); ","")&amp;IF(AND(AR754&gt;0,V754=""),"Financial year missing; ","")&amp;IF(AND(AR754=0,V754&lt;&gt;""),"Financial year given but no service is Yes; ","")&amp;IF(AND(W754="Yes",AN754=""),"GST needs a GSTIN; ","")&amp;IF(AND(W754="Yes",X754=""),"GST return frequency missing; ","")&amp;IF(AND(Y754="Yes",TRIM(H754)=""),"TDS needs a TAN; ","")&amp;IF(AND(AA754="Yes",AQ754&lt;&gt;"",AQ754&lt;&gt;"company",AQ754&lt;&gt;"llp"),"ROC is only for a company / LLP; ","")&amp;IF(AND(AA754="Yes",OR(AQ754="company",AQ754="llp"),TRIM(I754)=""),"ROC needs the CIN / LLPIN; ","")</f>
        <v/>
      </c>
    </row>
    <row r="755">
      <c r="A755" s="30" t="n"/>
      <c r="B755" s="31" t="n"/>
      <c r="C755" s="31" t="n"/>
      <c r="D755" s="31" t="n"/>
      <c r="E755" s="30" t="n"/>
      <c r="F755" s="30" t="n"/>
      <c r="G755" s="30" t="n"/>
      <c r="H755" s="30" t="n"/>
      <c r="I755" s="30" t="n"/>
      <c r="J755" s="32" t="n"/>
      <c r="K755" s="31" t="n"/>
      <c r="L755" s="30" t="n"/>
      <c r="M755" s="31" t="n"/>
      <c r="N755" s="31" t="n"/>
      <c r="O755" s="31" t="n"/>
      <c r="P755" s="30" t="n"/>
      <c r="Q755" s="31" t="n"/>
      <c r="R755" s="31" t="n"/>
      <c r="S755" s="31" t="n"/>
      <c r="T755" s="31" t="n"/>
      <c r="U755" s="30" t="n"/>
      <c r="V755" s="31" t="n"/>
      <c r="W755" s="31" t="n"/>
      <c r="X755" s="31" t="n"/>
      <c r="Y755" s="31" t="n"/>
      <c r="Z755" s="31" t="n"/>
      <c r="AA755" s="31" t="n"/>
      <c r="AB755" s="31" t="n"/>
      <c r="AC755" s="31" t="n"/>
      <c r="AD755" s="31" t="n"/>
      <c r="AE755" s="31" t="n"/>
      <c r="AF755" s="27">
        <f>IF(NOT(COUNTA(A755:AE755)&gt;0),"",IF(A755="","New client","Update"))</f>
        <v/>
      </c>
      <c r="AG755" s="27">
        <f>IF(AO755&lt;&gt;"",AO755,IF(LEN(AN755)=15,MID(AN755,3,10),""))</f>
        <v/>
      </c>
      <c r="AH755" s="27">
        <f>IF(AP755="","",AP755&amp;IF(D755="","  (guessed from PAN)",""))</f>
        <v/>
      </c>
      <c r="AI755" s="27">
        <f>IF(AN755="","",IFERROR(INDEX(Lists!$L$2:$L$38,MATCH(LEFT(AN755,2),Lists!$K$2:$K$38,0)),"Unknown code"))</f>
        <v/>
      </c>
      <c r="AJ755" s="27">
        <f>IF(AN755="","",IFERROR(IF(NOT(AND(LEN(AN755)=15,ISNUMBER(MATCH(LEFT(AN755,2),Lists!$K$2:$K$38,0)),SUMPRODUCT(--ISERROR(FIND(MID(MID(AN755,3,10),{1,2,3,4,5,10},1),"ABCDEFGHIJKLMNOPQRSTUVWXYZ")))=0,SUMPRODUCT(--ISERROR(FIND(MID(MID(AN755,3,10),{6,7,8,9},1),"0123456789")))=0,ISNUMBER(FIND(MID(AN755,13,1),"123456789ABCDEFGHIJKLMNOPQRSTUVWXYZ")),MID(AN755,14,1)="Z")),"Wrong format",IF(MID("0123456789ABCDEFGHIJKLMNOPQRSTUVWXYZ",MOD(36-MOD(SUMPRODUCT(INT((FIND(MID(AN755,{1,2,3,4,5,6,7,8,9,10,11,12,13,14},1),"0123456789ABCDEFGHIJKLMNOPQRSTUVWXYZ")-1)*{1,2,1,2,1,2,1,2,1,2,1,2,1,2}/36)+MOD((FIND(MID(AN755,{1,2,3,4,5,6,7,8,9,10,11,12,13,14},1),"0123456789ABCDEFGHIJKLMNOPQRSTUVWXYZ")-1)*{1,2,1,2,1,2,1,2,1,2,1,2,1,2},36)),36),36)+1,1)=MID(AN755,15,1),"OK","Typo? check digit wrong")),"Wrong format"))</f>
        <v/>
      </c>
      <c r="AK755" s="27">
        <f>IF(AO755="","",IF(AND(LEN(AO755)=10,SUMPRODUCT(--ISERROR(FIND(MID(AO755,{1,2,3,4,5,10},1),"ABCDEFGHIJKLMNOPQRSTUVWXYZ")))=0,SUMPRODUCT(--ISERROR(FIND(MID(AO755,{6,7,8,9},1),"0123456789")))=0),"OK","Wrong format"))</f>
        <v/>
      </c>
      <c r="AL755" s="27">
        <f>IF(TRIM(H755)="","",IF(AND(LEN(UPPER(TRIM(H755)))=10,SUMPRODUCT(--ISERROR(FIND(MID(UPPER(TRIM(H755)),{1,2,3,4,10},1),"ABCDEFGHIJKLMNOPQRSTUVWXYZ")))=0,SUMPRODUCT(--ISERROR(FIND(MID(UPPER(TRIM(H755)),{5,6,7,8,9},1),"0123456789")))=0),"OK","Wrong format"))</f>
        <v/>
      </c>
      <c r="AM755" s="28">
        <f>IF(NOT(COUNTA(A755:AE755)&gt;0),"",IF(AS755&lt;&gt;"","✖ "&amp;LEFT(AS755,LEN(AS755)-2),IF(AR755&gt;0,"✔ Ready — client + "&amp;AR755&amp;" service(s)","✔ Ready — client only")))</f>
        <v/>
      </c>
      <c r="AN755" s="29">
        <f>UPPER(SUBSTITUTE(TRIM(F755)," ",""))</f>
        <v/>
      </c>
      <c r="AO755" s="29">
        <f>UPPER(SUBSTITUTE(TRIM(E755)," ",""))</f>
        <v/>
      </c>
      <c r="AP755" s="29">
        <f>IF(D755&lt;&gt;"",D755,IFERROR(VLOOKUP(MID(AG755,4,1),Lists!$E$2:$F$8,2,FALSE),""))</f>
        <v/>
      </c>
      <c r="AQ755" s="29">
        <f>IFERROR(VLOOKUP(AP755,Lists!$A$2:$C$12,3,FALSE),"")</f>
        <v/>
      </c>
      <c r="AR755" s="29">
        <f>COUNTIF(W755:AC755,"Yes")</f>
        <v/>
      </c>
      <c r="AS755" s="29">
        <f>IF(TRIM(B755)="","Legal name missing; ","")&amp;IF(AND(AJ755&lt;&gt;"",AJ755&lt;&gt;"OK"),"GSTIN: "&amp;AJ755&amp;"; ","")&amp;IF(AND(AK755&lt;&gt;"",AK755&lt;&gt;"OK"),"PAN wrong format; ","")&amp;IF(AND(AO755&lt;&gt;"",LEN(AN755)=15,MID(AN755,3,10)&lt;&gt;AO755),"PAN does not match GSTIN; ","")&amp;IF(AND(AL755&lt;&gt;"",AL755&lt;&gt;"OK"),"TAN wrong format; ","")&amp;IF(AG755="","PAN missing; ","")&amp;IF(AP755="","Entity type missing; ","")&amp;IF(AND(AN755&lt;&gt;"",COUNTIF($AN$6:$AN$1005,AN755)&gt;1),"GSTIN repeated in this sheet; ","")&amp;IF(AND(AG755&lt;&gt;"",COUNTIF($AG$6:$AG$1005,AG755)&gt;1),"PAN repeated in this sheet (same client? put extra GSTINs in Other GSTINs); ","")&amp;IF(AND(AR755&gt;0,V755=""),"Financial year missing; ","")&amp;IF(AND(AR755=0,V755&lt;&gt;""),"Financial year given but no service is Yes; ","")&amp;IF(AND(W755="Yes",AN755=""),"GST needs a GSTIN; ","")&amp;IF(AND(W755="Yes",X755=""),"GST return frequency missing; ","")&amp;IF(AND(Y755="Yes",TRIM(H755)=""),"TDS needs a TAN; ","")&amp;IF(AND(AA755="Yes",AQ755&lt;&gt;"",AQ755&lt;&gt;"company",AQ755&lt;&gt;"llp"),"ROC is only for a company / LLP; ","")&amp;IF(AND(AA755="Yes",OR(AQ755="company",AQ755="llp"),TRIM(I755)=""),"ROC needs the CIN / LLPIN; ","")</f>
        <v/>
      </c>
    </row>
    <row r="756">
      <c r="A756" s="30" t="n"/>
      <c r="B756" s="31" t="n"/>
      <c r="C756" s="31" t="n"/>
      <c r="D756" s="31" t="n"/>
      <c r="E756" s="30" t="n"/>
      <c r="F756" s="30" t="n"/>
      <c r="G756" s="30" t="n"/>
      <c r="H756" s="30" t="n"/>
      <c r="I756" s="30" t="n"/>
      <c r="J756" s="32" t="n"/>
      <c r="K756" s="31" t="n"/>
      <c r="L756" s="30" t="n"/>
      <c r="M756" s="31" t="n"/>
      <c r="N756" s="31" t="n"/>
      <c r="O756" s="31" t="n"/>
      <c r="P756" s="30" t="n"/>
      <c r="Q756" s="31" t="n"/>
      <c r="R756" s="31" t="n"/>
      <c r="S756" s="31" t="n"/>
      <c r="T756" s="31" t="n"/>
      <c r="U756" s="30" t="n"/>
      <c r="V756" s="31" t="n"/>
      <c r="W756" s="31" t="n"/>
      <c r="X756" s="31" t="n"/>
      <c r="Y756" s="31" t="n"/>
      <c r="Z756" s="31" t="n"/>
      <c r="AA756" s="31" t="n"/>
      <c r="AB756" s="31" t="n"/>
      <c r="AC756" s="31" t="n"/>
      <c r="AD756" s="31" t="n"/>
      <c r="AE756" s="31" t="n"/>
      <c r="AF756" s="27">
        <f>IF(NOT(COUNTA(A756:AE756)&gt;0),"",IF(A756="","New client","Update"))</f>
        <v/>
      </c>
      <c r="AG756" s="27">
        <f>IF(AO756&lt;&gt;"",AO756,IF(LEN(AN756)=15,MID(AN756,3,10),""))</f>
        <v/>
      </c>
      <c r="AH756" s="27">
        <f>IF(AP756="","",AP756&amp;IF(D756="","  (guessed from PAN)",""))</f>
        <v/>
      </c>
      <c r="AI756" s="27">
        <f>IF(AN756="","",IFERROR(INDEX(Lists!$L$2:$L$38,MATCH(LEFT(AN756,2),Lists!$K$2:$K$38,0)),"Unknown code"))</f>
        <v/>
      </c>
      <c r="AJ756" s="27">
        <f>IF(AN756="","",IFERROR(IF(NOT(AND(LEN(AN756)=15,ISNUMBER(MATCH(LEFT(AN756,2),Lists!$K$2:$K$38,0)),SUMPRODUCT(--ISERROR(FIND(MID(MID(AN756,3,10),{1,2,3,4,5,10},1),"ABCDEFGHIJKLMNOPQRSTUVWXYZ")))=0,SUMPRODUCT(--ISERROR(FIND(MID(MID(AN756,3,10),{6,7,8,9},1),"0123456789")))=0,ISNUMBER(FIND(MID(AN756,13,1),"123456789ABCDEFGHIJKLMNOPQRSTUVWXYZ")),MID(AN756,14,1)="Z")),"Wrong format",IF(MID("0123456789ABCDEFGHIJKLMNOPQRSTUVWXYZ",MOD(36-MOD(SUMPRODUCT(INT((FIND(MID(AN756,{1,2,3,4,5,6,7,8,9,10,11,12,13,14},1),"0123456789ABCDEFGHIJKLMNOPQRSTUVWXYZ")-1)*{1,2,1,2,1,2,1,2,1,2,1,2,1,2}/36)+MOD((FIND(MID(AN756,{1,2,3,4,5,6,7,8,9,10,11,12,13,14},1),"0123456789ABCDEFGHIJKLMNOPQRSTUVWXYZ")-1)*{1,2,1,2,1,2,1,2,1,2,1,2,1,2},36)),36),36)+1,1)=MID(AN756,15,1),"OK","Typo? check digit wrong")),"Wrong format"))</f>
        <v/>
      </c>
      <c r="AK756" s="27">
        <f>IF(AO756="","",IF(AND(LEN(AO756)=10,SUMPRODUCT(--ISERROR(FIND(MID(AO756,{1,2,3,4,5,10},1),"ABCDEFGHIJKLMNOPQRSTUVWXYZ")))=0,SUMPRODUCT(--ISERROR(FIND(MID(AO756,{6,7,8,9},1),"0123456789")))=0),"OK","Wrong format"))</f>
        <v/>
      </c>
      <c r="AL756" s="27">
        <f>IF(TRIM(H756)="","",IF(AND(LEN(UPPER(TRIM(H756)))=10,SUMPRODUCT(--ISERROR(FIND(MID(UPPER(TRIM(H756)),{1,2,3,4,10},1),"ABCDEFGHIJKLMNOPQRSTUVWXYZ")))=0,SUMPRODUCT(--ISERROR(FIND(MID(UPPER(TRIM(H756)),{5,6,7,8,9},1),"0123456789")))=0),"OK","Wrong format"))</f>
        <v/>
      </c>
      <c r="AM756" s="28">
        <f>IF(NOT(COUNTA(A756:AE756)&gt;0),"",IF(AS756&lt;&gt;"","✖ "&amp;LEFT(AS756,LEN(AS756)-2),IF(AR756&gt;0,"✔ Ready — client + "&amp;AR756&amp;" service(s)","✔ Ready — client only")))</f>
        <v/>
      </c>
      <c r="AN756" s="29">
        <f>UPPER(SUBSTITUTE(TRIM(F756)," ",""))</f>
        <v/>
      </c>
      <c r="AO756" s="29">
        <f>UPPER(SUBSTITUTE(TRIM(E756)," ",""))</f>
        <v/>
      </c>
      <c r="AP756" s="29">
        <f>IF(D756&lt;&gt;"",D756,IFERROR(VLOOKUP(MID(AG756,4,1),Lists!$E$2:$F$8,2,FALSE),""))</f>
        <v/>
      </c>
      <c r="AQ756" s="29">
        <f>IFERROR(VLOOKUP(AP756,Lists!$A$2:$C$12,3,FALSE),"")</f>
        <v/>
      </c>
      <c r="AR756" s="29">
        <f>COUNTIF(W756:AC756,"Yes")</f>
        <v/>
      </c>
      <c r="AS756" s="29">
        <f>IF(TRIM(B756)="","Legal name missing; ","")&amp;IF(AND(AJ756&lt;&gt;"",AJ756&lt;&gt;"OK"),"GSTIN: "&amp;AJ756&amp;"; ","")&amp;IF(AND(AK756&lt;&gt;"",AK756&lt;&gt;"OK"),"PAN wrong format; ","")&amp;IF(AND(AO756&lt;&gt;"",LEN(AN756)=15,MID(AN756,3,10)&lt;&gt;AO756),"PAN does not match GSTIN; ","")&amp;IF(AND(AL756&lt;&gt;"",AL756&lt;&gt;"OK"),"TAN wrong format; ","")&amp;IF(AG756="","PAN missing; ","")&amp;IF(AP756="","Entity type missing; ","")&amp;IF(AND(AN756&lt;&gt;"",COUNTIF($AN$6:$AN$1005,AN756)&gt;1),"GSTIN repeated in this sheet; ","")&amp;IF(AND(AG756&lt;&gt;"",COUNTIF($AG$6:$AG$1005,AG756)&gt;1),"PAN repeated in this sheet (same client? put extra GSTINs in Other GSTINs); ","")&amp;IF(AND(AR756&gt;0,V756=""),"Financial year missing; ","")&amp;IF(AND(AR756=0,V756&lt;&gt;""),"Financial year given but no service is Yes; ","")&amp;IF(AND(W756="Yes",AN756=""),"GST needs a GSTIN; ","")&amp;IF(AND(W756="Yes",X756=""),"GST return frequency missing; ","")&amp;IF(AND(Y756="Yes",TRIM(H756)=""),"TDS needs a TAN; ","")&amp;IF(AND(AA756="Yes",AQ756&lt;&gt;"",AQ756&lt;&gt;"company",AQ756&lt;&gt;"llp"),"ROC is only for a company / LLP; ","")&amp;IF(AND(AA756="Yes",OR(AQ756="company",AQ756="llp"),TRIM(I756)=""),"ROC needs the CIN / LLPIN; ","")</f>
        <v/>
      </c>
    </row>
    <row r="757">
      <c r="A757" s="30" t="n"/>
      <c r="B757" s="31" t="n"/>
      <c r="C757" s="31" t="n"/>
      <c r="D757" s="31" t="n"/>
      <c r="E757" s="30" t="n"/>
      <c r="F757" s="30" t="n"/>
      <c r="G757" s="30" t="n"/>
      <c r="H757" s="30" t="n"/>
      <c r="I757" s="30" t="n"/>
      <c r="J757" s="32" t="n"/>
      <c r="K757" s="31" t="n"/>
      <c r="L757" s="30" t="n"/>
      <c r="M757" s="31" t="n"/>
      <c r="N757" s="31" t="n"/>
      <c r="O757" s="31" t="n"/>
      <c r="P757" s="30" t="n"/>
      <c r="Q757" s="31" t="n"/>
      <c r="R757" s="31" t="n"/>
      <c r="S757" s="31" t="n"/>
      <c r="T757" s="31" t="n"/>
      <c r="U757" s="30" t="n"/>
      <c r="V757" s="31" t="n"/>
      <c r="W757" s="31" t="n"/>
      <c r="X757" s="31" t="n"/>
      <c r="Y757" s="31" t="n"/>
      <c r="Z757" s="31" t="n"/>
      <c r="AA757" s="31" t="n"/>
      <c r="AB757" s="31" t="n"/>
      <c r="AC757" s="31" t="n"/>
      <c r="AD757" s="31" t="n"/>
      <c r="AE757" s="31" t="n"/>
      <c r="AF757" s="27">
        <f>IF(NOT(COUNTA(A757:AE757)&gt;0),"",IF(A757="","New client","Update"))</f>
        <v/>
      </c>
      <c r="AG757" s="27">
        <f>IF(AO757&lt;&gt;"",AO757,IF(LEN(AN757)=15,MID(AN757,3,10),""))</f>
        <v/>
      </c>
      <c r="AH757" s="27">
        <f>IF(AP757="","",AP757&amp;IF(D757="","  (guessed from PAN)",""))</f>
        <v/>
      </c>
      <c r="AI757" s="27">
        <f>IF(AN757="","",IFERROR(INDEX(Lists!$L$2:$L$38,MATCH(LEFT(AN757,2),Lists!$K$2:$K$38,0)),"Unknown code"))</f>
        <v/>
      </c>
      <c r="AJ757" s="27">
        <f>IF(AN757="","",IFERROR(IF(NOT(AND(LEN(AN757)=15,ISNUMBER(MATCH(LEFT(AN757,2),Lists!$K$2:$K$38,0)),SUMPRODUCT(--ISERROR(FIND(MID(MID(AN757,3,10),{1,2,3,4,5,10},1),"ABCDEFGHIJKLMNOPQRSTUVWXYZ")))=0,SUMPRODUCT(--ISERROR(FIND(MID(MID(AN757,3,10),{6,7,8,9},1),"0123456789")))=0,ISNUMBER(FIND(MID(AN757,13,1),"123456789ABCDEFGHIJKLMNOPQRSTUVWXYZ")),MID(AN757,14,1)="Z")),"Wrong format",IF(MID("0123456789ABCDEFGHIJKLMNOPQRSTUVWXYZ",MOD(36-MOD(SUMPRODUCT(INT((FIND(MID(AN757,{1,2,3,4,5,6,7,8,9,10,11,12,13,14},1),"0123456789ABCDEFGHIJKLMNOPQRSTUVWXYZ")-1)*{1,2,1,2,1,2,1,2,1,2,1,2,1,2}/36)+MOD((FIND(MID(AN757,{1,2,3,4,5,6,7,8,9,10,11,12,13,14},1),"0123456789ABCDEFGHIJKLMNOPQRSTUVWXYZ")-1)*{1,2,1,2,1,2,1,2,1,2,1,2,1,2},36)),36),36)+1,1)=MID(AN757,15,1),"OK","Typo? check digit wrong")),"Wrong format"))</f>
        <v/>
      </c>
      <c r="AK757" s="27">
        <f>IF(AO757="","",IF(AND(LEN(AO757)=10,SUMPRODUCT(--ISERROR(FIND(MID(AO757,{1,2,3,4,5,10},1),"ABCDEFGHIJKLMNOPQRSTUVWXYZ")))=0,SUMPRODUCT(--ISERROR(FIND(MID(AO757,{6,7,8,9},1),"0123456789")))=0),"OK","Wrong format"))</f>
        <v/>
      </c>
      <c r="AL757" s="27">
        <f>IF(TRIM(H757)="","",IF(AND(LEN(UPPER(TRIM(H757)))=10,SUMPRODUCT(--ISERROR(FIND(MID(UPPER(TRIM(H757)),{1,2,3,4,10},1),"ABCDEFGHIJKLMNOPQRSTUVWXYZ")))=0,SUMPRODUCT(--ISERROR(FIND(MID(UPPER(TRIM(H757)),{5,6,7,8,9},1),"0123456789")))=0),"OK","Wrong format"))</f>
        <v/>
      </c>
      <c r="AM757" s="28">
        <f>IF(NOT(COUNTA(A757:AE757)&gt;0),"",IF(AS757&lt;&gt;"","✖ "&amp;LEFT(AS757,LEN(AS757)-2),IF(AR757&gt;0,"✔ Ready — client + "&amp;AR757&amp;" service(s)","✔ Ready — client only")))</f>
        <v/>
      </c>
      <c r="AN757" s="29">
        <f>UPPER(SUBSTITUTE(TRIM(F757)," ",""))</f>
        <v/>
      </c>
      <c r="AO757" s="29">
        <f>UPPER(SUBSTITUTE(TRIM(E757)," ",""))</f>
        <v/>
      </c>
      <c r="AP757" s="29">
        <f>IF(D757&lt;&gt;"",D757,IFERROR(VLOOKUP(MID(AG757,4,1),Lists!$E$2:$F$8,2,FALSE),""))</f>
        <v/>
      </c>
      <c r="AQ757" s="29">
        <f>IFERROR(VLOOKUP(AP757,Lists!$A$2:$C$12,3,FALSE),"")</f>
        <v/>
      </c>
      <c r="AR757" s="29">
        <f>COUNTIF(W757:AC757,"Yes")</f>
        <v/>
      </c>
      <c r="AS757" s="29">
        <f>IF(TRIM(B757)="","Legal name missing; ","")&amp;IF(AND(AJ757&lt;&gt;"",AJ757&lt;&gt;"OK"),"GSTIN: "&amp;AJ757&amp;"; ","")&amp;IF(AND(AK757&lt;&gt;"",AK757&lt;&gt;"OK"),"PAN wrong format; ","")&amp;IF(AND(AO757&lt;&gt;"",LEN(AN757)=15,MID(AN757,3,10)&lt;&gt;AO757),"PAN does not match GSTIN; ","")&amp;IF(AND(AL757&lt;&gt;"",AL757&lt;&gt;"OK"),"TAN wrong format; ","")&amp;IF(AG757="","PAN missing; ","")&amp;IF(AP757="","Entity type missing; ","")&amp;IF(AND(AN757&lt;&gt;"",COUNTIF($AN$6:$AN$1005,AN757)&gt;1),"GSTIN repeated in this sheet; ","")&amp;IF(AND(AG757&lt;&gt;"",COUNTIF($AG$6:$AG$1005,AG757)&gt;1),"PAN repeated in this sheet (same client? put extra GSTINs in Other GSTINs); ","")&amp;IF(AND(AR757&gt;0,V757=""),"Financial year missing; ","")&amp;IF(AND(AR757=0,V757&lt;&gt;""),"Financial year given but no service is Yes; ","")&amp;IF(AND(W757="Yes",AN757=""),"GST needs a GSTIN; ","")&amp;IF(AND(W757="Yes",X757=""),"GST return frequency missing; ","")&amp;IF(AND(Y757="Yes",TRIM(H757)=""),"TDS needs a TAN; ","")&amp;IF(AND(AA757="Yes",AQ757&lt;&gt;"",AQ757&lt;&gt;"company",AQ757&lt;&gt;"llp"),"ROC is only for a company / LLP; ","")&amp;IF(AND(AA757="Yes",OR(AQ757="company",AQ757="llp"),TRIM(I757)=""),"ROC needs the CIN / LLPIN; ","")</f>
        <v/>
      </c>
    </row>
    <row r="758">
      <c r="A758" s="30" t="n"/>
      <c r="B758" s="31" t="n"/>
      <c r="C758" s="31" t="n"/>
      <c r="D758" s="31" t="n"/>
      <c r="E758" s="30" t="n"/>
      <c r="F758" s="30" t="n"/>
      <c r="G758" s="30" t="n"/>
      <c r="H758" s="30" t="n"/>
      <c r="I758" s="30" t="n"/>
      <c r="J758" s="32" t="n"/>
      <c r="K758" s="31" t="n"/>
      <c r="L758" s="30" t="n"/>
      <c r="M758" s="31" t="n"/>
      <c r="N758" s="31" t="n"/>
      <c r="O758" s="31" t="n"/>
      <c r="P758" s="30" t="n"/>
      <c r="Q758" s="31" t="n"/>
      <c r="R758" s="31" t="n"/>
      <c r="S758" s="31" t="n"/>
      <c r="T758" s="31" t="n"/>
      <c r="U758" s="30" t="n"/>
      <c r="V758" s="31" t="n"/>
      <c r="W758" s="31" t="n"/>
      <c r="X758" s="31" t="n"/>
      <c r="Y758" s="31" t="n"/>
      <c r="Z758" s="31" t="n"/>
      <c r="AA758" s="31" t="n"/>
      <c r="AB758" s="31" t="n"/>
      <c r="AC758" s="31" t="n"/>
      <c r="AD758" s="31" t="n"/>
      <c r="AE758" s="31" t="n"/>
      <c r="AF758" s="27">
        <f>IF(NOT(COUNTA(A758:AE758)&gt;0),"",IF(A758="","New client","Update"))</f>
        <v/>
      </c>
      <c r="AG758" s="27">
        <f>IF(AO758&lt;&gt;"",AO758,IF(LEN(AN758)=15,MID(AN758,3,10),""))</f>
        <v/>
      </c>
      <c r="AH758" s="27">
        <f>IF(AP758="","",AP758&amp;IF(D758="","  (guessed from PAN)",""))</f>
        <v/>
      </c>
      <c r="AI758" s="27">
        <f>IF(AN758="","",IFERROR(INDEX(Lists!$L$2:$L$38,MATCH(LEFT(AN758,2),Lists!$K$2:$K$38,0)),"Unknown code"))</f>
        <v/>
      </c>
      <c r="AJ758" s="27">
        <f>IF(AN758="","",IFERROR(IF(NOT(AND(LEN(AN758)=15,ISNUMBER(MATCH(LEFT(AN758,2),Lists!$K$2:$K$38,0)),SUMPRODUCT(--ISERROR(FIND(MID(MID(AN758,3,10),{1,2,3,4,5,10},1),"ABCDEFGHIJKLMNOPQRSTUVWXYZ")))=0,SUMPRODUCT(--ISERROR(FIND(MID(MID(AN758,3,10),{6,7,8,9},1),"0123456789")))=0,ISNUMBER(FIND(MID(AN758,13,1),"123456789ABCDEFGHIJKLMNOPQRSTUVWXYZ")),MID(AN758,14,1)="Z")),"Wrong format",IF(MID("0123456789ABCDEFGHIJKLMNOPQRSTUVWXYZ",MOD(36-MOD(SUMPRODUCT(INT((FIND(MID(AN758,{1,2,3,4,5,6,7,8,9,10,11,12,13,14},1),"0123456789ABCDEFGHIJKLMNOPQRSTUVWXYZ")-1)*{1,2,1,2,1,2,1,2,1,2,1,2,1,2}/36)+MOD((FIND(MID(AN758,{1,2,3,4,5,6,7,8,9,10,11,12,13,14},1),"0123456789ABCDEFGHIJKLMNOPQRSTUVWXYZ")-1)*{1,2,1,2,1,2,1,2,1,2,1,2,1,2},36)),36),36)+1,1)=MID(AN758,15,1),"OK","Typo? check digit wrong")),"Wrong format"))</f>
        <v/>
      </c>
      <c r="AK758" s="27">
        <f>IF(AO758="","",IF(AND(LEN(AO758)=10,SUMPRODUCT(--ISERROR(FIND(MID(AO758,{1,2,3,4,5,10},1),"ABCDEFGHIJKLMNOPQRSTUVWXYZ")))=0,SUMPRODUCT(--ISERROR(FIND(MID(AO758,{6,7,8,9},1),"0123456789")))=0),"OK","Wrong format"))</f>
        <v/>
      </c>
      <c r="AL758" s="27">
        <f>IF(TRIM(H758)="","",IF(AND(LEN(UPPER(TRIM(H758)))=10,SUMPRODUCT(--ISERROR(FIND(MID(UPPER(TRIM(H758)),{1,2,3,4,10},1),"ABCDEFGHIJKLMNOPQRSTUVWXYZ")))=0,SUMPRODUCT(--ISERROR(FIND(MID(UPPER(TRIM(H758)),{5,6,7,8,9},1),"0123456789")))=0),"OK","Wrong format"))</f>
        <v/>
      </c>
      <c r="AM758" s="28">
        <f>IF(NOT(COUNTA(A758:AE758)&gt;0),"",IF(AS758&lt;&gt;"","✖ "&amp;LEFT(AS758,LEN(AS758)-2),IF(AR758&gt;0,"✔ Ready — client + "&amp;AR758&amp;" service(s)","✔ Ready — client only")))</f>
        <v/>
      </c>
      <c r="AN758" s="29">
        <f>UPPER(SUBSTITUTE(TRIM(F758)," ",""))</f>
        <v/>
      </c>
      <c r="AO758" s="29">
        <f>UPPER(SUBSTITUTE(TRIM(E758)," ",""))</f>
        <v/>
      </c>
      <c r="AP758" s="29">
        <f>IF(D758&lt;&gt;"",D758,IFERROR(VLOOKUP(MID(AG758,4,1),Lists!$E$2:$F$8,2,FALSE),""))</f>
        <v/>
      </c>
      <c r="AQ758" s="29">
        <f>IFERROR(VLOOKUP(AP758,Lists!$A$2:$C$12,3,FALSE),"")</f>
        <v/>
      </c>
      <c r="AR758" s="29">
        <f>COUNTIF(W758:AC758,"Yes")</f>
        <v/>
      </c>
      <c r="AS758" s="29">
        <f>IF(TRIM(B758)="","Legal name missing; ","")&amp;IF(AND(AJ758&lt;&gt;"",AJ758&lt;&gt;"OK"),"GSTIN: "&amp;AJ758&amp;"; ","")&amp;IF(AND(AK758&lt;&gt;"",AK758&lt;&gt;"OK"),"PAN wrong format; ","")&amp;IF(AND(AO758&lt;&gt;"",LEN(AN758)=15,MID(AN758,3,10)&lt;&gt;AO758),"PAN does not match GSTIN; ","")&amp;IF(AND(AL758&lt;&gt;"",AL758&lt;&gt;"OK"),"TAN wrong format; ","")&amp;IF(AG758="","PAN missing; ","")&amp;IF(AP758="","Entity type missing; ","")&amp;IF(AND(AN758&lt;&gt;"",COUNTIF($AN$6:$AN$1005,AN758)&gt;1),"GSTIN repeated in this sheet; ","")&amp;IF(AND(AG758&lt;&gt;"",COUNTIF($AG$6:$AG$1005,AG758)&gt;1),"PAN repeated in this sheet (same client? put extra GSTINs in Other GSTINs); ","")&amp;IF(AND(AR758&gt;0,V758=""),"Financial year missing; ","")&amp;IF(AND(AR758=0,V758&lt;&gt;""),"Financial year given but no service is Yes; ","")&amp;IF(AND(W758="Yes",AN758=""),"GST needs a GSTIN; ","")&amp;IF(AND(W758="Yes",X758=""),"GST return frequency missing; ","")&amp;IF(AND(Y758="Yes",TRIM(H758)=""),"TDS needs a TAN; ","")&amp;IF(AND(AA758="Yes",AQ758&lt;&gt;"",AQ758&lt;&gt;"company",AQ758&lt;&gt;"llp"),"ROC is only for a company / LLP; ","")&amp;IF(AND(AA758="Yes",OR(AQ758="company",AQ758="llp"),TRIM(I758)=""),"ROC needs the CIN / LLPIN; ","")</f>
        <v/>
      </c>
    </row>
    <row r="759">
      <c r="A759" s="30" t="n"/>
      <c r="B759" s="31" t="n"/>
      <c r="C759" s="31" t="n"/>
      <c r="D759" s="31" t="n"/>
      <c r="E759" s="30" t="n"/>
      <c r="F759" s="30" t="n"/>
      <c r="G759" s="30" t="n"/>
      <c r="H759" s="30" t="n"/>
      <c r="I759" s="30" t="n"/>
      <c r="J759" s="32" t="n"/>
      <c r="K759" s="31" t="n"/>
      <c r="L759" s="30" t="n"/>
      <c r="M759" s="31" t="n"/>
      <c r="N759" s="31" t="n"/>
      <c r="O759" s="31" t="n"/>
      <c r="P759" s="30" t="n"/>
      <c r="Q759" s="31" t="n"/>
      <c r="R759" s="31" t="n"/>
      <c r="S759" s="31" t="n"/>
      <c r="T759" s="31" t="n"/>
      <c r="U759" s="30" t="n"/>
      <c r="V759" s="31" t="n"/>
      <c r="W759" s="31" t="n"/>
      <c r="X759" s="31" t="n"/>
      <c r="Y759" s="31" t="n"/>
      <c r="Z759" s="31" t="n"/>
      <c r="AA759" s="31" t="n"/>
      <c r="AB759" s="31" t="n"/>
      <c r="AC759" s="31" t="n"/>
      <c r="AD759" s="31" t="n"/>
      <c r="AE759" s="31" t="n"/>
      <c r="AF759" s="27">
        <f>IF(NOT(COUNTA(A759:AE759)&gt;0),"",IF(A759="","New client","Update"))</f>
        <v/>
      </c>
      <c r="AG759" s="27">
        <f>IF(AO759&lt;&gt;"",AO759,IF(LEN(AN759)=15,MID(AN759,3,10),""))</f>
        <v/>
      </c>
      <c r="AH759" s="27">
        <f>IF(AP759="","",AP759&amp;IF(D759="","  (guessed from PAN)",""))</f>
        <v/>
      </c>
      <c r="AI759" s="27">
        <f>IF(AN759="","",IFERROR(INDEX(Lists!$L$2:$L$38,MATCH(LEFT(AN759,2),Lists!$K$2:$K$38,0)),"Unknown code"))</f>
        <v/>
      </c>
      <c r="AJ759" s="27">
        <f>IF(AN759="","",IFERROR(IF(NOT(AND(LEN(AN759)=15,ISNUMBER(MATCH(LEFT(AN759,2),Lists!$K$2:$K$38,0)),SUMPRODUCT(--ISERROR(FIND(MID(MID(AN759,3,10),{1,2,3,4,5,10},1),"ABCDEFGHIJKLMNOPQRSTUVWXYZ")))=0,SUMPRODUCT(--ISERROR(FIND(MID(MID(AN759,3,10),{6,7,8,9},1),"0123456789")))=0,ISNUMBER(FIND(MID(AN759,13,1),"123456789ABCDEFGHIJKLMNOPQRSTUVWXYZ")),MID(AN759,14,1)="Z")),"Wrong format",IF(MID("0123456789ABCDEFGHIJKLMNOPQRSTUVWXYZ",MOD(36-MOD(SUMPRODUCT(INT((FIND(MID(AN759,{1,2,3,4,5,6,7,8,9,10,11,12,13,14},1),"0123456789ABCDEFGHIJKLMNOPQRSTUVWXYZ")-1)*{1,2,1,2,1,2,1,2,1,2,1,2,1,2}/36)+MOD((FIND(MID(AN759,{1,2,3,4,5,6,7,8,9,10,11,12,13,14},1),"0123456789ABCDEFGHIJKLMNOPQRSTUVWXYZ")-1)*{1,2,1,2,1,2,1,2,1,2,1,2,1,2},36)),36),36)+1,1)=MID(AN759,15,1),"OK","Typo? check digit wrong")),"Wrong format"))</f>
        <v/>
      </c>
      <c r="AK759" s="27">
        <f>IF(AO759="","",IF(AND(LEN(AO759)=10,SUMPRODUCT(--ISERROR(FIND(MID(AO759,{1,2,3,4,5,10},1),"ABCDEFGHIJKLMNOPQRSTUVWXYZ")))=0,SUMPRODUCT(--ISERROR(FIND(MID(AO759,{6,7,8,9},1),"0123456789")))=0),"OK","Wrong format"))</f>
        <v/>
      </c>
      <c r="AL759" s="27">
        <f>IF(TRIM(H759)="","",IF(AND(LEN(UPPER(TRIM(H759)))=10,SUMPRODUCT(--ISERROR(FIND(MID(UPPER(TRIM(H759)),{1,2,3,4,10},1),"ABCDEFGHIJKLMNOPQRSTUVWXYZ")))=0,SUMPRODUCT(--ISERROR(FIND(MID(UPPER(TRIM(H759)),{5,6,7,8,9},1),"0123456789")))=0),"OK","Wrong format"))</f>
        <v/>
      </c>
      <c r="AM759" s="28">
        <f>IF(NOT(COUNTA(A759:AE759)&gt;0),"",IF(AS759&lt;&gt;"","✖ "&amp;LEFT(AS759,LEN(AS759)-2),IF(AR759&gt;0,"✔ Ready — client + "&amp;AR759&amp;" service(s)","✔ Ready — client only")))</f>
        <v/>
      </c>
      <c r="AN759" s="29">
        <f>UPPER(SUBSTITUTE(TRIM(F759)," ",""))</f>
        <v/>
      </c>
      <c r="AO759" s="29">
        <f>UPPER(SUBSTITUTE(TRIM(E759)," ",""))</f>
        <v/>
      </c>
      <c r="AP759" s="29">
        <f>IF(D759&lt;&gt;"",D759,IFERROR(VLOOKUP(MID(AG759,4,1),Lists!$E$2:$F$8,2,FALSE),""))</f>
        <v/>
      </c>
      <c r="AQ759" s="29">
        <f>IFERROR(VLOOKUP(AP759,Lists!$A$2:$C$12,3,FALSE),"")</f>
        <v/>
      </c>
      <c r="AR759" s="29">
        <f>COUNTIF(W759:AC759,"Yes")</f>
        <v/>
      </c>
      <c r="AS759" s="29">
        <f>IF(TRIM(B759)="","Legal name missing; ","")&amp;IF(AND(AJ759&lt;&gt;"",AJ759&lt;&gt;"OK"),"GSTIN: "&amp;AJ759&amp;"; ","")&amp;IF(AND(AK759&lt;&gt;"",AK759&lt;&gt;"OK"),"PAN wrong format; ","")&amp;IF(AND(AO759&lt;&gt;"",LEN(AN759)=15,MID(AN759,3,10)&lt;&gt;AO759),"PAN does not match GSTIN; ","")&amp;IF(AND(AL759&lt;&gt;"",AL759&lt;&gt;"OK"),"TAN wrong format; ","")&amp;IF(AG759="","PAN missing; ","")&amp;IF(AP759="","Entity type missing; ","")&amp;IF(AND(AN759&lt;&gt;"",COUNTIF($AN$6:$AN$1005,AN759)&gt;1),"GSTIN repeated in this sheet; ","")&amp;IF(AND(AG759&lt;&gt;"",COUNTIF($AG$6:$AG$1005,AG759)&gt;1),"PAN repeated in this sheet (same client? put extra GSTINs in Other GSTINs); ","")&amp;IF(AND(AR759&gt;0,V759=""),"Financial year missing; ","")&amp;IF(AND(AR759=0,V759&lt;&gt;""),"Financial year given but no service is Yes; ","")&amp;IF(AND(W759="Yes",AN759=""),"GST needs a GSTIN; ","")&amp;IF(AND(W759="Yes",X759=""),"GST return frequency missing; ","")&amp;IF(AND(Y759="Yes",TRIM(H759)=""),"TDS needs a TAN; ","")&amp;IF(AND(AA759="Yes",AQ759&lt;&gt;"",AQ759&lt;&gt;"company",AQ759&lt;&gt;"llp"),"ROC is only for a company / LLP; ","")&amp;IF(AND(AA759="Yes",OR(AQ759="company",AQ759="llp"),TRIM(I759)=""),"ROC needs the CIN / LLPIN; ","")</f>
        <v/>
      </c>
    </row>
    <row r="760">
      <c r="A760" s="30" t="n"/>
      <c r="B760" s="31" t="n"/>
      <c r="C760" s="31" t="n"/>
      <c r="D760" s="31" t="n"/>
      <c r="E760" s="30" t="n"/>
      <c r="F760" s="30" t="n"/>
      <c r="G760" s="30" t="n"/>
      <c r="H760" s="30" t="n"/>
      <c r="I760" s="30" t="n"/>
      <c r="J760" s="32" t="n"/>
      <c r="K760" s="31" t="n"/>
      <c r="L760" s="30" t="n"/>
      <c r="M760" s="31" t="n"/>
      <c r="N760" s="31" t="n"/>
      <c r="O760" s="31" t="n"/>
      <c r="P760" s="30" t="n"/>
      <c r="Q760" s="31" t="n"/>
      <c r="R760" s="31" t="n"/>
      <c r="S760" s="31" t="n"/>
      <c r="T760" s="31" t="n"/>
      <c r="U760" s="30" t="n"/>
      <c r="V760" s="31" t="n"/>
      <c r="W760" s="31" t="n"/>
      <c r="X760" s="31" t="n"/>
      <c r="Y760" s="31" t="n"/>
      <c r="Z760" s="31" t="n"/>
      <c r="AA760" s="31" t="n"/>
      <c r="AB760" s="31" t="n"/>
      <c r="AC760" s="31" t="n"/>
      <c r="AD760" s="31" t="n"/>
      <c r="AE760" s="31" t="n"/>
      <c r="AF760" s="27">
        <f>IF(NOT(COUNTA(A760:AE760)&gt;0),"",IF(A760="","New client","Update"))</f>
        <v/>
      </c>
      <c r="AG760" s="27">
        <f>IF(AO760&lt;&gt;"",AO760,IF(LEN(AN760)=15,MID(AN760,3,10),""))</f>
        <v/>
      </c>
      <c r="AH760" s="27">
        <f>IF(AP760="","",AP760&amp;IF(D760="","  (guessed from PAN)",""))</f>
        <v/>
      </c>
      <c r="AI760" s="27">
        <f>IF(AN760="","",IFERROR(INDEX(Lists!$L$2:$L$38,MATCH(LEFT(AN760,2),Lists!$K$2:$K$38,0)),"Unknown code"))</f>
        <v/>
      </c>
      <c r="AJ760" s="27">
        <f>IF(AN760="","",IFERROR(IF(NOT(AND(LEN(AN760)=15,ISNUMBER(MATCH(LEFT(AN760,2),Lists!$K$2:$K$38,0)),SUMPRODUCT(--ISERROR(FIND(MID(MID(AN760,3,10),{1,2,3,4,5,10},1),"ABCDEFGHIJKLMNOPQRSTUVWXYZ")))=0,SUMPRODUCT(--ISERROR(FIND(MID(MID(AN760,3,10),{6,7,8,9},1),"0123456789")))=0,ISNUMBER(FIND(MID(AN760,13,1),"123456789ABCDEFGHIJKLMNOPQRSTUVWXYZ")),MID(AN760,14,1)="Z")),"Wrong format",IF(MID("0123456789ABCDEFGHIJKLMNOPQRSTUVWXYZ",MOD(36-MOD(SUMPRODUCT(INT((FIND(MID(AN760,{1,2,3,4,5,6,7,8,9,10,11,12,13,14},1),"0123456789ABCDEFGHIJKLMNOPQRSTUVWXYZ")-1)*{1,2,1,2,1,2,1,2,1,2,1,2,1,2}/36)+MOD((FIND(MID(AN760,{1,2,3,4,5,6,7,8,9,10,11,12,13,14},1),"0123456789ABCDEFGHIJKLMNOPQRSTUVWXYZ")-1)*{1,2,1,2,1,2,1,2,1,2,1,2,1,2},36)),36),36)+1,1)=MID(AN760,15,1),"OK","Typo? check digit wrong")),"Wrong format"))</f>
        <v/>
      </c>
      <c r="AK760" s="27">
        <f>IF(AO760="","",IF(AND(LEN(AO760)=10,SUMPRODUCT(--ISERROR(FIND(MID(AO760,{1,2,3,4,5,10},1),"ABCDEFGHIJKLMNOPQRSTUVWXYZ")))=0,SUMPRODUCT(--ISERROR(FIND(MID(AO760,{6,7,8,9},1),"0123456789")))=0),"OK","Wrong format"))</f>
        <v/>
      </c>
      <c r="AL760" s="27">
        <f>IF(TRIM(H760)="","",IF(AND(LEN(UPPER(TRIM(H760)))=10,SUMPRODUCT(--ISERROR(FIND(MID(UPPER(TRIM(H760)),{1,2,3,4,10},1),"ABCDEFGHIJKLMNOPQRSTUVWXYZ")))=0,SUMPRODUCT(--ISERROR(FIND(MID(UPPER(TRIM(H760)),{5,6,7,8,9},1),"0123456789")))=0),"OK","Wrong format"))</f>
        <v/>
      </c>
      <c r="AM760" s="28">
        <f>IF(NOT(COUNTA(A760:AE760)&gt;0),"",IF(AS760&lt;&gt;"","✖ "&amp;LEFT(AS760,LEN(AS760)-2),IF(AR760&gt;0,"✔ Ready — client + "&amp;AR760&amp;" service(s)","✔ Ready — client only")))</f>
        <v/>
      </c>
      <c r="AN760" s="29">
        <f>UPPER(SUBSTITUTE(TRIM(F760)," ",""))</f>
        <v/>
      </c>
      <c r="AO760" s="29">
        <f>UPPER(SUBSTITUTE(TRIM(E760)," ",""))</f>
        <v/>
      </c>
      <c r="AP760" s="29">
        <f>IF(D760&lt;&gt;"",D760,IFERROR(VLOOKUP(MID(AG760,4,1),Lists!$E$2:$F$8,2,FALSE),""))</f>
        <v/>
      </c>
      <c r="AQ760" s="29">
        <f>IFERROR(VLOOKUP(AP760,Lists!$A$2:$C$12,3,FALSE),"")</f>
        <v/>
      </c>
      <c r="AR760" s="29">
        <f>COUNTIF(W760:AC760,"Yes")</f>
        <v/>
      </c>
      <c r="AS760" s="29">
        <f>IF(TRIM(B760)="","Legal name missing; ","")&amp;IF(AND(AJ760&lt;&gt;"",AJ760&lt;&gt;"OK"),"GSTIN: "&amp;AJ760&amp;"; ","")&amp;IF(AND(AK760&lt;&gt;"",AK760&lt;&gt;"OK"),"PAN wrong format; ","")&amp;IF(AND(AO760&lt;&gt;"",LEN(AN760)=15,MID(AN760,3,10)&lt;&gt;AO760),"PAN does not match GSTIN; ","")&amp;IF(AND(AL760&lt;&gt;"",AL760&lt;&gt;"OK"),"TAN wrong format; ","")&amp;IF(AG760="","PAN missing; ","")&amp;IF(AP760="","Entity type missing; ","")&amp;IF(AND(AN760&lt;&gt;"",COUNTIF($AN$6:$AN$1005,AN760)&gt;1),"GSTIN repeated in this sheet; ","")&amp;IF(AND(AG760&lt;&gt;"",COUNTIF($AG$6:$AG$1005,AG760)&gt;1),"PAN repeated in this sheet (same client? put extra GSTINs in Other GSTINs); ","")&amp;IF(AND(AR760&gt;0,V760=""),"Financial year missing; ","")&amp;IF(AND(AR760=0,V760&lt;&gt;""),"Financial year given but no service is Yes; ","")&amp;IF(AND(W760="Yes",AN760=""),"GST needs a GSTIN; ","")&amp;IF(AND(W760="Yes",X760=""),"GST return frequency missing; ","")&amp;IF(AND(Y760="Yes",TRIM(H760)=""),"TDS needs a TAN; ","")&amp;IF(AND(AA760="Yes",AQ760&lt;&gt;"",AQ760&lt;&gt;"company",AQ760&lt;&gt;"llp"),"ROC is only for a company / LLP; ","")&amp;IF(AND(AA760="Yes",OR(AQ760="company",AQ760="llp"),TRIM(I760)=""),"ROC needs the CIN / LLPIN; ","")</f>
        <v/>
      </c>
    </row>
    <row r="761">
      <c r="A761" s="30" t="n"/>
      <c r="B761" s="31" t="n"/>
      <c r="C761" s="31" t="n"/>
      <c r="D761" s="31" t="n"/>
      <c r="E761" s="30" t="n"/>
      <c r="F761" s="30" t="n"/>
      <c r="G761" s="30" t="n"/>
      <c r="H761" s="30" t="n"/>
      <c r="I761" s="30" t="n"/>
      <c r="J761" s="32" t="n"/>
      <c r="K761" s="31" t="n"/>
      <c r="L761" s="30" t="n"/>
      <c r="M761" s="31" t="n"/>
      <c r="N761" s="31" t="n"/>
      <c r="O761" s="31" t="n"/>
      <c r="P761" s="30" t="n"/>
      <c r="Q761" s="31" t="n"/>
      <c r="R761" s="31" t="n"/>
      <c r="S761" s="31" t="n"/>
      <c r="T761" s="31" t="n"/>
      <c r="U761" s="30" t="n"/>
      <c r="V761" s="31" t="n"/>
      <c r="W761" s="31" t="n"/>
      <c r="X761" s="31" t="n"/>
      <c r="Y761" s="31" t="n"/>
      <c r="Z761" s="31" t="n"/>
      <c r="AA761" s="31" t="n"/>
      <c r="AB761" s="31" t="n"/>
      <c r="AC761" s="31" t="n"/>
      <c r="AD761" s="31" t="n"/>
      <c r="AE761" s="31" t="n"/>
      <c r="AF761" s="27">
        <f>IF(NOT(COUNTA(A761:AE761)&gt;0),"",IF(A761="","New client","Update"))</f>
        <v/>
      </c>
      <c r="AG761" s="27">
        <f>IF(AO761&lt;&gt;"",AO761,IF(LEN(AN761)=15,MID(AN761,3,10),""))</f>
        <v/>
      </c>
      <c r="AH761" s="27">
        <f>IF(AP761="","",AP761&amp;IF(D761="","  (guessed from PAN)",""))</f>
        <v/>
      </c>
      <c r="AI761" s="27">
        <f>IF(AN761="","",IFERROR(INDEX(Lists!$L$2:$L$38,MATCH(LEFT(AN761,2),Lists!$K$2:$K$38,0)),"Unknown code"))</f>
        <v/>
      </c>
      <c r="AJ761" s="27">
        <f>IF(AN761="","",IFERROR(IF(NOT(AND(LEN(AN761)=15,ISNUMBER(MATCH(LEFT(AN761,2),Lists!$K$2:$K$38,0)),SUMPRODUCT(--ISERROR(FIND(MID(MID(AN761,3,10),{1,2,3,4,5,10},1),"ABCDEFGHIJKLMNOPQRSTUVWXYZ")))=0,SUMPRODUCT(--ISERROR(FIND(MID(MID(AN761,3,10),{6,7,8,9},1),"0123456789")))=0,ISNUMBER(FIND(MID(AN761,13,1),"123456789ABCDEFGHIJKLMNOPQRSTUVWXYZ")),MID(AN761,14,1)="Z")),"Wrong format",IF(MID("0123456789ABCDEFGHIJKLMNOPQRSTUVWXYZ",MOD(36-MOD(SUMPRODUCT(INT((FIND(MID(AN761,{1,2,3,4,5,6,7,8,9,10,11,12,13,14},1),"0123456789ABCDEFGHIJKLMNOPQRSTUVWXYZ")-1)*{1,2,1,2,1,2,1,2,1,2,1,2,1,2}/36)+MOD((FIND(MID(AN761,{1,2,3,4,5,6,7,8,9,10,11,12,13,14},1),"0123456789ABCDEFGHIJKLMNOPQRSTUVWXYZ")-1)*{1,2,1,2,1,2,1,2,1,2,1,2,1,2},36)),36),36)+1,1)=MID(AN761,15,1),"OK","Typo? check digit wrong")),"Wrong format"))</f>
        <v/>
      </c>
      <c r="AK761" s="27">
        <f>IF(AO761="","",IF(AND(LEN(AO761)=10,SUMPRODUCT(--ISERROR(FIND(MID(AO761,{1,2,3,4,5,10},1),"ABCDEFGHIJKLMNOPQRSTUVWXYZ")))=0,SUMPRODUCT(--ISERROR(FIND(MID(AO761,{6,7,8,9},1),"0123456789")))=0),"OK","Wrong format"))</f>
        <v/>
      </c>
      <c r="AL761" s="27">
        <f>IF(TRIM(H761)="","",IF(AND(LEN(UPPER(TRIM(H761)))=10,SUMPRODUCT(--ISERROR(FIND(MID(UPPER(TRIM(H761)),{1,2,3,4,10},1),"ABCDEFGHIJKLMNOPQRSTUVWXYZ")))=0,SUMPRODUCT(--ISERROR(FIND(MID(UPPER(TRIM(H761)),{5,6,7,8,9},1),"0123456789")))=0),"OK","Wrong format"))</f>
        <v/>
      </c>
      <c r="AM761" s="28">
        <f>IF(NOT(COUNTA(A761:AE761)&gt;0),"",IF(AS761&lt;&gt;"","✖ "&amp;LEFT(AS761,LEN(AS761)-2),IF(AR761&gt;0,"✔ Ready — client + "&amp;AR761&amp;" service(s)","✔ Ready — client only")))</f>
        <v/>
      </c>
      <c r="AN761" s="29">
        <f>UPPER(SUBSTITUTE(TRIM(F761)," ",""))</f>
        <v/>
      </c>
      <c r="AO761" s="29">
        <f>UPPER(SUBSTITUTE(TRIM(E761)," ",""))</f>
        <v/>
      </c>
      <c r="AP761" s="29">
        <f>IF(D761&lt;&gt;"",D761,IFERROR(VLOOKUP(MID(AG761,4,1),Lists!$E$2:$F$8,2,FALSE),""))</f>
        <v/>
      </c>
      <c r="AQ761" s="29">
        <f>IFERROR(VLOOKUP(AP761,Lists!$A$2:$C$12,3,FALSE),"")</f>
        <v/>
      </c>
      <c r="AR761" s="29">
        <f>COUNTIF(W761:AC761,"Yes")</f>
        <v/>
      </c>
      <c r="AS761" s="29">
        <f>IF(TRIM(B761)="","Legal name missing; ","")&amp;IF(AND(AJ761&lt;&gt;"",AJ761&lt;&gt;"OK"),"GSTIN: "&amp;AJ761&amp;"; ","")&amp;IF(AND(AK761&lt;&gt;"",AK761&lt;&gt;"OK"),"PAN wrong format; ","")&amp;IF(AND(AO761&lt;&gt;"",LEN(AN761)=15,MID(AN761,3,10)&lt;&gt;AO761),"PAN does not match GSTIN; ","")&amp;IF(AND(AL761&lt;&gt;"",AL761&lt;&gt;"OK"),"TAN wrong format; ","")&amp;IF(AG761="","PAN missing; ","")&amp;IF(AP761="","Entity type missing; ","")&amp;IF(AND(AN761&lt;&gt;"",COUNTIF($AN$6:$AN$1005,AN761)&gt;1),"GSTIN repeated in this sheet; ","")&amp;IF(AND(AG761&lt;&gt;"",COUNTIF($AG$6:$AG$1005,AG761)&gt;1),"PAN repeated in this sheet (same client? put extra GSTINs in Other GSTINs); ","")&amp;IF(AND(AR761&gt;0,V761=""),"Financial year missing; ","")&amp;IF(AND(AR761=0,V761&lt;&gt;""),"Financial year given but no service is Yes; ","")&amp;IF(AND(W761="Yes",AN761=""),"GST needs a GSTIN; ","")&amp;IF(AND(W761="Yes",X761=""),"GST return frequency missing; ","")&amp;IF(AND(Y761="Yes",TRIM(H761)=""),"TDS needs a TAN; ","")&amp;IF(AND(AA761="Yes",AQ761&lt;&gt;"",AQ761&lt;&gt;"company",AQ761&lt;&gt;"llp"),"ROC is only for a company / LLP; ","")&amp;IF(AND(AA761="Yes",OR(AQ761="company",AQ761="llp"),TRIM(I761)=""),"ROC needs the CIN / LLPIN; ","")</f>
        <v/>
      </c>
    </row>
    <row r="762">
      <c r="A762" s="30" t="n"/>
      <c r="B762" s="31" t="n"/>
      <c r="C762" s="31" t="n"/>
      <c r="D762" s="31" t="n"/>
      <c r="E762" s="30" t="n"/>
      <c r="F762" s="30" t="n"/>
      <c r="G762" s="30" t="n"/>
      <c r="H762" s="30" t="n"/>
      <c r="I762" s="30" t="n"/>
      <c r="J762" s="32" t="n"/>
      <c r="K762" s="31" t="n"/>
      <c r="L762" s="30" t="n"/>
      <c r="M762" s="31" t="n"/>
      <c r="N762" s="31" t="n"/>
      <c r="O762" s="31" t="n"/>
      <c r="P762" s="30" t="n"/>
      <c r="Q762" s="31" t="n"/>
      <c r="R762" s="31" t="n"/>
      <c r="S762" s="31" t="n"/>
      <c r="T762" s="31" t="n"/>
      <c r="U762" s="30" t="n"/>
      <c r="V762" s="31" t="n"/>
      <c r="W762" s="31" t="n"/>
      <c r="X762" s="31" t="n"/>
      <c r="Y762" s="31" t="n"/>
      <c r="Z762" s="31" t="n"/>
      <c r="AA762" s="31" t="n"/>
      <c r="AB762" s="31" t="n"/>
      <c r="AC762" s="31" t="n"/>
      <c r="AD762" s="31" t="n"/>
      <c r="AE762" s="31" t="n"/>
      <c r="AF762" s="27">
        <f>IF(NOT(COUNTA(A762:AE762)&gt;0),"",IF(A762="","New client","Update"))</f>
        <v/>
      </c>
      <c r="AG762" s="27">
        <f>IF(AO762&lt;&gt;"",AO762,IF(LEN(AN762)=15,MID(AN762,3,10),""))</f>
        <v/>
      </c>
      <c r="AH762" s="27">
        <f>IF(AP762="","",AP762&amp;IF(D762="","  (guessed from PAN)",""))</f>
        <v/>
      </c>
      <c r="AI762" s="27">
        <f>IF(AN762="","",IFERROR(INDEX(Lists!$L$2:$L$38,MATCH(LEFT(AN762,2),Lists!$K$2:$K$38,0)),"Unknown code"))</f>
        <v/>
      </c>
      <c r="AJ762" s="27">
        <f>IF(AN762="","",IFERROR(IF(NOT(AND(LEN(AN762)=15,ISNUMBER(MATCH(LEFT(AN762,2),Lists!$K$2:$K$38,0)),SUMPRODUCT(--ISERROR(FIND(MID(MID(AN762,3,10),{1,2,3,4,5,10},1),"ABCDEFGHIJKLMNOPQRSTUVWXYZ")))=0,SUMPRODUCT(--ISERROR(FIND(MID(MID(AN762,3,10),{6,7,8,9},1),"0123456789")))=0,ISNUMBER(FIND(MID(AN762,13,1),"123456789ABCDEFGHIJKLMNOPQRSTUVWXYZ")),MID(AN762,14,1)="Z")),"Wrong format",IF(MID("0123456789ABCDEFGHIJKLMNOPQRSTUVWXYZ",MOD(36-MOD(SUMPRODUCT(INT((FIND(MID(AN762,{1,2,3,4,5,6,7,8,9,10,11,12,13,14},1),"0123456789ABCDEFGHIJKLMNOPQRSTUVWXYZ")-1)*{1,2,1,2,1,2,1,2,1,2,1,2,1,2}/36)+MOD((FIND(MID(AN762,{1,2,3,4,5,6,7,8,9,10,11,12,13,14},1),"0123456789ABCDEFGHIJKLMNOPQRSTUVWXYZ")-1)*{1,2,1,2,1,2,1,2,1,2,1,2,1,2},36)),36),36)+1,1)=MID(AN762,15,1),"OK","Typo? check digit wrong")),"Wrong format"))</f>
        <v/>
      </c>
      <c r="AK762" s="27">
        <f>IF(AO762="","",IF(AND(LEN(AO762)=10,SUMPRODUCT(--ISERROR(FIND(MID(AO762,{1,2,3,4,5,10},1),"ABCDEFGHIJKLMNOPQRSTUVWXYZ")))=0,SUMPRODUCT(--ISERROR(FIND(MID(AO762,{6,7,8,9},1),"0123456789")))=0),"OK","Wrong format"))</f>
        <v/>
      </c>
      <c r="AL762" s="27">
        <f>IF(TRIM(H762)="","",IF(AND(LEN(UPPER(TRIM(H762)))=10,SUMPRODUCT(--ISERROR(FIND(MID(UPPER(TRIM(H762)),{1,2,3,4,10},1),"ABCDEFGHIJKLMNOPQRSTUVWXYZ")))=0,SUMPRODUCT(--ISERROR(FIND(MID(UPPER(TRIM(H762)),{5,6,7,8,9},1),"0123456789")))=0),"OK","Wrong format"))</f>
        <v/>
      </c>
      <c r="AM762" s="28">
        <f>IF(NOT(COUNTA(A762:AE762)&gt;0),"",IF(AS762&lt;&gt;"","✖ "&amp;LEFT(AS762,LEN(AS762)-2),IF(AR762&gt;0,"✔ Ready — client + "&amp;AR762&amp;" service(s)","✔ Ready — client only")))</f>
        <v/>
      </c>
      <c r="AN762" s="29">
        <f>UPPER(SUBSTITUTE(TRIM(F762)," ",""))</f>
        <v/>
      </c>
      <c r="AO762" s="29">
        <f>UPPER(SUBSTITUTE(TRIM(E762)," ",""))</f>
        <v/>
      </c>
      <c r="AP762" s="29">
        <f>IF(D762&lt;&gt;"",D762,IFERROR(VLOOKUP(MID(AG762,4,1),Lists!$E$2:$F$8,2,FALSE),""))</f>
        <v/>
      </c>
      <c r="AQ762" s="29">
        <f>IFERROR(VLOOKUP(AP762,Lists!$A$2:$C$12,3,FALSE),"")</f>
        <v/>
      </c>
      <c r="AR762" s="29">
        <f>COUNTIF(W762:AC762,"Yes")</f>
        <v/>
      </c>
      <c r="AS762" s="29">
        <f>IF(TRIM(B762)="","Legal name missing; ","")&amp;IF(AND(AJ762&lt;&gt;"",AJ762&lt;&gt;"OK"),"GSTIN: "&amp;AJ762&amp;"; ","")&amp;IF(AND(AK762&lt;&gt;"",AK762&lt;&gt;"OK"),"PAN wrong format; ","")&amp;IF(AND(AO762&lt;&gt;"",LEN(AN762)=15,MID(AN762,3,10)&lt;&gt;AO762),"PAN does not match GSTIN; ","")&amp;IF(AND(AL762&lt;&gt;"",AL762&lt;&gt;"OK"),"TAN wrong format; ","")&amp;IF(AG762="","PAN missing; ","")&amp;IF(AP762="","Entity type missing; ","")&amp;IF(AND(AN762&lt;&gt;"",COUNTIF($AN$6:$AN$1005,AN762)&gt;1),"GSTIN repeated in this sheet; ","")&amp;IF(AND(AG762&lt;&gt;"",COUNTIF($AG$6:$AG$1005,AG762)&gt;1),"PAN repeated in this sheet (same client? put extra GSTINs in Other GSTINs); ","")&amp;IF(AND(AR762&gt;0,V762=""),"Financial year missing; ","")&amp;IF(AND(AR762=0,V762&lt;&gt;""),"Financial year given but no service is Yes; ","")&amp;IF(AND(W762="Yes",AN762=""),"GST needs a GSTIN; ","")&amp;IF(AND(W762="Yes",X762=""),"GST return frequency missing; ","")&amp;IF(AND(Y762="Yes",TRIM(H762)=""),"TDS needs a TAN; ","")&amp;IF(AND(AA762="Yes",AQ762&lt;&gt;"",AQ762&lt;&gt;"company",AQ762&lt;&gt;"llp"),"ROC is only for a company / LLP; ","")&amp;IF(AND(AA762="Yes",OR(AQ762="company",AQ762="llp"),TRIM(I762)=""),"ROC needs the CIN / LLPIN; ","")</f>
        <v/>
      </c>
    </row>
    <row r="763">
      <c r="A763" s="30" t="n"/>
      <c r="B763" s="31" t="n"/>
      <c r="C763" s="31" t="n"/>
      <c r="D763" s="31" t="n"/>
      <c r="E763" s="30" t="n"/>
      <c r="F763" s="30" t="n"/>
      <c r="G763" s="30" t="n"/>
      <c r="H763" s="30" t="n"/>
      <c r="I763" s="30" t="n"/>
      <c r="J763" s="32" t="n"/>
      <c r="K763" s="31" t="n"/>
      <c r="L763" s="30" t="n"/>
      <c r="M763" s="31" t="n"/>
      <c r="N763" s="31" t="n"/>
      <c r="O763" s="31" t="n"/>
      <c r="P763" s="30" t="n"/>
      <c r="Q763" s="31" t="n"/>
      <c r="R763" s="31" t="n"/>
      <c r="S763" s="31" t="n"/>
      <c r="T763" s="31" t="n"/>
      <c r="U763" s="30" t="n"/>
      <c r="V763" s="31" t="n"/>
      <c r="W763" s="31" t="n"/>
      <c r="X763" s="31" t="n"/>
      <c r="Y763" s="31" t="n"/>
      <c r="Z763" s="31" t="n"/>
      <c r="AA763" s="31" t="n"/>
      <c r="AB763" s="31" t="n"/>
      <c r="AC763" s="31" t="n"/>
      <c r="AD763" s="31" t="n"/>
      <c r="AE763" s="31" t="n"/>
      <c r="AF763" s="27">
        <f>IF(NOT(COUNTA(A763:AE763)&gt;0),"",IF(A763="","New client","Update"))</f>
        <v/>
      </c>
      <c r="AG763" s="27">
        <f>IF(AO763&lt;&gt;"",AO763,IF(LEN(AN763)=15,MID(AN763,3,10),""))</f>
        <v/>
      </c>
      <c r="AH763" s="27">
        <f>IF(AP763="","",AP763&amp;IF(D763="","  (guessed from PAN)",""))</f>
        <v/>
      </c>
      <c r="AI763" s="27">
        <f>IF(AN763="","",IFERROR(INDEX(Lists!$L$2:$L$38,MATCH(LEFT(AN763,2),Lists!$K$2:$K$38,0)),"Unknown code"))</f>
        <v/>
      </c>
      <c r="AJ763" s="27">
        <f>IF(AN763="","",IFERROR(IF(NOT(AND(LEN(AN763)=15,ISNUMBER(MATCH(LEFT(AN763,2),Lists!$K$2:$K$38,0)),SUMPRODUCT(--ISERROR(FIND(MID(MID(AN763,3,10),{1,2,3,4,5,10},1),"ABCDEFGHIJKLMNOPQRSTUVWXYZ")))=0,SUMPRODUCT(--ISERROR(FIND(MID(MID(AN763,3,10),{6,7,8,9},1),"0123456789")))=0,ISNUMBER(FIND(MID(AN763,13,1),"123456789ABCDEFGHIJKLMNOPQRSTUVWXYZ")),MID(AN763,14,1)="Z")),"Wrong format",IF(MID("0123456789ABCDEFGHIJKLMNOPQRSTUVWXYZ",MOD(36-MOD(SUMPRODUCT(INT((FIND(MID(AN763,{1,2,3,4,5,6,7,8,9,10,11,12,13,14},1),"0123456789ABCDEFGHIJKLMNOPQRSTUVWXYZ")-1)*{1,2,1,2,1,2,1,2,1,2,1,2,1,2}/36)+MOD((FIND(MID(AN763,{1,2,3,4,5,6,7,8,9,10,11,12,13,14},1),"0123456789ABCDEFGHIJKLMNOPQRSTUVWXYZ")-1)*{1,2,1,2,1,2,1,2,1,2,1,2,1,2},36)),36),36)+1,1)=MID(AN763,15,1),"OK","Typo? check digit wrong")),"Wrong format"))</f>
        <v/>
      </c>
      <c r="AK763" s="27">
        <f>IF(AO763="","",IF(AND(LEN(AO763)=10,SUMPRODUCT(--ISERROR(FIND(MID(AO763,{1,2,3,4,5,10},1),"ABCDEFGHIJKLMNOPQRSTUVWXYZ")))=0,SUMPRODUCT(--ISERROR(FIND(MID(AO763,{6,7,8,9},1),"0123456789")))=0),"OK","Wrong format"))</f>
        <v/>
      </c>
      <c r="AL763" s="27">
        <f>IF(TRIM(H763)="","",IF(AND(LEN(UPPER(TRIM(H763)))=10,SUMPRODUCT(--ISERROR(FIND(MID(UPPER(TRIM(H763)),{1,2,3,4,10},1),"ABCDEFGHIJKLMNOPQRSTUVWXYZ")))=0,SUMPRODUCT(--ISERROR(FIND(MID(UPPER(TRIM(H763)),{5,6,7,8,9},1),"0123456789")))=0),"OK","Wrong format"))</f>
        <v/>
      </c>
      <c r="AM763" s="28">
        <f>IF(NOT(COUNTA(A763:AE763)&gt;0),"",IF(AS763&lt;&gt;"","✖ "&amp;LEFT(AS763,LEN(AS763)-2),IF(AR763&gt;0,"✔ Ready — client + "&amp;AR763&amp;" service(s)","✔ Ready — client only")))</f>
        <v/>
      </c>
      <c r="AN763" s="29">
        <f>UPPER(SUBSTITUTE(TRIM(F763)," ",""))</f>
        <v/>
      </c>
      <c r="AO763" s="29">
        <f>UPPER(SUBSTITUTE(TRIM(E763)," ",""))</f>
        <v/>
      </c>
      <c r="AP763" s="29">
        <f>IF(D763&lt;&gt;"",D763,IFERROR(VLOOKUP(MID(AG763,4,1),Lists!$E$2:$F$8,2,FALSE),""))</f>
        <v/>
      </c>
      <c r="AQ763" s="29">
        <f>IFERROR(VLOOKUP(AP763,Lists!$A$2:$C$12,3,FALSE),"")</f>
        <v/>
      </c>
      <c r="AR763" s="29">
        <f>COUNTIF(W763:AC763,"Yes")</f>
        <v/>
      </c>
      <c r="AS763" s="29">
        <f>IF(TRIM(B763)="","Legal name missing; ","")&amp;IF(AND(AJ763&lt;&gt;"",AJ763&lt;&gt;"OK"),"GSTIN: "&amp;AJ763&amp;"; ","")&amp;IF(AND(AK763&lt;&gt;"",AK763&lt;&gt;"OK"),"PAN wrong format; ","")&amp;IF(AND(AO763&lt;&gt;"",LEN(AN763)=15,MID(AN763,3,10)&lt;&gt;AO763),"PAN does not match GSTIN; ","")&amp;IF(AND(AL763&lt;&gt;"",AL763&lt;&gt;"OK"),"TAN wrong format; ","")&amp;IF(AG763="","PAN missing; ","")&amp;IF(AP763="","Entity type missing; ","")&amp;IF(AND(AN763&lt;&gt;"",COUNTIF($AN$6:$AN$1005,AN763)&gt;1),"GSTIN repeated in this sheet; ","")&amp;IF(AND(AG763&lt;&gt;"",COUNTIF($AG$6:$AG$1005,AG763)&gt;1),"PAN repeated in this sheet (same client? put extra GSTINs in Other GSTINs); ","")&amp;IF(AND(AR763&gt;0,V763=""),"Financial year missing; ","")&amp;IF(AND(AR763=0,V763&lt;&gt;""),"Financial year given but no service is Yes; ","")&amp;IF(AND(W763="Yes",AN763=""),"GST needs a GSTIN; ","")&amp;IF(AND(W763="Yes",X763=""),"GST return frequency missing; ","")&amp;IF(AND(Y763="Yes",TRIM(H763)=""),"TDS needs a TAN; ","")&amp;IF(AND(AA763="Yes",AQ763&lt;&gt;"",AQ763&lt;&gt;"company",AQ763&lt;&gt;"llp"),"ROC is only for a company / LLP; ","")&amp;IF(AND(AA763="Yes",OR(AQ763="company",AQ763="llp"),TRIM(I763)=""),"ROC needs the CIN / LLPIN; ","")</f>
        <v/>
      </c>
    </row>
    <row r="764">
      <c r="A764" s="30" t="n"/>
      <c r="B764" s="31" t="n"/>
      <c r="C764" s="31" t="n"/>
      <c r="D764" s="31" t="n"/>
      <c r="E764" s="30" t="n"/>
      <c r="F764" s="30" t="n"/>
      <c r="G764" s="30" t="n"/>
      <c r="H764" s="30" t="n"/>
      <c r="I764" s="30" t="n"/>
      <c r="J764" s="32" t="n"/>
      <c r="K764" s="31" t="n"/>
      <c r="L764" s="30" t="n"/>
      <c r="M764" s="31" t="n"/>
      <c r="N764" s="31" t="n"/>
      <c r="O764" s="31" t="n"/>
      <c r="P764" s="30" t="n"/>
      <c r="Q764" s="31" t="n"/>
      <c r="R764" s="31" t="n"/>
      <c r="S764" s="31" t="n"/>
      <c r="T764" s="31" t="n"/>
      <c r="U764" s="30" t="n"/>
      <c r="V764" s="31" t="n"/>
      <c r="W764" s="31" t="n"/>
      <c r="X764" s="31" t="n"/>
      <c r="Y764" s="31" t="n"/>
      <c r="Z764" s="31" t="n"/>
      <c r="AA764" s="31" t="n"/>
      <c r="AB764" s="31" t="n"/>
      <c r="AC764" s="31" t="n"/>
      <c r="AD764" s="31" t="n"/>
      <c r="AE764" s="31" t="n"/>
      <c r="AF764" s="27">
        <f>IF(NOT(COUNTA(A764:AE764)&gt;0),"",IF(A764="","New client","Update"))</f>
        <v/>
      </c>
      <c r="AG764" s="27">
        <f>IF(AO764&lt;&gt;"",AO764,IF(LEN(AN764)=15,MID(AN764,3,10),""))</f>
        <v/>
      </c>
      <c r="AH764" s="27">
        <f>IF(AP764="","",AP764&amp;IF(D764="","  (guessed from PAN)",""))</f>
        <v/>
      </c>
      <c r="AI764" s="27">
        <f>IF(AN764="","",IFERROR(INDEX(Lists!$L$2:$L$38,MATCH(LEFT(AN764,2),Lists!$K$2:$K$38,0)),"Unknown code"))</f>
        <v/>
      </c>
      <c r="AJ764" s="27">
        <f>IF(AN764="","",IFERROR(IF(NOT(AND(LEN(AN764)=15,ISNUMBER(MATCH(LEFT(AN764,2),Lists!$K$2:$K$38,0)),SUMPRODUCT(--ISERROR(FIND(MID(MID(AN764,3,10),{1,2,3,4,5,10},1),"ABCDEFGHIJKLMNOPQRSTUVWXYZ")))=0,SUMPRODUCT(--ISERROR(FIND(MID(MID(AN764,3,10),{6,7,8,9},1),"0123456789")))=0,ISNUMBER(FIND(MID(AN764,13,1),"123456789ABCDEFGHIJKLMNOPQRSTUVWXYZ")),MID(AN764,14,1)="Z")),"Wrong format",IF(MID("0123456789ABCDEFGHIJKLMNOPQRSTUVWXYZ",MOD(36-MOD(SUMPRODUCT(INT((FIND(MID(AN764,{1,2,3,4,5,6,7,8,9,10,11,12,13,14},1),"0123456789ABCDEFGHIJKLMNOPQRSTUVWXYZ")-1)*{1,2,1,2,1,2,1,2,1,2,1,2,1,2}/36)+MOD((FIND(MID(AN764,{1,2,3,4,5,6,7,8,9,10,11,12,13,14},1),"0123456789ABCDEFGHIJKLMNOPQRSTUVWXYZ")-1)*{1,2,1,2,1,2,1,2,1,2,1,2,1,2},36)),36),36)+1,1)=MID(AN764,15,1),"OK","Typo? check digit wrong")),"Wrong format"))</f>
        <v/>
      </c>
      <c r="AK764" s="27">
        <f>IF(AO764="","",IF(AND(LEN(AO764)=10,SUMPRODUCT(--ISERROR(FIND(MID(AO764,{1,2,3,4,5,10},1),"ABCDEFGHIJKLMNOPQRSTUVWXYZ")))=0,SUMPRODUCT(--ISERROR(FIND(MID(AO764,{6,7,8,9},1),"0123456789")))=0),"OK","Wrong format"))</f>
        <v/>
      </c>
      <c r="AL764" s="27">
        <f>IF(TRIM(H764)="","",IF(AND(LEN(UPPER(TRIM(H764)))=10,SUMPRODUCT(--ISERROR(FIND(MID(UPPER(TRIM(H764)),{1,2,3,4,10},1),"ABCDEFGHIJKLMNOPQRSTUVWXYZ")))=0,SUMPRODUCT(--ISERROR(FIND(MID(UPPER(TRIM(H764)),{5,6,7,8,9},1),"0123456789")))=0),"OK","Wrong format"))</f>
        <v/>
      </c>
      <c r="AM764" s="28">
        <f>IF(NOT(COUNTA(A764:AE764)&gt;0),"",IF(AS764&lt;&gt;"","✖ "&amp;LEFT(AS764,LEN(AS764)-2),IF(AR764&gt;0,"✔ Ready — client + "&amp;AR764&amp;" service(s)","✔ Ready — client only")))</f>
        <v/>
      </c>
      <c r="AN764" s="29">
        <f>UPPER(SUBSTITUTE(TRIM(F764)," ",""))</f>
        <v/>
      </c>
      <c r="AO764" s="29">
        <f>UPPER(SUBSTITUTE(TRIM(E764)," ",""))</f>
        <v/>
      </c>
      <c r="AP764" s="29">
        <f>IF(D764&lt;&gt;"",D764,IFERROR(VLOOKUP(MID(AG764,4,1),Lists!$E$2:$F$8,2,FALSE),""))</f>
        <v/>
      </c>
      <c r="AQ764" s="29">
        <f>IFERROR(VLOOKUP(AP764,Lists!$A$2:$C$12,3,FALSE),"")</f>
        <v/>
      </c>
      <c r="AR764" s="29">
        <f>COUNTIF(W764:AC764,"Yes")</f>
        <v/>
      </c>
      <c r="AS764" s="29">
        <f>IF(TRIM(B764)="","Legal name missing; ","")&amp;IF(AND(AJ764&lt;&gt;"",AJ764&lt;&gt;"OK"),"GSTIN: "&amp;AJ764&amp;"; ","")&amp;IF(AND(AK764&lt;&gt;"",AK764&lt;&gt;"OK"),"PAN wrong format; ","")&amp;IF(AND(AO764&lt;&gt;"",LEN(AN764)=15,MID(AN764,3,10)&lt;&gt;AO764),"PAN does not match GSTIN; ","")&amp;IF(AND(AL764&lt;&gt;"",AL764&lt;&gt;"OK"),"TAN wrong format; ","")&amp;IF(AG764="","PAN missing; ","")&amp;IF(AP764="","Entity type missing; ","")&amp;IF(AND(AN764&lt;&gt;"",COUNTIF($AN$6:$AN$1005,AN764)&gt;1),"GSTIN repeated in this sheet; ","")&amp;IF(AND(AG764&lt;&gt;"",COUNTIF($AG$6:$AG$1005,AG764)&gt;1),"PAN repeated in this sheet (same client? put extra GSTINs in Other GSTINs); ","")&amp;IF(AND(AR764&gt;0,V764=""),"Financial year missing; ","")&amp;IF(AND(AR764=0,V764&lt;&gt;""),"Financial year given but no service is Yes; ","")&amp;IF(AND(W764="Yes",AN764=""),"GST needs a GSTIN; ","")&amp;IF(AND(W764="Yes",X764=""),"GST return frequency missing; ","")&amp;IF(AND(Y764="Yes",TRIM(H764)=""),"TDS needs a TAN; ","")&amp;IF(AND(AA764="Yes",AQ764&lt;&gt;"",AQ764&lt;&gt;"company",AQ764&lt;&gt;"llp"),"ROC is only for a company / LLP; ","")&amp;IF(AND(AA764="Yes",OR(AQ764="company",AQ764="llp"),TRIM(I764)=""),"ROC needs the CIN / LLPIN; ","")</f>
        <v/>
      </c>
    </row>
    <row r="765">
      <c r="A765" s="30" t="n"/>
      <c r="B765" s="31" t="n"/>
      <c r="C765" s="31" t="n"/>
      <c r="D765" s="31" t="n"/>
      <c r="E765" s="30" t="n"/>
      <c r="F765" s="30" t="n"/>
      <c r="G765" s="30" t="n"/>
      <c r="H765" s="30" t="n"/>
      <c r="I765" s="30" t="n"/>
      <c r="J765" s="32" t="n"/>
      <c r="K765" s="31" t="n"/>
      <c r="L765" s="30" t="n"/>
      <c r="M765" s="31" t="n"/>
      <c r="N765" s="31" t="n"/>
      <c r="O765" s="31" t="n"/>
      <c r="P765" s="30" t="n"/>
      <c r="Q765" s="31" t="n"/>
      <c r="R765" s="31" t="n"/>
      <c r="S765" s="31" t="n"/>
      <c r="T765" s="31" t="n"/>
      <c r="U765" s="30" t="n"/>
      <c r="V765" s="31" t="n"/>
      <c r="W765" s="31" t="n"/>
      <c r="X765" s="31" t="n"/>
      <c r="Y765" s="31" t="n"/>
      <c r="Z765" s="31" t="n"/>
      <c r="AA765" s="31" t="n"/>
      <c r="AB765" s="31" t="n"/>
      <c r="AC765" s="31" t="n"/>
      <c r="AD765" s="31" t="n"/>
      <c r="AE765" s="31" t="n"/>
      <c r="AF765" s="27">
        <f>IF(NOT(COUNTA(A765:AE765)&gt;0),"",IF(A765="","New client","Update"))</f>
        <v/>
      </c>
      <c r="AG765" s="27">
        <f>IF(AO765&lt;&gt;"",AO765,IF(LEN(AN765)=15,MID(AN765,3,10),""))</f>
        <v/>
      </c>
      <c r="AH765" s="27">
        <f>IF(AP765="","",AP765&amp;IF(D765="","  (guessed from PAN)",""))</f>
        <v/>
      </c>
      <c r="AI765" s="27">
        <f>IF(AN765="","",IFERROR(INDEX(Lists!$L$2:$L$38,MATCH(LEFT(AN765,2),Lists!$K$2:$K$38,0)),"Unknown code"))</f>
        <v/>
      </c>
      <c r="AJ765" s="27">
        <f>IF(AN765="","",IFERROR(IF(NOT(AND(LEN(AN765)=15,ISNUMBER(MATCH(LEFT(AN765,2),Lists!$K$2:$K$38,0)),SUMPRODUCT(--ISERROR(FIND(MID(MID(AN765,3,10),{1,2,3,4,5,10},1),"ABCDEFGHIJKLMNOPQRSTUVWXYZ")))=0,SUMPRODUCT(--ISERROR(FIND(MID(MID(AN765,3,10),{6,7,8,9},1),"0123456789")))=0,ISNUMBER(FIND(MID(AN765,13,1),"123456789ABCDEFGHIJKLMNOPQRSTUVWXYZ")),MID(AN765,14,1)="Z")),"Wrong format",IF(MID("0123456789ABCDEFGHIJKLMNOPQRSTUVWXYZ",MOD(36-MOD(SUMPRODUCT(INT((FIND(MID(AN765,{1,2,3,4,5,6,7,8,9,10,11,12,13,14},1),"0123456789ABCDEFGHIJKLMNOPQRSTUVWXYZ")-1)*{1,2,1,2,1,2,1,2,1,2,1,2,1,2}/36)+MOD((FIND(MID(AN765,{1,2,3,4,5,6,7,8,9,10,11,12,13,14},1),"0123456789ABCDEFGHIJKLMNOPQRSTUVWXYZ")-1)*{1,2,1,2,1,2,1,2,1,2,1,2,1,2},36)),36),36)+1,1)=MID(AN765,15,1),"OK","Typo? check digit wrong")),"Wrong format"))</f>
        <v/>
      </c>
      <c r="AK765" s="27">
        <f>IF(AO765="","",IF(AND(LEN(AO765)=10,SUMPRODUCT(--ISERROR(FIND(MID(AO765,{1,2,3,4,5,10},1),"ABCDEFGHIJKLMNOPQRSTUVWXYZ")))=0,SUMPRODUCT(--ISERROR(FIND(MID(AO765,{6,7,8,9},1),"0123456789")))=0),"OK","Wrong format"))</f>
        <v/>
      </c>
      <c r="AL765" s="27">
        <f>IF(TRIM(H765)="","",IF(AND(LEN(UPPER(TRIM(H765)))=10,SUMPRODUCT(--ISERROR(FIND(MID(UPPER(TRIM(H765)),{1,2,3,4,10},1),"ABCDEFGHIJKLMNOPQRSTUVWXYZ")))=0,SUMPRODUCT(--ISERROR(FIND(MID(UPPER(TRIM(H765)),{5,6,7,8,9},1),"0123456789")))=0),"OK","Wrong format"))</f>
        <v/>
      </c>
      <c r="AM765" s="28">
        <f>IF(NOT(COUNTA(A765:AE765)&gt;0),"",IF(AS765&lt;&gt;"","✖ "&amp;LEFT(AS765,LEN(AS765)-2),IF(AR765&gt;0,"✔ Ready — client + "&amp;AR765&amp;" service(s)","✔ Ready — client only")))</f>
        <v/>
      </c>
      <c r="AN765" s="29">
        <f>UPPER(SUBSTITUTE(TRIM(F765)," ",""))</f>
        <v/>
      </c>
      <c r="AO765" s="29">
        <f>UPPER(SUBSTITUTE(TRIM(E765)," ",""))</f>
        <v/>
      </c>
      <c r="AP765" s="29">
        <f>IF(D765&lt;&gt;"",D765,IFERROR(VLOOKUP(MID(AG765,4,1),Lists!$E$2:$F$8,2,FALSE),""))</f>
        <v/>
      </c>
      <c r="AQ765" s="29">
        <f>IFERROR(VLOOKUP(AP765,Lists!$A$2:$C$12,3,FALSE),"")</f>
        <v/>
      </c>
      <c r="AR765" s="29">
        <f>COUNTIF(W765:AC765,"Yes")</f>
        <v/>
      </c>
      <c r="AS765" s="29">
        <f>IF(TRIM(B765)="","Legal name missing; ","")&amp;IF(AND(AJ765&lt;&gt;"",AJ765&lt;&gt;"OK"),"GSTIN: "&amp;AJ765&amp;"; ","")&amp;IF(AND(AK765&lt;&gt;"",AK765&lt;&gt;"OK"),"PAN wrong format; ","")&amp;IF(AND(AO765&lt;&gt;"",LEN(AN765)=15,MID(AN765,3,10)&lt;&gt;AO765),"PAN does not match GSTIN; ","")&amp;IF(AND(AL765&lt;&gt;"",AL765&lt;&gt;"OK"),"TAN wrong format; ","")&amp;IF(AG765="","PAN missing; ","")&amp;IF(AP765="","Entity type missing; ","")&amp;IF(AND(AN765&lt;&gt;"",COUNTIF($AN$6:$AN$1005,AN765)&gt;1),"GSTIN repeated in this sheet; ","")&amp;IF(AND(AG765&lt;&gt;"",COUNTIF($AG$6:$AG$1005,AG765)&gt;1),"PAN repeated in this sheet (same client? put extra GSTINs in Other GSTINs); ","")&amp;IF(AND(AR765&gt;0,V765=""),"Financial year missing; ","")&amp;IF(AND(AR765=0,V765&lt;&gt;""),"Financial year given but no service is Yes; ","")&amp;IF(AND(W765="Yes",AN765=""),"GST needs a GSTIN; ","")&amp;IF(AND(W765="Yes",X765=""),"GST return frequency missing; ","")&amp;IF(AND(Y765="Yes",TRIM(H765)=""),"TDS needs a TAN; ","")&amp;IF(AND(AA765="Yes",AQ765&lt;&gt;"",AQ765&lt;&gt;"company",AQ765&lt;&gt;"llp"),"ROC is only for a company / LLP; ","")&amp;IF(AND(AA765="Yes",OR(AQ765="company",AQ765="llp"),TRIM(I765)=""),"ROC needs the CIN / LLPIN; ","")</f>
        <v/>
      </c>
    </row>
    <row r="766">
      <c r="A766" s="30" t="n"/>
      <c r="B766" s="31" t="n"/>
      <c r="C766" s="31" t="n"/>
      <c r="D766" s="31" t="n"/>
      <c r="E766" s="30" t="n"/>
      <c r="F766" s="30" t="n"/>
      <c r="G766" s="30" t="n"/>
      <c r="H766" s="30" t="n"/>
      <c r="I766" s="30" t="n"/>
      <c r="J766" s="32" t="n"/>
      <c r="K766" s="31" t="n"/>
      <c r="L766" s="30" t="n"/>
      <c r="M766" s="31" t="n"/>
      <c r="N766" s="31" t="n"/>
      <c r="O766" s="31" t="n"/>
      <c r="P766" s="30" t="n"/>
      <c r="Q766" s="31" t="n"/>
      <c r="R766" s="31" t="n"/>
      <c r="S766" s="31" t="n"/>
      <c r="T766" s="31" t="n"/>
      <c r="U766" s="30" t="n"/>
      <c r="V766" s="31" t="n"/>
      <c r="W766" s="31" t="n"/>
      <c r="X766" s="31" t="n"/>
      <c r="Y766" s="31" t="n"/>
      <c r="Z766" s="31" t="n"/>
      <c r="AA766" s="31" t="n"/>
      <c r="AB766" s="31" t="n"/>
      <c r="AC766" s="31" t="n"/>
      <c r="AD766" s="31" t="n"/>
      <c r="AE766" s="31" t="n"/>
      <c r="AF766" s="27">
        <f>IF(NOT(COUNTA(A766:AE766)&gt;0),"",IF(A766="","New client","Update"))</f>
        <v/>
      </c>
      <c r="AG766" s="27">
        <f>IF(AO766&lt;&gt;"",AO766,IF(LEN(AN766)=15,MID(AN766,3,10),""))</f>
        <v/>
      </c>
      <c r="AH766" s="27">
        <f>IF(AP766="","",AP766&amp;IF(D766="","  (guessed from PAN)",""))</f>
        <v/>
      </c>
      <c r="AI766" s="27">
        <f>IF(AN766="","",IFERROR(INDEX(Lists!$L$2:$L$38,MATCH(LEFT(AN766,2),Lists!$K$2:$K$38,0)),"Unknown code"))</f>
        <v/>
      </c>
      <c r="AJ766" s="27">
        <f>IF(AN766="","",IFERROR(IF(NOT(AND(LEN(AN766)=15,ISNUMBER(MATCH(LEFT(AN766,2),Lists!$K$2:$K$38,0)),SUMPRODUCT(--ISERROR(FIND(MID(MID(AN766,3,10),{1,2,3,4,5,10},1),"ABCDEFGHIJKLMNOPQRSTUVWXYZ")))=0,SUMPRODUCT(--ISERROR(FIND(MID(MID(AN766,3,10),{6,7,8,9},1),"0123456789")))=0,ISNUMBER(FIND(MID(AN766,13,1),"123456789ABCDEFGHIJKLMNOPQRSTUVWXYZ")),MID(AN766,14,1)="Z")),"Wrong format",IF(MID("0123456789ABCDEFGHIJKLMNOPQRSTUVWXYZ",MOD(36-MOD(SUMPRODUCT(INT((FIND(MID(AN766,{1,2,3,4,5,6,7,8,9,10,11,12,13,14},1),"0123456789ABCDEFGHIJKLMNOPQRSTUVWXYZ")-1)*{1,2,1,2,1,2,1,2,1,2,1,2,1,2}/36)+MOD((FIND(MID(AN766,{1,2,3,4,5,6,7,8,9,10,11,12,13,14},1),"0123456789ABCDEFGHIJKLMNOPQRSTUVWXYZ")-1)*{1,2,1,2,1,2,1,2,1,2,1,2,1,2},36)),36),36)+1,1)=MID(AN766,15,1),"OK","Typo? check digit wrong")),"Wrong format"))</f>
        <v/>
      </c>
      <c r="AK766" s="27">
        <f>IF(AO766="","",IF(AND(LEN(AO766)=10,SUMPRODUCT(--ISERROR(FIND(MID(AO766,{1,2,3,4,5,10},1),"ABCDEFGHIJKLMNOPQRSTUVWXYZ")))=0,SUMPRODUCT(--ISERROR(FIND(MID(AO766,{6,7,8,9},1),"0123456789")))=0),"OK","Wrong format"))</f>
        <v/>
      </c>
      <c r="AL766" s="27">
        <f>IF(TRIM(H766)="","",IF(AND(LEN(UPPER(TRIM(H766)))=10,SUMPRODUCT(--ISERROR(FIND(MID(UPPER(TRIM(H766)),{1,2,3,4,10},1),"ABCDEFGHIJKLMNOPQRSTUVWXYZ")))=0,SUMPRODUCT(--ISERROR(FIND(MID(UPPER(TRIM(H766)),{5,6,7,8,9},1),"0123456789")))=0),"OK","Wrong format"))</f>
        <v/>
      </c>
      <c r="AM766" s="28">
        <f>IF(NOT(COUNTA(A766:AE766)&gt;0),"",IF(AS766&lt;&gt;"","✖ "&amp;LEFT(AS766,LEN(AS766)-2),IF(AR766&gt;0,"✔ Ready — client + "&amp;AR766&amp;" service(s)","✔ Ready — client only")))</f>
        <v/>
      </c>
      <c r="AN766" s="29">
        <f>UPPER(SUBSTITUTE(TRIM(F766)," ",""))</f>
        <v/>
      </c>
      <c r="AO766" s="29">
        <f>UPPER(SUBSTITUTE(TRIM(E766)," ",""))</f>
        <v/>
      </c>
      <c r="AP766" s="29">
        <f>IF(D766&lt;&gt;"",D766,IFERROR(VLOOKUP(MID(AG766,4,1),Lists!$E$2:$F$8,2,FALSE),""))</f>
        <v/>
      </c>
      <c r="AQ766" s="29">
        <f>IFERROR(VLOOKUP(AP766,Lists!$A$2:$C$12,3,FALSE),"")</f>
        <v/>
      </c>
      <c r="AR766" s="29">
        <f>COUNTIF(W766:AC766,"Yes")</f>
        <v/>
      </c>
      <c r="AS766" s="29">
        <f>IF(TRIM(B766)="","Legal name missing; ","")&amp;IF(AND(AJ766&lt;&gt;"",AJ766&lt;&gt;"OK"),"GSTIN: "&amp;AJ766&amp;"; ","")&amp;IF(AND(AK766&lt;&gt;"",AK766&lt;&gt;"OK"),"PAN wrong format; ","")&amp;IF(AND(AO766&lt;&gt;"",LEN(AN766)=15,MID(AN766,3,10)&lt;&gt;AO766),"PAN does not match GSTIN; ","")&amp;IF(AND(AL766&lt;&gt;"",AL766&lt;&gt;"OK"),"TAN wrong format; ","")&amp;IF(AG766="","PAN missing; ","")&amp;IF(AP766="","Entity type missing; ","")&amp;IF(AND(AN766&lt;&gt;"",COUNTIF($AN$6:$AN$1005,AN766)&gt;1),"GSTIN repeated in this sheet; ","")&amp;IF(AND(AG766&lt;&gt;"",COUNTIF($AG$6:$AG$1005,AG766)&gt;1),"PAN repeated in this sheet (same client? put extra GSTINs in Other GSTINs); ","")&amp;IF(AND(AR766&gt;0,V766=""),"Financial year missing; ","")&amp;IF(AND(AR766=0,V766&lt;&gt;""),"Financial year given but no service is Yes; ","")&amp;IF(AND(W766="Yes",AN766=""),"GST needs a GSTIN; ","")&amp;IF(AND(W766="Yes",X766=""),"GST return frequency missing; ","")&amp;IF(AND(Y766="Yes",TRIM(H766)=""),"TDS needs a TAN; ","")&amp;IF(AND(AA766="Yes",AQ766&lt;&gt;"",AQ766&lt;&gt;"company",AQ766&lt;&gt;"llp"),"ROC is only for a company / LLP; ","")&amp;IF(AND(AA766="Yes",OR(AQ766="company",AQ766="llp"),TRIM(I766)=""),"ROC needs the CIN / LLPIN; ","")</f>
        <v/>
      </c>
    </row>
    <row r="767">
      <c r="A767" s="30" t="n"/>
      <c r="B767" s="31" t="n"/>
      <c r="C767" s="31" t="n"/>
      <c r="D767" s="31" t="n"/>
      <c r="E767" s="30" t="n"/>
      <c r="F767" s="30" t="n"/>
      <c r="G767" s="30" t="n"/>
      <c r="H767" s="30" t="n"/>
      <c r="I767" s="30" t="n"/>
      <c r="J767" s="32" t="n"/>
      <c r="K767" s="31" t="n"/>
      <c r="L767" s="30" t="n"/>
      <c r="M767" s="31" t="n"/>
      <c r="N767" s="31" t="n"/>
      <c r="O767" s="31" t="n"/>
      <c r="P767" s="30" t="n"/>
      <c r="Q767" s="31" t="n"/>
      <c r="R767" s="31" t="n"/>
      <c r="S767" s="31" t="n"/>
      <c r="T767" s="31" t="n"/>
      <c r="U767" s="30" t="n"/>
      <c r="V767" s="31" t="n"/>
      <c r="W767" s="31" t="n"/>
      <c r="X767" s="31" t="n"/>
      <c r="Y767" s="31" t="n"/>
      <c r="Z767" s="31" t="n"/>
      <c r="AA767" s="31" t="n"/>
      <c r="AB767" s="31" t="n"/>
      <c r="AC767" s="31" t="n"/>
      <c r="AD767" s="31" t="n"/>
      <c r="AE767" s="31" t="n"/>
      <c r="AF767" s="27">
        <f>IF(NOT(COUNTA(A767:AE767)&gt;0),"",IF(A767="","New client","Update"))</f>
        <v/>
      </c>
      <c r="AG767" s="27">
        <f>IF(AO767&lt;&gt;"",AO767,IF(LEN(AN767)=15,MID(AN767,3,10),""))</f>
        <v/>
      </c>
      <c r="AH767" s="27">
        <f>IF(AP767="","",AP767&amp;IF(D767="","  (guessed from PAN)",""))</f>
        <v/>
      </c>
      <c r="AI767" s="27">
        <f>IF(AN767="","",IFERROR(INDEX(Lists!$L$2:$L$38,MATCH(LEFT(AN767,2),Lists!$K$2:$K$38,0)),"Unknown code"))</f>
        <v/>
      </c>
      <c r="AJ767" s="27">
        <f>IF(AN767="","",IFERROR(IF(NOT(AND(LEN(AN767)=15,ISNUMBER(MATCH(LEFT(AN767,2),Lists!$K$2:$K$38,0)),SUMPRODUCT(--ISERROR(FIND(MID(MID(AN767,3,10),{1,2,3,4,5,10},1),"ABCDEFGHIJKLMNOPQRSTUVWXYZ")))=0,SUMPRODUCT(--ISERROR(FIND(MID(MID(AN767,3,10),{6,7,8,9},1),"0123456789")))=0,ISNUMBER(FIND(MID(AN767,13,1),"123456789ABCDEFGHIJKLMNOPQRSTUVWXYZ")),MID(AN767,14,1)="Z")),"Wrong format",IF(MID("0123456789ABCDEFGHIJKLMNOPQRSTUVWXYZ",MOD(36-MOD(SUMPRODUCT(INT((FIND(MID(AN767,{1,2,3,4,5,6,7,8,9,10,11,12,13,14},1),"0123456789ABCDEFGHIJKLMNOPQRSTUVWXYZ")-1)*{1,2,1,2,1,2,1,2,1,2,1,2,1,2}/36)+MOD((FIND(MID(AN767,{1,2,3,4,5,6,7,8,9,10,11,12,13,14},1),"0123456789ABCDEFGHIJKLMNOPQRSTUVWXYZ")-1)*{1,2,1,2,1,2,1,2,1,2,1,2,1,2},36)),36),36)+1,1)=MID(AN767,15,1),"OK","Typo? check digit wrong")),"Wrong format"))</f>
        <v/>
      </c>
      <c r="AK767" s="27">
        <f>IF(AO767="","",IF(AND(LEN(AO767)=10,SUMPRODUCT(--ISERROR(FIND(MID(AO767,{1,2,3,4,5,10},1),"ABCDEFGHIJKLMNOPQRSTUVWXYZ")))=0,SUMPRODUCT(--ISERROR(FIND(MID(AO767,{6,7,8,9},1),"0123456789")))=0),"OK","Wrong format"))</f>
        <v/>
      </c>
      <c r="AL767" s="27">
        <f>IF(TRIM(H767)="","",IF(AND(LEN(UPPER(TRIM(H767)))=10,SUMPRODUCT(--ISERROR(FIND(MID(UPPER(TRIM(H767)),{1,2,3,4,10},1),"ABCDEFGHIJKLMNOPQRSTUVWXYZ")))=0,SUMPRODUCT(--ISERROR(FIND(MID(UPPER(TRIM(H767)),{5,6,7,8,9},1),"0123456789")))=0),"OK","Wrong format"))</f>
        <v/>
      </c>
      <c r="AM767" s="28">
        <f>IF(NOT(COUNTA(A767:AE767)&gt;0),"",IF(AS767&lt;&gt;"","✖ "&amp;LEFT(AS767,LEN(AS767)-2),IF(AR767&gt;0,"✔ Ready — client + "&amp;AR767&amp;" service(s)","✔ Ready — client only")))</f>
        <v/>
      </c>
      <c r="AN767" s="29">
        <f>UPPER(SUBSTITUTE(TRIM(F767)," ",""))</f>
        <v/>
      </c>
      <c r="AO767" s="29">
        <f>UPPER(SUBSTITUTE(TRIM(E767)," ",""))</f>
        <v/>
      </c>
      <c r="AP767" s="29">
        <f>IF(D767&lt;&gt;"",D767,IFERROR(VLOOKUP(MID(AG767,4,1),Lists!$E$2:$F$8,2,FALSE),""))</f>
        <v/>
      </c>
      <c r="AQ767" s="29">
        <f>IFERROR(VLOOKUP(AP767,Lists!$A$2:$C$12,3,FALSE),"")</f>
        <v/>
      </c>
      <c r="AR767" s="29">
        <f>COUNTIF(W767:AC767,"Yes")</f>
        <v/>
      </c>
      <c r="AS767" s="29">
        <f>IF(TRIM(B767)="","Legal name missing; ","")&amp;IF(AND(AJ767&lt;&gt;"",AJ767&lt;&gt;"OK"),"GSTIN: "&amp;AJ767&amp;"; ","")&amp;IF(AND(AK767&lt;&gt;"",AK767&lt;&gt;"OK"),"PAN wrong format; ","")&amp;IF(AND(AO767&lt;&gt;"",LEN(AN767)=15,MID(AN767,3,10)&lt;&gt;AO767),"PAN does not match GSTIN; ","")&amp;IF(AND(AL767&lt;&gt;"",AL767&lt;&gt;"OK"),"TAN wrong format; ","")&amp;IF(AG767="","PAN missing; ","")&amp;IF(AP767="","Entity type missing; ","")&amp;IF(AND(AN767&lt;&gt;"",COUNTIF($AN$6:$AN$1005,AN767)&gt;1),"GSTIN repeated in this sheet; ","")&amp;IF(AND(AG767&lt;&gt;"",COUNTIF($AG$6:$AG$1005,AG767)&gt;1),"PAN repeated in this sheet (same client? put extra GSTINs in Other GSTINs); ","")&amp;IF(AND(AR767&gt;0,V767=""),"Financial year missing; ","")&amp;IF(AND(AR767=0,V767&lt;&gt;""),"Financial year given but no service is Yes; ","")&amp;IF(AND(W767="Yes",AN767=""),"GST needs a GSTIN; ","")&amp;IF(AND(W767="Yes",X767=""),"GST return frequency missing; ","")&amp;IF(AND(Y767="Yes",TRIM(H767)=""),"TDS needs a TAN; ","")&amp;IF(AND(AA767="Yes",AQ767&lt;&gt;"",AQ767&lt;&gt;"company",AQ767&lt;&gt;"llp"),"ROC is only for a company / LLP; ","")&amp;IF(AND(AA767="Yes",OR(AQ767="company",AQ767="llp"),TRIM(I767)=""),"ROC needs the CIN / LLPIN; ","")</f>
        <v/>
      </c>
    </row>
    <row r="768">
      <c r="A768" s="30" t="n"/>
      <c r="B768" s="31" t="n"/>
      <c r="C768" s="31" t="n"/>
      <c r="D768" s="31" t="n"/>
      <c r="E768" s="30" t="n"/>
      <c r="F768" s="30" t="n"/>
      <c r="G768" s="30" t="n"/>
      <c r="H768" s="30" t="n"/>
      <c r="I768" s="30" t="n"/>
      <c r="J768" s="32" t="n"/>
      <c r="K768" s="31" t="n"/>
      <c r="L768" s="30" t="n"/>
      <c r="M768" s="31" t="n"/>
      <c r="N768" s="31" t="n"/>
      <c r="O768" s="31" t="n"/>
      <c r="P768" s="30" t="n"/>
      <c r="Q768" s="31" t="n"/>
      <c r="R768" s="31" t="n"/>
      <c r="S768" s="31" t="n"/>
      <c r="T768" s="31" t="n"/>
      <c r="U768" s="30" t="n"/>
      <c r="V768" s="31" t="n"/>
      <c r="W768" s="31" t="n"/>
      <c r="X768" s="31" t="n"/>
      <c r="Y768" s="31" t="n"/>
      <c r="Z768" s="31" t="n"/>
      <c r="AA768" s="31" t="n"/>
      <c r="AB768" s="31" t="n"/>
      <c r="AC768" s="31" t="n"/>
      <c r="AD768" s="31" t="n"/>
      <c r="AE768" s="31" t="n"/>
      <c r="AF768" s="27">
        <f>IF(NOT(COUNTA(A768:AE768)&gt;0),"",IF(A768="","New client","Update"))</f>
        <v/>
      </c>
      <c r="AG768" s="27">
        <f>IF(AO768&lt;&gt;"",AO768,IF(LEN(AN768)=15,MID(AN768,3,10),""))</f>
        <v/>
      </c>
      <c r="AH768" s="27">
        <f>IF(AP768="","",AP768&amp;IF(D768="","  (guessed from PAN)",""))</f>
        <v/>
      </c>
      <c r="AI768" s="27">
        <f>IF(AN768="","",IFERROR(INDEX(Lists!$L$2:$L$38,MATCH(LEFT(AN768,2),Lists!$K$2:$K$38,0)),"Unknown code"))</f>
        <v/>
      </c>
      <c r="AJ768" s="27">
        <f>IF(AN768="","",IFERROR(IF(NOT(AND(LEN(AN768)=15,ISNUMBER(MATCH(LEFT(AN768,2),Lists!$K$2:$K$38,0)),SUMPRODUCT(--ISERROR(FIND(MID(MID(AN768,3,10),{1,2,3,4,5,10},1),"ABCDEFGHIJKLMNOPQRSTUVWXYZ")))=0,SUMPRODUCT(--ISERROR(FIND(MID(MID(AN768,3,10),{6,7,8,9},1),"0123456789")))=0,ISNUMBER(FIND(MID(AN768,13,1),"123456789ABCDEFGHIJKLMNOPQRSTUVWXYZ")),MID(AN768,14,1)="Z")),"Wrong format",IF(MID("0123456789ABCDEFGHIJKLMNOPQRSTUVWXYZ",MOD(36-MOD(SUMPRODUCT(INT((FIND(MID(AN768,{1,2,3,4,5,6,7,8,9,10,11,12,13,14},1),"0123456789ABCDEFGHIJKLMNOPQRSTUVWXYZ")-1)*{1,2,1,2,1,2,1,2,1,2,1,2,1,2}/36)+MOD((FIND(MID(AN768,{1,2,3,4,5,6,7,8,9,10,11,12,13,14},1),"0123456789ABCDEFGHIJKLMNOPQRSTUVWXYZ")-1)*{1,2,1,2,1,2,1,2,1,2,1,2,1,2},36)),36),36)+1,1)=MID(AN768,15,1),"OK","Typo? check digit wrong")),"Wrong format"))</f>
        <v/>
      </c>
      <c r="AK768" s="27">
        <f>IF(AO768="","",IF(AND(LEN(AO768)=10,SUMPRODUCT(--ISERROR(FIND(MID(AO768,{1,2,3,4,5,10},1),"ABCDEFGHIJKLMNOPQRSTUVWXYZ")))=0,SUMPRODUCT(--ISERROR(FIND(MID(AO768,{6,7,8,9},1),"0123456789")))=0),"OK","Wrong format"))</f>
        <v/>
      </c>
      <c r="AL768" s="27">
        <f>IF(TRIM(H768)="","",IF(AND(LEN(UPPER(TRIM(H768)))=10,SUMPRODUCT(--ISERROR(FIND(MID(UPPER(TRIM(H768)),{1,2,3,4,10},1),"ABCDEFGHIJKLMNOPQRSTUVWXYZ")))=0,SUMPRODUCT(--ISERROR(FIND(MID(UPPER(TRIM(H768)),{5,6,7,8,9},1),"0123456789")))=0),"OK","Wrong format"))</f>
        <v/>
      </c>
      <c r="AM768" s="28">
        <f>IF(NOT(COUNTA(A768:AE768)&gt;0),"",IF(AS768&lt;&gt;"","✖ "&amp;LEFT(AS768,LEN(AS768)-2),IF(AR768&gt;0,"✔ Ready — client + "&amp;AR768&amp;" service(s)","✔ Ready — client only")))</f>
        <v/>
      </c>
      <c r="AN768" s="29">
        <f>UPPER(SUBSTITUTE(TRIM(F768)," ",""))</f>
        <v/>
      </c>
      <c r="AO768" s="29">
        <f>UPPER(SUBSTITUTE(TRIM(E768)," ",""))</f>
        <v/>
      </c>
      <c r="AP768" s="29">
        <f>IF(D768&lt;&gt;"",D768,IFERROR(VLOOKUP(MID(AG768,4,1),Lists!$E$2:$F$8,2,FALSE),""))</f>
        <v/>
      </c>
      <c r="AQ768" s="29">
        <f>IFERROR(VLOOKUP(AP768,Lists!$A$2:$C$12,3,FALSE),"")</f>
        <v/>
      </c>
      <c r="AR768" s="29">
        <f>COUNTIF(W768:AC768,"Yes")</f>
        <v/>
      </c>
      <c r="AS768" s="29">
        <f>IF(TRIM(B768)="","Legal name missing; ","")&amp;IF(AND(AJ768&lt;&gt;"",AJ768&lt;&gt;"OK"),"GSTIN: "&amp;AJ768&amp;"; ","")&amp;IF(AND(AK768&lt;&gt;"",AK768&lt;&gt;"OK"),"PAN wrong format; ","")&amp;IF(AND(AO768&lt;&gt;"",LEN(AN768)=15,MID(AN768,3,10)&lt;&gt;AO768),"PAN does not match GSTIN; ","")&amp;IF(AND(AL768&lt;&gt;"",AL768&lt;&gt;"OK"),"TAN wrong format; ","")&amp;IF(AG768="","PAN missing; ","")&amp;IF(AP768="","Entity type missing; ","")&amp;IF(AND(AN768&lt;&gt;"",COUNTIF($AN$6:$AN$1005,AN768)&gt;1),"GSTIN repeated in this sheet; ","")&amp;IF(AND(AG768&lt;&gt;"",COUNTIF($AG$6:$AG$1005,AG768)&gt;1),"PAN repeated in this sheet (same client? put extra GSTINs in Other GSTINs); ","")&amp;IF(AND(AR768&gt;0,V768=""),"Financial year missing; ","")&amp;IF(AND(AR768=0,V768&lt;&gt;""),"Financial year given but no service is Yes; ","")&amp;IF(AND(W768="Yes",AN768=""),"GST needs a GSTIN; ","")&amp;IF(AND(W768="Yes",X768=""),"GST return frequency missing; ","")&amp;IF(AND(Y768="Yes",TRIM(H768)=""),"TDS needs a TAN; ","")&amp;IF(AND(AA768="Yes",AQ768&lt;&gt;"",AQ768&lt;&gt;"company",AQ768&lt;&gt;"llp"),"ROC is only for a company / LLP; ","")&amp;IF(AND(AA768="Yes",OR(AQ768="company",AQ768="llp"),TRIM(I768)=""),"ROC needs the CIN / LLPIN; ","")</f>
        <v/>
      </c>
    </row>
    <row r="769">
      <c r="A769" s="30" t="n"/>
      <c r="B769" s="31" t="n"/>
      <c r="C769" s="31" t="n"/>
      <c r="D769" s="31" t="n"/>
      <c r="E769" s="30" t="n"/>
      <c r="F769" s="30" t="n"/>
      <c r="G769" s="30" t="n"/>
      <c r="H769" s="30" t="n"/>
      <c r="I769" s="30" t="n"/>
      <c r="J769" s="32" t="n"/>
      <c r="K769" s="31" t="n"/>
      <c r="L769" s="30" t="n"/>
      <c r="M769" s="31" t="n"/>
      <c r="N769" s="31" t="n"/>
      <c r="O769" s="31" t="n"/>
      <c r="P769" s="30" t="n"/>
      <c r="Q769" s="31" t="n"/>
      <c r="R769" s="31" t="n"/>
      <c r="S769" s="31" t="n"/>
      <c r="T769" s="31" t="n"/>
      <c r="U769" s="30" t="n"/>
      <c r="V769" s="31" t="n"/>
      <c r="W769" s="31" t="n"/>
      <c r="X769" s="31" t="n"/>
      <c r="Y769" s="31" t="n"/>
      <c r="Z769" s="31" t="n"/>
      <c r="AA769" s="31" t="n"/>
      <c r="AB769" s="31" t="n"/>
      <c r="AC769" s="31" t="n"/>
      <c r="AD769" s="31" t="n"/>
      <c r="AE769" s="31" t="n"/>
      <c r="AF769" s="27">
        <f>IF(NOT(COUNTA(A769:AE769)&gt;0),"",IF(A769="","New client","Update"))</f>
        <v/>
      </c>
      <c r="AG769" s="27">
        <f>IF(AO769&lt;&gt;"",AO769,IF(LEN(AN769)=15,MID(AN769,3,10),""))</f>
        <v/>
      </c>
      <c r="AH769" s="27">
        <f>IF(AP769="","",AP769&amp;IF(D769="","  (guessed from PAN)",""))</f>
        <v/>
      </c>
      <c r="AI769" s="27">
        <f>IF(AN769="","",IFERROR(INDEX(Lists!$L$2:$L$38,MATCH(LEFT(AN769,2),Lists!$K$2:$K$38,0)),"Unknown code"))</f>
        <v/>
      </c>
      <c r="AJ769" s="27">
        <f>IF(AN769="","",IFERROR(IF(NOT(AND(LEN(AN769)=15,ISNUMBER(MATCH(LEFT(AN769,2),Lists!$K$2:$K$38,0)),SUMPRODUCT(--ISERROR(FIND(MID(MID(AN769,3,10),{1,2,3,4,5,10},1),"ABCDEFGHIJKLMNOPQRSTUVWXYZ")))=0,SUMPRODUCT(--ISERROR(FIND(MID(MID(AN769,3,10),{6,7,8,9},1),"0123456789")))=0,ISNUMBER(FIND(MID(AN769,13,1),"123456789ABCDEFGHIJKLMNOPQRSTUVWXYZ")),MID(AN769,14,1)="Z")),"Wrong format",IF(MID("0123456789ABCDEFGHIJKLMNOPQRSTUVWXYZ",MOD(36-MOD(SUMPRODUCT(INT((FIND(MID(AN769,{1,2,3,4,5,6,7,8,9,10,11,12,13,14},1),"0123456789ABCDEFGHIJKLMNOPQRSTUVWXYZ")-1)*{1,2,1,2,1,2,1,2,1,2,1,2,1,2}/36)+MOD((FIND(MID(AN769,{1,2,3,4,5,6,7,8,9,10,11,12,13,14},1),"0123456789ABCDEFGHIJKLMNOPQRSTUVWXYZ")-1)*{1,2,1,2,1,2,1,2,1,2,1,2,1,2},36)),36),36)+1,1)=MID(AN769,15,1),"OK","Typo? check digit wrong")),"Wrong format"))</f>
        <v/>
      </c>
      <c r="AK769" s="27">
        <f>IF(AO769="","",IF(AND(LEN(AO769)=10,SUMPRODUCT(--ISERROR(FIND(MID(AO769,{1,2,3,4,5,10},1),"ABCDEFGHIJKLMNOPQRSTUVWXYZ")))=0,SUMPRODUCT(--ISERROR(FIND(MID(AO769,{6,7,8,9},1),"0123456789")))=0),"OK","Wrong format"))</f>
        <v/>
      </c>
      <c r="AL769" s="27">
        <f>IF(TRIM(H769)="","",IF(AND(LEN(UPPER(TRIM(H769)))=10,SUMPRODUCT(--ISERROR(FIND(MID(UPPER(TRIM(H769)),{1,2,3,4,10},1),"ABCDEFGHIJKLMNOPQRSTUVWXYZ")))=0,SUMPRODUCT(--ISERROR(FIND(MID(UPPER(TRIM(H769)),{5,6,7,8,9},1),"0123456789")))=0),"OK","Wrong format"))</f>
        <v/>
      </c>
      <c r="AM769" s="28">
        <f>IF(NOT(COUNTA(A769:AE769)&gt;0),"",IF(AS769&lt;&gt;"","✖ "&amp;LEFT(AS769,LEN(AS769)-2),IF(AR769&gt;0,"✔ Ready — client + "&amp;AR769&amp;" service(s)","✔ Ready — client only")))</f>
        <v/>
      </c>
      <c r="AN769" s="29">
        <f>UPPER(SUBSTITUTE(TRIM(F769)," ",""))</f>
        <v/>
      </c>
      <c r="AO769" s="29">
        <f>UPPER(SUBSTITUTE(TRIM(E769)," ",""))</f>
        <v/>
      </c>
      <c r="AP769" s="29">
        <f>IF(D769&lt;&gt;"",D769,IFERROR(VLOOKUP(MID(AG769,4,1),Lists!$E$2:$F$8,2,FALSE),""))</f>
        <v/>
      </c>
      <c r="AQ769" s="29">
        <f>IFERROR(VLOOKUP(AP769,Lists!$A$2:$C$12,3,FALSE),"")</f>
        <v/>
      </c>
      <c r="AR769" s="29">
        <f>COUNTIF(W769:AC769,"Yes")</f>
        <v/>
      </c>
      <c r="AS769" s="29">
        <f>IF(TRIM(B769)="","Legal name missing; ","")&amp;IF(AND(AJ769&lt;&gt;"",AJ769&lt;&gt;"OK"),"GSTIN: "&amp;AJ769&amp;"; ","")&amp;IF(AND(AK769&lt;&gt;"",AK769&lt;&gt;"OK"),"PAN wrong format; ","")&amp;IF(AND(AO769&lt;&gt;"",LEN(AN769)=15,MID(AN769,3,10)&lt;&gt;AO769),"PAN does not match GSTIN; ","")&amp;IF(AND(AL769&lt;&gt;"",AL769&lt;&gt;"OK"),"TAN wrong format; ","")&amp;IF(AG769="","PAN missing; ","")&amp;IF(AP769="","Entity type missing; ","")&amp;IF(AND(AN769&lt;&gt;"",COUNTIF($AN$6:$AN$1005,AN769)&gt;1),"GSTIN repeated in this sheet; ","")&amp;IF(AND(AG769&lt;&gt;"",COUNTIF($AG$6:$AG$1005,AG769)&gt;1),"PAN repeated in this sheet (same client? put extra GSTINs in Other GSTINs); ","")&amp;IF(AND(AR769&gt;0,V769=""),"Financial year missing; ","")&amp;IF(AND(AR769=0,V769&lt;&gt;""),"Financial year given but no service is Yes; ","")&amp;IF(AND(W769="Yes",AN769=""),"GST needs a GSTIN; ","")&amp;IF(AND(W769="Yes",X769=""),"GST return frequency missing; ","")&amp;IF(AND(Y769="Yes",TRIM(H769)=""),"TDS needs a TAN; ","")&amp;IF(AND(AA769="Yes",AQ769&lt;&gt;"",AQ769&lt;&gt;"company",AQ769&lt;&gt;"llp"),"ROC is only for a company / LLP; ","")&amp;IF(AND(AA769="Yes",OR(AQ769="company",AQ769="llp"),TRIM(I769)=""),"ROC needs the CIN / LLPIN; ","")</f>
        <v/>
      </c>
    </row>
    <row r="770">
      <c r="A770" s="30" t="n"/>
      <c r="B770" s="31" t="n"/>
      <c r="C770" s="31" t="n"/>
      <c r="D770" s="31" t="n"/>
      <c r="E770" s="30" t="n"/>
      <c r="F770" s="30" t="n"/>
      <c r="G770" s="30" t="n"/>
      <c r="H770" s="30" t="n"/>
      <c r="I770" s="30" t="n"/>
      <c r="J770" s="32" t="n"/>
      <c r="K770" s="31" t="n"/>
      <c r="L770" s="30" t="n"/>
      <c r="M770" s="31" t="n"/>
      <c r="N770" s="31" t="n"/>
      <c r="O770" s="31" t="n"/>
      <c r="P770" s="30" t="n"/>
      <c r="Q770" s="31" t="n"/>
      <c r="R770" s="31" t="n"/>
      <c r="S770" s="31" t="n"/>
      <c r="T770" s="31" t="n"/>
      <c r="U770" s="30" t="n"/>
      <c r="V770" s="31" t="n"/>
      <c r="W770" s="31" t="n"/>
      <c r="X770" s="31" t="n"/>
      <c r="Y770" s="31" t="n"/>
      <c r="Z770" s="31" t="n"/>
      <c r="AA770" s="31" t="n"/>
      <c r="AB770" s="31" t="n"/>
      <c r="AC770" s="31" t="n"/>
      <c r="AD770" s="31" t="n"/>
      <c r="AE770" s="31" t="n"/>
      <c r="AF770" s="27">
        <f>IF(NOT(COUNTA(A770:AE770)&gt;0),"",IF(A770="","New client","Update"))</f>
        <v/>
      </c>
      <c r="AG770" s="27">
        <f>IF(AO770&lt;&gt;"",AO770,IF(LEN(AN770)=15,MID(AN770,3,10),""))</f>
        <v/>
      </c>
      <c r="AH770" s="27">
        <f>IF(AP770="","",AP770&amp;IF(D770="","  (guessed from PAN)",""))</f>
        <v/>
      </c>
      <c r="AI770" s="27">
        <f>IF(AN770="","",IFERROR(INDEX(Lists!$L$2:$L$38,MATCH(LEFT(AN770,2),Lists!$K$2:$K$38,0)),"Unknown code"))</f>
        <v/>
      </c>
      <c r="AJ770" s="27">
        <f>IF(AN770="","",IFERROR(IF(NOT(AND(LEN(AN770)=15,ISNUMBER(MATCH(LEFT(AN770,2),Lists!$K$2:$K$38,0)),SUMPRODUCT(--ISERROR(FIND(MID(MID(AN770,3,10),{1,2,3,4,5,10},1),"ABCDEFGHIJKLMNOPQRSTUVWXYZ")))=0,SUMPRODUCT(--ISERROR(FIND(MID(MID(AN770,3,10),{6,7,8,9},1),"0123456789")))=0,ISNUMBER(FIND(MID(AN770,13,1),"123456789ABCDEFGHIJKLMNOPQRSTUVWXYZ")),MID(AN770,14,1)="Z")),"Wrong format",IF(MID("0123456789ABCDEFGHIJKLMNOPQRSTUVWXYZ",MOD(36-MOD(SUMPRODUCT(INT((FIND(MID(AN770,{1,2,3,4,5,6,7,8,9,10,11,12,13,14},1),"0123456789ABCDEFGHIJKLMNOPQRSTUVWXYZ")-1)*{1,2,1,2,1,2,1,2,1,2,1,2,1,2}/36)+MOD((FIND(MID(AN770,{1,2,3,4,5,6,7,8,9,10,11,12,13,14},1),"0123456789ABCDEFGHIJKLMNOPQRSTUVWXYZ")-1)*{1,2,1,2,1,2,1,2,1,2,1,2,1,2},36)),36),36)+1,1)=MID(AN770,15,1),"OK","Typo? check digit wrong")),"Wrong format"))</f>
        <v/>
      </c>
      <c r="AK770" s="27">
        <f>IF(AO770="","",IF(AND(LEN(AO770)=10,SUMPRODUCT(--ISERROR(FIND(MID(AO770,{1,2,3,4,5,10},1),"ABCDEFGHIJKLMNOPQRSTUVWXYZ")))=0,SUMPRODUCT(--ISERROR(FIND(MID(AO770,{6,7,8,9},1),"0123456789")))=0),"OK","Wrong format"))</f>
        <v/>
      </c>
      <c r="AL770" s="27">
        <f>IF(TRIM(H770)="","",IF(AND(LEN(UPPER(TRIM(H770)))=10,SUMPRODUCT(--ISERROR(FIND(MID(UPPER(TRIM(H770)),{1,2,3,4,10},1),"ABCDEFGHIJKLMNOPQRSTUVWXYZ")))=0,SUMPRODUCT(--ISERROR(FIND(MID(UPPER(TRIM(H770)),{5,6,7,8,9},1),"0123456789")))=0),"OK","Wrong format"))</f>
        <v/>
      </c>
      <c r="AM770" s="28">
        <f>IF(NOT(COUNTA(A770:AE770)&gt;0),"",IF(AS770&lt;&gt;"","✖ "&amp;LEFT(AS770,LEN(AS770)-2),IF(AR770&gt;0,"✔ Ready — client + "&amp;AR770&amp;" service(s)","✔ Ready — client only")))</f>
        <v/>
      </c>
      <c r="AN770" s="29">
        <f>UPPER(SUBSTITUTE(TRIM(F770)," ",""))</f>
        <v/>
      </c>
      <c r="AO770" s="29">
        <f>UPPER(SUBSTITUTE(TRIM(E770)," ",""))</f>
        <v/>
      </c>
      <c r="AP770" s="29">
        <f>IF(D770&lt;&gt;"",D770,IFERROR(VLOOKUP(MID(AG770,4,1),Lists!$E$2:$F$8,2,FALSE),""))</f>
        <v/>
      </c>
      <c r="AQ770" s="29">
        <f>IFERROR(VLOOKUP(AP770,Lists!$A$2:$C$12,3,FALSE),"")</f>
        <v/>
      </c>
      <c r="AR770" s="29">
        <f>COUNTIF(W770:AC770,"Yes")</f>
        <v/>
      </c>
      <c r="AS770" s="29">
        <f>IF(TRIM(B770)="","Legal name missing; ","")&amp;IF(AND(AJ770&lt;&gt;"",AJ770&lt;&gt;"OK"),"GSTIN: "&amp;AJ770&amp;"; ","")&amp;IF(AND(AK770&lt;&gt;"",AK770&lt;&gt;"OK"),"PAN wrong format; ","")&amp;IF(AND(AO770&lt;&gt;"",LEN(AN770)=15,MID(AN770,3,10)&lt;&gt;AO770),"PAN does not match GSTIN; ","")&amp;IF(AND(AL770&lt;&gt;"",AL770&lt;&gt;"OK"),"TAN wrong format; ","")&amp;IF(AG770="","PAN missing; ","")&amp;IF(AP770="","Entity type missing; ","")&amp;IF(AND(AN770&lt;&gt;"",COUNTIF($AN$6:$AN$1005,AN770)&gt;1),"GSTIN repeated in this sheet; ","")&amp;IF(AND(AG770&lt;&gt;"",COUNTIF($AG$6:$AG$1005,AG770)&gt;1),"PAN repeated in this sheet (same client? put extra GSTINs in Other GSTINs); ","")&amp;IF(AND(AR770&gt;0,V770=""),"Financial year missing; ","")&amp;IF(AND(AR770=0,V770&lt;&gt;""),"Financial year given but no service is Yes; ","")&amp;IF(AND(W770="Yes",AN770=""),"GST needs a GSTIN; ","")&amp;IF(AND(W770="Yes",X770=""),"GST return frequency missing; ","")&amp;IF(AND(Y770="Yes",TRIM(H770)=""),"TDS needs a TAN; ","")&amp;IF(AND(AA770="Yes",AQ770&lt;&gt;"",AQ770&lt;&gt;"company",AQ770&lt;&gt;"llp"),"ROC is only for a company / LLP; ","")&amp;IF(AND(AA770="Yes",OR(AQ770="company",AQ770="llp"),TRIM(I770)=""),"ROC needs the CIN / LLPIN; ","")</f>
        <v/>
      </c>
    </row>
    <row r="771">
      <c r="A771" s="30" t="n"/>
      <c r="B771" s="31" t="n"/>
      <c r="C771" s="31" t="n"/>
      <c r="D771" s="31" t="n"/>
      <c r="E771" s="30" t="n"/>
      <c r="F771" s="30" t="n"/>
      <c r="G771" s="30" t="n"/>
      <c r="H771" s="30" t="n"/>
      <c r="I771" s="30" t="n"/>
      <c r="J771" s="32" t="n"/>
      <c r="K771" s="31" t="n"/>
      <c r="L771" s="30" t="n"/>
      <c r="M771" s="31" t="n"/>
      <c r="N771" s="31" t="n"/>
      <c r="O771" s="31" t="n"/>
      <c r="P771" s="30" t="n"/>
      <c r="Q771" s="31" t="n"/>
      <c r="R771" s="31" t="n"/>
      <c r="S771" s="31" t="n"/>
      <c r="T771" s="31" t="n"/>
      <c r="U771" s="30" t="n"/>
      <c r="V771" s="31" t="n"/>
      <c r="W771" s="31" t="n"/>
      <c r="X771" s="31" t="n"/>
      <c r="Y771" s="31" t="n"/>
      <c r="Z771" s="31" t="n"/>
      <c r="AA771" s="31" t="n"/>
      <c r="AB771" s="31" t="n"/>
      <c r="AC771" s="31" t="n"/>
      <c r="AD771" s="31" t="n"/>
      <c r="AE771" s="31" t="n"/>
      <c r="AF771" s="27">
        <f>IF(NOT(COUNTA(A771:AE771)&gt;0),"",IF(A771="","New client","Update"))</f>
        <v/>
      </c>
      <c r="AG771" s="27">
        <f>IF(AO771&lt;&gt;"",AO771,IF(LEN(AN771)=15,MID(AN771,3,10),""))</f>
        <v/>
      </c>
      <c r="AH771" s="27">
        <f>IF(AP771="","",AP771&amp;IF(D771="","  (guessed from PAN)",""))</f>
        <v/>
      </c>
      <c r="AI771" s="27">
        <f>IF(AN771="","",IFERROR(INDEX(Lists!$L$2:$L$38,MATCH(LEFT(AN771,2),Lists!$K$2:$K$38,0)),"Unknown code"))</f>
        <v/>
      </c>
      <c r="AJ771" s="27">
        <f>IF(AN771="","",IFERROR(IF(NOT(AND(LEN(AN771)=15,ISNUMBER(MATCH(LEFT(AN771,2),Lists!$K$2:$K$38,0)),SUMPRODUCT(--ISERROR(FIND(MID(MID(AN771,3,10),{1,2,3,4,5,10},1),"ABCDEFGHIJKLMNOPQRSTUVWXYZ")))=0,SUMPRODUCT(--ISERROR(FIND(MID(MID(AN771,3,10),{6,7,8,9},1),"0123456789")))=0,ISNUMBER(FIND(MID(AN771,13,1),"123456789ABCDEFGHIJKLMNOPQRSTUVWXYZ")),MID(AN771,14,1)="Z")),"Wrong format",IF(MID("0123456789ABCDEFGHIJKLMNOPQRSTUVWXYZ",MOD(36-MOD(SUMPRODUCT(INT((FIND(MID(AN771,{1,2,3,4,5,6,7,8,9,10,11,12,13,14},1),"0123456789ABCDEFGHIJKLMNOPQRSTUVWXYZ")-1)*{1,2,1,2,1,2,1,2,1,2,1,2,1,2}/36)+MOD((FIND(MID(AN771,{1,2,3,4,5,6,7,8,9,10,11,12,13,14},1),"0123456789ABCDEFGHIJKLMNOPQRSTUVWXYZ")-1)*{1,2,1,2,1,2,1,2,1,2,1,2,1,2},36)),36),36)+1,1)=MID(AN771,15,1),"OK","Typo? check digit wrong")),"Wrong format"))</f>
        <v/>
      </c>
      <c r="AK771" s="27">
        <f>IF(AO771="","",IF(AND(LEN(AO771)=10,SUMPRODUCT(--ISERROR(FIND(MID(AO771,{1,2,3,4,5,10},1),"ABCDEFGHIJKLMNOPQRSTUVWXYZ")))=0,SUMPRODUCT(--ISERROR(FIND(MID(AO771,{6,7,8,9},1),"0123456789")))=0),"OK","Wrong format"))</f>
        <v/>
      </c>
      <c r="AL771" s="27">
        <f>IF(TRIM(H771)="","",IF(AND(LEN(UPPER(TRIM(H771)))=10,SUMPRODUCT(--ISERROR(FIND(MID(UPPER(TRIM(H771)),{1,2,3,4,10},1),"ABCDEFGHIJKLMNOPQRSTUVWXYZ")))=0,SUMPRODUCT(--ISERROR(FIND(MID(UPPER(TRIM(H771)),{5,6,7,8,9},1),"0123456789")))=0),"OK","Wrong format"))</f>
        <v/>
      </c>
      <c r="AM771" s="28">
        <f>IF(NOT(COUNTA(A771:AE771)&gt;0),"",IF(AS771&lt;&gt;"","✖ "&amp;LEFT(AS771,LEN(AS771)-2),IF(AR771&gt;0,"✔ Ready — client + "&amp;AR771&amp;" service(s)","✔ Ready — client only")))</f>
        <v/>
      </c>
      <c r="AN771" s="29">
        <f>UPPER(SUBSTITUTE(TRIM(F771)," ",""))</f>
        <v/>
      </c>
      <c r="AO771" s="29">
        <f>UPPER(SUBSTITUTE(TRIM(E771)," ",""))</f>
        <v/>
      </c>
      <c r="AP771" s="29">
        <f>IF(D771&lt;&gt;"",D771,IFERROR(VLOOKUP(MID(AG771,4,1),Lists!$E$2:$F$8,2,FALSE),""))</f>
        <v/>
      </c>
      <c r="AQ771" s="29">
        <f>IFERROR(VLOOKUP(AP771,Lists!$A$2:$C$12,3,FALSE),"")</f>
        <v/>
      </c>
      <c r="AR771" s="29">
        <f>COUNTIF(W771:AC771,"Yes")</f>
        <v/>
      </c>
      <c r="AS771" s="29">
        <f>IF(TRIM(B771)="","Legal name missing; ","")&amp;IF(AND(AJ771&lt;&gt;"",AJ771&lt;&gt;"OK"),"GSTIN: "&amp;AJ771&amp;"; ","")&amp;IF(AND(AK771&lt;&gt;"",AK771&lt;&gt;"OK"),"PAN wrong format; ","")&amp;IF(AND(AO771&lt;&gt;"",LEN(AN771)=15,MID(AN771,3,10)&lt;&gt;AO771),"PAN does not match GSTIN; ","")&amp;IF(AND(AL771&lt;&gt;"",AL771&lt;&gt;"OK"),"TAN wrong format; ","")&amp;IF(AG771="","PAN missing; ","")&amp;IF(AP771="","Entity type missing; ","")&amp;IF(AND(AN771&lt;&gt;"",COUNTIF($AN$6:$AN$1005,AN771)&gt;1),"GSTIN repeated in this sheet; ","")&amp;IF(AND(AG771&lt;&gt;"",COUNTIF($AG$6:$AG$1005,AG771)&gt;1),"PAN repeated in this sheet (same client? put extra GSTINs in Other GSTINs); ","")&amp;IF(AND(AR771&gt;0,V771=""),"Financial year missing; ","")&amp;IF(AND(AR771=0,V771&lt;&gt;""),"Financial year given but no service is Yes; ","")&amp;IF(AND(W771="Yes",AN771=""),"GST needs a GSTIN; ","")&amp;IF(AND(W771="Yes",X771=""),"GST return frequency missing; ","")&amp;IF(AND(Y771="Yes",TRIM(H771)=""),"TDS needs a TAN; ","")&amp;IF(AND(AA771="Yes",AQ771&lt;&gt;"",AQ771&lt;&gt;"company",AQ771&lt;&gt;"llp"),"ROC is only for a company / LLP; ","")&amp;IF(AND(AA771="Yes",OR(AQ771="company",AQ771="llp"),TRIM(I771)=""),"ROC needs the CIN / LLPIN; ","")</f>
        <v/>
      </c>
    </row>
    <row r="772">
      <c r="A772" s="30" t="n"/>
      <c r="B772" s="31" t="n"/>
      <c r="C772" s="31" t="n"/>
      <c r="D772" s="31" t="n"/>
      <c r="E772" s="30" t="n"/>
      <c r="F772" s="30" t="n"/>
      <c r="G772" s="30" t="n"/>
      <c r="H772" s="30" t="n"/>
      <c r="I772" s="30" t="n"/>
      <c r="J772" s="32" t="n"/>
      <c r="K772" s="31" t="n"/>
      <c r="L772" s="30" t="n"/>
      <c r="M772" s="31" t="n"/>
      <c r="N772" s="31" t="n"/>
      <c r="O772" s="31" t="n"/>
      <c r="P772" s="30" t="n"/>
      <c r="Q772" s="31" t="n"/>
      <c r="R772" s="31" t="n"/>
      <c r="S772" s="31" t="n"/>
      <c r="T772" s="31" t="n"/>
      <c r="U772" s="30" t="n"/>
      <c r="V772" s="31" t="n"/>
      <c r="W772" s="31" t="n"/>
      <c r="X772" s="31" t="n"/>
      <c r="Y772" s="31" t="n"/>
      <c r="Z772" s="31" t="n"/>
      <c r="AA772" s="31" t="n"/>
      <c r="AB772" s="31" t="n"/>
      <c r="AC772" s="31" t="n"/>
      <c r="AD772" s="31" t="n"/>
      <c r="AE772" s="31" t="n"/>
      <c r="AF772" s="27">
        <f>IF(NOT(COUNTA(A772:AE772)&gt;0),"",IF(A772="","New client","Update"))</f>
        <v/>
      </c>
      <c r="AG772" s="27">
        <f>IF(AO772&lt;&gt;"",AO772,IF(LEN(AN772)=15,MID(AN772,3,10),""))</f>
        <v/>
      </c>
      <c r="AH772" s="27">
        <f>IF(AP772="","",AP772&amp;IF(D772="","  (guessed from PAN)",""))</f>
        <v/>
      </c>
      <c r="AI772" s="27">
        <f>IF(AN772="","",IFERROR(INDEX(Lists!$L$2:$L$38,MATCH(LEFT(AN772,2),Lists!$K$2:$K$38,0)),"Unknown code"))</f>
        <v/>
      </c>
      <c r="AJ772" s="27">
        <f>IF(AN772="","",IFERROR(IF(NOT(AND(LEN(AN772)=15,ISNUMBER(MATCH(LEFT(AN772,2),Lists!$K$2:$K$38,0)),SUMPRODUCT(--ISERROR(FIND(MID(MID(AN772,3,10),{1,2,3,4,5,10},1),"ABCDEFGHIJKLMNOPQRSTUVWXYZ")))=0,SUMPRODUCT(--ISERROR(FIND(MID(MID(AN772,3,10),{6,7,8,9},1),"0123456789")))=0,ISNUMBER(FIND(MID(AN772,13,1),"123456789ABCDEFGHIJKLMNOPQRSTUVWXYZ")),MID(AN772,14,1)="Z")),"Wrong format",IF(MID("0123456789ABCDEFGHIJKLMNOPQRSTUVWXYZ",MOD(36-MOD(SUMPRODUCT(INT((FIND(MID(AN772,{1,2,3,4,5,6,7,8,9,10,11,12,13,14},1),"0123456789ABCDEFGHIJKLMNOPQRSTUVWXYZ")-1)*{1,2,1,2,1,2,1,2,1,2,1,2,1,2}/36)+MOD((FIND(MID(AN772,{1,2,3,4,5,6,7,8,9,10,11,12,13,14},1),"0123456789ABCDEFGHIJKLMNOPQRSTUVWXYZ")-1)*{1,2,1,2,1,2,1,2,1,2,1,2,1,2},36)),36),36)+1,1)=MID(AN772,15,1),"OK","Typo? check digit wrong")),"Wrong format"))</f>
        <v/>
      </c>
      <c r="AK772" s="27">
        <f>IF(AO772="","",IF(AND(LEN(AO772)=10,SUMPRODUCT(--ISERROR(FIND(MID(AO772,{1,2,3,4,5,10},1),"ABCDEFGHIJKLMNOPQRSTUVWXYZ")))=0,SUMPRODUCT(--ISERROR(FIND(MID(AO772,{6,7,8,9},1),"0123456789")))=0),"OK","Wrong format"))</f>
        <v/>
      </c>
      <c r="AL772" s="27">
        <f>IF(TRIM(H772)="","",IF(AND(LEN(UPPER(TRIM(H772)))=10,SUMPRODUCT(--ISERROR(FIND(MID(UPPER(TRIM(H772)),{1,2,3,4,10},1),"ABCDEFGHIJKLMNOPQRSTUVWXYZ")))=0,SUMPRODUCT(--ISERROR(FIND(MID(UPPER(TRIM(H772)),{5,6,7,8,9},1),"0123456789")))=0),"OK","Wrong format"))</f>
        <v/>
      </c>
      <c r="AM772" s="28">
        <f>IF(NOT(COUNTA(A772:AE772)&gt;0),"",IF(AS772&lt;&gt;"","✖ "&amp;LEFT(AS772,LEN(AS772)-2),IF(AR772&gt;0,"✔ Ready — client + "&amp;AR772&amp;" service(s)","✔ Ready — client only")))</f>
        <v/>
      </c>
      <c r="AN772" s="29">
        <f>UPPER(SUBSTITUTE(TRIM(F772)," ",""))</f>
        <v/>
      </c>
      <c r="AO772" s="29">
        <f>UPPER(SUBSTITUTE(TRIM(E772)," ",""))</f>
        <v/>
      </c>
      <c r="AP772" s="29">
        <f>IF(D772&lt;&gt;"",D772,IFERROR(VLOOKUP(MID(AG772,4,1),Lists!$E$2:$F$8,2,FALSE),""))</f>
        <v/>
      </c>
      <c r="AQ772" s="29">
        <f>IFERROR(VLOOKUP(AP772,Lists!$A$2:$C$12,3,FALSE),"")</f>
        <v/>
      </c>
      <c r="AR772" s="29">
        <f>COUNTIF(W772:AC772,"Yes")</f>
        <v/>
      </c>
      <c r="AS772" s="29">
        <f>IF(TRIM(B772)="","Legal name missing; ","")&amp;IF(AND(AJ772&lt;&gt;"",AJ772&lt;&gt;"OK"),"GSTIN: "&amp;AJ772&amp;"; ","")&amp;IF(AND(AK772&lt;&gt;"",AK772&lt;&gt;"OK"),"PAN wrong format; ","")&amp;IF(AND(AO772&lt;&gt;"",LEN(AN772)=15,MID(AN772,3,10)&lt;&gt;AO772),"PAN does not match GSTIN; ","")&amp;IF(AND(AL772&lt;&gt;"",AL772&lt;&gt;"OK"),"TAN wrong format; ","")&amp;IF(AG772="","PAN missing; ","")&amp;IF(AP772="","Entity type missing; ","")&amp;IF(AND(AN772&lt;&gt;"",COUNTIF($AN$6:$AN$1005,AN772)&gt;1),"GSTIN repeated in this sheet; ","")&amp;IF(AND(AG772&lt;&gt;"",COUNTIF($AG$6:$AG$1005,AG772)&gt;1),"PAN repeated in this sheet (same client? put extra GSTINs in Other GSTINs); ","")&amp;IF(AND(AR772&gt;0,V772=""),"Financial year missing; ","")&amp;IF(AND(AR772=0,V772&lt;&gt;""),"Financial year given but no service is Yes; ","")&amp;IF(AND(W772="Yes",AN772=""),"GST needs a GSTIN; ","")&amp;IF(AND(W772="Yes",X772=""),"GST return frequency missing; ","")&amp;IF(AND(Y772="Yes",TRIM(H772)=""),"TDS needs a TAN; ","")&amp;IF(AND(AA772="Yes",AQ772&lt;&gt;"",AQ772&lt;&gt;"company",AQ772&lt;&gt;"llp"),"ROC is only for a company / LLP; ","")&amp;IF(AND(AA772="Yes",OR(AQ772="company",AQ772="llp"),TRIM(I772)=""),"ROC needs the CIN / LLPIN; ","")</f>
        <v/>
      </c>
    </row>
    <row r="773">
      <c r="A773" s="30" t="n"/>
      <c r="B773" s="31" t="n"/>
      <c r="C773" s="31" t="n"/>
      <c r="D773" s="31" t="n"/>
      <c r="E773" s="30" t="n"/>
      <c r="F773" s="30" t="n"/>
      <c r="G773" s="30" t="n"/>
      <c r="H773" s="30" t="n"/>
      <c r="I773" s="30" t="n"/>
      <c r="J773" s="32" t="n"/>
      <c r="K773" s="31" t="n"/>
      <c r="L773" s="30" t="n"/>
      <c r="M773" s="31" t="n"/>
      <c r="N773" s="31" t="n"/>
      <c r="O773" s="31" t="n"/>
      <c r="P773" s="30" t="n"/>
      <c r="Q773" s="31" t="n"/>
      <c r="R773" s="31" t="n"/>
      <c r="S773" s="31" t="n"/>
      <c r="T773" s="31" t="n"/>
      <c r="U773" s="30" t="n"/>
      <c r="V773" s="31" t="n"/>
      <c r="W773" s="31" t="n"/>
      <c r="X773" s="31" t="n"/>
      <c r="Y773" s="31" t="n"/>
      <c r="Z773" s="31" t="n"/>
      <c r="AA773" s="31" t="n"/>
      <c r="AB773" s="31" t="n"/>
      <c r="AC773" s="31" t="n"/>
      <c r="AD773" s="31" t="n"/>
      <c r="AE773" s="31" t="n"/>
      <c r="AF773" s="27">
        <f>IF(NOT(COUNTA(A773:AE773)&gt;0),"",IF(A773="","New client","Update"))</f>
        <v/>
      </c>
      <c r="AG773" s="27">
        <f>IF(AO773&lt;&gt;"",AO773,IF(LEN(AN773)=15,MID(AN773,3,10),""))</f>
        <v/>
      </c>
      <c r="AH773" s="27">
        <f>IF(AP773="","",AP773&amp;IF(D773="","  (guessed from PAN)",""))</f>
        <v/>
      </c>
      <c r="AI773" s="27">
        <f>IF(AN773="","",IFERROR(INDEX(Lists!$L$2:$L$38,MATCH(LEFT(AN773,2),Lists!$K$2:$K$38,0)),"Unknown code"))</f>
        <v/>
      </c>
      <c r="AJ773" s="27">
        <f>IF(AN773="","",IFERROR(IF(NOT(AND(LEN(AN773)=15,ISNUMBER(MATCH(LEFT(AN773,2),Lists!$K$2:$K$38,0)),SUMPRODUCT(--ISERROR(FIND(MID(MID(AN773,3,10),{1,2,3,4,5,10},1),"ABCDEFGHIJKLMNOPQRSTUVWXYZ")))=0,SUMPRODUCT(--ISERROR(FIND(MID(MID(AN773,3,10),{6,7,8,9},1),"0123456789")))=0,ISNUMBER(FIND(MID(AN773,13,1),"123456789ABCDEFGHIJKLMNOPQRSTUVWXYZ")),MID(AN773,14,1)="Z")),"Wrong format",IF(MID("0123456789ABCDEFGHIJKLMNOPQRSTUVWXYZ",MOD(36-MOD(SUMPRODUCT(INT((FIND(MID(AN773,{1,2,3,4,5,6,7,8,9,10,11,12,13,14},1),"0123456789ABCDEFGHIJKLMNOPQRSTUVWXYZ")-1)*{1,2,1,2,1,2,1,2,1,2,1,2,1,2}/36)+MOD((FIND(MID(AN773,{1,2,3,4,5,6,7,8,9,10,11,12,13,14},1),"0123456789ABCDEFGHIJKLMNOPQRSTUVWXYZ")-1)*{1,2,1,2,1,2,1,2,1,2,1,2,1,2},36)),36),36)+1,1)=MID(AN773,15,1),"OK","Typo? check digit wrong")),"Wrong format"))</f>
        <v/>
      </c>
      <c r="AK773" s="27">
        <f>IF(AO773="","",IF(AND(LEN(AO773)=10,SUMPRODUCT(--ISERROR(FIND(MID(AO773,{1,2,3,4,5,10},1),"ABCDEFGHIJKLMNOPQRSTUVWXYZ")))=0,SUMPRODUCT(--ISERROR(FIND(MID(AO773,{6,7,8,9},1),"0123456789")))=0),"OK","Wrong format"))</f>
        <v/>
      </c>
      <c r="AL773" s="27">
        <f>IF(TRIM(H773)="","",IF(AND(LEN(UPPER(TRIM(H773)))=10,SUMPRODUCT(--ISERROR(FIND(MID(UPPER(TRIM(H773)),{1,2,3,4,10},1),"ABCDEFGHIJKLMNOPQRSTUVWXYZ")))=0,SUMPRODUCT(--ISERROR(FIND(MID(UPPER(TRIM(H773)),{5,6,7,8,9},1),"0123456789")))=0),"OK","Wrong format"))</f>
        <v/>
      </c>
      <c r="AM773" s="28">
        <f>IF(NOT(COUNTA(A773:AE773)&gt;0),"",IF(AS773&lt;&gt;"","✖ "&amp;LEFT(AS773,LEN(AS773)-2),IF(AR773&gt;0,"✔ Ready — client + "&amp;AR773&amp;" service(s)","✔ Ready — client only")))</f>
        <v/>
      </c>
      <c r="AN773" s="29">
        <f>UPPER(SUBSTITUTE(TRIM(F773)," ",""))</f>
        <v/>
      </c>
      <c r="AO773" s="29">
        <f>UPPER(SUBSTITUTE(TRIM(E773)," ",""))</f>
        <v/>
      </c>
      <c r="AP773" s="29">
        <f>IF(D773&lt;&gt;"",D773,IFERROR(VLOOKUP(MID(AG773,4,1),Lists!$E$2:$F$8,2,FALSE),""))</f>
        <v/>
      </c>
      <c r="AQ773" s="29">
        <f>IFERROR(VLOOKUP(AP773,Lists!$A$2:$C$12,3,FALSE),"")</f>
        <v/>
      </c>
      <c r="AR773" s="29">
        <f>COUNTIF(W773:AC773,"Yes")</f>
        <v/>
      </c>
      <c r="AS773" s="29">
        <f>IF(TRIM(B773)="","Legal name missing; ","")&amp;IF(AND(AJ773&lt;&gt;"",AJ773&lt;&gt;"OK"),"GSTIN: "&amp;AJ773&amp;"; ","")&amp;IF(AND(AK773&lt;&gt;"",AK773&lt;&gt;"OK"),"PAN wrong format; ","")&amp;IF(AND(AO773&lt;&gt;"",LEN(AN773)=15,MID(AN773,3,10)&lt;&gt;AO773),"PAN does not match GSTIN; ","")&amp;IF(AND(AL773&lt;&gt;"",AL773&lt;&gt;"OK"),"TAN wrong format; ","")&amp;IF(AG773="","PAN missing; ","")&amp;IF(AP773="","Entity type missing; ","")&amp;IF(AND(AN773&lt;&gt;"",COUNTIF($AN$6:$AN$1005,AN773)&gt;1),"GSTIN repeated in this sheet; ","")&amp;IF(AND(AG773&lt;&gt;"",COUNTIF($AG$6:$AG$1005,AG773)&gt;1),"PAN repeated in this sheet (same client? put extra GSTINs in Other GSTINs); ","")&amp;IF(AND(AR773&gt;0,V773=""),"Financial year missing; ","")&amp;IF(AND(AR773=0,V773&lt;&gt;""),"Financial year given but no service is Yes; ","")&amp;IF(AND(W773="Yes",AN773=""),"GST needs a GSTIN; ","")&amp;IF(AND(W773="Yes",X773=""),"GST return frequency missing; ","")&amp;IF(AND(Y773="Yes",TRIM(H773)=""),"TDS needs a TAN; ","")&amp;IF(AND(AA773="Yes",AQ773&lt;&gt;"",AQ773&lt;&gt;"company",AQ773&lt;&gt;"llp"),"ROC is only for a company / LLP; ","")&amp;IF(AND(AA773="Yes",OR(AQ773="company",AQ773="llp"),TRIM(I773)=""),"ROC needs the CIN / LLPIN; ","")</f>
        <v/>
      </c>
    </row>
    <row r="774">
      <c r="A774" s="30" t="n"/>
      <c r="B774" s="31" t="n"/>
      <c r="C774" s="31" t="n"/>
      <c r="D774" s="31" t="n"/>
      <c r="E774" s="30" t="n"/>
      <c r="F774" s="30" t="n"/>
      <c r="G774" s="30" t="n"/>
      <c r="H774" s="30" t="n"/>
      <c r="I774" s="30" t="n"/>
      <c r="J774" s="32" t="n"/>
      <c r="K774" s="31" t="n"/>
      <c r="L774" s="30" t="n"/>
      <c r="M774" s="31" t="n"/>
      <c r="N774" s="31" t="n"/>
      <c r="O774" s="31" t="n"/>
      <c r="P774" s="30" t="n"/>
      <c r="Q774" s="31" t="n"/>
      <c r="R774" s="31" t="n"/>
      <c r="S774" s="31" t="n"/>
      <c r="T774" s="31" t="n"/>
      <c r="U774" s="30" t="n"/>
      <c r="V774" s="31" t="n"/>
      <c r="W774" s="31" t="n"/>
      <c r="X774" s="31" t="n"/>
      <c r="Y774" s="31" t="n"/>
      <c r="Z774" s="31" t="n"/>
      <c r="AA774" s="31" t="n"/>
      <c r="AB774" s="31" t="n"/>
      <c r="AC774" s="31" t="n"/>
      <c r="AD774" s="31" t="n"/>
      <c r="AE774" s="31" t="n"/>
      <c r="AF774" s="27">
        <f>IF(NOT(COUNTA(A774:AE774)&gt;0),"",IF(A774="","New client","Update"))</f>
        <v/>
      </c>
      <c r="AG774" s="27">
        <f>IF(AO774&lt;&gt;"",AO774,IF(LEN(AN774)=15,MID(AN774,3,10),""))</f>
        <v/>
      </c>
      <c r="AH774" s="27">
        <f>IF(AP774="","",AP774&amp;IF(D774="","  (guessed from PAN)",""))</f>
        <v/>
      </c>
      <c r="AI774" s="27">
        <f>IF(AN774="","",IFERROR(INDEX(Lists!$L$2:$L$38,MATCH(LEFT(AN774,2),Lists!$K$2:$K$38,0)),"Unknown code"))</f>
        <v/>
      </c>
      <c r="AJ774" s="27">
        <f>IF(AN774="","",IFERROR(IF(NOT(AND(LEN(AN774)=15,ISNUMBER(MATCH(LEFT(AN774,2),Lists!$K$2:$K$38,0)),SUMPRODUCT(--ISERROR(FIND(MID(MID(AN774,3,10),{1,2,3,4,5,10},1),"ABCDEFGHIJKLMNOPQRSTUVWXYZ")))=0,SUMPRODUCT(--ISERROR(FIND(MID(MID(AN774,3,10),{6,7,8,9},1),"0123456789")))=0,ISNUMBER(FIND(MID(AN774,13,1),"123456789ABCDEFGHIJKLMNOPQRSTUVWXYZ")),MID(AN774,14,1)="Z")),"Wrong format",IF(MID("0123456789ABCDEFGHIJKLMNOPQRSTUVWXYZ",MOD(36-MOD(SUMPRODUCT(INT((FIND(MID(AN774,{1,2,3,4,5,6,7,8,9,10,11,12,13,14},1),"0123456789ABCDEFGHIJKLMNOPQRSTUVWXYZ")-1)*{1,2,1,2,1,2,1,2,1,2,1,2,1,2}/36)+MOD((FIND(MID(AN774,{1,2,3,4,5,6,7,8,9,10,11,12,13,14},1),"0123456789ABCDEFGHIJKLMNOPQRSTUVWXYZ")-1)*{1,2,1,2,1,2,1,2,1,2,1,2,1,2},36)),36),36)+1,1)=MID(AN774,15,1),"OK","Typo? check digit wrong")),"Wrong format"))</f>
        <v/>
      </c>
      <c r="AK774" s="27">
        <f>IF(AO774="","",IF(AND(LEN(AO774)=10,SUMPRODUCT(--ISERROR(FIND(MID(AO774,{1,2,3,4,5,10},1),"ABCDEFGHIJKLMNOPQRSTUVWXYZ")))=0,SUMPRODUCT(--ISERROR(FIND(MID(AO774,{6,7,8,9},1),"0123456789")))=0),"OK","Wrong format"))</f>
        <v/>
      </c>
      <c r="AL774" s="27">
        <f>IF(TRIM(H774)="","",IF(AND(LEN(UPPER(TRIM(H774)))=10,SUMPRODUCT(--ISERROR(FIND(MID(UPPER(TRIM(H774)),{1,2,3,4,10},1),"ABCDEFGHIJKLMNOPQRSTUVWXYZ")))=0,SUMPRODUCT(--ISERROR(FIND(MID(UPPER(TRIM(H774)),{5,6,7,8,9},1),"0123456789")))=0),"OK","Wrong format"))</f>
        <v/>
      </c>
      <c r="AM774" s="28">
        <f>IF(NOT(COUNTA(A774:AE774)&gt;0),"",IF(AS774&lt;&gt;"","✖ "&amp;LEFT(AS774,LEN(AS774)-2),IF(AR774&gt;0,"✔ Ready — client + "&amp;AR774&amp;" service(s)","✔ Ready — client only")))</f>
        <v/>
      </c>
      <c r="AN774" s="29">
        <f>UPPER(SUBSTITUTE(TRIM(F774)," ",""))</f>
        <v/>
      </c>
      <c r="AO774" s="29">
        <f>UPPER(SUBSTITUTE(TRIM(E774)," ",""))</f>
        <v/>
      </c>
      <c r="AP774" s="29">
        <f>IF(D774&lt;&gt;"",D774,IFERROR(VLOOKUP(MID(AG774,4,1),Lists!$E$2:$F$8,2,FALSE),""))</f>
        <v/>
      </c>
      <c r="AQ774" s="29">
        <f>IFERROR(VLOOKUP(AP774,Lists!$A$2:$C$12,3,FALSE),"")</f>
        <v/>
      </c>
      <c r="AR774" s="29">
        <f>COUNTIF(W774:AC774,"Yes")</f>
        <v/>
      </c>
      <c r="AS774" s="29">
        <f>IF(TRIM(B774)="","Legal name missing; ","")&amp;IF(AND(AJ774&lt;&gt;"",AJ774&lt;&gt;"OK"),"GSTIN: "&amp;AJ774&amp;"; ","")&amp;IF(AND(AK774&lt;&gt;"",AK774&lt;&gt;"OK"),"PAN wrong format; ","")&amp;IF(AND(AO774&lt;&gt;"",LEN(AN774)=15,MID(AN774,3,10)&lt;&gt;AO774),"PAN does not match GSTIN; ","")&amp;IF(AND(AL774&lt;&gt;"",AL774&lt;&gt;"OK"),"TAN wrong format; ","")&amp;IF(AG774="","PAN missing; ","")&amp;IF(AP774="","Entity type missing; ","")&amp;IF(AND(AN774&lt;&gt;"",COUNTIF($AN$6:$AN$1005,AN774)&gt;1),"GSTIN repeated in this sheet; ","")&amp;IF(AND(AG774&lt;&gt;"",COUNTIF($AG$6:$AG$1005,AG774)&gt;1),"PAN repeated in this sheet (same client? put extra GSTINs in Other GSTINs); ","")&amp;IF(AND(AR774&gt;0,V774=""),"Financial year missing; ","")&amp;IF(AND(AR774=0,V774&lt;&gt;""),"Financial year given but no service is Yes; ","")&amp;IF(AND(W774="Yes",AN774=""),"GST needs a GSTIN; ","")&amp;IF(AND(W774="Yes",X774=""),"GST return frequency missing; ","")&amp;IF(AND(Y774="Yes",TRIM(H774)=""),"TDS needs a TAN; ","")&amp;IF(AND(AA774="Yes",AQ774&lt;&gt;"",AQ774&lt;&gt;"company",AQ774&lt;&gt;"llp"),"ROC is only for a company / LLP; ","")&amp;IF(AND(AA774="Yes",OR(AQ774="company",AQ774="llp"),TRIM(I774)=""),"ROC needs the CIN / LLPIN; ","")</f>
        <v/>
      </c>
    </row>
    <row r="775">
      <c r="A775" s="30" t="n"/>
      <c r="B775" s="31" t="n"/>
      <c r="C775" s="31" t="n"/>
      <c r="D775" s="31" t="n"/>
      <c r="E775" s="30" t="n"/>
      <c r="F775" s="30" t="n"/>
      <c r="G775" s="30" t="n"/>
      <c r="H775" s="30" t="n"/>
      <c r="I775" s="30" t="n"/>
      <c r="J775" s="32" t="n"/>
      <c r="K775" s="31" t="n"/>
      <c r="L775" s="30" t="n"/>
      <c r="M775" s="31" t="n"/>
      <c r="N775" s="31" t="n"/>
      <c r="O775" s="31" t="n"/>
      <c r="P775" s="30" t="n"/>
      <c r="Q775" s="31" t="n"/>
      <c r="R775" s="31" t="n"/>
      <c r="S775" s="31" t="n"/>
      <c r="T775" s="31" t="n"/>
      <c r="U775" s="30" t="n"/>
      <c r="V775" s="31" t="n"/>
      <c r="W775" s="31" t="n"/>
      <c r="X775" s="31" t="n"/>
      <c r="Y775" s="31" t="n"/>
      <c r="Z775" s="31" t="n"/>
      <c r="AA775" s="31" t="n"/>
      <c r="AB775" s="31" t="n"/>
      <c r="AC775" s="31" t="n"/>
      <c r="AD775" s="31" t="n"/>
      <c r="AE775" s="31" t="n"/>
      <c r="AF775" s="27">
        <f>IF(NOT(COUNTA(A775:AE775)&gt;0),"",IF(A775="","New client","Update"))</f>
        <v/>
      </c>
      <c r="AG775" s="27">
        <f>IF(AO775&lt;&gt;"",AO775,IF(LEN(AN775)=15,MID(AN775,3,10),""))</f>
        <v/>
      </c>
      <c r="AH775" s="27">
        <f>IF(AP775="","",AP775&amp;IF(D775="","  (guessed from PAN)",""))</f>
        <v/>
      </c>
      <c r="AI775" s="27">
        <f>IF(AN775="","",IFERROR(INDEX(Lists!$L$2:$L$38,MATCH(LEFT(AN775,2),Lists!$K$2:$K$38,0)),"Unknown code"))</f>
        <v/>
      </c>
      <c r="AJ775" s="27">
        <f>IF(AN775="","",IFERROR(IF(NOT(AND(LEN(AN775)=15,ISNUMBER(MATCH(LEFT(AN775,2),Lists!$K$2:$K$38,0)),SUMPRODUCT(--ISERROR(FIND(MID(MID(AN775,3,10),{1,2,3,4,5,10},1),"ABCDEFGHIJKLMNOPQRSTUVWXYZ")))=0,SUMPRODUCT(--ISERROR(FIND(MID(MID(AN775,3,10),{6,7,8,9},1),"0123456789")))=0,ISNUMBER(FIND(MID(AN775,13,1),"123456789ABCDEFGHIJKLMNOPQRSTUVWXYZ")),MID(AN775,14,1)="Z")),"Wrong format",IF(MID("0123456789ABCDEFGHIJKLMNOPQRSTUVWXYZ",MOD(36-MOD(SUMPRODUCT(INT((FIND(MID(AN775,{1,2,3,4,5,6,7,8,9,10,11,12,13,14},1),"0123456789ABCDEFGHIJKLMNOPQRSTUVWXYZ")-1)*{1,2,1,2,1,2,1,2,1,2,1,2,1,2}/36)+MOD((FIND(MID(AN775,{1,2,3,4,5,6,7,8,9,10,11,12,13,14},1),"0123456789ABCDEFGHIJKLMNOPQRSTUVWXYZ")-1)*{1,2,1,2,1,2,1,2,1,2,1,2,1,2},36)),36),36)+1,1)=MID(AN775,15,1),"OK","Typo? check digit wrong")),"Wrong format"))</f>
        <v/>
      </c>
      <c r="AK775" s="27">
        <f>IF(AO775="","",IF(AND(LEN(AO775)=10,SUMPRODUCT(--ISERROR(FIND(MID(AO775,{1,2,3,4,5,10},1),"ABCDEFGHIJKLMNOPQRSTUVWXYZ")))=0,SUMPRODUCT(--ISERROR(FIND(MID(AO775,{6,7,8,9},1),"0123456789")))=0),"OK","Wrong format"))</f>
        <v/>
      </c>
      <c r="AL775" s="27">
        <f>IF(TRIM(H775)="","",IF(AND(LEN(UPPER(TRIM(H775)))=10,SUMPRODUCT(--ISERROR(FIND(MID(UPPER(TRIM(H775)),{1,2,3,4,10},1),"ABCDEFGHIJKLMNOPQRSTUVWXYZ")))=0,SUMPRODUCT(--ISERROR(FIND(MID(UPPER(TRIM(H775)),{5,6,7,8,9},1),"0123456789")))=0),"OK","Wrong format"))</f>
        <v/>
      </c>
      <c r="AM775" s="28">
        <f>IF(NOT(COUNTA(A775:AE775)&gt;0),"",IF(AS775&lt;&gt;"","✖ "&amp;LEFT(AS775,LEN(AS775)-2),IF(AR775&gt;0,"✔ Ready — client + "&amp;AR775&amp;" service(s)","✔ Ready — client only")))</f>
        <v/>
      </c>
      <c r="AN775" s="29">
        <f>UPPER(SUBSTITUTE(TRIM(F775)," ",""))</f>
        <v/>
      </c>
      <c r="AO775" s="29">
        <f>UPPER(SUBSTITUTE(TRIM(E775)," ",""))</f>
        <v/>
      </c>
      <c r="AP775" s="29">
        <f>IF(D775&lt;&gt;"",D775,IFERROR(VLOOKUP(MID(AG775,4,1),Lists!$E$2:$F$8,2,FALSE),""))</f>
        <v/>
      </c>
      <c r="AQ775" s="29">
        <f>IFERROR(VLOOKUP(AP775,Lists!$A$2:$C$12,3,FALSE),"")</f>
        <v/>
      </c>
      <c r="AR775" s="29">
        <f>COUNTIF(W775:AC775,"Yes")</f>
        <v/>
      </c>
      <c r="AS775" s="29">
        <f>IF(TRIM(B775)="","Legal name missing; ","")&amp;IF(AND(AJ775&lt;&gt;"",AJ775&lt;&gt;"OK"),"GSTIN: "&amp;AJ775&amp;"; ","")&amp;IF(AND(AK775&lt;&gt;"",AK775&lt;&gt;"OK"),"PAN wrong format; ","")&amp;IF(AND(AO775&lt;&gt;"",LEN(AN775)=15,MID(AN775,3,10)&lt;&gt;AO775),"PAN does not match GSTIN; ","")&amp;IF(AND(AL775&lt;&gt;"",AL775&lt;&gt;"OK"),"TAN wrong format; ","")&amp;IF(AG775="","PAN missing; ","")&amp;IF(AP775="","Entity type missing; ","")&amp;IF(AND(AN775&lt;&gt;"",COUNTIF($AN$6:$AN$1005,AN775)&gt;1),"GSTIN repeated in this sheet; ","")&amp;IF(AND(AG775&lt;&gt;"",COUNTIF($AG$6:$AG$1005,AG775)&gt;1),"PAN repeated in this sheet (same client? put extra GSTINs in Other GSTINs); ","")&amp;IF(AND(AR775&gt;0,V775=""),"Financial year missing; ","")&amp;IF(AND(AR775=0,V775&lt;&gt;""),"Financial year given but no service is Yes; ","")&amp;IF(AND(W775="Yes",AN775=""),"GST needs a GSTIN; ","")&amp;IF(AND(W775="Yes",X775=""),"GST return frequency missing; ","")&amp;IF(AND(Y775="Yes",TRIM(H775)=""),"TDS needs a TAN; ","")&amp;IF(AND(AA775="Yes",AQ775&lt;&gt;"",AQ775&lt;&gt;"company",AQ775&lt;&gt;"llp"),"ROC is only for a company / LLP; ","")&amp;IF(AND(AA775="Yes",OR(AQ775="company",AQ775="llp"),TRIM(I775)=""),"ROC needs the CIN / LLPIN; ","")</f>
        <v/>
      </c>
    </row>
    <row r="776">
      <c r="A776" s="30" t="n"/>
      <c r="B776" s="31" t="n"/>
      <c r="C776" s="31" t="n"/>
      <c r="D776" s="31" t="n"/>
      <c r="E776" s="30" t="n"/>
      <c r="F776" s="30" t="n"/>
      <c r="G776" s="30" t="n"/>
      <c r="H776" s="30" t="n"/>
      <c r="I776" s="30" t="n"/>
      <c r="J776" s="32" t="n"/>
      <c r="K776" s="31" t="n"/>
      <c r="L776" s="30" t="n"/>
      <c r="M776" s="31" t="n"/>
      <c r="N776" s="31" t="n"/>
      <c r="O776" s="31" t="n"/>
      <c r="P776" s="30" t="n"/>
      <c r="Q776" s="31" t="n"/>
      <c r="R776" s="31" t="n"/>
      <c r="S776" s="31" t="n"/>
      <c r="T776" s="31" t="n"/>
      <c r="U776" s="30" t="n"/>
      <c r="V776" s="31" t="n"/>
      <c r="W776" s="31" t="n"/>
      <c r="X776" s="31" t="n"/>
      <c r="Y776" s="31" t="n"/>
      <c r="Z776" s="31" t="n"/>
      <c r="AA776" s="31" t="n"/>
      <c r="AB776" s="31" t="n"/>
      <c r="AC776" s="31" t="n"/>
      <c r="AD776" s="31" t="n"/>
      <c r="AE776" s="31" t="n"/>
      <c r="AF776" s="27">
        <f>IF(NOT(COUNTA(A776:AE776)&gt;0),"",IF(A776="","New client","Update"))</f>
        <v/>
      </c>
      <c r="AG776" s="27">
        <f>IF(AO776&lt;&gt;"",AO776,IF(LEN(AN776)=15,MID(AN776,3,10),""))</f>
        <v/>
      </c>
      <c r="AH776" s="27">
        <f>IF(AP776="","",AP776&amp;IF(D776="","  (guessed from PAN)",""))</f>
        <v/>
      </c>
      <c r="AI776" s="27">
        <f>IF(AN776="","",IFERROR(INDEX(Lists!$L$2:$L$38,MATCH(LEFT(AN776,2),Lists!$K$2:$K$38,0)),"Unknown code"))</f>
        <v/>
      </c>
      <c r="AJ776" s="27">
        <f>IF(AN776="","",IFERROR(IF(NOT(AND(LEN(AN776)=15,ISNUMBER(MATCH(LEFT(AN776,2),Lists!$K$2:$K$38,0)),SUMPRODUCT(--ISERROR(FIND(MID(MID(AN776,3,10),{1,2,3,4,5,10},1),"ABCDEFGHIJKLMNOPQRSTUVWXYZ")))=0,SUMPRODUCT(--ISERROR(FIND(MID(MID(AN776,3,10),{6,7,8,9},1),"0123456789")))=0,ISNUMBER(FIND(MID(AN776,13,1),"123456789ABCDEFGHIJKLMNOPQRSTUVWXYZ")),MID(AN776,14,1)="Z")),"Wrong format",IF(MID("0123456789ABCDEFGHIJKLMNOPQRSTUVWXYZ",MOD(36-MOD(SUMPRODUCT(INT((FIND(MID(AN776,{1,2,3,4,5,6,7,8,9,10,11,12,13,14},1),"0123456789ABCDEFGHIJKLMNOPQRSTUVWXYZ")-1)*{1,2,1,2,1,2,1,2,1,2,1,2,1,2}/36)+MOD((FIND(MID(AN776,{1,2,3,4,5,6,7,8,9,10,11,12,13,14},1),"0123456789ABCDEFGHIJKLMNOPQRSTUVWXYZ")-1)*{1,2,1,2,1,2,1,2,1,2,1,2,1,2},36)),36),36)+1,1)=MID(AN776,15,1),"OK","Typo? check digit wrong")),"Wrong format"))</f>
        <v/>
      </c>
      <c r="AK776" s="27">
        <f>IF(AO776="","",IF(AND(LEN(AO776)=10,SUMPRODUCT(--ISERROR(FIND(MID(AO776,{1,2,3,4,5,10},1),"ABCDEFGHIJKLMNOPQRSTUVWXYZ")))=0,SUMPRODUCT(--ISERROR(FIND(MID(AO776,{6,7,8,9},1),"0123456789")))=0),"OK","Wrong format"))</f>
        <v/>
      </c>
      <c r="AL776" s="27">
        <f>IF(TRIM(H776)="","",IF(AND(LEN(UPPER(TRIM(H776)))=10,SUMPRODUCT(--ISERROR(FIND(MID(UPPER(TRIM(H776)),{1,2,3,4,10},1),"ABCDEFGHIJKLMNOPQRSTUVWXYZ")))=0,SUMPRODUCT(--ISERROR(FIND(MID(UPPER(TRIM(H776)),{5,6,7,8,9},1),"0123456789")))=0),"OK","Wrong format"))</f>
        <v/>
      </c>
      <c r="AM776" s="28">
        <f>IF(NOT(COUNTA(A776:AE776)&gt;0),"",IF(AS776&lt;&gt;"","✖ "&amp;LEFT(AS776,LEN(AS776)-2),IF(AR776&gt;0,"✔ Ready — client + "&amp;AR776&amp;" service(s)","✔ Ready — client only")))</f>
        <v/>
      </c>
      <c r="AN776" s="29">
        <f>UPPER(SUBSTITUTE(TRIM(F776)," ",""))</f>
        <v/>
      </c>
      <c r="AO776" s="29">
        <f>UPPER(SUBSTITUTE(TRIM(E776)," ",""))</f>
        <v/>
      </c>
      <c r="AP776" s="29">
        <f>IF(D776&lt;&gt;"",D776,IFERROR(VLOOKUP(MID(AG776,4,1),Lists!$E$2:$F$8,2,FALSE),""))</f>
        <v/>
      </c>
      <c r="AQ776" s="29">
        <f>IFERROR(VLOOKUP(AP776,Lists!$A$2:$C$12,3,FALSE),"")</f>
        <v/>
      </c>
      <c r="AR776" s="29">
        <f>COUNTIF(W776:AC776,"Yes")</f>
        <v/>
      </c>
      <c r="AS776" s="29">
        <f>IF(TRIM(B776)="","Legal name missing; ","")&amp;IF(AND(AJ776&lt;&gt;"",AJ776&lt;&gt;"OK"),"GSTIN: "&amp;AJ776&amp;"; ","")&amp;IF(AND(AK776&lt;&gt;"",AK776&lt;&gt;"OK"),"PAN wrong format; ","")&amp;IF(AND(AO776&lt;&gt;"",LEN(AN776)=15,MID(AN776,3,10)&lt;&gt;AO776),"PAN does not match GSTIN; ","")&amp;IF(AND(AL776&lt;&gt;"",AL776&lt;&gt;"OK"),"TAN wrong format; ","")&amp;IF(AG776="","PAN missing; ","")&amp;IF(AP776="","Entity type missing; ","")&amp;IF(AND(AN776&lt;&gt;"",COUNTIF($AN$6:$AN$1005,AN776)&gt;1),"GSTIN repeated in this sheet; ","")&amp;IF(AND(AG776&lt;&gt;"",COUNTIF($AG$6:$AG$1005,AG776)&gt;1),"PAN repeated in this sheet (same client? put extra GSTINs in Other GSTINs); ","")&amp;IF(AND(AR776&gt;0,V776=""),"Financial year missing; ","")&amp;IF(AND(AR776=0,V776&lt;&gt;""),"Financial year given but no service is Yes; ","")&amp;IF(AND(W776="Yes",AN776=""),"GST needs a GSTIN; ","")&amp;IF(AND(W776="Yes",X776=""),"GST return frequency missing; ","")&amp;IF(AND(Y776="Yes",TRIM(H776)=""),"TDS needs a TAN; ","")&amp;IF(AND(AA776="Yes",AQ776&lt;&gt;"",AQ776&lt;&gt;"company",AQ776&lt;&gt;"llp"),"ROC is only for a company / LLP; ","")&amp;IF(AND(AA776="Yes",OR(AQ776="company",AQ776="llp"),TRIM(I776)=""),"ROC needs the CIN / LLPIN; ","")</f>
        <v/>
      </c>
    </row>
    <row r="777">
      <c r="A777" s="30" t="n"/>
      <c r="B777" s="31" t="n"/>
      <c r="C777" s="31" t="n"/>
      <c r="D777" s="31" t="n"/>
      <c r="E777" s="30" t="n"/>
      <c r="F777" s="30" t="n"/>
      <c r="G777" s="30" t="n"/>
      <c r="H777" s="30" t="n"/>
      <c r="I777" s="30" t="n"/>
      <c r="J777" s="32" t="n"/>
      <c r="K777" s="31" t="n"/>
      <c r="L777" s="30" t="n"/>
      <c r="M777" s="31" t="n"/>
      <c r="N777" s="31" t="n"/>
      <c r="O777" s="31" t="n"/>
      <c r="P777" s="30" t="n"/>
      <c r="Q777" s="31" t="n"/>
      <c r="R777" s="31" t="n"/>
      <c r="S777" s="31" t="n"/>
      <c r="T777" s="31" t="n"/>
      <c r="U777" s="30" t="n"/>
      <c r="V777" s="31" t="n"/>
      <c r="W777" s="31" t="n"/>
      <c r="X777" s="31" t="n"/>
      <c r="Y777" s="31" t="n"/>
      <c r="Z777" s="31" t="n"/>
      <c r="AA777" s="31" t="n"/>
      <c r="AB777" s="31" t="n"/>
      <c r="AC777" s="31" t="n"/>
      <c r="AD777" s="31" t="n"/>
      <c r="AE777" s="31" t="n"/>
      <c r="AF777" s="27">
        <f>IF(NOT(COUNTA(A777:AE777)&gt;0),"",IF(A777="","New client","Update"))</f>
        <v/>
      </c>
      <c r="AG777" s="27">
        <f>IF(AO777&lt;&gt;"",AO777,IF(LEN(AN777)=15,MID(AN777,3,10),""))</f>
        <v/>
      </c>
      <c r="AH777" s="27">
        <f>IF(AP777="","",AP777&amp;IF(D777="","  (guessed from PAN)",""))</f>
        <v/>
      </c>
      <c r="AI777" s="27">
        <f>IF(AN777="","",IFERROR(INDEX(Lists!$L$2:$L$38,MATCH(LEFT(AN777,2),Lists!$K$2:$K$38,0)),"Unknown code"))</f>
        <v/>
      </c>
      <c r="AJ777" s="27">
        <f>IF(AN777="","",IFERROR(IF(NOT(AND(LEN(AN777)=15,ISNUMBER(MATCH(LEFT(AN777,2),Lists!$K$2:$K$38,0)),SUMPRODUCT(--ISERROR(FIND(MID(MID(AN777,3,10),{1,2,3,4,5,10},1),"ABCDEFGHIJKLMNOPQRSTUVWXYZ")))=0,SUMPRODUCT(--ISERROR(FIND(MID(MID(AN777,3,10),{6,7,8,9},1),"0123456789")))=0,ISNUMBER(FIND(MID(AN777,13,1),"123456789ABCDEFGHIJKLMNOPQRSTUVWXYZ")),MID(AN777,14,1)="Z")),"Wrong format",IF(MID("0123456789ABCDEFGHIJKLMNOPQRSTUVWXYZ",MOD(36-MOD(SUMPRODUCT(INT((FIND(MID(AN777,{1,2,3,4,5,6,7,8,9,10,11,12,13,14},1),"0123456789ABCDEFGHIJKLMNOPQRSTUVWXYZ")-1)*{1,2,1,2,1,2,1,2,1,2,1,2,1,2}/36)+MOD((FIND(MID(AN777,{1,2,3,4,5,6,7,8,9,10,11,12,13,14},1),"0123456789ABCDEFGHIJKLMNOPQRSTUVWXYZ")-1)*{1,2,1,2,1,2,1,2,1,2,1,2,1,2},36)),36),36)+1,1)=MID(AN777,15,1),"OK","Typo? check digit wrong")),"Wrong format"))</f>
        <v/>
      </c>
      <c r="AK777" s="27">
        <f>IF(AO777="","",IF(AND(LEN(AO777)=10,SUMPRODUCT(--ISERROR(FIND(MID(AO777,{1,2,3,4,5,10},1),"ABCDEFGHIJKLMNOPQRSTUVWXYZ")))=0,SUMPRODUCT(--ISERROR(FIND(MID(AO777,{6,7,8,9},1),"0123456789")))=0),"OK","Wrong format"))</f>
        <v/>
      </c>
      <c r="AL777" s="27">
        <f>IF(TRIM(H777)="","",IF(AND(LEN(UPPER(TRIM(H777)))=10,SUMPRODUCT(--ISERROR(FIND(MID(UPPER(TRIM(H777)),{1,2,3,4,10},1),"ABCDEFGHIJKLMNOPQRSTUVWXYZ")))=0,SUMPRODUCT(--ISERROR(FIND(MID(UPPER(TRIM(H777)),{5,6,7,8,9},1),"0123456789")))=0),"OK","Wrong format"))</f>
        <v/>
      </c>
      <c r="AM777" s="28">
        <f>IF(NOT(COUNTA(A777:AE777)&gt;0),"",IF(AS777&lt;&gt;"","✖ "&amp;LEFT(AS777,LEN(AS777)-2),IF(AR777&gt;0,"✔ Ready — client + "&amp;AR777&amp;" service(s)","✔ Ready — client only")))</f>
        <v/>
      </c>
      <c r="AN777" s="29">
        <f>UPPER(SUBSTITUTE(TRIM(F777)," ",""))</f>
        <v/>
      </c>
      <c r="AO777" s="29">
        <f>UPPER(SUBSTITUTE(TRIM(E777)," ",""))</f>
        <v/>
      </c>
      <c r="AP777" s="29">
        <f>IF(D777&lt;&gt;"",D777,IFERROR(VLOOKUP(MID(AG777,4,1),Lists!$E$2:$F$8,2,FALSE),""))</f>
        <v/>
      </c>
      <c r="AQ777" s="29">
        <f>IFERROR(VLOOKUP(AP777,Lists!$A$2:$C$12,3,FALSE),"")</f>
        <v/>
      </c>
      <c r="AR777" s="29">
        <f>COUNTIF(W777:AC777,"Yes")</f>
        <v/>
      </c>
      <c r="AS777" s="29">
        <f>IF(TRIM(B777)="","Legal name missing; ","")&amp;IF(AND(AJ777&lt;&gt;"",AJ777&lt;&gt;"OK"),"GSTIN: "&amp;AJ777&amp;"; ","")&amp;IF(AND(AK777&lt;&gt;"",AK777&lt;&gt;"OK"),"PAN wrong format; ","")&amp;IF(AND(AO777&lt;&gt;"",LEN(AN777)=15,MID(AN777,3,10)&lt;&gt;AO777),"PAN does not match GSTIN; ","")&amp;IF(AND(AL777&lt;&gt;"",AL777&lt;&gt;"OK"),"TAN wrong format; ","")&amp;IF(AG777="","PAN missing; ","")&amp;IF(AP777="","Entity type missing; ","")&amp;IF(AND(AN777&lt;&gt;"",COUNTIF($AN$6:$AN$1005,AN777)&gt;1),"GSTIN repeated in this sheet; ","")&amp;IF(AND(AG777&lt;&gt;"",COUNTIF($AG$6:$AG$1005,AG777)&gt;1),"PAN repeated in this sheet (same client? put extra GSTINs in Other GSTINs); ","")&amp;IF(AND(AR777&gt;0,V777=""),"Financial year missing; ","")&amp;IF(AND(AR777=0,V777&lt;&gt;""),"Financial year given but no service is Yes; ","")&amp;IF(AND(W777="Yes",AN777=""),"GST needs a GSTIN; ","")&amp;IF(AND(W777="Yes",X777=""),"GST return frequency missing; ","")&amp;IF(AND(Y777="Yes",TRIM(H777)=""),"TDS needs a TAN; ","")&amp;IF(AND(AA777="Yes",AQ777&lt;&gt;"",AQ777&lt;&gt;"company",AQ777&lt;&gt;"llp"),"ROC is only for a company / LLP; ","")&amp;IF(AND(AA777="Yes",OR(AQ777="company",AQ777="llp"),TRIM(I777)=""),"ROC needs the CIN / LLPIN; ","")</f>
        <v/>
      </c>
    </row>
    <row r="778">
      <c r="A778" s="30" t="n"/>
      <c r="B778" s="31" t="n"/>
      <c r="C778" s="31" t="n"/>
      <c r="D778" s="31" t="n"/>
      <c r="E778" s="30" t="n"/>
      <c r="F778" s="30" t="n"/>
      <c r="G778" s="30" t="n"/>
      <c r="H778" s="30" t="n"/>
      <c r="I778" s="30" t="n"/>
      <c r="J778" s="32" t="n"/>
      <c r="K778" s="31" t="n"/>
      <c r="L778" s="30" t="n"/>
      <c r="M778" s="31" t="n"/>
      <c r="N778" s="31" t="n"/>
      <c r="O778" s="31" t="n"/>
      <c r="P778" s="30" t="n"/>
      <c r="Q778" s="31" t="n"/>
      <c r="R778" s="31" t="n"/>
      <c r="S778" s="31" t="n"/>
      <c r="T778" s="31" t="n"/>
      <c r="U778" s="30" t="n"/>
      <c r="V778" s="31" t="n"/>
      <c r="W778" s="31" t="n"/>
      <c r="X778" s="31" t="n"/>
      <c r="Y778" s="31" t="n"/>
      <c r="Z778" s="31" t="n"/>
      <c r="AA778" s="31" t="n"/>
      <c r="AB778" s="31" t="n"/>
      <c r="AC778" s="31" t="n"/>
      <c r="AD778" s="31" t="n"/>
      <c r="AE778" s="31" t="n"/>
      <c r="AF778" s="27">
        <f>IF(NOT(COUNTA(A778:AE778)&gt;0),"",IF(A778="","New client","Update"))</f>
        <v/>
      </c>
      <c r="AG778" s="27">
        <f>IF(AO778&lt;&gt;"",AO778,IF(LEN(AN778)=15,MID(AN778,3,10),""))</f>
        <v/>
      </c>
      <c r="AH778" s="27">
        <f>IF(AP778="","",AP778&amp;IF(D778="","  (guessed from PAN)",""))</f>
        <v/>
      </c>
      <c r="AI778" s="27">
        <f>IF(AN778="","",IFERROR(INDEX(Lists!$L$2:$L$38,MATCH(LEFT(AN778,2),Lists!$K$2:$K$38,0)),"Unknown code"))</f>
        <v/>
      </c>
      <c r="AJ778" s="27">
        <f>IF(AN778="","",IFERROR(IF(NOT(AND(LEN(AN778)=15,ISNUMBER(MATCH(LEFT(AN778,2),Lists!$K$2:$K$38,0)),SUMPRODUCT(--ISERROR(FIND(MID(MID(AN778,3,10),{1,2,3,4,5,10},1),"ABCDEFGHIJKLMNOPQRSTUVWXYZ")))=0,SUMPRODUCT(--ISERROR(FIND(MID(MID(AN778,3,10),{6,7,8,9},1),"0123456789")))=0,ISNUMBER(FIND(MID(AN778,13,1),"123456789ABCDEFGHIJKLMNOPQRSTUVWXYZ")),MID(AN778,14,1)="Z")),"Wrong format",IF(MID("0123456789ABCDEFGHIJKLMNOPQRSTUVWXYZ",MOD(36-MOD(SUMPRODUCT(INT((FIND(MID(AN778,{1,2,3,4,5,6,7,8,9,10,11,12,13,14},1),"0123456789ABCDEFGHIJKLMNOPQRSTUVWXYZ")-1)*{1,2,1,2,1,2,1,2,1,2,1,2,1,2}/36)+MOD((FIND(MID(AN778,{1,2,3,4,5,6,7,8,9,10,11,12,13,14},1),"0123456789ABCDEFGHIJKLMNOPQRSTUVWXYZ")-1)*{1,2,1,2,1,2,1,2,1,2,1,2,1,2},36)),36),36)+1,1)=MID(AN778,15,1),"OK","Typo? check digit wrong")),"Wrong format"))</f>
        <v/>
      </c>
      <c r="AK778" s="27">
        <f>IF(AO778="","",IF(AND(LEN(AO778)=10,SUMPRODUCT(--ISERROR(FIND(MID(AO778,{1,2,3,4,5,10},1),"ABCDEFGHIJKLMNOPQRSTUVWXYZ")))=0,SUMPRODUCT(--ISERROR(FIND(MID(AO778,{6,7,8,9},1),"0123456789")))=0),"OK","Wrong format"))</f>
        <v/>
      </c>
      <c r="AL778" s="27">
        <f>IF(TRIM(H778)="","",IF(AND(LEN(UPPER(TRIM(H778)))=10,SUMPRODUCT(--ISERROR(FIND(MID(UPPER(TRIM(H778)),{1,2,3,4,10},1),"ABCDEFGHIJKLMNOPQRSTUVWXYZ")))=0,SUMPRODUCT(--ISERROR(FIND(MID(UPPER(TRIM(H778)),{5,6,7,8,9},1),"0123456789")))=0),"OK","Wrong format"))</f>
        <v/>
      </c>
      <c r="AM778" s="28">
        <f>IF(NOT(COUNTA(A778:AE778)&gt;0),"",IF(AS778&lt;&gt;"","✖ "&amp;LEFT(AS778,LEN(AS778)-2),IF(AR778&gt;0,"✔ Ready — client + "&amp;AR778&amp;" service(s)","✔ Ready — client only")))</f>
        <v/>
      </c>
      <c r="AN778" s="29">
        <f>UPPER(SUBSTITUTE(TRIM(F778)," ",""))</f>
        <v/>
      </c>
      <c r="AO778" s="29">
        <f>UPPER(SUBSTITUTE(TRIM(E778)," ",""))</f>
        <v/>
      </c>
      <c r="AP778" s="29">
        <f>IF(D778&lt;&gt;"",D778,IFERROR(VLOOKUP(MID(AG778,4,1),Lists!$E$2:$F$8,2,FALSE),""))</f>
        <v/>
      </c>
      <c r="AQ778" s="29">
        <f>IFERROR(VLOOKUP(AP778,Lists!$A$2:$C$12,3,FALSE),"")</f>
        <v/>
      </c>
      <c r="AR778" s="29">
        <f>COUNTIF(W778:AC778,"Yes")</f>
        <v/>
      </c>
      <c r="AS778" s="29">
        <f>IF(TRIM(B778)="","Legal name missing; ","")&amp;IF(AND(AJ778&lt;&gt;"",AJ778&lt;&gt;"OK"),"GSTIN: "&amp;AJ778&amp;"; ","")&amp;IF(AND(AK778&lt;&gt;"",AK778&lt;&gt;"OK"),"PAN wrong format; ","")&amp;IF(AND(AO778&lt;&gt;"",LEN(AN778)=15,MID(AN778,3,10)&lt;&gt;AO778),"PAN does not match GSTIN; ","")&amp;IF(AND(AL778&lt;&gt;"",AL778&lt;&gt;"OK"),"TAN wrong format; ","")&amp;IF(AG778="","PAN missing; ","")&amp;IF(AP778="","Entity type missing; ","")&amp;IF(AND(AN778&lt;&gt;"",COUNTIF($AN$6:$AN$1005,AN778)&gt;1),"GSTIN repeated in this sheet; ","")&amp;IF(AND(AG778&lt;&gt;"",COUNTIF($AG$6:$AG$1005,AG778)&gt;1),"PAN repeated in this sheet (same client? put extra GSTINs in Other GSTINs); ","")&amp;IF(AND(AR778&gt;0,V778=""),"Financial year missing; ","")&amp;IF(AND(AR778=0,V778&lt;&gt;""),"Financial year given but no service is Yes; ","")&amp;IF(AND(W778="Yes",AN778=""),"GST needs a GSTIN; ","")&amp;IF(AND(W778="Yes",X778=""),"GST return frequency missing; ","")&amp;IF(AND(Y778="Yes",TRIM(H778)=""),"TDS needs a TAN; ","")&amp;IF(AND(AA778="Yes",AQ778&lt;&gt;"",AQ778&lt;&gt;"company",AQ778&lt;&gt;"llp"),"ROC is only for a company / LLP; ","")&amp;IF(AND(AA778="Yes",OR(AQ778="company",AQ778="llp"),TRIM(I778)=""),"ROC needs the CIN / LLPIN; ","")</f>
        <v/>
      </c>
    </row>
    <row r="779">
      <c r="A779" s="30" t="n"/>
      <c r="B779" s="31" t="n"/>
      <c r="C779" s="31" t="n"/>
      <c r="D779" s="31" t="n"/>
      <c r="E779" s="30" t="n"/>
      <c r="F779" s="30" t="n"/>
      <c r="G779" s="30" t="n"/>
      <c r="H779" s="30" t="n"/>
      <c r="I779" s="30" t="n"/>
      <c r="J779" s="32" t="n"/>
      <c r="K779" s="31" t="n"/>
      <c r="L779" s="30" t="n"/>
      <c r="M779" s="31" t="n"/>
      <c r="N779" s="31" t="n"/>
      <c r="O779" s="31" t="n"/>
      <c r="P779" s="30" t="n"/>
      <c r="Q779" s="31" t="n"/>
      <c r="R779" s="31" t="n"/>
      <c r="S779" s="31" t="n"/>
      <c r="T779" s="31" t="n"/>
      <c r="U779" s="30" t="n"/>
      <c r="V779" s="31" t="n"/>
      <c r="W779" s="31" t="n"/>
      <c r="X779" s="31" t="n"/>
      <c r="Y779" s="31" t="n"/>
      <c r="Z779" s="31" t="n"/>
      <c r="AA779" s="31" t="n"/>
      <c r="AB779" s="31" t="n"/>
      <c r="AC779" s="31" t="n"/>
      <c r="AD779" s="31" t="n"/>
      <c r="AE779" s="31" t="n"/>
      <c r="AF779" s="27">
        <f>IF(NOT(COUNTA(A779:AE779)&gt;0),"",IF(A779="","New client","Update"))</f>
        <v/>
      </c>
      <c r="AG779" s="27">
        <f>IF(AO779&lt;&gt;"",AO779,IF(LEN(AN779)=15,MID(AN779,3,10),""))</f>
        <v/>
      </c>
      <c r="AH779" s="27">
        <f>IF(AP779="","",AP779&amp;IF(D779="","  (guessed from PAN)",""))</f>
        <v/>
      </c>
      <c r="AI779" s="27">
        <f>IF(AN779="","",IFERROR(INDEX(Lists!$L$2:$L$38,MATCH(LEFT(AN779,2),Lists!$K$2:$K$38,0)),"Unknown code"))</f>
        <v/>
      </c>
      <c r="AJ779" s="27">
        <f>IF(AN779="","",IFERROR(IF(NOT(AND(LEN(AN779)=15,ISNUMBER(MATCH(LEFT(AN779,2),Lists!$K$2:$K$38,0)),SUMPRODUCT(--ISERROR(FIND(MID(MID(AN779,3,10),{1,2,3,4,5,10},1),"ABCDEFGHIJKLMNOPQRSTUVWXYZ")))=0,SUMPRODUCT(--ISERROR(FIND(MID(MID(AN779,3,10),{6,7,8,9},1),"0123456789")))=0,ISNUMBER(FIND(MID(AN779,13,1),"123456789ABCDEFGHIJKLMNOPQRSTUVWXYZ")),MID(AN779,14,1)="Z")),"Wrong format",IF(MID("0123456789ABCDEFGHIJKLMNOPQRSTUVWXYZ",MOD(36-MOD(SUMPRODUCT(INT((FIND(MID(AN779,{1,2,3,4,5,6,7,8,9,10,11,12,13,14},1),"0123456789ABCDEFGHIJKLMNOPQRSTUVWXYZ")-1)*{1,2,1,2,1,2,1,2,1,2,1,2,1,2}/36)+MOD((FIND(MID(AN779,{1,2,3,4,5,6,7,8,9,10,11,12,13,14},1),"0123456789ABCDEFGHIJKLMNOPQRSTUVWXYZ")-1)*{1,2,1,2,1,2,1,2,1,2,1,2,1,2},36)),36),36)+1,1)=MID(AN779,15,1),"OK","Typo? check digit wrong")),"Wrong format"))</f>
        <v/>
      </c>
      <c r="AK779" s="27">
        <f>IF(AO779="","",IF(AND(LEN(AO779)=10,SUMPRODUCT(--ISERROR(FIND(MID(AO779,{1,2,3,4,5,10},1),"ABCDEFGHIJKLMNOPQRSTUVWXYZ")))=0,SUMPRODUCT(--ISERROR(FIND(MID(AO779,{6,7,8,9},1),"0123456789")))=0),"OK","Wrong format"))</f>
        <v/>
      </c>
      <c r="AL779" s="27">
        <f>IF(TRIM(H779)="","",IF(AND(LEN(UPPER(TRIM(H779)))=10,SUMPRODUCT(--ISERROR(FIND(MID(UPPER(TRIM(H779)),{1,2,3,4,10},1),"ABCDEFGHIJKLMNOPQRSTUVWXYZ")))=0,SUMPRODUCT(--ISERROR(FIND(MID(UPPER(TRIM(H779)),{5,6,7,8,9},1),"0123456789")))=0),"OK","Wrong format"))</f>
        <v/>
      </c>
      <c r="AM779" s="28">
        <f>IF(NOT(COUNTA(A779:AE779)&gt;0),"",IF(AS779&lt;&gt;"","✖ "&amp;LEFT(AS779,LEN(AS779)-2),IF(AR779&gt;0,"✔ Ready — client + "&amp;AR779&amp;" service(s)","✔ Ready — client only")))</f>
        <v/>
      </c>
      <c r="AN779" s="29">
        <f>UPPER(SUBSTITUTE(TRIM(F779)," ",""))</f>
        <v/>
      </c>
      <c r="AO779" s="29">
        <f>UPPER(SUBSTITUTE(TRIM(E779)," ",""))</f>
        <v/>
      </c>
      <c r="AP779" s="29">
        <f>IF(D779&lt;&gt;"",D779,IFERROR(VLOOKUP(MID(AG779,4,1),Lists!$E$2:$F$8,2,FALSE),""))</f>
        <v/>
      </c>
      <c r="AQ779" s="29">
        <f>IFERROR(VLOOKUP(AP779,Lists!$A$2:$C$12,3,FALSE),"")</f>
        <v/>
      </c>
      <c r="AR779" s="29">
        <f>COUNTIF(W779:AC779,"Yes")</f>
        <v/>
      </c>
      <c r="AS779" s="29">
        <f>IF(TRIM(B779)="","Legal name missing; ","")&amp;IF(AND(AJ779&lt;&gt;"",AJ779&lt;&gt;"OK"),"GSTIN: "&amp;AJ779&amp;"; ","")&amp;IF(AND(AK779&lt;&gt;"",AK779&lt;&gt;"OK"),"PAN wrong format; ","")&amp;IF(AND(AO779&lt;&gt;"",LEN(AN779)=15,MID(AN779,3,10)&lt;&gt;AO779),"PAN does not match GSTIN; ","")&amp;IF(AND(AL779&lt;&gt;"",AL779&lt;&gt;"OK"),"TAN wrong format; ","")&amp;IF(AG779="","PAN missing; ","")&amp;IF(AP779="","Entity type missing; ","")&amp;IF(AND(AN779&lt;&gt;"",COUNTIF($AN$6:$AN$1005,AN779)&gt;1),"GSTIN repeated in this sheet; ","")&amp;IF(AND(AG779&lt;&gt;"",COUNTIF($AG$6:$AG$1005,AG779)&gt;1),"PAN repeated in this sheet (same client? put extra GSTINs in Other GSTINs); ","")&amp;IF(AND(AR779&gt;0,V779=""),"Financial year missing; ","")&amp;IF(AND(AR779=0,V779&lt;&gt;""),"Financial year given but no service is Yes; ","")&amp;IF(AND(W779="Yes",AN779=""),"GST needs a GSTIN; ","")&amp;IF(AND(W779="Yes",X779=""),"GST return frequency missing; ","")&amp;IF(AND(Y779="Yes",TRIM(H779)=""),"TDS needs a TAN; ","")&amp;IF(AND(AA779="Yes",AQ779&lt;&gt;"",AQ779&lt;&gt;"company",AQ779&lt;&gt;"llp"),"ROC is only for a company / LLP; ","")&amp;IF(AND(AA779="Yes",OR(AQ779="company",AQ779="llp"),TRIM(I779)=""),"ROC needs the CIN / LLPIN; ","")</f>
        <v/>
      </c>
    </row>
    <row r="780">
      <c r="A780" s="30" t="n"/>
      <c r="B780" s="31" t="n"/>
      <c r="C780" s="31" t="n"/>
      <c r="D780" s="31" t="n"/>
      <c r="E780" s="30" t="n"/>
      <c r="F780" s="30" t="n"/>
      <c r="G780" s="30" t="n"/>
      <c r="H780" s="30" t="n"/>
      <c r="I780" s="30" t="n"/>
      <c r="J780" s="32" t="n"/>
      <c r="K780" s="31" t="n"/>
      <c r="L780" s="30" t="n"/>
      <c r="M780" s="31" t="n"/>
      <c r="N780" s="31" t="n"/>
      <c r="O780" s="31" t="n"/>
      <c r="P780" s="30" t="n"/>
      <c r="Q780" s="31" t="n"/>
      <c r="R780" s="31" t="n"/>
      <c r="S780" s="31" t="n"/>
      <c r="T780" s="31" t="n"/>
      <c r="U780" s="30" t="n"/>
      <c r="V780" s="31" t="n"/>
      <c r="W780" s="31" t="n"/>
      <c r="X780" s="31" t="n"/>
      <c r="Y780" s="31" t="n"/>
      <c r="Z780" s="31" t="n"/>
      <c r="AA780" s="31" t="n"/>
      <c r="AB780" s="31" t="n"/>
      <c r="AC780" s="31" t="n"/>
      <c r="AD780" s="31" t="n"/>
      <c r="AE780" s="31" t="n"/>
      <c r="AF780" s="27">
        <f>IF(NOT(COUNTA(A780:AE780)&gt;0),"",IF(A780="","New client","Update"))</f>
        <v/>
      </c>
      <c r="AG780" s="27">
        <f>IF(AO780&lt;&gt;"",AO780,IF(LEN(AN780)=15,MID(AN780,3,10),""))</f>
        <v/>
      </c>
      <c r="AH780" s="27">
        <f>IF(AP780="","",AP780&amp;IF(D780="","  (guessed from PAN)",""))</f>
        <v/>
      </c>
      <c r="AI780" s="27">
        <f>IF(AN780="","",IFERROR(INDEX(Lists!$L$2:$L$38,MATCH(LEFT(AN780,2),Lists!$K$2:$K$38,0)),"Unknown code"))</f>
        <v/>
      </c>
      <c r="AJ780" s="27">
        <f>IF(AN780="","",IFERROR(IF(NOT(AND(LEN(AN780)=15,ISNUMBER(MATCH(LEFT(AN780,2),Lists!$K$2:$K$38,0)),SUMPRODUCT(--ISERROR(FIND(MID(MID(AN780,3,10),{1,2,3,4,5,10},1),"ABCDEFGHIJKLMNOPQRSTUVWXYZ")))=0,SUMPRODUCT(--ISERROR(FIND(MID(MID(AN780,3,10),{6,7,8,9},1),"0123456789")))=0,ISNUMBER(FIND(MID(AN780,13,1),"123456789ABCDEFGHIJKLMNOPQRSTUVWXYZ")),MID(AN780,14,1)="Z")),"Wrong format",IF(MID("0123456789ABCDEFGHIJKLMNOPQRSTUVWXYZ",MOD(36-MOD(SUMPRODUCT(INT((FIND(MID(AN780,{1,2,3,4,5,6,7,8,9,10,11,12,13,14},1),"0123456789ABCDEFGHIJKLMNOPQRSTUVWXYZ")-1)*{1,2,1,2,1,2,1,2,1,2,1,2,1,2}/36)+MOD((FIND(MID(AN780,{1,2,3,4,5,6,7,8,9,10,11,12,13,14},1),"0123456789ABCDEFGHIJKLMNOPQRSTUVWXYZ")-1)*{1,2,1,2,1,2,1,2,1,2,1,2,1,2},36)),36),36)+1,1)=MID(AN780,15,1),"OK","Typo? check digit wrong")),"Wrong format"))</f>
        <v/>
      </c>
      <c r="AK780" s="27">
        <f>IF(AO780="","",IF(AND(LEN(AO780)=10,SUMPRODUCT(--ISERROR(FIND(MID(AO780,{1,2,3,4,5,10},1),"ABCDEFGHIJKLMNOPQRSTUVWXYZ")))=0,SUMPRODUCT(--ISERROR(FIND(MID(AO780,{6,7,8,9},1),"0123456789")))=0),"OK","Wrong format"))</f>
        <v/>
      </c>
      <c r="AL780" s="27">
        <f>IF(TRIM(H780)="","",IF(AND(LEN(UPPER(TRIM(H780)))=10,SUMPRODUCT(--ISERROR(FIND(MID(UPPER(TRIM(H780)),{1,2,3,4,10},1),"ABCDEFGHIJKLMNOPQRSTUVWXYZ")))=0,SUMPRODUCT(--ISERROR(FIND(MID(UPPER(TRIM(H780)),{5,6,7,8,9},1),"0123456789")))=0),"OK","Wrong format"))</f>
        <v/>
      </c>
      <c r="AM780" s="28">
        <f>IF(NOT(COUNTA(A780:AE780)&gt;0),"",IF(AS780&lt;&gt;"","✖ "&amp;LEFT(AS780,LEN(AS780)-2),IF(AR780&gt;0,"✔ Ready — client + "&amp;AR780&amp;" service(s)","✔ Ready — client only")))</f>
        <v/>
      </c>
      <c r="AN780" s="29">
        <f>UPPER(SUBSTITUTE(TRIM(F780)," ",""))</f>
        <v/>
      </c>
      <c r="AO780" s="29">
        <f>UPPER(SUBSTITUTE(TRIM(E780)," ",""))</f>
        <v/>
      </c>
      <c r="AP780" s="29">
        <f>IF(D780&lt;&gt;"",D780,IFERROR(VLOOKUP(MID(AG780,4,1),Lists!$E$2:$F$8,2,FALSE),""))</f>
        <v/>
      </c>
      <c r="AQ780" s="29">
        <f>IFERROR(VLOOKUP(AP780,Lists!$A$2:$C$12,3,FALSE),"")</f>
        <v/>
      </c>
      <c r="AR780" s="29">
        <f>COUNTIF(W780:AC780,"Yes")</f>
        <v/>
      </c>
      <c r="AS780" s="29">
        <f>IF(TRIM(B780)="","Legal name missing; ","")&amp;IF(AND(AJ780&lt;&gt;"",AJ780&lt;&gt;"OK"),"GSTIN: "&amp;AJ780&amp;"; ","")&amp;IF(AND(AK780&lt;&gt;"",AK780&lt;&gt;"OK"),"PAN wrong format; ","")&amp;IF(AND(AO780&lt;&gt;"",LEN(AN780)=15,MID(AN780,3,10)&lt;&gt;AO780),"PAN does not match GSTIN; ","")&amp;IF(AND(AL780&lt;&gt;"",AL780&lt;&gt;"OK"),"TAN wrong format; ","")&amp;IF(AG780="","PAN missing; ","")&amp;IF(AP780="","Entity type missing; ","")&amp;IF(AND(AN780&lt;&gt;"",COUNTIF($AN$6:$AN$1005,AN780)&gt;1),"GSTIN repeated in this sheet; ","")&amp;IF(AND(AG780&lt;&gt;"",COUNTIF($AG$6:$AG$1005,AG780)&gt;1),"PAN repeated in this sheet (same client? put extra GSTINs in Other GSTINs); ","")&amp;IF(AND(AR780&gt;0,V780=""),"Financial year missing; ","")&amp;IF(AND(AR780=0,V780&lt;&gt;""),"Financial year given but no service is Yes; ","")&amp;IF(AND(W780="Yes",AN780=""),"GST needs a GSTIN; ","")&amp;IF(AND(W780="Yes",X780=""),"GST return frequency missing; ","")&amp;IF(AND(Y780="Yes",TRIM(H780)=""),"TDS needs a TAN; ","")&amp;IF(AND(AA780="Yes",AQ780&lt;&gt;"",AQ780&lt;&gt;"company",AQ780&lt;&gt;"llp"),"ROC is only for a company / LLP; ","")&amp;IF(AND(AA780="Yes",OR(AQ780="company",AQ780="llp"),TRIM(I780)=""),"ROC needs the CIN / LLPIN; ","")</f>
        <v/>
      </c>
    </row>
    <row r="781">
      <c r="A781" s="30" t="n"/>
      <c r="B781" s="31" t="n"/>
      <c r="C781" s="31" t="n"/>
      <c r="D781" s="31" t="n"/>
      <c r="E781" s="30" t="n"/>
      <c r="F781" s="30" t="n"/>
      <c r="G781" s="30" t="n"/>
      <c r="H781" s="30" t="n"/>
      <c r="I781" s="30" t="n"/>
      <c r="J781" s="32" t="n"/>
      <c r="K781" s="31" t="n"/>
      <c r="L781" s="30" t="n"/>
      <c r="M781" s="31" t="n"/>
      <c r="N781" s="31" t="n"/>
      <c r="O781" s="31" t="n"/>
      <c r="P781" s="30" t="n"/>
      <c r="Q781" s="31" t="n"/>
      <c r="R781" s="31" t="n"/>
      <c r="S781" s="31" t="n"/>
      <c r="T781" s="31" t="n"/>
      <c r="U781" s="30" t="n"/>
      <c r="V781" s="31" t="n"/>
      <c r="W781" s="31" t="n"/>
      <c r="X781" s="31" t="n"/>
      <c r="Y781" s="31" t="n"/>
      <c r="Z781" s="31" t="n"/>
      <c r="AA781" s="31" t="n"/>
      <c r="AB781" s="31" t="n"/>
      <c r="AC781" s="31" t="n"/>
      <c r="AD781" s="31" t="n"/>
      <c r="AE781" s="31" t="n"/>
      <c r="AF781" s="27">
        <f>IF(NOT(COUNTA(A781:AE781)&gt;0),"",IF(A781="","New client","Update"))</f>
        <v/>
      </c>
      <c r="AG781" s="27">
        <f>IF(AO781&lt;&gt;"",AO781,IF(LEN(AN781)=15,MID(AN781,3,10),""))</f>
        <v/>
      </c>
      <c r="AH781" s="27">
        <f>IF(AP781="","",AP781&amp;IF(D781="","  (guessed from PAN)",""))</f>
        <v/>
      </c>
      <c r="AI781" s="27">
        <f>IF(AN781="","",IFERROR(INDEX(Lists!$L$2:$L$38,MATCH(LEFT(AN781,2),Lists!$K$2:$K$38,0)),"Unknown code"))</f>
        <v/>
      </c>
      <c r="AJ781" s="27">
        <f>IF(AN781="","",IFERROR(IF(NOT(AND(LEN(AN781)=15,ISNUMBER(MATCH(LEFT(AN781,2),Lists!$K$2:$K$38,0)),SUMPRODUCT(--ISERROR(FIND(MID(MID(AN781,3,10),{1,2,3,4,5,10},1),"ABCDEFGHIJKLMNOPQRSTUVWXYZ")))=0,SUMPRODUCT(--ISERROR(FIND(MID(MID(AN781,3,10),{6,7,8,9},1),"0123456789")))=0,ISNUMBER(FIND(MID(AN781,13,1),"123456789ABCDEFGHIJKLMNOPQRSTUVWXYZ")),MID(AN781,14,1)="Z")),"Wrong format",IF(MID("0123456789ABCDEFGHIJKLMNOPQRSTUVWXYZ",MOD(36-MOD(SUMPRODUCT(INT((FIND(MID(AN781,{1,2,3,4,5,6,7,8,9,10,11,12,13,14},1),"0123456789ABCDEFGHIJKLMNOPQRSTUVWXYZ")-1)*{1,2,1,2,1,2,1,2,1,2,1,2,1,2}/36)+MOD((FIND(MID(AN781,{1,2,3,4,5,6,7,8,9,10,11,12,13,14},1),"0123456789ABCDEFGHIJKLMNOPQRSTUVWXYZ")-1)*{1,2,1,2,1,2,1,2,1,2,1,2,1,2},36)),36),36)+1,1)=MID(AN781,15,1),"OK","Typo? check digit wrong")),"Wrong format"))</f>
        <v/>
      </c>
      <c r="AK781" s="27">
        <f>IF(AO781="","",IF(AND(LEN(AO781)=10,SUMPRODUCT(--ISERROR(FIND(MID(AO781,{1,2,3,4,5,10},1),"ABCDEFGHIJKLMNOPQRSTUVWXYZ")))=0,SUMPRODUCT(--ISERROR(FIND(MID(AO781,{6,7,8,9},1),"0123456789")))=0),"OK","Wrong format"))</f>
        <v/>
      </c>
      <c r="AL781" s="27">
        <f>IF(TRIM(H781)="","",IF(AND(LEN(UPPER(TRIM(H781)))=10,SUMPRODUCT(--ISERROR(FIND(MID(UPPER(TRIM(H781)),{1,2,3,4,10},1),"ABCDEFGHIJKLMNOPQRSTUVWXYZ")))=0,SUMPRODUCT(--ISERROR(FIND(MID(UPPER(TRIM(H781)),{5,6,7,8,9},1),"0123456789")))=0),"OK","Wrong format"))</f>
        <v/>
      </c>
      <c r="AM781" s="28">
        <f>IF(NOT(COUNTA(A781:AE781)&gt;0),"",IF(AS781&lt;&gt;"","✖ "&amp;LEFT(AS781,LEN(AS781)-2),IF(AR781&gt;0,"✔ Ready — client + "&amp;AR781&amp;" service(s)","✔ Ready — client only")))</f>
        <v/>
      </c>
      <c r="AN781" s="29">
        <f>UPPER(SUBSTITUTE(TRIM(F781)," ",""))</f>
        <v/>
      </c>
      <c r="AO781" s="29">
        <f>UPPER(SUBSTITUTE(TRIM(E781)," ",""))</f>
        <v/>
      </c>
      <c r="AP781" s="29">
        <f>IF(D781&lt;&gt;"",D781,IFERROR(VLOOKUP(MID(AG781,4,1),Lists!$E$2:$F$8,2,FALSE),""))</f>
        <v/>
      </c>
      <c r="AQ781" s="29">
        <f>IFERROR(VLOOKUP(AP781,Lists!$A$2:$C$12,3,FALSE),"")</f>
        <v/>
      </c>
      <c r="AR781" s="29">
        <f>COUNTIF(W781:AC781,"Yes")</f>
        <v/>
      </c>
      <c r="AS781" s="29">
        <f>IF(TRIM(B781)="","Legal name missing; ","")&amp;IF(AND(AJ781&lt;&gt;"",AJ781&lt;&gt;"OK"),"GSTIN: "&amp;AJ781&amp;"; ","")&amp;IF(AND(AK781&lt;&gt;"",AK781&lt;&gt;"OK"),"PAN wrong format; ","")&amp;IF(AND(AO781&lt;&gt;"",LEN(AN781)=15,MID(AN781,3,10)&lt;&gt;AO781),"PAN does not match GSTIN; ","")&amp;IF(AND(AL781&lt;&gt;"",AL781&lt;&gt;"OK"),"TAN wrong format; ","")&amp;IF(AG781="","PAN missing; ","")&amp;IF(AP781="","Entity type missing; ","")&amp;IF(AND(AN781&lt;&gt;"",COUNTIF($AN$6:$AN$1005,AN781)&gt;1),"GSTIN repeated in this sheet; ","")&amp;IF(AND(AG781&lt;&gt;"",COUNTIF($AG$6:$AG$1005,AG781)&gt;1),"PAN repeated in this sheet (same client? put extra GSTINs in Other GSTINs); ","")&amp;IF(AND(AR781&gt;0,V781=""),"Financial year missing; ","")&amp;IF(AND(AR781=0,V781&lt;&gt;""),"Financial year given but no service is Yes; ","")&amp;IF(AND(W781="Yes",AN781=""),"GST needs a GSTIN; ","")&amp;IF(AND(W781="Yes",X781=""),"GST return frequency missing; ","")&amp;IF(AND(Y781="Yes",TRIM(H781)=""),"TDS needs a TAN; ","")&amp;IF(AND(AA781="Yes",AQ781&lt;&gt;"",AQ781&lt;&gt;"company",AQ781&lt;&gt;"llp"),"ROC is only for a company / LLP; ","")&amp;IF(AND(AA781="Yes",OR(AQ781="company",AQ781="llp"),TRIM(I781)=""),"ROC needs the CIN / LLPIN; ","")</f>
        <v/>
      </c>
    </row>
    <row r="782">
      <c r="A782" s="30" t="n"/>
      <c r="B782" s="31" t="n"/>
      <c r="C782" s="31" t="n"/>
      <c r="D782" s="31" t="n"/>
      <c r="E782" s="30" t="n"/>
      <c r="F782" s="30" t="n"/>
      <c r="G782" s="30" t="n"/>
      <c r="H782" s="30" t="n"/>
      <c r="I782" s="30" t="n"/>
      <c r="J782" s="32" t="n"/>
      <c r="K782" s="31" t="n"/>
      <c r="L782" s="30" t="n"/>
      <c r="M782" s="31" t="n"/>
      <c r="N782" s="31" t="n"/>
      <c r="O782" s="31" t="n"/>
      <c r="P782" s="30" t="n"/>
      <c r="Q782" s="31" t="n"/>
      <c r="R782" s="31" t="n"/>
      <c r="S782" s="31" t="n"/>
      <c r="T782" s="31" t="n"/>
      <c r="U782" s="30" t="n"/>
      <c r="V782" s="31" t="n"/>
      <c r="W782" s="31" t="n"/>
      <c r="X782" s="31" t="n"/>
      <c r="Y782" s="31" t="n"/>
      <c r="Z782" s="31" t="n"/>
      <c r="AA782" s="31" t="n"/>
      <c r="AB782" s="31" t="n"/>
      <c r="AC782" s="31" t="n"/>
      <c r="AD782" s="31" t="n"/>
      <c r="AE782" s="31" t="n"/>
      <c r="AF782" s="27">
        <f>IF(NOT(COUNTA(A782:AE782)&gt;0),"",IF(A782="","New client","Update"))</f>
        <v/>
      </c>
      <c r="AG782" s="27">
        <f>IF(AO782&lt;&gt;"",AO782,IF(LEN(AN782)=15,MID(AN782,3,10),""))</f>
        <v/>
      </c>
      <c r="AH782" s="27">
        <f>IF(AP782="","",AP782&amp;IF(D782="","  (guessed from PAN)",""))</f>
        <v/>
      </c>
      <c r="AI782" s="27">
        <f>IF(AN782="","",IFERROR(INDEX(Lists!$L$2:$L$38,MATCH(LEFT(AN782,2),Lists!$K$2:$K$38,0)),"Unknown code"))</f>
        <v/>
      </c>
      <c r="AJ782" s="27">
        <f>IF(AN782="","",IFERROR(IF(NOT(AND(LEN(AN782)=15,ISNUMBER(MATCH(LEFT(AN782,2),Lists!$K$2:$K$38,0)),SUMPRODUCT(--ISERROR(FIND(MID(MID(AN782,3,10),{1,2,3,4,5,10},1),"ABCDEFGHIJKLMNOPQRSTUVWXYZ")))=0,SUMPRODUCT(--ISERROR(FIND(MID(MID(AN782,3,10),{6,7,8,9},1),"0123456789")))=0,ISNUMBER(FIND(MID(AN782,13,1),"123456789ABCDEFGHIJKLMNOPQRSTUVWXYZ")),MID(AN782,14,1)="Z")),"Wrong format",IF(MID("0123456789ABCDEFGHIJKLMNOPQRSTUVWXYZ",MOD(36-MOD(SUMPRODUCT(INT((FIND(MID(AN782,{1,2,3,4,5,6,7,8,9,10,11,12,13,14},1),"0123456789ABCDEFGHIJKLMNOPQRSTUVWXYZ")-1)*{1,2,1,2,1,2,1,2,1,2,1,2,1,2}/36)+MOD((FIND(MID(AN782,{1,2,3,4,5,6,7,8,9,10,11,12,13,14},1),"0123456789ABCDEFGHIJKLMNOPQRSTUVWXYZ")-1)*{1,2,1,2,1,2,1,2,1,2,1,2,1,2},36)),36),36)+1,1)=MID(AN782,15,1),"OK","Typo? check digit wrong")),"Wrong format"))</f>
        <v/>
      </c>
      <c r="AK782" s="27">
        <f>IF(AO782="","",IF(AND(LEN(AO782)=10,SUMPRODUCT(--ISERROR(FIND(MID(AO782,{1,2,3,4,5,10},1),"ABCDEFGHIJKLMNOPQRSTUVWXYZ")))=0,SUMPRODUCT(--ISERROR(FIND(MID(AO782,{6,7,8,9},1),"0123456789")))=0),"OK","Wrong format"))</f>
        <v/>
      </c>
      <c r="AL782" s="27">
        <f>IF(TRIM(H782)="","",IF(AND(LEN(UPPER(TRIM(H782)))=10,SUMPRODUCT(--ISERROR(FIND(MID(UPPER(TRIM(H782)),{1,2,3,4,10},1),"ABCDEFGHIJKLMNOPQRSTUVWXYZ")))=0,SUMPRODUCT(--ISERROR(FIND(MID(UPPER(TRIM(H782)),{5,6,7,8,9},1),"0123456789")))=0),"OK","Wrong format"))</f>
        <v/>
      </c>
      <c r="AM782" s="28">
        <f>IF(NOT(COUNTA(A782:AE782)&gt;0),"",IF(AS782&lt;&gt;"","✖ "&amp;LEFT(AS782,LEN(AS782)-2),IF(AR782&gt;0,"✔ Ready — client + "&amp;AR782&amp;" service(s)","✔ Ready — client only")))</f>
        <v/>
      </c>
      <c r="AN782" s="29">
        <f>UPPER(SUBSTITUTE(TRIM(F782)," ",""))</f>
        <v/>
      </c>
      <c r="AO782" s="29">
        <f>UPPER(SUBSTITUTE(TRIM(E782)," ",""))</f>
        <v/>
      </c>
      <c r="AP782" s="29">
        <f>IF(D782&lt;&gt;"",D782,IFERROR(VLOOKUP(MID(AG782,4,1),Lists!$E$2:$F$8,2,FALSE),""))</f>
        <v/>
      </c>
      <c r="AQ782" s="29">
        <f>IFERROR(VLOOKUP(AP782,Lists!$A$2:$C$12,3,FALSE),"")</f>
        <v/>
      </c>
      <c r="AR782" s="29">
        <f>COUNTIF(W782:AC782,"Yes")</f>
        <v/>
      </c>
      <c r="AS782" s="29">
        <f>IF(TRIM(B782)="","Legal name missing; ","")&amp;IF(AND(AJ782&lt;&gt;"",AJ782&lt;&gt;"OK"),"GSTIN: "&amp;AJ782&amp;"; ","")&amp;IF(AND(AK782&lt;&gt;"",AK782&lt;&gt;"OK"),"PAN wrong format; ","")&amp;IF(AND(AO782&lt;&gt;"",LEN(AN782)=15,MID(AN782,3,10)&lt;&gt;AO782),"PAN does not match GSTIN; ","")&amp;IF(AND(AL782&lt;&gt;"",AL782&lt;&gt;"OK"),"TAN wrong format; ","")&amp;IF(AG782="","PAN missing; ","")&amp;IF(AP782="","Entity type missing; ","")&amp;IF(AND(AN782&lt;&gt;"",COUNTIF($AN$6:$AN$1005,AN782)&gt;1),"GSTIN repeated in this sheet; ","")&amp;IF(AND(AG782&lt;&gt;"",COUNTIF($AG$6:$AG$1005,AG782)&gt;1),"PAN repeated in this sheet (same client? put extra GSTINs in Other GSTINs); ","")&amp;IF(AND(AR782&gt;0,V782=""),"Financial year missing; ","")&amp;IF(AND(AR782=0,V782&lt;&gt;""),"Financial year given but no service is Yes; ","")&amp;IF(AND(W782="Yes",AN782=""),"GST needs a GSTIN; ","")&amp;IF(AND(W782="Yes",X782=""),"GST return frequency missing; ","")&amp;IF(AND(Y782="Yes",TRIM(H782)=""),"TDS needs a TAN; ","")&amp;IF(AND(AA782="Yes",AQ782&lt;&gt;"",AQ782&lt;&gt;"company",AQ782&lt;&gt;"llp"),"ROC is only for a company / LLP; ","")&amp;IF(AND(AA782="Yes",OR(AQ782="company",AQ782="llp"),TRIM(I782)=""),"ROC needs the CIN / LLPIN; ","")</f>
        <v/>
      </c>
    </row>
    <row r="783">
      <c r="A783" s="30" t="n"/>
      <c r="B783" s="31" t="n"/>
      <c r="C783" s="31" t="n"/>
      <c r="D783" s="31" t="n"/>
      <c r="E783" s="30" t="n"/>
      <c r="F783" s="30" t="n"/>
      <c r="G783" s="30" t="n"/>
      <c r="H783" s="30" t="n"/>
      <c r="I783" s="30" t="n"/>
      <c r="J783" s="32" t="n"/>
      <c r="K783" s="31" t="n"/>
      <c r="L783" s="30" t="n"/>
      <c r="M783" s="31" t="n"/>
      <c r="N783" s="31" t="n"/>
      <c r="O783" s="31" t="n"/>
      <c r="P783" s="30" t="n"/>
      <c r="Q783" s="31" t="n"/>
      <c r="R783" s="31" t="n"/>
      <c r="S783" s="31" t="n"/>
      <c r="T783" s="31" t="n"/>
      <c r="U783" s="30" t="n"/>
      <c r="V783" s="31" t="n"/>
      <c r="W783" s="31" t="n"/>
      <c r="X783" s="31" t="n"/>
      <c r="Y783" s="31" t="n"/>
      <c r="Z783" s="31" t="n"/>
      <c r="AA783" s="31" t="n"/>
      <c r="AB783" s="31" t="n"/>
      <c r="AC783" s="31" t="n"/>
      <c r="AD783" s="31" t="n"/>
      <c r="AE783" s="31" t="n"/>
      <c r="AF783" s="27">
        <f>IF(NOT(COUNTA(A783:AE783)&gt;0),"",IF(A783="","New client","Update"))</f>
        <v/>
      </c>
      <c r="AG783" s="27">
        <f>IF(AO783&lt;&gt;"",AO783,IF(LEN(AN783)=15,MID(AN783,3,10),""))</f>
        <v/>
      </c>
      <c r="AH783" s="27">
        <f>IF(AP783="","",AP783&amp;IF(D783="","  (guessed from PAN)",""))</f>
        <v/>
      </c>
      <c r="AI783" s="27">
        <f>IF(AN783="","",IFERROR(INDEX(Lists!$L$2:$L$38,MATCH(LEFT(AN783,2),Lists!$K$2:$K$38,0)),"Unknown code"))</f>
        <v/>
      </c>
      <c r="AJ783" s="27">
        <f>IF(AN783="","",IFERROR(IF(NOT(AND(LEN(AN783)=15,ISNUMBER(MATCH(LEFT(AN783,2),Lists!$K$2:$K$38,0)),SUMPRODUCT(--ISERROR(FIND(MID(MID(AN783,3,10),{1,2,3,4,5,10},1),"ABCDEFGHIJKLMNOPQRSTUVWXYZ")))=0,SUMPRODUCT(--ISERROR(FIND(MID(MID(AN783,3,10),{6,7,8,9},1),"0123456789")))=0,ISNUMBER(FIND(MID(AN783,13,1),"123456789ABCDEFGHIJKLMNOPQRSTUVWXYZ")),MID(AN783,14,1)="Z")),"Wrong format",IF(MID("0123456789ABCDEFGHIJKLMNOPQRSTUVWXYZ",MOD(36-MOD(SUMPRODUCT(INT((FIND(MID(AN783,{1,2,3,4,5,6,7,8,9,10,11,12,13,14},1),"0123456789ABCDEFGHIJKLMNOPQRSTUVWXYZ")-1)*{1,2,1,2,1,2,1,2,1,2,1,2,1,2}/36)+MOD((FIND(MID(AN783,{1,2,3,4,5,6,7,8,9,10,11,12,13,14},1),"0123456789ABCDEFGHIJKLMNOPQRSTUVWXYZ")-1)*{1,2,1,2,1,2,1,2,1,2,1,2,1,2},36)),36),36)+1,1)=MID(AN783,15,1),"OK","Typo? check digit wrong")),"Wrong format"))</f>
        <v/>
      </c>
      <c r="AK783" s="27">
        <f>IF(AO783="","",IF(AND(LEN(AO783)=10,SUMPRODUCT(--ISERROR(FIND(MID(AO783,{1,2,3,4,5,10},1),"ABCDEFGHIJKLMNOPQRSTUVWXYZ")))=0,SUMPRODUCT(--ISERROR(FIND(MID(AO783,{6,7,8,9},1),"0123456789")))=0),"OK","Wrong format"))</f>
        <v/>
      </c>
      <c r="AL783" s="27">
        <f>IF(TRIM(H783)="","",IF(AND(LEN(UPPER(TRIM(H783)))=10,SUMPRODUCT(--ISERROR(FIND(MID(UPPER(TRIM(H783)),{1,2,3,4,10},1),"ABCDEFGHIJKLMNOPQRSTUVWXYZ")))=0,SUMPRODUCT(--ISERROR(FIND(MID(UPPER(TRIM(H783)),{5,6,7,8,9},1),"0123456789")))=0),"OK","Wrong format"))</f>
        <v/>
      </c>
      <c r="AM783" s="28">
        <f>IF(NOT(COUNTA(A783:AE783)&gt;0),"",IF(AS783&lt;&gt;"","✖ "&amp;LEFT(AS783,LEN(AS783)-2),IF(AR783&gt;0,"✔ Ready — client + "&amp;AR783&amp;" service(s)","✔ Ready — client only")))</f>
        <v/>
      </c>
      <c r="AN783" s="29">
        <f>UPPER(SUBSTITUTE(TRIM(F783)," ",""))</f>
        <v/>
      </c>
      <c r="AO783" s="29">
        <f>UPPER(SUBSTITUTE(TRIM(E783)," ",""))</f>
        <v/>
      </c>
      <c r="AP783" s="29">
        <f>IF(D783&lt;&gt;"",D783,IFERROR(VLOOKUP(MID(AG783,4,1),Lists!$E$2:$F$8,2,FALSE),""))</f>
        <v/>
      </c>
      <c r="AQ783" s="29">
        <f>IFERROR(VLOOKUP(AP783,Lists!$A$2:$C$12,3,FALSE),"")</f>
        <v/>
      </c>
      <c r="AR783" s="29">
        <f>COUNTIF(W783:AC783,"Yes")</f>
        <v/>
      </c>
      <c r="AS783" s="29">
        <f>IF(TRIM(B783)="","Legal name missing; ","")&amp;IF(AND(AJ783&lt;&gt;"",AJ783&lt;&gt;"OK"),"GSTIN: "&amp;AJ783&amp;"; ","")&amp;IF(AND(AK783&lt;&gt;"",AK783&lt;&gt;"OK"),"PAN wrong format; ","")&amp;IF(AND(AO783&lt;&gt;"",LEN(AN783)=15,MID(AN783,3,10)&lt;&gt;AO783),"PAN does not match GSTIN; ","")&amp;IF(AND(AL783&lt;&gt;"",AL783&lt;&gt;"OK"),"TAN wrong format; ","")&amp;IF(AG783="","PAN missing; ","")&amp;IF(AP783="","Entity type missing; ","")&amp;IF(AND(AN783&lt;&gt;"",COUNTIF($AN$6:$AN$1005,AN783)&gt;1),"GSTIN repeated in this sheet; ","")&amp;IF(AND(AG783&lt;&gt;"",COUNTIF($AG$6:$AG$1005,AG783)&gt;1),"PAN repeated in this sheet (same client? put extra GSTINs in Other GSTINs); ","")&amp;IF(AND(AR783&gt;0,V783=""),"Financial year missing; ","")&amp;IF(AND(AR783=0,V783&lt;&gt;""),"Financial year given but no service is Yes; ","")&amp;IF(AND(W783="Yes",AN783=""),"GST needs a GSTIN; ","")&amp;IF(AND(W783="Yes",X783=""),"GST return frequency missing; ","")&amp;IF(AND(Y783="Yes",TRIM(H783)=""),"TDS needs a TAN; ","")&amp;IF(AND(AA783="Yes",AQ783&lt;&gt;"",AQ783&lt;&gt;"company",AQ783&lt;&gt;"llp"),"ROC is only for a company / LLP; ","")&amp;IF(AND(AA783="Yes",OR(AQ783="company",AQ783="llp"),TRIM(I783)=""),"ROC needs the CIN / LLPIN; ","")</f>
        <v/>
      </c>
    </row>
    <row r="784">
      <c r="A784" s="30" t="n"/>
      <c r="B784" s="31" t="n"/>
      <c r="C784" s="31" t="n"/>
      <c r="D784" s="31" t="n"/>
      <c r="E784" s="30" t="n"/>
      <c r="F784" s="30" t="n"/>
      <c r="G784" s="30" t="n"/>
      <c r="H784" s="30" t="n"/>
      <c r="I784" s="30" t="n"/>
      <c r="J784" s="32" t="n"/>
      <c r="K784" s="31" t="n"/>
      <c r="L784" s="30" t="n"/>
      <c r="M784" s="31" t="n"/>
      <c r="N784" s="31" t="n"/>
      <c r="O784" s="31" t="n"/>
      <c r="P784" s="30" t="n"/>
      <c r="Q784" s="31" t="n"/>
      <c r="R784" s="31" t="n"/>
      <c r="S784" s="31" t="n"/>
      <c r="T784" s="31" t="n"/>
      <c r="U784" s="30" t="n"/>
      <c r="V784" s="31" t="n"/>
      <c r="W784" s="31" t="n"/>
      <c r="X784" s="31" t="n"/>
      <c r="Y784" s="31" t="n"/>
      <c r="Z784" s="31" t="n"/>
      <c r="AA784" s="31" t="n"/>
      <c r="AB784" s="31" t="n"/>
      <c r="AC784" s="31" t="n"/>
      <c r="AD784" s="31" t="n"/>
      <c r="AE784" s="31" t="n"/>
      <c r="AF784" s="27">
        <f>IF(NOT(COUNTA(A784:AE784)&gt;0),"",IF(A784="","New client","Update"))</f>
        <v/>
      </c>
      <c r="AG784" s="27">
        <f>IF(AO784&lt;&gt;"",AO784,IF(LEN(AN784)=15,MID(AN784,3,10),""))</f>
        <v/>
      </c>
      <c r="AH784" s="27">
        <f>IF(AP784="","",AP784&amp;IF(D784="","  (guessed from PAN)",""))</f>
        <v/>
      </c>
      <c r="AI784" s="27">
        <f>IF(AN784="","",IFERROR(INDEX(Lists!$L$2:$L$38,MATCH(LEFT(AN784,2),Lists!$K$2:$K$38,0)),"Unknown code"))</f>
        <v/>
      </c>
      <c r="AJ784" s="27">
        <f>IF(AN784="","",IFERROR(IF(NOT(AND(LEN(AN784)=15,ISNUMBER(MATCH(LEFT(AN784,2),Lists!$K$2:$K$38,0)),SUMPRODUCT(--ISERROR(FIND(MID(MID(AN784,3,10),{1,2,3,4,5,10},1),"ABCDEFGHIJKLMNOPQRSTUVWXYZ")))=0,SUMPRODUCT(--ISERROR(FIND(MID(MID(AN784,3,10),{6,7,8,9},1),"0123456789")))=0,ISNUMBER(FIND(MID(AN784,13,1),"123456789ABCDEFGHIJKLMNOPQRSTUVWXYZ")),MID(AN784,14,1)="Z")),"Wrong format",IF(MID("0123456789ABCDEFGHIJKLMNOPQRSTUVWXYZ",MOD(36-MOD(SUMPRODUCT(INT((FIND(MID(AN784,{1,2,3,4,5,6,7,8,9,10,11,12,13,14},1),"0123456789ABCDEFGHIJKLMNOPQRSTUVWXYZ")-1)*{1,2,1,2,1,2,1,2,1,2,1,2,1,2}/36)+MOD((FIND(MID(AN784,{1,2,3,4,5,6,7,8,9,10,11,12,13,14},1),"0123456789ABCDEFGHIJKLMNOPQRSTUVWXYZ")-1)*{1,2,1,2,1,2,1,2,1,2,1,2,1,2},36)),36),36)+1,1)=MID(AN784,15,1),"OK","Typo? check digit wrong")),"Wrong format"))</f>
        <v/>
      </c>
      <c r="AK784" s="27">
        <f>IF(AO784="","",IF(AND(LEN(AO784)=10,SUMPRODUCT(--ISERROR(FIND(MID(AO784,{1,2,3,4,5,10},1),"ABCDEFGHIJKLMNOPQRSTUVWXYZ")))=0,SUMPRODUCT(--ISERROR(FIND(MID(AO784,{6,7,8,9},1),"0123456789")))=0),"OK","Wrong format"))</f>
        <v/>
      </c>
      <c r="AL784" s="27">
        <f>IF(TRIM(H784)="","",IF(AND(LEN(UPPER(TRIM(H784)))=10,SUMPRODUCT(--ISERROR(FIND(MID(UPPER(TRIM(H784)),{1,2,3,4,10},1),"ABCDEFGHIJKLMNOPQRSTUVWXYZ")))=0,SUMPRODUCT(--ISERROR(FIND(MID(UPPER(TRIM(H784)),{5,6,7,8,9},1),"0123456789")))=0),"OK","Wrong format"))</f>
        <v/>
      </c>
      <c r="AM784" s="28">
        <f>IF(NOT(COUNTA(A784:AE784)&gt;0),"",IF(AS784&lt;&gt;"","✖ "&amp;LEFT(AS784,LEN(AS784)-2),IF(AR784&gt;0,"✔ Ready — client + "&amp;AR784&amp;" service(s)","✔ Ready — client only")))</f>
        <v/>
      </c>
      <c r="AN784" s="29">
        <f>UPPER(SUBSTITUTE(TRIM(F784)," ",""))</f>
        <v/>
      </c>
      <c r="AO784" s="29">
        <f>UPPER(SUBSTITUTE(TRIM(E784)," ",""))</f>
        <v/>
      </c>
      <c r="AP784" s="29">
        <f>IF(D784&lt;&gt;"",D784,IFERROR(VLOOKUP(MID(AG784,4,1),Lists!$E$2:$F$8,2,FALSE),""))</f>
        <v/>
      </c>
      <c r="AQ784" s="29">
        <f>IFERROR(VLOOKUP(AP784,Lists!$A$2:$C$12,3,FALSE),"")</f>
        <v/>
      </c>
      <c r="AR784" s="29">
        <f>COUNTIF(W784:AC784,"Yes")</f>
        <v/>
      </c>
      <c r="AS784" s="29">
        <f>IF(TRIM(B784)="","Legal name missing; ","")&amp;IF(AND(AJ784&lt;&gt;"",AJ784&lt;&gt;"OK"),"GSTIN: "&amp;AJ784&amp;"; ","")&amp;IF(AND(AK784&lt;&gt;"",AK784&lt;&gt;"OK"),"PAN wrong format; ","")&amp;IF(AND(AO784&lt;&gt;"",LEN(AN784)=15,MID(AN784,3,10)&lt;&gt;AO784),"PAN does not match GSTIN; ","")&amp;IF(AND(AL784&lt;&gt;"",AL784&lt;&gt;"OK"),"TAN wrong format; ","")&amp;IF(AG784="","PAN missing; ","")&amp;IF(AP784="","Entity type missing; ","")&amp;IF(AND(AN784&lt;&gt;"",COUNTIF($AN$6:$AN$1005,AN784)&gt;1),"GSTIN repeated in this sheet; ","")&amp;IF(AND(AG784&lt;&gt;"",COUNTIF($AG$6:$AG$1005,AG784)&gt;1),"PAN repeated in this sheet (same client? put extra GSTINs in Other GSTINs); ","")&amp;IF(AND(AR784&gt;0,V784=""),"Financial year missing; ","")&amp;IF(AND(AR784=0,V784&lt;&gt;""),"Financial year given but no service is Yes; ","")&amp;IF(AND(W784="Yes",AN784=""),"GST needs a GSTIN; ","")&amp;IF(AND(W784="Yes",X784=""),"GST return frequency missing; ","")&amp;IF(AND(Y784="Yes",TRIM(H784)=""),"TDS needs a TAN; ","")&amp;IF(AND(AA784="Yes",AQ784&lt;&gt;"",AQ784&lt;&gt;"company",AQ784&lt;&gt;"llp"),"ROC is only for a company / LLP; ","")&amp;IF(AND(AA784="Yes",OR(AQ784="company",AQ784="llp"),TRIM(I784)=""),"ROC needs the CIN / LLPIN; ","")</f>
        <v/>
      </c>
    </row>
    <row r="785">
      <c r="A785" s="30" t="n"/>
      <c r="B785" s="31" t="n"/>
      <c r="C785" s="31" t="n"/>
      <c r="D785" s="31" t="n"/>
      <c r="E785" s="30" t="n"/>
      <c r="F785" s="30" t="n"/>
      <c r="G785" s="30" t="n"/>
      <c r="H785" s="30" t="n"/>
      <c r="I785" s="30" t="n"/>
      <c r="J785" s="32" t="n"/>
      <c r="K785" s="31" t="n"/>
      <c r="L785" s="30" t="n"/>
      <c r="M785" s="31" t="n"/>
      <c r="N785" s="31" t="n"/>
      <c r="O785" s="31" t="n"/>
      <c r="P785" s="30" t="n"/>
      <c r="Q785" s="31" t="n"/>
      <c r="R785" s="31" t="n"/>
      <c r="S785" s="31" t="n"/>
      <c r="T785" s="31" t="n"/>
      <c r="U785" s="30" t="n"/>
      <c r="V785" s="31" t="n"/>
      <c r="W785" s="31" t="n"/>
      <c r="X785" s="31" t="n"/>
      <c r="Y785" s="31" t="n"/>
      <c r="Z785" s="31" t="n"/>
      <c r="AA785" s="31" t="n"/>
      <c r="AB785" s="31" t="n"/>
      <c r="AC785" s="31" t="n"/>
      <c r="AD785" s="31" t="n"/>
      <c r="AE785" s="31" t="n"/>
      <c r="AF785" s="27">
        <f>IF(NOT(COUNTA(A785:AE785)&gt;0),"",IF(A785="","New client","Update"))</f>
        <v/>
      </c>
      <c r="AG785" s="27">
        <f>IF(AO785&lt;&gt;"",AO785,IF(LEN(AN785)=15,MID(AN785,3,10),""))</f>
        <v/>
      </c>
      <c r="AH785" s="27">
        <f>IF(AP785="","",AP785&amp;IF(D785="","  (guessed from PAN)",""))</f>
        <v/>
      </c>
      <c r="AI785" s="27">
        <f>IF(AN785="","",IFERROR(INDEX(Lists!$L$2:$L$38,MATCH(LEFT(AN785,2),Lists!$K$2:$K$38,0)),"Unknown code"))</f>
        <v/>
      </c>
      <c r="AJ785" s="27">
        <f>IF(AN785="","",IFERROR(IF(NOT(AND(LEN(AN785)=15,ISNUMBER(MATCH(LEFT(AN785,2),Lists!$K$2:$K$38,0)),SUMPRODUCT(--ISERROR(FIND(MID(MID(AN785,3,10),{1,2,3,4,5,10},1),"ABCDEFGHIJKLMNOPQRSTUVWXYZ")))=0,SUMPRODUCT(--ISERROR(FIND(MID(MID(AN785,3,10),{6,7,8,9},1),"0123456789")))=0,ISNUMBER(FIND(MID(AN785,13,1),"123456789ABCDEFGHIJKLMNOPQRSTUVWXYZ")),MID(AN785,14,1)="Z")),"Wrong format",IF(MID("0123456789ABCDEFGHIJKLMNOPQRSTUVWXYZ",MOD(36-MOD(SUMPRODUCT(INT((FIND(MID(AN785,{1,2,3,4,5,6,7,8,9,10,11,12,13,14},1),"0123456789ABCDEFGHIJKLMNOPQRSTUVWXYZ")-1)*{1,2,1,2,1,2,1,2,1,2,1,2,1,2}/36)+MOD((FIND(MID(AN785,{1,2,3,4,5,6,7,8,9,10,11,12,13,14},1),"0123456789ABCDEFGHIJKLMNOPQRSTUVWXYZ")-1)*{1,2,1,2,1,2,1,2,1,2,1,2,1,2},36)),36),36)+1,1)=MID(AN785,15,1),"OK","Typo? check digit wrong")),"Wrong format"))</f>
        <v/>
      </c>
      <c r="AK785" s="27">
        <f>IF(AO785="","",IF(AND(LEN(AO785)=10,SUMPRODUCT(--ISERROR(FIND(MID(AO785,{1,2,3,4,5,10},1),"ABCDEFGHIJKLMNOPQRSTUVWXYZ")))=0,SUMPRODUCT(--ISERROR(FIND(MID(AO785,{6,7,8,9},1),"0123456789")))=0),"OK","Wrong format"))</f>
        <v/>
      </c>
      <c r="AL785" s="27">
        <f>IF(TRIM(H785)="","",IF(AND(LEN(UPPER(TRIM(H785)))=10,SUMPRODUCT(--ISERROR(FIND(MID(UPPER(TRIM(H785)),{1,2,3,4,10},1),"ABCDEFGHIJKLMNOPQRSTUVWXYZ")))=0,SUMPRODUCT(--ISERROR(FIND(MID(UPPER(TRIM(H785)),{5,6,7,8,9},1),"0123456789")))=0),"OK","Wrong format"))</f>
        <v/>
      </c>
      <c r="AM785" s="28">
        <f>IF(NOT(COUNTA(A785:AE785)&gt;0),"",IF(AS785&lt;&gt;"","✖ "&amp;LEFT(AS785,LEN(AS785)-2),IF(AR785&gt;0,"✔ Ready — client + "&amp;AR785&amp;" service(s)","✔ Ready — client only")))</f>
        <v/>
      </c>
      <c r="AN785" s="29">
        <f>UPPER(SUBSTITUTE(TRIM(F785)," ",""))</f>
        <v/>
      </c>
      <c r="AO785" s="29">
        <f>UPPER(SUBSTITUTE(TRIM(E785)," ",""))</f>
        <v/>
      </c>
      <c r="AP785" s="29">
        <f>IF(D785&lt;&gt;"",D785,IFERROR(VLOOKUP(MID(AG785,4,1),Lists!$E$2:$F$8,2,FALSE),""))</f>
        <v/>
      </c>
      <c r="AQ785" s="29">
        <f>IFERROR(VLOOKUP(AP785,Lists!$A$2:$C$12,3,FALSE),"")</f>
        <v/>
      </c>
      <c r="AR785" s="29">
        <f>COUNTIF(W785:AC785,"Yes")</f>
        <v/>
      </c>
      <c r="AS785" s="29">
        <f>IF(TRIM(B785)="","Legal name missing; ","")&amp;IF(AND(AJ785&lt;&gt;"",AJ785&lt;&gt;"OK"),"GSTIN: "&amp;AJ785&amp;"; ","")&amp;IF(AND(AK785&lt;&gt;"",AK785&lt;&gt;"OK"),"PAN wrong format; ","")&amp;IF(AND(AO785&lt;&gt;"",LEN(AN785)=15,MID(AN785,3,10)&lt;&gt;AO785),"PAN does not match GSTIN; ","")&amp;IF(AND(AL785&lt;&gt;"",AL785&lt;&gt;"OK"),"TAN wrong format; ","")&amp;IF(AG785="","PAN missing; ","")&amp;IF(AP785="","Entity type missing; ","")&amp;IF(AND(AN785&lt;&gt;"",COUNTIF($AN$6:$AN$1005,AN785)&gt;1),"GSTIN repeated in this sheet; ","")&amp;IF(AND(AG785&lt;&gt;"",COUNTIF($AG$6:$AG$1005,AG785)&gt;1),"PAN repeated in this sheet (same client? put extra GSTINs in Other GSTINs); ","")&amp;IF(AND(AR785&gt;0,V785=""),"Financial year missing; ","")&amp;IF(AND(AR785=0,V785&lt;&gt;""),"Financial year given but no service is Yes; ","")&amp;IF(AND(W785="Yes",AN785=""),"GST needs a GSTIN; ","")&amp;IF(AND(W785="Yes",X785=""),"GST return frequency missing; ","")&amp;IF(AND(Y785="Yes",TRIM(H785)=""),"TDS needs a TAN; ","")&amp;IF(AND(AA785="Yes",AQ785&lt;&gt;"",AQ785&lt;&gt;"company",AQ785&lt;&gt;"llp"),"ROC is only for a company / LLP; ","")&amp;IF(AND(AA785="Yes",OR(AQ785="company",AQ785="llp"),TRIM(I785)=""),"ROC needs the CIN / LLPIN; ","")</f>
        <v/>
      </c>
    </row>
    <row r="786">
      <c r="A786" s="30" t="n"/>
      <c r="B786" s="31" t="n"/>
      <c r="C786" s="31" t="n"/>
      <c r="D786" s="31" t="n"/>
      <c r="E786" s="30" t="n"/>
      <c r="F786" s="30" t="n"/>
      <c r="G786" s="30" t="n"/>
      <c r="H786" s="30" t="n"/>
      <c r="I786" s="30" t="n"/>
      <c r="J786" s="32" t="n"/>
      <c r="K786" s="31" t="n"/>
      <c r="L786" s="30" t="n"/>
      <c r="M786" s="31" t="n"/>
      <c r="N786" s="31" t="n"/>
      <c r="O786" s="31" t="n"/>
      <c r="P786" s="30" t="n"/>
      <c r="Q786" s="31" t="n"/>
      <c r="R786" s="31" t="n"/>
      <c r="S786" s="31" t="n"/>
      <c r="T786" s="31" t="n"/>
      <c r="U786" s="30" t="n"/>
      <c r="V786" s="31" t="n"/>
      <c r="W786" s="31" t="n"/>
      <c r="X786" s="31" t="n"/>
      <c r="Y786" s="31" t="n"/>
      <c r="Z786" s="31" t="n"/>
      <c r="AA786" s="31" t="n"/>
      <c r="AB786" s="31" t="n"/>
      <c r="AC786" s="31" t="n"/>
      <c r="AD786" s="31" t="n"/>
      <c r="AE786" s="31" t="n"/>
      <c r="AF786" s="27">
        <f>IF(NOT(COUNTA(A786:AE786)&gt;0),"",IF(A786="","New client","Update"))</f>
        <v/>
      </c>
      <c r="AG786" s="27">
        <f>IF(AO786&lt;&gt;"",AO786,IF(LEN(AN786)=15,MID(AN786,3,10),""))</f>
        <v/>
      </c>
      <c r="AH786" s="27">
        <f>IF(AP786="","",AP786&amp;IF(D786="","  (guessed from PAN)",""))</f>
        <v/>
      </c>
      <c r="AI786" s="27">
        <f>IF(AN786="","",IFERROR(INDEX(Lists!$L$2:$L$38,MATCH(LEFT(AN786,2),Lists!$K$2:$K$38,0)),"Unknown code"))</f>
        <v/>
      </c>
      <c r="AJ786" s="27">
        <f>IF(AN786="","",IFERROR(IF(NOT(AND(LEN(AN786)=15,ISNUMBER(MATCH(LEFT(AN786,2),Lists!$K$2:$K$38,0)),SUMPRODUCT(--ISERROR(FIND(MID(MID(AN786,3,10),{1,2,3,4,5,10},1),"ABCDEFGHIJKLMNOPQRSTUVWXYZ")))=0,SUMPRODUCT(--ISERROR(FIND(MID(MID(AN786,3,10),{6,7,8,9},1),"0123456789")))=0,ISNUMBER(FIND(MID(AN786,13,1),"123456789ABCDEFGHIJKLMNOPQRSTUVWXYZ")),MID(AN786,14,1)="Z")),"Wrong format",IF(MID("0123456789ABCDEFGHIJKLMNOPQRSTUVWXYZ",MOD(36-MOD(SUMPRODUCT(INT((FIND(MID(AN786,{1,2,3,4,5,6,7,8,9,10,11,12,13,14},1),"0123456789ABCDEFGHIJKLMNOPQRSTUVWXYZ")-1)*{1,2,1,2,1,2,1,2,1,2,1,2,1,2}/36)+MOD((FIND(MID(AN786,{1,2,3,4,5,6,7,8,9,10,11,12,13,14},1),"0123456789ABCDEFGHIJKLMNOPQRSTUVWXYZ")-1)*{1,2,1,2,1,2,1,2,1,2,1,2,1,2},36)),36),36)+1,1)=MID(AN786,15,1),"OK","Typo? check digit wrong")),"Wrong format"))</f>
        <v/>
      </c>
      <c r="AK786" s="27">
        <f>IF(AO786="","",IF(AND(LEN(AO786)=10,SUMPRODUCT(--ISERROR(FIND(MID(AO786,{1,2,3,4,5,10},1),"ABCDEFGHIJKLMNOPQRSTUVWXYZ")))=0,SUMPRODUCT(--ISERROR(FIND(MID(AO786,{6,7,8,9},1),"0123456789")))=0),"OK","Wrong format"))</f>
        <v/>
      </c>
      <c r="AL786" s="27">
        <f>IF(TRIM(H786)="","",IF(AND(LEN(UPPER(TRIM(H786)))=10,SUMPRODUCT(--ISERROR(FIND(MID(UPPER(TRIM(H786)),{1,2,3,4,10},1),"ABCDEFGHIJKLMNOPQRSTUVWXYZ")))=0,SUMPRODUCT(--ISERROR(FIND(MID(UPPER(TRIM(H786)),{5,6,7,8,9},1),"0123456789")))=0),"OK","Wrong format"))</f>
        <v/>
      </c>
      <c r="AM786" s="28">
        <f>IF(NOT(COUNTA(A786:AE786)&gt;0),"",IF(AS786&lt;&gt;"","✖ "&amp;LEFT(AS786,LEN(AS786)-2),IF(AR786&gt;0,"✔ Ready — client + "&amp;AR786&amp;" service(s)","✔ Ready — client only")))</f>
        <v/>
      </c>
      <c r="AN786" s="29">
        <f>UPPER(SUBSTITUTE(TRIM(F786)," ",""))</f>
        <v/>
      </c>
      <c r="AO786" s="29">
        <f>UPPER(SUBSTITUTE(TRIM(E786)," ",""))</f>
        <v/>
      </c>
      <c r="AP786" s="29">
        <f>IF(D786&lt;&gt;"",D786,IFERROR(VLOOKUP(MID(AG786,4,1),Lists!$E$2:$F$8,2,FALSE),""))</f>
        <v/>
      </c>
      <c r="AQ786" s="29">
        <f>IFERROR(VLOOKUP(AP786,Lists!$A$2:$C$12,3,FALSE),"")</f>
        <v/>
      </c>
      <c r="AR786" s="29">
        <f>COUNTIF(W786:AC786,"Yes")</f>
        <v/>
      </c>
      <c r="AS786" s="29">
        <f>IF(TRIM(B786)="","Legal name missing; ","")&amp;IF(AND(AJ786&lt;&gt;"",AJ786&lt;&gt;"OK"),"GSTIN: "&amp;AJ786&amp;"; ","")&amp;IF(AND(AK786&lt;&gt;"",AK786&lt;&gt;"OK"),"PAN wrong format; ","")&amp;IF(AND(AO786&lt;&gt;"",LEN(AN786)=15,MID(AN786,3,10)&lt;&gt;AO786),"PAN does not match GSTIN; ","")&amp;IF(AND(AL786&lt;&gt;"",AL786&lt;&gt;"OK"),"TAN wrong format; ","")&amp;IF(AG786="","PAN missing; ","")&amp;IF(AP786="","Entity type missing; ","")&amp;IF(AND(AN786&lt;&gt;"",COUNTIF($AN$6:$AN$1005,AN786)&gt;1),"GSTIN repeated in this sheet; ","")&amp;IF(AND(AG786&lt;&gt;"",COUNTIF($AG$6:$AG$1005,AG786)&gt;1),"PAN repeated in this sheet (same client? put extra GSTINs in Other GSTINs); ","")&amp;IF(AND(AR786&gt;0,V786=""),"Financial year missing; ","")&amp;IF(AND(AR786=0,V786&lt;&gt;""),"Financial year given but no service is Yes; ","")&amp;IF(AND(W786="Yes",AN786=""),"GST needs a GSTIN; ","")&amp;IF(AND(W786="Yes",X786=""),"GST return frequency missing; ","")&amp;IF(AND(Y786="Yes",TRIM(H786)=""),"TDS needs a TAN; ","")&amp;IF(AND(AA786="Yes",AQ786&lt;&gt;"",AQ786&lt;&gt;"company",AQ786&lt;&gt;"llp"),"ROC is only for a company / LLP; ","")&amp;IF(AND(AA786="Yes",OR(AQ786="company",AQ786="llp"),TRIM(I786)=""),"ROC needs the CIN / LLPIN; ","")</f>
        <v/>
      </c>
    </row>
    <row r="787">
      <c r="A787" s="30" t="n"/>
      <c r="B787" s="31" t="n"/>
      <c r="C787" s="31" t="n"/>
      <c r="D787" s="31" t="n"/>
      <c r="E787" s="30" t="n"/>
      <c r="F787" s="30" t="n"/>
      <c r="G787" s="30" t="n"/>
      <c r="H787" s="30" t="n"/>
      <c r="I787" s="30" t="n"/>
      <c r="J787" s="32" t="n"/>
      <c r="K787" s="31" t="n"/>
      <c r="L787" s="30" t="n"/>
      <c r="M787" s="31" t="n"/>
      <c r="N787" s="31" t="n"/>
      <c r="O787" s="31" t="n"/>
      <c r="P787" s="30" t="n"/>
      <c r="Q787" s="31" t="n"/>
      <c r="R787" s="31" t="n"/>
      <c r="S787" s="31" t="n"/>
      <c r="T787" s="31" t="n"/>
      <c r="U787" s="30" t="n"/>
      <c r="V787" s="31" t="n"/>
      <c r="W787" s="31" t="n"/>
      <c r="X787" s="31" t="n"/>
      <c r="Y787" s="31" t="n"/>
      <c r="Z787" s="31" t="n"/>
      <c r="AA787" s="31" t="n"/>
      <c r="AB787" s="31" t="n"/>
      <c r="AC787" s="31" t="n"/>
      <c r="AD787" s="31" t="n"/>
      <c r="AE787" s="31" t="n"/>
      <c r="AF787" s="27">
        <f>IF(NOT(COUNTA(A787:AE787)&gt;0),"",IF(A787="","New client","Update"))</f>
        <v/>
      </c>
      <c r="AG787" s="27">
        <f>IF(AO787&lt;&gt;"",AO787,IF(LEN(AN787)=15,MID(AN787,3,10),""))</f>
        <v/>
      </c>
      <c r="AH787" s="27">
        <f>IF(AP787="","",AP787&amp;IF(D787="","  (guessed from PAN)",""))</f>
        <v/>
      </c>
      <c r="AI787" s="27">
        <f>IF(AN787="","",IFERROR(INDEX(Lists!$L$2:$L$38,MATCH(LEFT(AN787,2),Lists!$K$2:$K$38,0)),"Unknown code"))</f>
        <v/>
      </c>
      <c r="AJ787" s="27">
        <f>IF(AN787="","",IFERROR(IF(NOT(AND(LEN(AN787)=15,ISNUMBER(MATCH(LEFT(AN787,2),Lists!$K$2:$K$38,0)),SUMPRODUCT(--ISERROR(FIND(MID(MID(AN787,3,10),{1,2,3,4,5,10},1),"ABCDEFGHIJKLMNOPQRSTUVWXYZ")))=0,SUMPRODUCT(--ISERROR(FIND(MID(MID(AN787,3,10),{6,7,8,9},1),"0123456789")))=0,ISNUMBER(FIND(MID(AN787,13,1),"123456789ABCDEFGHIJKLMNOPQRSTUVWXYZ")),MID(AN787,14,1)="Z")),"Wrong format",IF(MID("0123456789ABCDEFGHIJKLMNOPQRSTUVWXYZ",MOD(36-MOD(SUMPRODUCT(INT((FIND(MID(AN787,{1,2,3,4,5,6,7,8,9,10,11,12,13,14},1),"0123456789ABCDEFGHIJKLMNOPQRSTUVWXYZ")-1)*{1,2,1,2,1,2,1,2,1,2,1,2,1,2}/36)+MOD((FIND(MID(AN787,{1,2,3,4,5,6,7,8,9,10,11,12,13,14},1),"0123456789ABCDEFGHIJKLMNOPQRSTUVWXYZ")-1)*{1,2,1,2,1,2,1,2,1,2,1,2,1,2},36)),36),36)+1,1)=MID(AN787,15,1),"OK","Typo? check digit wrong")),"Wrong format"))</f>
        <v/>
      </c>
      <c r="AK787" s="27">
        <f>IF(AO787="","",IF(AND(LEN(AO787)=10,SUMPRODUCT(--ISERROR(FIND(MID(AO787,{1,2,3,4,5,10},1),"ABCDEFGHIJKLMNOPQRSTUVWXYZ")))=0,SUMPRODUCT(--ISERROR(FIND(MID(AO787,{6,7,8,9},1),"0123456789")))=0),"OK","Wrong format"))</f>
        <v/>
      </c>
      <c r="AL787" s="27">
        <f>IF(TRIM(H787)="","",IF(AND(LEN(UPPER(TRIM(H787)))=10,SUMPRODUCT(--ISERROR(FIND(MID(UPPER(TRIM(H787)),{1,2,3,4,10},1),"ABCDEFGHIJKLMNOPQRSTUVWXYZ")))=0,SUMPRODUCT(--ISERROR(FIND(MID(UPPER(TRIM(H787)),{5,6,7,8,9},1),"0123456789")))=0),"OK","Wrong format"))</f>
        <v/>
      </c>
      <c r="AM787" s="28">
        <f>IF(NOT(COUNTA(A787:AE787)&gt;0),"",IF(AS787&lt;&gt;"","✖ "&amp;LEFT(AS787,LEN(AS787)-2),IF(AR787&gt;0,"✔ Ready — client + "&amp;AR787&amp;" service(s)","✔ Ready — client only")))</f>
        <v/>
      </c>
      <c r="AN787" s="29">
        <f>UPPER(SUBSTITUTE(TRIM(F787)," ",""))</f>
        <v/>
      </c>
      <c r="AO787" s="29">
        <f>UPPER(SUBSTITUTE(TRIM(E787)," ",""))</f>
        <v/>
      </c>
      <c r="AP787" s="29">
        <f>IF(D787&lt;&gt;"",D787,IFERROR(VLOOKUP(MID(AG787,4,1),Lists!$E$2:$F$8,2,FALSE),""))</f>
        <v/>
      </c>
      <c r="AQ787" s="29">
        <f>IFERROR(VLOOKUP(AP787,Lists!$A$2:$C$12,3,FALSE),"")</f>
        <v/>
      </c>
      <c r="AR787" s="29">
        <f>COUNTIF(W787:AC787,"Yes")</f>
        <v/>
      </c>
      <c r="AS787" s="29">
        <f>IF(TRIM(B787)="","Legal name missing; ","")&amp;IF(AND(AJ787&lt;&gt;"",AJ787&lt;&gt;"OK"),"GSTIN: "&amp;AJ787&amp;"; ","")&amp;IF(AND(AK787&lt;&gt;"",AK787&lt;&gt;"OK"),"PAN wrong format; ","")&amp;IF(AND(AO787&lt;&gt;"",LEN(AN787)=15,MID(AN787,3,10)&lt;&gt;AO787),"PAN does not match GSTIN; ","")&amp;IF(AND(AL787&lt;&gt;"",AL787&lt;&gt;"OK"),"TAN wrong format; ","")&amp;IF(AG787="","PAN missing; ","")&amp;IF(AP787="","Entity type missing; ","")&amp;IF(AND(AN787&lt;&gt;"",COUNTIF($AN$6:$AN$1005,AN787)&gt;1),"GSTIN repeated in this sheet; ","")&amp;IF(AND(AG787&lt;&gt;"",COUNTIF($AG$6:$AG$1005,AG787)&gt;1),"PAN repeated in this sheet (same client? put extra GSTINs in Other GSTINs); ","")&amp;IF(AND(AR787&gt;0,V787=""),"Financial year missing; ","")&amp;IF(AND(AR787=0,V787&lt;&gt;""),"Financial year given but no service is Yes; ","")&amp;IF(AND(W787="Yes",AN787=""),"GST needs a GSTIN; ","")&amp;IF(AND(W787="Yes",X787=""),"GST return frequency missing; ","")&amp;IF(AND(Y787="Yes",TRIM(H787)=""),"TDS needs a TAN; ","")&amp;IF(AND(AA787="Yes",AQ787&lt;&gt;"",AQ787&lt;&gt;"company",AQ787&lt;&gt;"llp"),"ROC is only for a company / LLP; ","")&amp;IF(AND(AA787="Yes",OR(AQ787="company",AQ787="llp"),TRIM(I787)=""),"ROC needs the CIN / LLPIN; ","")</f>
        <v/>
      </c>
    </row>
    <row r="788">
      <c r="A788" s="30" t="n"/>
      <c r="B788" s="31" t="n"/>
      <c r="C788" s="31" t="n"/>
      <c r="D788" s="31" t="n"/>
      <c r="E788" s="30" t="n"/>
      <c r="F788" s="30" t="n"/>
      <c r="G788" s="30" t="n"/>
      <c r="H788" s="30" t="n"/>
      <c r="I788" s="30" t="n"/>
      <c r="J788" s="32" t="n"/>
      <c r="K788" s="31" t="n"/>
      <c r="L788" s="30" t="n"/>
      <c r="M788" s="31" t="n"/>
      <c r="N788" s="31" t="n"/>
      <c r="O788" s="31" t="n"/>
      <c r="P788" s="30" t="n"/>
      <c r="Q788" s="31" t="n"/>
      <c r="R788" s="31" t="n"/>
      <c r="S788" s="31" t="n"/>
      <c r="T788" s="31" t="n"/>
      <c r="U788" s="30" t="n"/>
      <c r="V788" s="31" t="n"/>
      <c r="W788" s="31" t="n"/>
      <c r="X788" s="31" t="n"/>
      <c r="Y788" s="31" t="n"/>
      <c r="Z788" s="31" t="n"/>
      <c r="AA788" s="31" t="n"/>
      <c r="AB788" s="31" t="n"/>
      <c r="AC788" s="31" t="n"/>
      <c r="AD788" s="31" t="n"/>
      <c r="AE788" s="31" t="n"/>
      <c r="AF788" s="27">
        <f>IF(NOT(COUNTA(A788:AE788)&gt;0),"",IF(A788="","New client","Update"))</f>
        <v/>
      </c>
      <c r="AG788" s="27">
        <f>IF(AO788&lt;&gt;"",AO788,IF(LEN(AN788)=15,MID(AN788,3,10),""))</f>
        <v/>
      </c>
      <c r="AH788" s="27">
        <f>IF(AP788="","",AP788&amp;IF(D788="","  (guessed from PAN)",""))</f>
        <v/>
      </c>
      <c r="AI788" s="27">
        <f>IF(AN788="","",IFERROR(INDEX(Lists!$L$2:$L$38,MATCH(LEFT(AN788,2),Lists!$K$2:$K$38,0)),"Unknown code"))</f>
        <v/>
      </c>
      <c r="AJ788" s="27">
        <f>IF(AN788="","",IFERROR(IF(NOT(AND(LEN(AN788)=15,ISNUMBER(MATCH(LEFT(AN788,2),Lists!$K$2:$K$38,0)),SUMPRODUCT(--ISERROR(FIND(MID(MID(AN788,3,10),{1,2,3,4,5,10},1),"ABCDEFGHIJKLMNOPQRSTUVWXYZ")))=0,SUMPRODUCT(--ISERROR(FIND(MID(MID(AN788,3,10),{6,7,8,9},1),"0123456789")))=0,ISNUMBER(FIND(MID(AN788,13,1),"123456789ABCDEFGHIJKLMNOPQRSTUVWXYZ")),MID(AN788,14,1)="Z")),"Wrong format",IF(MID("0123456789ABCDEFGHIJKLMNOPQRSTUVWXYZ",MOD(36-MOD(SUMPRODUCT(INT((FIND(MID(AN788,{1,2,3,4,5,6,7,8,9,10,11,12,13,14},1),"0123456789ABCDEFGHIJKLMNOPQRSTUVWXYZ")-1)*{1,2,1,2,1,2,1,2,1,2,1,2,1,2}/36)+MOD((FIND(MID(AN788,{1,2,3,4,5,6,7,8,9,10,11,12,13,14},1),"0123456789ABCDEFGHIJKLMNOPQRSTUVWXYZ")-1)*{1,2,1,2,1,2,1,2,1,2,1,2,1,2},36)),36),36)+1,1)=MID(AN788,15,1),"OK","Typo? check digit wrong")),"Wrong format"))</f>
        <v/>
      </c>
      <c r="AK788" s="27">
        <f>IF(AO788="","",IF(AND(LEN(AO788)=10,SUMPRODUCT(--ISERROR(FIND(MID(AO788,{1,2,3,4,5,10},1),"ABCDEFGHIJKLMNOPQRSTUVWXYZ")))=0,SUMPRODUCT(--ISERROR(FIND(MID(AO788,{6,7,8,9},1),"0123456789")))=0),"OK","Wrong format"))</f>
        <v/>
      </c>
      <c r="AL788" s="27">
        <f>IF(TRIM(H788)="","",IF(AND(LEN(UPPER(TRIM(H788)))=10,SUMPRODUCT(--ISERROR(FIND(MID(UPPER(TRIM(H788)),{1,2,3,4,10},1),"ABCDEFGHIJKLMNOPQRSTUVWXYZ")))=0,SUMPRODUCT(--ISERROR(FIND(MID(UPPER(TRIM(H788)),{5,6,7,8,9},1),"0123456789")))=0),"OK","Wrong format"))</f>
        <v/>
      </c>
      <c r="AM788" s="28">
        <f>IF(NOT(COUNTA(A788:AE788)&gt;0),"",IF(AS788&lt;&gt;"","✖ "&amp;LEFT(AS788,LEN(AS788)-2),IF(AR788&gt;0,"✔ Ready — client + "&amp;AR788&amp;" service(s)","✔ Ready — client only")))</f>
        <v/>
      </c>
      <c r="AN788" s="29">
        <f>UPPER(SUBSTITUTE(TRIM(F788)," ",""))</f>
        <v/>
      </c>
      <c r="AO788" s="29">
        <f>UPPER(SUBSTITUTE(TRIM(E788)," ",""))</f>
        <v/>
      </c>
      <c r="AP788" s="29">
        <f>IF(D788&lt;&gt;"",D788,IFERROR(VLOOKUP(MID(AG788,4,1),Lists!$E$2:$F$8,2,FALSE),""))</f>
        <v/>
      </c>
      <c r="AQ788" s="29">
        <f>IFERROR(VLOOKUP(AP788,Lists!$A$2:$C$12,3,FALSE),"")</f>
        <v/>
      </c>
      <c r="AR788" s="29">
        <f>COUNTIF(W788:AC788,"Yes")</f>
        <v/>
      </c>
      <c r="AS788" s="29">
        <f>IF(TRIM(B788)="","Legal name missing; ","")&amp;IF(AND(AJ788&lt;&gt;"",AJ788&lt;&gt;"OK"),"GSTIN: "&amp;AJ788&amp;"; ","")&amp;IF(AND(AK788&lt;&gt;"",AK788&lt;&gt;"OK"),"PAN wrong format; ","")&amp;IF(AND(AO788&lt;&gt;"",LEN(AN788)=15,MID(AN788,3,10)&lt;&gt;AO788),"PAN does not match GSTIN; ","")&amp;IF(AND(AL788&lt;&gt;"",AL788&lt;&gt;"OK"),"TAN wrong format; ","")&amp;IF(AG788="","PAN missing; ","")&amp;IF(AP788="","Entity type missing; ","")&amp;IF(AND(AN788&lt;&gt;"",COUNTIF($AN$6:$AN$1005,AN788)&gt;1),"GSTIN repeated in this sheet; ","")&amp;IF(AND(AG788&lt;&gt;"",COUNTIF($AG$6:$AG$1005,AG788)&gt;1),"PAN repeated in this sheet (same client? put extra GSTINs in Other GSTINs); ","")&amp;IF(AND(AR788&gt;0,V788=""),"Financial year missing; ","")&amp;IF(AND(AR788=0,V788&lt;&gt;""),"Financial year given but no service is Yes; ","")&amp;IF(AND(W788="Yes",AN788=""),"GST needs a GSTIN; ","")&amp;IF(AND(W788="Yes",X788=""),"GST return frequency missing; ","")&amp;IF(AND(Y788="Yes",TRIM(H788)=""),"TDS needs a TAN; ","")&amp;IF(AND(AA788="Yes",AQ788&lt;&gt;"",AQ788&lt;&gt;"company",AQ788&lt;&gt;"llp"),"ROC is only for a company / LLP; ","")&amp;IF(AND(AA788="Yes",OR(AQ788="company",AQ788="llp"),TRIM(I788)=""),"ROC needs the CIN / LLPIN; ","")</f>
        <v/>
      </c>
    </row>
    <row r="789">
      <c r="A789" s="30" t="n"/>
      <c r="B789" s="31" t="n"/>
      <c r="C789" s="31" t="n"/>
      <c r="D789" s="31" t="n"/>
      <c r="E789" s="30" t="n"/>
      <c r="F789" s="30" t="n"/>
      <c r="G789" s="30" t="n"/>
      <c r="H789" s="30" t="n"/>
      <c r="I789" s="30" t="n"/>
      <c r="J789" s="32" t="n"/>
      <c r="K789" s="31" t="n"/>
      <c r="L789" s="30" t="n"/>
      <c r="M789" s="31" t="n"/>
      <c r="N789" s="31" t="n"/>
      <c r="O789" s="31" t="n"/>
      <c r="P789" s="30" t="n"/>
      <c r="Q789" s="31" t="n"/>
      <c r="R789" s="31" t="n"/>
      <c r="S789" s="31" t="n"/>
      <c r="T789" s="31" t="n"/>
      <c r="U789" s="30" t="n"/>
      <c r="V789" s="31" t="n"/>
      <c r="W789" s="31" t="n"/>
      <c r="X789" s="31" t="n"/>
      <c r="Y789" s="31" t="n"/>
      <c r="Z789" s="31" t="n"/>
      <c r="AA789" s="31" t="n"/>
      <c r="AB789" s="31" t="n"/>
      <c r="AC789" s="31" t="n"/>
      <c r="AD789" s="31" t="n"/>
      <c r="AE789" s="31" t="n"/>
      <c r="AF789" s="27">
        <f>IF(NOT(COUNTA(A789:AE789)&gt;0),"",IF(A789="","New client","Update"))</f>
        <v/>
      </c>
      <c r="AG789" s="27">
        <f>IF(AO789&lt;&gt;"",AO789,IF(LEN(AN789)=15,MID(AN789,3,10),""))</f>
        <v/>
      </c>
      <c r="AH789" s="27">
        <f>IF(AP789="","",AP789&amp;IF(D789="","  (guessed from PAN)",""))</f>
        <v/>
      </c>
      <c r="AI789" s="27">
        <f>IF(AN789="","",IFERROR(INDEX(Lists!$L$2:$L$38,MATCH(LEFT(AN789,2),Lists!$K$2:$K$38,0)),"Unknown code"))</f>
        <v/>
      </c>
      <c r="AJ789" s="27">
        <f>IF(AN789="","",IFERROR(IF(NOT(AND(LEN(AN789)=15,ISNUMBER(MATCH(LEFT(AN789,2),Lists!$K$2:$K$38,0)),SUMPRODUCT(--ISERROR(FIND(MID(MID(AN789,3,10),{1,2,3,4,5,10},1),"ABCDEFGHIJKLMNOPQRSTUVWXYZ")))=0,SUMPRODUCT(--ISERROR(FIND(MID(MID(AN789,3,10),{6,7,8,9},1),"0123456789")))=0,ISNUMBER(FIND(MID(AN789,13,1),"123456789ABCDEFGHIJKLMNOPQRSTUVWXYZ")),MID(AN789,14,1)="Z")),"Wrong format",IF(MID("0123456789ABCDEFGHIJKLMNOPQRSTUVWXYZ",MOD(36-MOD(SUMPRODUCT(INT((FIND(MID(AN789,{1,2,3,4,5,6,7,8,9,10,11,12,13,14},1),"0123456789ABCDEFGHIJKLMNOPQRSTUVWXYZ")-1)*{1,2,1,2,1,2,1,2,1,2,1,2,1,2}/36)+MOD((FIND(MID(AN789,{1,2,3,4,5,6,7,8,9,10,11,12,13,14},1),"0123456789ABCDEFGHIJKLMNOPQRSTUVWXYZ")-1)*{1,2,1,2,1,2,1,2,1,2,1,2,1,2},36)),36),36)+1,1)=MID(AN789,15,1),"OK","Typo? check digit wrong")),"Wrong format"))</f>
        <v/>
      </c>
      <c r="AK789" s="27">
        <f>IF(AO789="","",IF(AND(LEN(AO789)=10,SUMPRODUCT(--ISERROR(FIND(MID(AO789,{1,2,3,4,5,10},1),"ABCDEFGHIJKLMNOPQRSTUVWXYZ")))=0,SUMPRODUCT(--ISERROR(FIND(MID(AO789,{6,7,8,9},1),"0123456789")))=0),"OK","Wrong format"))</f>
        <v/>
      </c>
      <c r="AL789" s="27">
        <f>IF(TRIM(H789)="","",IF(AND(LEN(UPPER(TRIM(H789)))=10,SUMPRODUCT(--ISERROR(FIND(MID(UPPER(TRIM(H789)),{1,2,3,4,10},1),"ABCDEFGHIJKLMNOPQRSTUVWXYZ")))=0,SUMPRODUCT(--ISERROR(FIND(MID(UPPER(TRIM(H789)),{5,6,7,8,9},1),"0123456789")))=0),"OK","Wrong format"))</f>
        <v/>
      </c>
      <c r="AM789" s="28">
        <f>IF(NOT(COUNTA(A789:AE789)&gt;0),"",IF(AS789&lt;&gt;"","✖ "&amp;LEFT(AS789,LEN(AS789)-2),IF(AR789&gt;0,"✔ Ready — client + "&amp;AR789&amp;" service(s)","✔ Ready — client only")))</f>
        <v/>
      </c>
      <c r="AN789" s="29">
        <f>UPPER(SUBSTITUTE(TRIM(F789)," ",""))</f>
        <v/>
      </c>
      <c r="AO789" s="29">
        <f>UPPER(SUBSTITUTE(TRIM(E789)," ",""))</f>
        <v/>
      </c>
      <c r="AP789" s="29">
        <f>IF(D789&lt;&gt;"",D789,IFERROR(VLOOKUP(MID(AG789,4,1),Lists!$E$2:$F$8,2,FALSE),""))</f>
        <v/>
      </c>
      <c r="AQ789" s="29">
        <f>IFERROR(VLOOKUP(AP789,Lists!$A$2:$C$12,3,FALSE),"")</f>
        <v/>
      </c>
      <c r="AR789" s="29">
        <f>COUNTIF(W789:AC789,"Yes")</f>
        <v/>
      </c>
      <c r="AS789" s="29">
        <f>IF(TRIM(B789)="","Legal name missing; ","")&amp;IF(AND(AJ789&lt;&gt;"",AJ789&lt;&gt;"OK"),"GSTIN: "&amp;AJ789&amp;"; ","")&amp;IF(AND(AK789&lt;&gt;"",AK789&lt;&gt;"OK"),"PAN wrong format; ","")&amp;IF(AND(AO789&lt;&gt;"",LEN(AN789)=15,MID(AN789,3,10)&lt;&gt;AO789),"PAN does not match GSTIN; ","")&amp;IF(AND(AL789&lt;&gt;"",AL789&lt;&gt;"OK"),"TAN wrong format; ","")&amp;IF(AG789="","PAN missing; ","")&amp;IF(AP789="","Entity type missing; ","")&amp;IF(AND(AN789&lt;&gt;"",COUNTIF($AN$6:$AN$1005,AN789)&gt;1),"GSTIN repeated in this sheet; ","")&amp;IF(AND(AG789&lt;&gt;"",COUNTIF($AG$6:$AG$1005,AG789)&gt;1),"PAN repeated in this sheet (same client? put extra GSTINs in Other GSTINs); ","")&amp;IF(AND(AR789&gt;0,V789=""),"Financial year missing; ","")&amp;IF(AND(AR789=0,V789&lt;&gt;""),"Financial year given but no service is Yes; ","")&amp;IF(AND(W789="Yes",AN789=""),"GST needs a GSTIN; ","")&amp;IF(AND(W789="Yes",X789=""),"GST return frequency missing; ","")&amp;IF(AND(Y789="Yes",TRIM(H789)=""),"TDS needs a TAN; ","")&amp;IF(AND(AA789="Yes",AQ789&lt;&gt;"",AQ789&lt;&gt;"company",AQ789&lt;&gt;"llp"),"ROC is only for a company / LLP; ","")&amp;IF(AND(AA789="Yes",OR(AQ789="company",AQ789="llp"),TRIM(I789)=""),"ROC needs the CIN / LLPIN; ","")</f>
        <v/>
      </c>
    </row>
    <row r="790">
      <c r="A790" s="30" t="n"/>
      <c r="B790" s="31" t="n"/>
      <c r="C790" s="31" t="n"/>
      <c r="D790" s="31" t="n"/>
      <c r="E790" s="30" t="n"/>
      <c r="F790" s="30" t="n"/>
      <c r="G790" s="30" t="n"/>
      <c r="H790" s="30" t="n"/>
      <c r="I790" s="30" t="n"/>
      <c r="J790" s="32" t="n"/>
      <c r="K790" s="31" t="n"/>
      <c r="L790" s="30" t="n"/>
      <c r="M790" s="31" t="n"/>
      <c r="N790" s="31" t="n"/>
      <c r="O790" s="31" t="n"/>
      <c r="P790" s="30" t="n"/>
      <c r="Q790" s="31" t="n"/>
      <c r="R790" s="31" t="n"/>
      <c r="S790" s="31" t="n"/>
      <c r="T790" s="31" t="n"/>
      <c r="U790" s="30" t="n"/>
      <c r="V790" s="31" t="n"/>
      <c r="W790" s="31" t="n"/>
      <c r="X790" s="31" t="n"/>
      <c r="Y790" s="31" t="n"/>
      <c r="Z790" s="31" t="n"/>
      <c r="AA790" s="31" t="n"/>
      <c r="AB790" s="31" t="n"/>
      <c r="AC790" s="31" t="n"/>
      <c r="AD790" s="31" t="n"/>
      <c r="AE790" s="31" t="n"/>
      <c r="AF790" s="27">
        <f>IF(NOT(COUNTA(A790:AE790)&gt;0),"",IF(A790="","New client","Update"))</f>
        <v/>
      </c>
      <c r="AG790" s="27">
        <f>IF(AO790&lt;&gt;"",AO790,IF(LEN(AN790)=15,MID(AN790,3,10),""))</f>
        <v/>
      </c>
      <c r="AH790" s="27">
        <f>IF(AP790="","",AP790&amp;IF(D790="","  (guessed from PAN)",""))</f>
        <v/>
      </c>
      <c r="AI790" s="27">
        <f>IF(AN790="","",IFERROR(INDEX(Lists!$L$2:$L$38,MATCH(LEFT(AN790,2),Lists!$K$2:$K$38,0)),"Unknown code"))</f>
        <v/>
      </c>
      <c r="AJ790" s="27">
        <f>IF(AN790="","",IFERROR(IF(NOT(AND(LEN(AN790)=15,ISNUMBER(MATCH(LEFT(AN790,2),Lists!$K$2:$K$38,0)),SUMPRODUCT(--ISERROR(FIND(MID(MID(AN790,3,10),{1,2,3,4,5,10},1),"ABCDEFGHIJKLMNOPQRSTUVWXYZ")))=0,SUMPRODUCT(--ISERROR(FIND(MID(MID(AN790,3,10),{6,7,8,9},1),"0123456789")))=0,ISNUMBER(FIND(MID(AN790,13,1),"123456789ABCDEFGHIJKLMNOPQRSTUVWXYZ")),MID(AN790,14,1)="Z")),"Wrong format",IF(MID("0123456789ABCDEFGHIJKLMNOPQRSTUVWXYZ",MOD(36-MOD(SUMPRODUCT(INT((FIND(MID(AN790,{1,2,3,4,5,6,7,8,9,10,11,12,13,14},1),"0123456789ABCDEFGHIJKLMNOPQRSTUVWXYZ")-1)*{1,2,1,2,1,2,1,2,1,2,1,2,1,2}/36)+MOD((FIND(MID(AN790,{1,2,3,4,5,6,7,8,9,10,11,12,13,14},1),"0123456789ABCDEFGHIJKLMNOPQRSTUVWXYZ")-1)*{1,2,1,2,1,2,1,2,1,2,1,2,1,2},36)),36),36)+1,1)=MID(AN790,15,1),"OK","Typo? check digit wrong")),"Wrong format"))</f>
        <v/>
      </c>
      <c r="AK790" s="27">
        <f>IF(AO790="","",IF(AND(LEN(AO790)=10,SUMPRODUCT(--ISERROR(FIND(MID(AO790,{1,2,3,4,5,10},1),"ABCDEFGHIJKLMNOPQRSTUVWXYZ")))=0,SUMPRODUCT(--ISERROR(FIND(MID(AO790,{6,7,8,9},1),"0123456789")))=0),"OK","Wrong format"))</f>
        <v/>
      </c>
      <c r="AL790" s="27">
        <f>IF(TRIM(H790)="","",IF(AND(LEN(UPPER(TRIM(H790)))=10,SUMPRODUCT(--ISERROR(FIND(MID(UPPER(TRIM(H790)),{1,2,3,4,10},1),"ABCDEFGHIJKLMNOPQRSTUVWXYZ")))=0,SUMPRODUCT(--ISERROR(FIND(MID(UPPER(TRIM(H790)),{5,6,7,8,9},1),"0123456789")))=0),"OK","Wrong format"))</f>
        <v/>
      </c>
      <c r="AM790" s="28">
        <f>IF(NOT(COUNTA(A790:AE790)&gt;0),"",IF(AS790&lt;&gt;"","✖ "&amp;LEFT(AS790,LEN(AS790)-2),IF(AR790&gt;0,"✔ Ready — client + "&amp;AR790&amp;" service(s)","✔ Ready — client only")))</f>
        <v/>
      </c>
      <c r="AN790" s="29">
        <f>UPPER(SUBSTITUTE(TRIM(F790)," ",""))</f>
        <v/>
      </c>
      <c r="AO790" s="29">
        <f>UPPER(SUBSTITUTE(TRIM(E790)," ",""))</f>
        <v/>
      </c>
      <c r="AP790" s="29">
        <f>IF(D790&lt;&gt;"",D790,IFERROR(VLOOKUP(MID(AG790,4,1),Lists!$E$2:$F$8,2,FALSE),""))</f>
        <v/>
      </c>
      <c r="AQ790" s="29">
        <f>IFERROR(VLOOKUP(AP790,Lists!$A$2:$C$12,3,FALSE),"")</f>
        <v/>
      </c>
      <c r="AR790" s="29">
        <f>COUNTIF(W790:AC790,"Yes")</f>
        <v/>
      </c>
      <c r="AS790" s="29">
        <f>IF(TRIM(B790)="","Legal name missing; ","")&amp;IF(AND(AJ790&lt;&gt;"",AJ790&lt;&gt;"OK"),"GSTIN: "&amp;AJ790&amp;"; ","")&amp;IF(AND(AK790&lt;&gt;"",AK790&lt;&gt;"OK"),"PAN wrong format; ","")&amp;IF(AND(AO790&lt;&gt;"",LEN(AN790)=15,MID(AN790,3,10)&lt;&gt;AO790),"PAN does not match GSTIN; ","")&amp;IF(AND(AL790&lt;&gt;"",AL790&lt;&gt;"OK"),"TAN wrong format; ","")&amp;IF(AG790="","PAN missing; ","")&amp;IF(AP790="","Entity type missing; ","")&amp;IF(AND(AN790&lt;&gt;"",COUNTIF($AN$6:$AN$1005,AN790)&gt;1),"GSTIN repeated in this sheet; ","")&amp;IF(AND(AG790&lt;&gt;"",COUNTIF($AG$6:$AG$1005,AG790)&gt;1),"PAN repeated in this sheet (same client? put extra GSTINs in Other GSTINs); ","")&amp;IF(AND(AR790&gt;0,V790=""),"Financial year missing; ","")&amp;IF(AND(AR790=0,V790&lt;&gt;""),"Financial year given but no service is Yes; ","")&amp;IF(AND(W790="Yes",AN790=""),"GST needs a GSTIN; ","")&amp;IF(AND(W790="Yes",X790=""),"GST return frequency missing; ","")&amp;IF(AND(Y790="Yes",TRIM(H790)=""),"TDS needs a TAN; ","")&amp;IF(AND(AA790="Yes",AQ790&lt;&gt;"",AQ790&lt;&gt;"company",AQ790&lt;&gt;"llp"),"ROC is only for a company / LLP; ","")&amp;IF(AND(AA790="Yes",OR(AQ790="company",AQ790="llp"),TRIM(I790)=""),"ROC needs the CIN / LLPIN; ","")</f>
        <v/>
      </c>
    </row>
    <row r="791">
      <c r="A791" s="30" t="n"/>
      <c r="B791" s="31" t="n"/>
      <c r="C791" s="31" t="n"/>
      <c r="D791" s="31" t="n"/>
      <c r="E791" s="30" t="n"/>
      <c r="F791" s="30" t="n"/>
      <c r="G791" s="30" t="n"/>
      <c r="H791" s="30" t="n"/>
      <c r="I791" s="30" t="n"/>
      <c r="J791" s="32" t="n"/>
      <c r="K791" s="31" t="n"/>
      <c r="L791" s="30" t="n"/>
      <c r="M791" s="31" t="n"/>
      <c r="N791" s="31" t="n"/>
      <c r="O791" s="31" t="n"/>
      <c r="P791" s="30" t="n"/>
      <c r="Q791" s="31" t="n"/>
      <c r="R791" s="31" t="n"/>
      <c r="S791" s="31" t="n"/>
      <c r="T791" s="31" t="n"/>
      <c r="U791" s="30" t="n"/>
      <c r="V791" s="31" t="n"/>
      <c r="W791" s="31" t="n"/>
      <c r="X791" s="31" t="n"/>
      <c r="Y791" s="31" t="n"/>
      <c r="Z791" s="31" t="n"/>
      <c r="AA791" s="31" t="n"/>
      <c r="AB791" s="31" t="n"/>
      <c r="AC791" s="31" t="n"/>
      <c r="AD791" s="31" t="n"/>
      <c r="AE791" s="31" t="n"/>
      <c r="AF791" s="27">
        <f>IF(NOT(COUNTA(A791:AE791)&gt;0),"",IF(A791="","New client","Update"))</f>
        <v/>
      </c>
      <c r="AG791" s="27">
        <f>IF(AO791&lt;&gt;"",AO791,IF(LEN(AN791)=15,MID(AN791,3,10),""))</f>
        <v/>
      </c>
      <c r="AH791" s="27">
        <f>IF(AP791="","",AP791&amp;IF(D791="","  (guessed from PAN)",""))</f>
        <v/>
      </c>
      <c r="AI791" s="27">
        <f>IF(AN791="","",IFERROR(INDEX(Lists!$L$2:$L$38,MATCH(LEFT(AN791,2),Lists!$K$2:$K$38,0)),"Unknown code"))</f>
        <v/>
      </c>
      <c r="AJ791" s="27">
        <f>IF(AN791="","",IFERROR(IF(NOT(AND(LEN(AN791)=15,ISNUMBER(MATCH(LEFT(AN791,2),Lists!$K$2:$K$38,0)),SUMPRODUCT(--ISERROR(FIND(MID(MID(AN791,3,10),{1,2,3,4,5,10},1),"ABCDEFGHIJKLMNOPQRSTUVWXYZ")))=0,SUMPRODUCT(--ISERROR(FIND(MID(MID(AN791,3,10),{6,7,8,9},1),"0123456789")))=0,ISNUMBER(FIND(MID(AN791,13,1),"123456789ABCDEFGHIJKLMNOPQRSTUVWXYZ")),MID(AN791,14,1)="Z")),"Wrong format",IF(MID("0123456789ABCDEFGHIJKLMNOPQRSTUVWXYZ",MOD(36-MOD(SUMPRODUCT(INT((FIND(MID(AN791,{1,2,3,4,5,6,7,8,9,10,11,12,13,14},1),"0123456789ABCDEFGHIJKLMNOPQRSTUVWXYZ")-1)*{1,2,1,2,1,2,1,2,1,2,1,2,1,2}/36)+MOD((FIND(MID(AN791,{1,2,3,4,5,6,7,8,9,10,11,12,13,14},1),"0123456789ABCDEFGHIJKLMNOPQRSTUVWXYZ")-1)*{1,2,1,2,1,2,1,2,1,2,1,2,1,2},36)),36),36)+1,1)=MID(AN791,15,1),"OK","Typo? check digit wrong")),"Wrong format"))</f>
        <v/>
      </c>
      <c r="AK791" s="27">
        <f>IF(AO791="","",IF(AND(LEN(AO791)=10,SUMPRODUCT(--ISERROR(FIND(MID(AO791,{1,2,3,4,5,10},1),"ABCDEFGHIJKLMNOPQRSTUVWXYZ")))=0,SUMPRODUCT(--ISERROR(FIND(MID(AO791,{6,7,8,9},1),"0123456789")))=0),"OK","Wrong format"))</f>
        <v/>
      </c>
      <c r="AL791" s="27">
        <f>IF(TRIM(H791)="","",IF(AND(LEN(UPPER(TRIM(H791)))=10,SUMPRODUCT(--ISERROR(FIND(MID(UPPER(TRIM(H791)),{1,2,3,4,10},1),"ABCDEFGHIJKLMNOPQRSTUVWXYZ")))=0,SUMPRODUCT(--ISERROR(FIND(MID(UPPER(TRIM(H791)),{5,6,7,8,9},1),"0123456789")))=0),"OK","Wrong format"))</f>
        <v/>
      </c>
      <c r="AM791" s="28">
        <f>IF(NOT(COUNTA(A791:AE791)&gt;0),"",IF(AS791&lt;&gt;"","✖ "&amp;LEFT(AS791,LEN(AS791)-2),IF(AR791&gt;0,"✔ Ready — client + "&amp;AR791&amp;" service(s)","✔ Ready — client only")))</f>
        <v/>
      </c>
      <c r="AN791" s="29">
        <f>UPPER(SUBSTITUTE(TRIM(F791)," ",""))</f>
        <v/>
      </c>
      <c r="AO791" s="29">
        <f>UPPER(SUBSTITUTE(TRIM(E791)," ",""))</f>
        <v/>
      </c>
      <c r="AP791" s="29">
        <f>IF(D791&lt;&gt;"",D791,IFERROR(VLOOKUP(MID(AG791,4,1),Lists!$E$2:$F$8,2,FALSE),""))</f>
        <v/>
      </c>
      <c r="AQ791" s="29">
        <f>IFERROR(VLOOKUP(AP791,Lists!$A$2:$C$12,3,FALSE),"")</f>
        <v/>
      </c>
      <c r="AR791" s="29">
        <f>COUNTIF(W791:AC791,"Yes")</f>
        <v/>
      </c>
      <c r="AS791" s="29">
        <f>IF(TRIM(B791)="","Legal name missing; ","")&amp;IF(AND(AJ791&lt;&gt;"",AJ791&lt;&gt;"OK"),"GSTIN: "&amp;AJ791&amp;"; ","")&amp;IF(AND(AK791&lt;&gt;"",AK791&lt;&gt;"OK"),"PAN wrong format; ","")&amp;IF(AND(AO791&lt;&gt;"",LEN(AN791)=15,MID(AN791,3,10)&lt;&gt;AO791),"PAN does not match GSTIN; ","")&amp;IF(AND(AL791&lt;&gt;"",AL791&lt;&gt;"OK"),"TAN wrong format; ","")&amp;IF(AG791="","PAN missing; ","")&amp;IF(AP791="","Entity type missing; ","")&amp;IF(AND(AN791&lt;&gt;"",COUNTIF($AN$6:$AN$1005,AN791)&gt;1),"GSTIN repeated in this sheet; ","")&amp;IF(AND(AG791&lt;&gt;"",COUNTIF($AG$6:$AG$1005,AG791)&gt;1),"PAN repeated in this sheet (same client? put extra GSTINs in Other GSTINs); ","")&amp;IF(AND(AR791&gt;0,V791=""),"Financial year missing; ","")&amp;IF(AND(AR791=0,V791&lt;&gt;""),"Financial year given but no service is Yes; ","")&amp;IF(AND(W791="Yes",AN791=""),"GST needs a GSTIN; ","")&amp;IF(AND(W791="Yes",X791=""),"GST return frequency missing; ","")&amp;IF(AND(Y791="Yes",TRIM(H791)=""),"TDS needs a TAN; ","")&amp;IF(AND(AA791="Yes",AQ791&lt;&gt;"",AQ791&lt;&gt;"company",AQ791&lt;&gt;"llp"),"ROC is only for a company / LLP; ","")&amp;IF(AND(AA791="Yes",OR(AQ791="company",AQ791="llp"),TRIM(I791)=""),"ROC needs the CIN / LLPIN; ","")</f>
        <v/>
      </c>
    </row>
    <row r="792">
      <c r="A792" s="30" t="n"/>
      <c r="B792" s="31" t="n"/>
      <c r="C792" s="31" t="n"/>
      <c r="D792" s="31" t="n"/>
      <c r="E792" s="30" t="n"/>
      <c r="F792" s="30" t="n"/>
      <c r="G792" s="30" t="n"/>
      <c r="H792" s="30" t="n"/>
      <c r="I792" s="30" t="n"/>
      <c r="J792" s="32" t="n"/>
      <c r="K792" s="31" t="n"/>
      <c r="L792" s="30" t="n"/>
      <c r="M792" s="31" t="n"/>
      <c r="N792" s="31" t="n"/>
      <c r="O792" s="31" t="n"/>
      <c r="P792" s="30" t="n"/>
      <c r="Q792" s="31" t="n"/>
      <c r="R792" s="31" t="n"/>
      <c r="S792" s="31" t="n"/>
      <c r="T792" s="31" t="n"/>
      <c r="U792" s="30" t="n"/>
      <c r="V792" s="31" t="n"/>
      <c r="W792" s="31" t="n"/>
      <c r="X792" s="31" t="n"/>
      <c r="Y792" s="31" t="n"/>
      <c r="Z792" s="31" t="n"/>
      <c r="AA792" s="31" t="n"/>
      <c r="AB792" s="31" t="n"/>
      <c r="AC792" s="31" t="n"/>
      <c r="AD792" s="31" t="n"/>
      <c r="AE792" s="31" t="n"/>
      <c r="AF792" s="27">
        <f>IF(NOT(COUNTA(A792:AE792)&gt;0),"",IF(A792="","New client","Update"))</f>
        <v/>
      </c>
      <c r="AG792" s="27">
        <f>IF(AO792&lt;&gt;"",AO792,IF(LEN(AN792)=15,MID(AN792,3,10),""))</f>
        <v/>
      </c>
      <c r="AH792" s="27">
        <f>IF(AP792="","",AP792&amp;IF(D792="","  (guessed from PAN)",""))</f>
        <v/>
      </c>
      <c r="AI792" s="27">
        <f>IF(AN792="","",IFERROR(INDEX(Lists!$L$2:$L$38,MATCH(LEFT(AN792,2),Lists!$K$2:$K$38,0)),"Unknown code"))</f>
        <v/>
      </c>
      <c r="AJ792" s="27">
        <f>IF(AN792="","",IFERROR(IF(NOT(AND(LEN(AN792)=15,ISNUMBER(MATCH(LEFT(AN792,2),Lists!$K$2:$K$38,0)),SUMPRODUCT(--ISERROR(FIND(MID(MID(AN792,3,10),{1,2,3,4,5,10},1),"ABCDEFGHIJKLMNOPQRSTUVWXYZ")))=0,SUMPRODUCT(--ISERROR(FIND(MID(MID(AN792,3,10),{6,7,8,9},1),"0123456789")))=0,ISNUMBER(FIND(MID(AN792,13,1),"123456789ABCDEFGHIJKLMNOPQRSTUVWXYZ")),MID(AN792,14,1)="Z")),"Wrong format",IF(MID("0123456789ABCDEFGHIJKLMNOPQRSTUVWXYZ",MOD(36-MOD(SUMPRODUCT(INT((FIND(MID(AN792,{1,2,3,4,5,6,7,8,9,10,11,12,13,14},1),"0123456789ABCDEFGHIJKLMNOPQRSTUVWXYZ")-1)*{1,2,1,2,1,2,1,2,1,2,1,2,1,2}/36)+MOD((FIND(MID(AN792,{1,2,3,4,5,6,7,8,9,10,11,12,13,14},1),"0123456789ABCDEFGHIJKLMNOPQRSTUVWXYZ")-1)*{1,2,1,2,1,2,1,2,1,2,1,2,1,2},36)),36),36)+1,1)=MID(AN792,15,1),"OK","Typo? check digit wrong")),"Wrong format"))</f>
        <v/>
      </c>
      <c r="AK792" s="27">
        <f>IF(AO792="","",IF(AND(LEN(AO792)=10,SUMPRODUCT(--ISERROR(FIND(MID(AO792,{1,2,3,4,5,10},1),"ABCDEFGHIJKLMNOPQRSTUVWXYZ")))=0,SUMPRODUCT(--ISERROR(FIND(MID(AO792,{6,7,8,9},1),"0123456789")))=0),"OK","Wrong format"))</f>
        <v/>
      </c>
      <c r="AL792" s="27">
        <f>IF(TRIM(H792)="","",IF(AND(LEN(UPPER(TRIM(H792)))=10,SUMPRODUCT(--ISERROR(FIND(MID(UPPER(TRIM(H792)),{1,2,3,4,10},1),"ABCDEFGHIJKLMNOPQRSTUVWXYZ")))=0,SUMPRODUCT(--ISERROR(FIND(MID(UPPER(TRIM(H792)),{5,6,7,8,9},1),"0123456789")))=0),"OK","Wrong format"))</f>
        <v/>
      </c>
      <c r="AM792" s="28">
        <f>IF(NOT(COUNTA(A792:AE792)&gt;0),"",IF(AS792&lt;&gt;"","✖ "&amp;LEFT(AS792,LEN(AS792)-2),IF(AR792&gt;0,"✔ Ready — client + "&amp;AR792&amp;" service(s)","✔ Ready — client only")))</f>
        <v/>
      </c>
      <c r="AN792" s="29">
        <f>UPPER(SUBSTITUTE(TRIM(F792)," ",""))</f>
        <v/>
      </c>
      <c r="AO792" s="29">
        <f>UPPER(SUBSTITUTE(TRIM(E792)," ",""))</f>
        <v/>
      </c>
      <c r="AP792" s="29">
        <f>IF(D792&lt;&gt;"",D792,IFERROR(VLOOKUP(MID(AG792,4,1),Lists!$E$2:$F$8,2,FALSE),""))</f>
        <v/>
      </c>
      <c r="AQ792" s="29">
        <f>IFERROR(VLOOKUP(AP792,Lists!$A$2:$C$12,3,FALSE),"")</f>
        <v/>
      </c>
      <c r="AR792" s="29">
        <f>COUNTIF(W792:AC792,"Yes")</f>
        <v/>
      </c>
      <c r="AS792" s="29">
        <f>IF(TRIM(B792)="","Legal name missing; ","")&amp;IF(AND(AJ792&lt;&gt;"",AJ792&lt;&gt;"OK"),"GSTIN: "&amp;AJ792&amp;"; ","")&amp;IF(AND(AK792&lt;&gt;"",AK792&lt;&gt;"OK"),"PAN wrong format; ","")&amp;IF(AND(AO792&lt;&gt;"",LEN(AN792)=15,MID(AN792,3,10)&lt;&gt;AO792),"PAN does not match GSTIN; ","")&amp;IF(AND(AL792&lt;&gt;"",AL792&lt;&gt;"OK"),"TAN wrong format; ","")&amp;IF(AG792="","PAN missing; ","")&amp;IF(AP792="","Entity type missing; ","")&amp;IF(AND(AN792&lt;&gt;"",COUNTIF($AN$6:$AN$1005,AN792)&gt;1),"GSTIN repeated in this sheet; ","")&amp;IF(AND(AG792&lt;&gt;"",COUNTIF($AG$6:$AG$1005,AG792)&gt;1),"PAN repeated in this sheet (same client? put extra GSTINs in Other GSTINs); ","")&amp;IF(AND(AR792&gt;0,V792=""),"Financial year missing; ","")&amp;IF(AND(AR792=0,V792&lt;&gt;""),"Financial year given but no service is Yes; ","")&amp;IF(AND(W792="Yes",AN792=""),"GST needs a GSTIN; ","")&amp;IF(AND(W792="Yes",X792=""),"GST return frequency missing; ","")&amp;IF(AND(Y792="Yes",TRIM(H792)=""),"TDS needs a TAN; ","")&amp;IF(AND(AA792="Yes",AQ792&lt;&gt;"",AQ792&lt;&gt;"company",AQ792&lt;&gt;"llp"),"ROC is only for a company / LLP; ","")&amp;IF(AND(AA792="Yes",OR(AQ792="company",AQ792="llp"),TRIM(I792)=""),"ROC needs the CIN / LLPIN; ","")</f>
        <v/>
      </c>
    </row>
    <row r="793">
      <c r="A793" s="30" t="n"/>
      <c r="B793" s="31" t="n"/>
      <c r="C793" s="31" t="n"/>
      <c r="D793" s="31" t="n"/>
      <c r="E793" s="30" t="n"/>
      <c r="F793" s="30" t="n"/>
      <c r="G793" s="30" t="n"/>
      <c r="H793" s="30" t="n"/>
      <c r="I793" s="30" t="n"/>
      <c r="J793" s="32" t="n"/>
      <c r="K793" s="31" t="n"/>
      <c r="L793" s="30" t="n"/>
      <c r="M793" s="31" t="n"/>
      <c r="N793" s="31" t="n"/>
      <c r="O793" s="31" t="n"/>
      <c r="P793" s="30" t="n"/>
      <c r="Q793" s="31" t="n"/>
      <c r="R793" s="31" t="n"/>
      <c r="S793" s="31" t="n"/>
      <c r="T793" s="31" t="n"/>
      <c r="U793" s="30" t="n"/>
      <c r="V793" s="31" t="n"/>
      <c r="W793" s="31" t="n"/>
      <c r="X793" s="31" t="n"/>
      <c r="Y793" s="31" t="n"/>
      <c r="Z793" s="31" t="n"/>
      <c r="AA793" s="31" t="n"/>
      <c r="AB793" s="31" t="n"/>
      <c r="AC793" s="31" t="n"/>
      <c r="AD793" s="31" t="n"/>
      <c r="AE793" s="31" t="n"/>
      <c r="AF793" s="27">
        <f>IF(NOT(COUNTA(A793:AE793)&gt;0),"",IF(A793="","New client","Update"))</f>
        <v/>
      </c>
      <c r="AG793" s="27">
        <f>IF(AO793&lt;&gt;"",AO793,IF(LEN(AN793)=15,MID(AN793,3,10),""))</f>
        <v/>
      </c>
      <c r="AH793" s="27">
        <f>IF(AP793="","",AP793&amp;IF(D793="","  (guessed from PAN)",""))</f>
        <v/>
      </c>
      <c r="AI793" s="27">
        <f>IF(AN793="","",IFERROR(INDEX(Lists!$L$2:$L$38,MATCH(LEFT(AN793,2),Lists!$K$2:$K$38,0)),"Unknown code"))</f>
        <v/>
      </c>
      <c r="AJ793" s="27">
        <f>IF(AN793="","",IFERROR(IF(NOT(AND(LEN(AN793)=15,ISNUMBER(MATCH(LEFT(AN793,2),Lists!$K$2:$K$38,0)),SUMPRODUCT(--ISERROR(FIND(MID(MID(AN793,3,10),{1,2,3,4,5,10},1),"ABCDEFGHIJKLMNOPQRSTUVWXYZ")))=0,SUMPRODUCT(--ISERROR(FIND(MID(MID(AN793,3,10),{6,7,8,9},1),"0123456789")))=0,ISNUMBER(FIND(MID(AN793,13,1),"123456789ABCDEFGHIJKLMNOPQRSTUVWXYZ")),MID(AN793,14,1)="Z")),"Wrong format",IF(MID("0123456789ABCDEFGHIJKLMNOPQRSTUVWXYZ",MOD(36-MOD(SUMPRODUCT(INT((FIND(MID(AN793,{1,2,3,4,5,6,7,8,9,10,11,12,13,14},1),"0123456789ABCDEFGHIJKLMNOPQRSTUVWXYZ")-1)*{1,2,1,2,1,2,1,2,1,2,1,2,1,2}/36)+MOD((FIND(MID(AN793,{1,2,3,4,5,6,7,8,9,10,11,12,13,14},1),"0123456789ABCDEFGHIJKLMNOPQRSTUVWXYZ")-1)*{1,2,1,2,1,2,1,2,1,2,1,2,1,2},36)),36),36)+1,1)=MID(AN793,15,1),"OK","Typo? check digit wrong")),"Wrong format"))</f>
        <v/>
      </c>
      <c r="AK793" s="27">
        <f>IF(AO793="","",IF(AND(LEN(AO793)=10,SUMPRODUCT(--ISERROR(FIND(MID(AO793,{1,2,3,4,5,10},1),"ABCDEFGHIJKLMNOPQRSTUVWXYZ")))=0,SUMPRODUCT(--ISERROR(FIND(MID(AO793,{6,7,8,9},1),"0123456789")))=0),"OK","Wrong format"))</f>
        <v/>
      </c>
      <c r="AL793" s="27">
        <f>IF(TRIM(H793)="","",IF(AND(LEN(UPPER(TRIM(H793)))=10,SUMPRODUCT(--ISERROR(FIND(MID(UPPER(TRIM(H793)),{1,2,3,4,10},1),"ABCDEFGHIJKLMNOPQRSTUVWXYZ")))=0,SUMPRODUCT(--ISERROR(FIND(MID(UPPER(TRIM(H793)),{5,6,7,8,9},1),"0123456789")))=0),"OK","Wrong format"))</f>
        <v/>
      </c>
      <c r="AM793" s="28">
        <f>IF(NOT(COUNTA(A793:AE793)&gt;0),"",IF(AS793&lt;&gt;"","✖ "&amp;LEFT(AS793,LEN(AS793)-2),IF(AR793&gt;0,"✔ Ready — client + "&amp;AR793&amp;" service(s)","✔ Ready — client only")))</f>
        <v/>
      </c>
      <c r="AN793" s="29">
        <f>UPPER(SUBSTITUTE(TRIM(F793)," ",""))</f>
        <v/>
      </c>
      <c r="AO793" s="29">
        <f>UPPER(SUBSTITUTE(TRIM(E793)," ",""))</f>
        <v/>
      </c>
      <c r="AP793" s="29">
        <f>IF(D793&lt;&gt;"",D793,IFERROR(VLOOKUP(MID(AG793,4,1),Lists!$E$2:$F$8,2,FALSE),""))</f>
        <v/>
      </c>
      <c r="AQ793" s="29">
        <f>IFERROR(VLOOKUP(AP793,Lists!$A$2:$C$12,3,FALSE),"")</f>
        <v/>
      </c>
      <c r="AR793" s="29">
        <f>COUNTIF(W793:AC793,"Yes")</f>
        <v/>
      </c>
      <c r="AS793" s="29">
        <f>IF(TRIM(B793)="","Legal name missing; ","")&amp;IF(AND(AJ793&lt;&gt;"",AJ793&lt;&gt;"OK"),"GSTIN: "&amp;AJ793&amp;"; ","")&amp;IF(AND(AK793&lt;&gt;"",AK793&lt;&gt;"OK"),"PAN wrong format; ","")&amp;IF(AND(AO793&lt;&gt;"",LEN(AN793)=15,MID(AN793,3,10)&lt;&gt;AO793),"PAN does not match GSTIN; ","")&amp;IF(AND(AL793&lt;&gt;"",AL793&lt;&gt;"OK"),"TAN wrong format; ","")&amp;IF(AG793="","PAN missing; ","")&amp;IF(AP793="","Entity type missing; ","")&amp;IF(AND(AN793&lt;&gt;"",COUNTIF($AN$6:$AN$1005,AN793)&gt;1),"GSTIN repeated in this sheet; ","")&amp;IF(AND(AG793&lt;&gt;"",COUNTIF($AG$6:$AG$1005,AG793)&gt;1),"PAN repeated in this sheet (same client? put extra GSTINs in Other GSTINs); ","")&amp;IF(AND(AR793&gt;0,V793=""),"Financial year missing; ","")&amp;IF(AND(AR793=0,V793&lt;&gt;""),"Financial year given but no service is Yes; ","")&amp;IF(AND(W793="Yes",AN793=""),"GST needs a GSTIN; ","")&amp;IF(AND(W793="Yes",X793=""),"GST return frequency missing; ","")&amp;IF(AND(Y793="Yes",TRIM(H793)=""),"TDS needs a TAN; ","")&amp;IF(AND(AA793="Yes",AQ793&lt;&gt;"",AQ793&lt;&gt;"company",AQ793&lt;&gt;"llp"),"ROC is only for a company / LLP; ","")&amp;IF(AND(AA793="Yes",OR(AQ793="company",AQ793="llp"),TRIM(I793)=""),"ROC needs the CIN / LLPIN; ","")</f>
        <v/>
      </c>
    </row>
    <row r="794">
      <c r="A794" s="30" t="n"/>
      <c r="B794" s="31" t="n"/>
      <c r="C794" s="31" t="n"/>
      <c r="D794" s="31" t="n"/>
      <c r="E794" s="30" t="n"/>
      <c r="F794" s="30" t="n"/>
      <c r="G794" s="30" t="n"/>
      <c r="H794" s="30" t="n"/>
      <c r="I794" s="30" t="n"/>
      <c r="J794" s="32" t="n"/>
      <c r="K794" s="31" t="n"/>
      <c r="L794" s="30" t="n"/>
      <c r="M794" s="31" t="n"/>
      <c r="N794" s="31" t="n"/>
      <c r="O794" s="31" t="n"/>
      <c r="P794" s="30" t="n"/>
      <c r="Q794" s="31" t="n"/>
      <c r="R794" s="31" t="n"/>
      <c r="S794" s="31" t="n"/>
      <c r="T794" s="31" t="n"/>
      <c r="U794" s="30" t="n"/>
      <c r="V794" s="31" t="n"/>
      <c r="W794" s="31" t="n"/>
      <c r="X794" s="31" t="n"/>
      <c r="Y794" s="31" t="n"/>
      <c r="Z794" s="31" t="n"/>
      <c r="AA794" s="31" t="n"/>
      <c r="AB794" s="31" t="n"/>
      <c r="AC794" s="31" t="n"/>
      <c r="AD794" s="31" t="n"/>
      <c r="AE794" s="31" t="n"/>
      <c r="AF794" s="27">
        <f>IF(NOT(COUNTA(A794:AE794)&gt;0),"",IF(A794="","New client","Update"))</f>
        <v/>
      </c>
      <c r="AG794" s="27">
        <f>IF(AO794&lt;&gt;"",AO794,IF(LEN(AN794)=15,MID(AN794,3,10),""))</f>
        <v/>
      </c>
      <c r="AH794" s="27">
        <f>IF(AP794="","",AP794&amp;IF(D794="","  (guessed from PAN)",""))</f>
        <v/>
      </c>
      <c r="AI794" s="27">
        <f>IF(AN794="","",IFERROR(INDEX(Lists!$L$2:$L$38,MATCH(LEFT(AN794,2),Lists!$K$2:$K$38,0)),"Unknown code"))</f>
        <v/>
      </c>
      <c r="AJ794" s="27">
        <f>IF(AN794="","",IFERROR(IF(NOT(AND(LEN(AN794)=15,ISNUMBER(MATCH(LEFT(AN794,2),Lists!$K$2:$K$38,0)),SUMPRODUCT(--ISERROR(FIND(MID(MID(AN794,3,10),{1,2,3,4,5,10},1),"ABCDEFGHIJKLMNOPQRSTUVWXYZ")))=0,SUMPRODUCT(--ISERROR(FIND(MID(MID(AN794,3,10),{6,7,8,9},1),"0123456789")))=0,ISNUMBER(FIND(MID(AN794,13,1),"123456789ABCDEFGHIJKLMNOPQRSTUVWXYZ")),MID(AN794,14,1)="Z")),"Wrong format",IF(MID("0123456789ABCDEFGHIJKLMNOPQRSTUVWXYZ",MOD(36-MOD(SUMPRODUCT(INT((FIND(MID(AN794,{1,2,3,4,5,6,7,8,9,10,11,12,13,14},1),"0123456789ABCDEFGHIJKLMNOPQRSTUVWXYZ")-1)*{1,2,1,2,1,2,1,2,1,2,1,2,1,2}/36)+MOD((FIND(MID(AN794,{1,2,3,4,5,6,7,8,9,10,11,12,13,14},1),"0123456789ABCDEFGHIJKLMNOPQRSTUVWXYZ")-1)*{1,2,1,2,1,2,1,2,1,2,1,2,1,2},36)),36),36)+1,1)=MID(AN794,15,1),"OK","Typo? check digit wrong")),"Wrong format"))</f>
        <v/>
      </c>
      <c r="AK794" s="27">
        <f>IF(AO794="","",IF(AND(LEN(AO794)=10,SUMPRODUCT(--ISERROR(FIND(MID(AO794,{1,2,3,4,5,10},1),"ABCDEFGHIJKLMNOPQRSTUVWXYZ")))=0,SUMPRODUCT(--ISERROR(FIND(MID(AO794,{6,7,8,9},1),"0123456789")))=0),"OK","Wrong format"))</f>
        <v/>
      </c>
      <c r="AL794" s="27">
        <f>IF(TRIM(H794)="","",IF(AND(LEN(UPPER(TRIM(H794)))=10,SUMPRODUCT(--ISERROR(FIND(MID(UPPER(TRIM(H794)),{1,2,3,4,10},1),"ABCDEFGHIJKLMNOPQRSTUVWXYZ")))=0,SUMPRODUCT(--ISERROR(FIND(MID(UPPER(TRIM(H794)),{5,6,7,8,9},1),"0123456789")))=0),"OK","Wrong format"))</f>
        <v/>
      </c>
      <c r="AM794" s="28">
        <f>IF(NOT(COUNTA(A794:AE794)&gt;0),"",IF(AS794&lt;&gt;"","✖ "&amp;LEFT(AS794,LEN(AS794)-2),IF(AR794&gt;0,"✔ Ready — client + "&amp;AR794&amp;" service(s)","✔ Ready — client only")))</f>
        <v/>
      </c>
      <c r="AN794" s="29">
        <f>UPPER(SUBSTITUTE(TRIM(F794)," ",""))</f>
        <v/>
      </c>
      <c r="AO794" s="29">
        <f>UPPER(SUBSTITUTE(TRIM(E794)," ",""))</f>
        <v/>
      </c>
      <c r="AP794" s="29">
        <f>IF(D794&lt;&gt;"",D794,IFERROR(VLOOKUP(MID(AG794,4,1),Lists!$E$2:$F$8,2,FALSE),""))</f>
        <v/>
      </c>
      <c r="AQ794" s="29">
        <f>IFERROR(VLOOKUP(AP794,Lists!$A$2:$C$12,3,FALSE),"")</f>
        <v/>
      </c>
      <c r="AR794" s="29">
        <f>COUNTIF(W794:AC794,"Yes")</f>
        <v/>
      </c>
      <c r="AS794" s="29">
        <f>IF(TRIM(B794)="","Legal name missing; ","")&amp;IF(AND(AJ794&lt;&gt;"",AJ794&lt;&gt;"OK"),"GSTIN: "&amp;AJ794&amp;"; ","")&amp;IF(AND(AK794&lt;&gt;"",AK794&lt;&gt;"OK"),"PAN wrong format; ","")&amp;IF(AND(AO794&lt;&gt;"",LEN(AN794)=15,MID(AN794,3,10)&lt;&gt;AO794),"PAN does not match GSTIN; ","")&amp;IF(AND(AL794&lt;&gt;"",AL794&lt;&gt;"OK"),"TAN wrong format; ","")&amp;IF(AG794="","PAN missing; ","")&amp;IF(AP794="","Entity type missing; ","")&amp;IF(AND(AN794&lt;&gt;"",COUNTIF($AN$6:$AN$1005,AN794)&gt;1),"GSTIN repeated in this sheet; ","")&amp;IF(AND(AG794&lt;&gt;"",COUNTIF($AG$6:$AG$1005,AG794)&gt;1),"PAN repeated in this sheet (same client? put extra GSTINs in Other GSTINs); ","")&amp;IF(AND(AR794&gt;0,V794=""),"Financial year missing; ","")&amp;IF(AND(AR794=0,V794&lt;&gt;""),"Financial year given but no service is Yes; ","")&amp;IF(AND(W794="Yes",AN794=""),"GST needs a GSTIN; ","")&amp;IF(AND(W794="Yes",X794=""),"GST return frequency missing; ","")&amp;IF(AND(Y794="Yes",TRIM(H794)=""),"TDS needs a TAN; ","")&amp;IF(AND(AA794="Yes",AQ794&lt;&gt;"",AQ794&lt;&gt;"company",AQ794&lt;&gt;"llp"),"ROC is only for a company / LLP; ","")&amp;IF(AND(AA794="Yes",OR(AQ794="company",AQ794="llp"),TRIM(I794)=""),"ROC needs the CIN / LLPIN; ","")</f>
        <v/>
      </c>
    </row>
    <row r="795">
      <c r="A795" s="30" t="n"/>
      <c r="B795" s="31" t="n"/>
      <c r="C795" s="31" t="n"/>
      <c r="D795" s="31" t="n"/>
      <c r="E795" s="30" t="n"/>
      <c r="F795" s="30" t="n"/>
      <c r="G795" s="30" t="n"/>
      <c r="H795" s="30" t="n"/>
      <c r="I795" s="30" t="n"/>
      <c r="J795" s="32" t="n"/>
      <c r="K795" s="31" t="n"/>
      <c r="L795" s="30" t="n"/>
      <c r="M795" s="31" t="n"/>
      <c r="N795" s="31" t="n"/>
      <c r="O795" s="31" t="n"/>
      <c r="P795" s="30" t="n"/>
      <c r="Q795" s="31" t="n"/>
      <c r="R795" s="31" t="n"/>
      <c r="S795" s="31" t="n"/>
      <c r="T795" s="31" t="n"/>
      <c r="U795" s="30" t="n"/>
      <c r="V795" s="31" t="n"/>
      <c r="W795" s="31" t="n"/>
      <c r="X795" s="31" t="n"/>
      <c r="Y795" s="31" t="n"/>
      <c r="Z795" s="31" t="n"/>
      <c r="AA795" s="31" t="n"/>
      <c r="AB795" s="31" t="n"/>
      <c r="AC795" s="31" t="n"/>
      <c r="AD795" s="31" t="n"/>
      <c r="AE795" s="31" t="n"/>
      <c r="AF795" s="27">
        <f>IF(NOT(COUNTA(A795:AE795)&gt;0),"",IF(A795="","New client","Update"))</f>
        <v/>
      </c>
      <c r="AG795" s="27">
        <f>IF(AO795&lt;&gt;"",AO795,IF(LEN(AN795)=15,MID(AN795,3,10),""))</f>
        <v/>
      </c>
      <c r="AH795" s="27">
        <f>IF(AP795="","",AP795&amp;IF(D795="","  (guessed from PAN)",""))</f>
        <v/>
      </c>
      <c r="AI795" s="27">
        <f>IF(AN795="","",IFERROR(INDEX(Lists!$L$2:$L$38,MATCH(LEFT(AN795,2),Lists!$K$2:$K$38,0)),"Unknown code"))</f>
        <v/>
      </c>
      <c r="AJ795" s="27">
        <f>IF(AN795="","",IFERROR(IF(NOT(AND(LEN(AN795)=15,ISNUMBER(MATCH(LEFT(AN795,2),Lists!$K$2:$K$38,0)),SUMPRODUCT(--ISERROR(FIND(MID(MID(AN795,3,10),{1,2,3,4,5,10},1),"ABCDEFGHIJKLMNOPQRSTUVWXYZ")))=0,SUMPRODUCT(--ISERROR(FIND(MID(MID(AN795,3,10),{6,7,8,9},1),"0123456789")))=0,ISNUMBER(FIND(MID(AN795,13,1),"123456789ABCDEFGHIJKLMNOPQRSTUVWXYZ")),MID(AN795,14,1)="Z")),"Wrong format",IF(MID("0123456789ABCDEFGHIJKLMNOPQRSTUVWXYZ",MOD(36-MOD(SUMPRODUCT(INT((FIND(MID(AN795,{1,2,3,4,5,6,7,8,9,10,11,12,13,14},1),"0123456789ABCDEFGHIJKLMNOPQRSTUVWXYZ")-1)*{1,2,1,2,1,2,1,2,1,2,1,2,1,2}/36)+MOD((FIND(MID(AN795,{1,2,3,4,5,6,7,8,9,10,11,12,13,14},1),"0123456789ABCDEFGHIJKLMNOPQRSTUVWXYZ")-1)*{1,2,1,2,1,2,1,2,1,2,1,2,1,2},36)),36),36)+1,1)=MID(AN795,15,1),"OK","Typo? check digit wrong")),"Wrong format"))</f>
        <v/>
      </c>
      <c r="AK795" s="27">
        <f>IF(AO795="","",IF(AND(LEN(AO795)=10,SUMPRODUCT(--ISERROR(FIND(MID(AO795,{1,2,3,4,5,10},1),"ABCDEFGHIJKLMNOPQRSTUVWXYZ")))=0,SUMPRODUCT(--ISERROR(FIND(MID(AO795,{6,7,8,9},1),"0123456789")))=0),"OK","Wrong format"))</f>
        <v/>
      </c>
      <c r="AL795" s="27">
        <f>IF(TRIM(H795)="","",IF(AND(LEN(UPPER(TRIM(H795)))=10,SUMPRODUCT(--ISERROR(FIND(MID(UPPER(TRIM(H795)),{1,2,3,4,10},1),"ABCDEFGHIJKLMNOPQRSTUVWXYZ")))=0,SUMPRODUCT(--ISERROR(FIND(MID(UPPER(TRIM(H795)),{5,6,7,8,9},1),"0123456789")))=0),"OK","Wrong format"))</f>
        <v/>
      </c>
      <c r="AM795" s="28">
        <f>IF(NOT(COUNTA(A795:AE795)&gt;0),"",IF(AS795&lt;&gt;"","✖ "&amp;LEFT(AS795,LEN(AS795)-2),IF(AR795&gt;0,"✔ Ready — client + "&amp;AR795&amp;" service(s)","✔ Ready — client only")))</f>
        <v/>
      </c>
      <c r="AN795" s="29">
        <f>UPPER(SUBSTITUTE(TRIM(F795)," ",""))</f>
        <v/>
      </c>
      <c r="AO795" s="29">
        <f>UPPER(SUBSTITUTE(TRIM(E795)," ",""))</f>
        <v/>
      </c>
      <c r="AP795" s="29">
        <f>IF(D795&lt;&gt;"",D795,IFERROR(VLOOKUP(MID(AG795,4,1),Lists!$E$2:$F$8,2,FALSE),""))</f>
        <v/>
      </c>
      <c r="AQ795" s="29">
        <f>IFERROR(VLOOKUP(AP795,Lists!$A$2:$C$12,3,FALSE),"")</f>
        <v/>
      </c>
      <c r="AR795" s="29">
        <f>COUNTIF(W795:AC795,"Yes")</f>
        <v/>
      </c>
      <c r="AS795" s="29">
        <f>IF(TRIM(B795)="","Legal name missing; ","")&amp;IF(AND(AJ795&lt;&gt;"",AJ795&lt;&gt;"OK"),"GSTIN: "&amp;AJ795&amp;"; ","")&amp;IF(AND(AK795&lt;&gt;"",AK795&lt;&gt;"OK"),"PAN wrong format; ","")&amp;IF(AND(AO795&lt;&gt;"",LEN(AN795)=15,MID(AN795,3,10)&lt;&gt;AO795),"PAN does not match GSTIN; ","")&amp;IF(AND(AL795&lt;&gt;"",AL795&lt;&gt;"OK"),"TAN wrong format; ","")&amp;IF(AG795="","PAN missing; ","")&amp;IF(AP795="","Entity type missing; ","")&amp;IF(AND(AN795&lt;&gt;"",COUNTIF($AN$6:$AN$1005,AN795)&gt;1),"GSTIN repeated in this sheet; ","")&amp;IF(AND(AG795&lt;&gt;"",COUNTIF($AG$6:$AG$1005,AG795)&gt;1),"PAN repeated in this sheet (same client? put extra GSTINs in Other GSTINs); ","")&amp;IF(AND(AR795&gt;0,V795=""),"Financial year missing; ","")&amp;IF(AND(AR795=0,V795&lt;&gt;""),"Financial year given but no service is Yes; ","")&amp;IF(AND(W795="Yes",AN795=""),"GST needs a GSTIN; ","")&amp;IF(AND(W795="Yes",X795=""),"GST return frequency missing; ","")&amp;IF(AND(Y795="Yes",TRIM(H795)=""),"TDS needs a TAN; ","")&amp;IF(AND(AA795="Yes",AQ795&lt;&gt;"",AQ795&lt;&gt;"company",AQ795&lt;&gt;"llp"),"ROC is only for a company / LLP; ","")&amp;IF(AND(AA795="Yes",OR(AQ795="company",AQ795="llp"),TRIM(I795)=""),"ROC needs the CIN / LLPIN; ","")</f>
        <v/>
      </c>
    </row>
    <row r="796">
      <c r="A796" s="30" t="n"/>
      <c r="B796" s="31" t="n"/>
      <c r="C796" s="31" t="n"/>
      <c r="D796" s="31" t="n"/>
      <c r="E796" s="30" t="n"/>
      <c r="F796" s="30" t="n"/>
      <c r="G796" s="30" t="n"/>
      <c r="H796" s="30" t="n"/>
      <c r="I796" s="30" t="n"/>
      <c r="J796" s="32" t="n"/>
      <c r="K796" s="31" t="n"/>
      <c r="L796" s="30" t="n"/>
      <c r="M796" s="31" t="n"/>
      <c r="N796" s="31" t="n"/>
      <c r="O796" s="31" t="n"/>
      <c r="P796" s="30" t="n"/>
      <c r="Q796" s="31" t="n"/>
      <c r="R796" s="31" t="n"/>
      <c r="S796" s="31" t="n"/>
      <c r="T796" s="31" t="n"/>
      <c r="U796" s="30" t="n"/>
      <c r="V796" s="31" t="n"/>
      <c r="W796" s="31" t="n"/>
      <c r="X796" s="31" t="n"/>
      <c r="Y796" s="31" t="n"/>
      <c r="Z796" s="31" t="n"/>
      <c r="AA796" s="31" t="n"/>
      <c r="AB796" s="31" t="n"/>
      <c r="AC796" s="31" t="n"/>
      <c r="AD796" s="31" t="n"/>
      <c r="AE796" s="31" t="n"/>
      <c r="AF796" s="27">
        <f>IF(NOT(COUNTA(A796:AE796)&gt;0),"",IF(A796="","New client","Update"))</f>
        <v/>
      </c>
      <c r="AG796" s="27">
        <f>IF(AO796&lt;&gt;"",AO796,IF(LEN(AN796)=15,MID(AN796,3,10),""))</f>
        <v/>
      </c>
      <c r="AH796" s="27">
        <f>IF(AP796="","",AP796&amp;IF(D796="","  (guessed from PAN)",""))</f>
        <v/>
      </c>
      <c r="AI796" s="27">
        <f>IF(AN796="","",IFERROR(INDEX(Lists!$L$2:$L$38,MATCH(LEFT(AN796,2),Lists!$K$2:$K$38,0)),"Unknown code"))</f>
        <v/>
      </c>
      <c r="AJ796" s="27">
        <f>IF(AN796="","",IFERROR(IF(NOT(AND(LEN(AN796)=15,ISNUMBER(MATCH(LEFT(AN796,2),Lists!$K$2:$K$38,0)),SUMPRODUCT(--ISERROR(FIND(MID(MID(AN796,3,10),{1,2,3,4,5,10},1),"ABCDEFGHIJKLMNOPQRSTUVWXYZ")))=0,SUMPRODUCT(--ISERROR(FIND(MID(MID(AN796,3,10),{6,7,8,9},1),"0123456789")))=0,ISNUMBER(FIND(MID(AN796,13,1),"123456789ABCDEFGHIJKLMNOPQRSTUVWXYZ")),MID(AN796,14,1)="Z")),"Wrong format",IF(MID("0123456789ABCDEFGHIJKLMNOPQRSTUVWXYZ",MOD(36-MOD(SUMPRODUCT(INT((FIND(MID(AN796,{1,2,3,4,5,6,7,8,9,10,11,12,13,14},1),"0123456789ABCDEFGHIJKLMNOPQRSTUVWXYZ")-1)*{1,2,1,2,1,2,1,2,1,2,1,2,1,2}/36)+MOD((FIND(MID(AN796,{1,2,3,4,5,6,7,8,9,10,11,12,13,14},1),"0123456789ABCDEFGHIJKLMNOPQRSTUVWXYZ")-1)*{1,2,1,2,1,2,1,2,1,2,1,2,1,2},36)),36),36)+1,1)=MID(AN796,15,1),"OK","Typo? check digit wrong")),"Wrong format"))</f>
        <v/>
      </c>
      <c r="AK796" s="27">
        <f>IF(AO796="","",IF(AND(LEN(AO796)=10,SUMPRODUCT(--ISERROR(FIND(MID(AO796,{1,2,3,4,5,10},1),"ABCDEFGHIJKLMNOPQRSTUVWXYZ")))=0,SUMPRODUCT(--ISERROR(FIND(MID(AO796,{6,7,8,9},1),"0123456789")))=0),"OK","Wrong format"))</f>
        <v/>
      </c>
      <c r="AL796" s="27">
        <f>IF(TRIM(H796)="","",IF(AND(LEN(UPPER(TRIM(H796)))=10,SUMPRODUCT(--ISERROR(FIND(MID(UPPER(TRIM(H796)),{1,2,3,4,10},1),"ABCDEFGHIJKLMNOPQRSTUVWXYZ")))=0,SUMPRODUCT(--ISERROR(FIND(MID(UPPER(TRIM(H796)),{5,6,7,8,9},1),"0123456789")))=0),"OK","Wrong format"))</f>
        <v/>
      </c>
      <c r="AM796" s="28">
        <f>IF(NOT(COUNTA(A796:AE796)&gt;0),"",IF(AS796&lt;&gt;"","✖ "&amp;LEFT(AS796,LEN(AS796)-2),IF(AR796&gt;0,"✔ Ready — client + "&amp;AR796&amp;" service(s)","✔ Ready — client only")))</f>
        <v/>
      </c>
      <c r="AN796" s="29">
        <f>UPPER(SUBSTITUTE(TRIM(F796)," ",""))</f>
        <v/>
      </c>
      <c r="AO796" s="29">
        <f>UPPER(SUBSTITUTE(TRIM(E796)," ",""))</f>
        <v/>
      </c>
      <c r="AP796" s="29">
        <f>IF(D796&lt;&gt;"",D796,IFERROR(VLOOKUP(MID(AG796,4,1),Lists!$E$2:$F$8,2,FALSE),""))</f>
        <v/>
      </c>
      <c r="AQ796" s="29">
        <f>IFERROR(VLOOKUP(AP796,Lists!$A$2:$C$12,3,FALSE),"")</f>
        <v/>
      </c>
      <c r="AR796" s="29">
        <f>COUNTIF(W796:AC796,"Yes")</f>
        <v/>
      </c>
      <c r="AS796" s="29">
        <f>IF(TRIM(B796)="","Legal name missing; ","")&amp;IF(AND(AJ796&lt;&gt;"",AJ796&lt;&gt;"OK"),"GSTIN: "&amp;AJ796&amp;"; ","")&amp;IF(AND(AK796&lt;&gt;"",AK796&lt;&gt;"OK"),"PAN wrong format; ","")&amp;IF(AND(AO796&lt;&gt;"",LEN(AN796)=15,MID(AN796,3,10)&lt;&gt;AO796),"PAN does not match GSTIN; ","")&amp;IF(AND(AL796&lt;&gt;"",AL796&lt;&gt;"OK"),"TAN wrong format; ","")&amp;IF(AG796="","PAN missing; ","")&amp;IF(AP796="","Entity type missing; ","")&amp;IF(AND(AN796&lt;&gt;"",COUNTIF($AN$6:$AN$1005,AN796)&gt;1),"GSTIN repeated in this sheet; ","")&amp;IF(AND(AG796&lt;&gt;"",COUNTIF($AG$6:$AG$1005,AG796)&gt;1),"PAN repeated in this sheet (same client? put extra GSTINs in Other GSTINs); ","")&amp;IF(AND(AR796&gt;0,V796=""),"Financial year missing; ","")&amp;IF(AND(AR796=0,V796&lt;&gt;""),"Financial year given but no service is Yes; ","")&amp;IF(AND(W796="Yes",AN796=""),"GST needs a GSTIN; ","")&amp;IF(AND(W796="Yes",X796=""),"GST return frequency missing; ","")&amp;IF(AND(Y796="Yes",TRIM(H796)=""),"TDS needs a TAN; ","")&amp;IF(AND(AA796="Yes",AQ796&lt;&gt;"",AQ796&lt;&gt;"company",AQ796&lt;&gt;"llp"),"ROC is only for a company / LLP; ","")&amp;IF(AND(AA796="Yes",OR(AQ796="company",AQ796="llp"),TRIM(I796)=""),"ROC needs the CIN / LLPIN; ","")</f>
        <v/>
      </c>
    </row>
    <row r="797">
      <c r="A797" s="30" t="n"/>
      <c r="B797" s="31" t="n"/>
      <c r="C797" s="31" t="n"/>
      <c r="D797" s="31" t="n"/>
      <c r="E797" s="30" t="n"/>
      <c r="F797" s="30" t="n"/>
      <c r="G797" s="30" t="n"/>
      <c r="H797" s="30" t="n"/>
      <c r="I797" s="30" t="n"/>
      <c r="J797" s="32" t="n"/>
      <c r="K797" s="31" t="n"/>
      <c r="L797" s="30" t="n"/>
      <c r="M797" s="31" t="n"/>
      <c r="N797" s="31" t="n"/>
      <c r="O797" s="31" t="n"/>
      <c r="P797" s="30" t="n"/>
      <c r="Q797" s="31" t="n"/>
      <c r="R797" s="31" t="n"/>
      <c r="S797" s="31" t="n"/>
      <c r="T797" s="31" t="n"/>
      <c r="U797" s="30" t="n"/>
      <c r="V797" s="31" t="n"/>
      <c r="W797" s="31" t="n"/>
      <c r="X797" s="31" t="n"/>
      <c r="Y797" s="31" t="n"/>
      <c r="Z797" s="31" t="n"/>
      <c r="AA797" s="31" t="n"/>
      <c r="AB797" s="31" t="n"/>
      <c r="AC797" s="31" t="n"/>
      <c r="AD797" s="31" t="n"/>
      <c r="AE797" s="31" t="n"/>
      <c r="AF797" s="27">
        <f>IF(NOT(COUNTA(A797:AE797)&gt;0),"",IF(A797="","New client","Update"))</f>
        <v/>
      </c>
      <c r="AG797" s="27">
        <f>IF(AO797&lt;&gt;"",AO797,IF(LEN(AN797)=15,MID(AN797,3,10),""))</f>
        <v/>
      </c>
      <c r="AH797" s="27">
        <f>IF(AP797="","",AP797&amp;IF(D797="","  (guessed from PAN)",""))</f>
        <v/>
      </c>
      <c r="AI797" s="27">
        <f>IF(AN797="","",IFERROR(INDEX(Lists!$L$2:$L$38,MATCH(LEFT(AN797,2),Lists!$K$2:$K$38,0)),"Unknown code"))</f>
        <v/>
      </c>
      <c r="AJ797" s="27">
        <f>IF(AN797="","",IFERROR(IF(NOT(AND(LEN(AN797)=15,ISNUMBER(MATCH(LEFT(AN797,2),Lists!$K$2:$K$38,0)),SUMPRODUCT(--ISERROR(FIND(MID(MID(AN797,3,10),{1,2,3,4,5,10},1),"ABCDEFGHIJKLMNOPQRSTUVWXYZ")))=0,SUMPRODUCT(--ISERROR(FIND(MID(MID(AN797,3,10),{6,7,8,9},1),"0123456789")))=0,ISNUMBER(FIND(MID(AN797,13,1),"123456789ABCDEFGHIJKLMNOPQRSTUVWXYZ")),MID(AN797,14,1)="Z")),"Wrong format",IF(MID("0123456789ABCDEFGHIJKLMNOPQRSTUVWXYZ",MOD(36-MOD(SUMPRODUCT(INT((FIND(MID(AN797,{1,2,3,4,5,6,7,8,9,10,11,12,13,14},1),"0123456789ABCDEFGHIJKLMNOPQRSTUVWXYZ")-1)*{1,2,1,2,1,2,1,2,1,2,1,2,1,2}/36)+MOD((FIND(MID(AN797,{1,2,3,4,5,6,7,8,9,10,11,12,13,14},1),"0123456789ABCDEFGHIJKLMNOPQRSTUVWXYZ")-1)*{1,2,1,2,1,2,1,2,1,2,1,2,1,2},36)),36),36)+1,1)=MID(AN797,15,1),"OK","Typo? check digit wrong")),"Wrong format"))</f>
        <v/>
      </c>
      <c r="AK797" s="27">
        <f>IF(AO797="","",IF(AND(LEN(AO797)=10,SUMPRODUCT(--ISERROR(FIND(MID(AO797,{1,2,3,4,5,10},1),"ABCDEFGHIJKLMNOPQRSTUVWXYZ")))=0,SUMPRODUCT(--ISERROR(FIND(MID(AO797,{6,7,8,9},1),"0123456789")))=0),"OK","Wrong format"))</f>
        <v/>
      </c>
      <c r="AL797" s="27">
        <f>IF(TRIM(H797)="","",IF(AND(LEN(UPPER(TRIM(H797)))=10,SUMPRODUCT(--ISERROR(FIND(MID(UPPER(TRIM(H797)),{1,2,3,4,10},1),"ABCDEFGHIJKLMNOPQRSTUVWXYZ")))=0,SUMPRODUCT(--ISERROR(FIND(MID(UPPER(TRIM(H797)),{5,6,7,8,9},1),"0123456789")))=0),"OK","Wrong format"))</f>
        <v/>
      </c>
      <c r="AM797" s="28">
        <f>IF(NOT(COUNTA(A797:AE797)&gt;0),"",IF(AS797&lt;&gt;"","✖ "&amp;LEFT(AS797,LEN(AS797)-2),IF(AR797&gt;0,"✔ Ready — client + "&amp;AR797&amp;" service(s)","✔ Ready — client only")))</f>
        <v/>
      </c>
      <c r="AN797" s="29">
        <f>UPPER(SUBSTITUTE(TRIM(F797)," ",""))</f>
        <v/>
      </c>
      <c r="AO797" s="29">
        <f>UPPER(SUBSTITUTE(TRIM(E797)," ",""))</f>
        <v/>
      </c>
      <c r="AP797" s="29">
        <f>IF(D797&lt;&gt;"",D797,IFERROR(VLOOKUP(MID(AG797,4,1),Lists!$E$2:$F$8,2,FALSE),""))</f>
        <v/>
      </c>
      <c r="AQ797" s="29">
        <f>IFERROR(VLOOKUP(AP797,Lists!$A$2:$C$12,3,FALSE),"")</f>
        <v/>
      </c>
      <c r="AR797" s="29">
        <f>COUNTIF(W797:AC797,"Yes")</f>
        <v/>
      </c>
      <c r="AS797" s="29">
        <f>IF(TRIM(B797)="","Legal name missing; ","")&amp;IF(AND(AJ797&lt;&gt;"",AJ797&lt;&gt;"OK"),"GSTIN: "&amp;AJ797&amp;"; ","")&amp;IF(AND(AK797&lt;&gt;"",AK797&lt;&gt;"OK"),"PAN wrong format; ","")&amp;IF(AND(AO797&lt;&gt;"",LEN(AN797)=15,MID(AN797,3,10)&lt;&gt;AO797),"PAN does not match GSTIN; ","")&amp;IF(AND(AL797&lt;&gt;"",AL797&lt;&gt;"OK"),"TAN wrong format; ","")&amp;IF(AG797="","PAN missing; ","")&amp;IF(AP797="","Entity type missing; ","")&amp;IF(AND(AN797&lt;&gt;"",COUNTIF($AN$6:$AN$1005,AN797)&gt;1),"GSTIN repeated in this sheet; ","")&amp;IF(AND(AG797&lt;&gt;"",COUNTIF($AG$6:$AG$1005,AG797)&gt;1),"PAN repeated in this sheet (same client? put extra GSTINs in Other GSTINs); ","")&amp;IF(AND(AR797&gt;0,V797=""),"Financial year missing; ","")&amp;IF(AND(AR797=0,V797&lt;&gt;""),"Financial year given but no service is Yes; ","")&amp;IF(AND(W797="Yes",AN797=""),"GST needs a GSTIN; ","")&amp;IF(AND(W797="Yes",X797=""),"GST return frequency missing; ","")&amp;IF(AND(Y797="Yes",TRIM(H797)=""),"TDS needs a TAN; ","")&amp;IF(AND(AA797="Yes",AQ797&lt;&gt;"",AQ797&lt;&gt;"company",AQ797&lt;&gt;"llp"),"ROC is only for a company / LLP; ","")&amp;IF(AND(AA797="Yes",OR(AQ797="company",AQ797="llp"),TRIM(I797)=""),"ROC needs the CIN / LLPIN; ","")</f>
        <v/>
      </c>
    </row>
    <row r="798">
      <c r="A798" s="30" t="n"/>
      <c r="B798" s="31" t="n"/>
      <c r="C798" s="31" t="n"/>
      <c r="D798" s="31" t="n"/>
      <c r="E798" s="30" t="n"/>
      <c r="F798" s="30" t="n"/>
      <c r="G798" s="30" t="n"/>
      <c r="H798" s="30" t="n"/>
      <c r="I798" s="30" t="n"/>
      <c r="J798" s="32" t="n"/>
      <c r="K798" s="31" t="n"/>
      <c r="L798" s="30" t="n"/>
      <c r="M798" s="31" t="n"/>
      <c r="N798" s="31" t="n"/>
      <c r="O798" s="31" t="n"/>
      <c r="P798" s="30" t="n"/>
      <c r="Q798" s="31" t="n"/>
      <c r="R798" s="31" t="n"/>
      <c r="S798" s="31" t="n"/>
      <c r="T798" s="31" t="n"/>
      <c r="U798" s="30" t="n"/>
      <c r="V798" s="31" t="n"/>
      <c r="W798" s="31" t="n"/>
      <c r="X798" s="31" t="n"/>
      <c r="Y798" s="31" t="n"/>
      <c r="Z798" s="31" t="n"/>
      <c r="AA798" s="31" t="n"/>
      <c r="AB798" s="31" t="n"/>
      <c r="AC798" s="31" t="n"/>
      <c r="AD798" s="31" t="n"/>
      <c r="AE798" s="31" t="n"/>
      <c r="AF798" s="27">
        <f>IF(NOT(COUNTA(A798:AE798)&gt;0),"",IF(A798="","New client","Update"))</f>
        <v/>
      </c>
      <c r="AG798" s="27">
        <f>IF(AO798&lt;&gt;"",AO798,IF(LEN(AN798)=15,MID(AN798,3,10),""))</f>
        <v/>
      </c>
      <c r="AH798" s="27">
        <f>IF(AP798="","",AP798&amp;IF(D798="","  (guessed from PAN)",""))</f>
        <v/>
      </c>
      <c r="AI798" s="27">
        <f>IF(AN798="","",IFERROR(INDEX(Lists!$L$2:$L$38,MATCH(LEFT(AN798,2),Lists!$K$2:$K$38,0)),"Unknown code"))</f>
        <v/>
      </c>
      <c r="AJ798" s="27">
        <f>IF(AN798="","",IFERROR(IF(NOT(AND(LEN(AN798)=15,ISNUMBER(MATCH(LEFT(AN798,2),Lists!$K$2:$K$38,0)),SUMPRODUCT(--ISERROR(FIND(MID(MID(AN798,3,10),{1,2,3,4,5,10},1),"ABCDEFGHIJKLMNOPQRSTUVWXYZ")))=0,SUMPRODUCT(--ISERROR(FIND(MID(MID(AN798,3,10),{6,7,8,9},1),"0123456789")))=0,ISNUMBER(FIND(MID(AN798,13,1),"123456789ABCDEFGHIJKLMNOPQRSTUVWXYZ")),MID(AN798,14,1)="Z")),"Wrong format",IF(MID("0123456789ABCDEFGHIJKLMNOPQRSTUVWXYZ",MOD(36-MOD(SUMPRODUCT(INT((FIND(MID(AN798,{1,2,3,4,5,6,7,8,9,10,11,12,13,14},1),"0123456789ABCDEFGHIJKLMNOPQRSTUVWXYZ")-1)*{1,2,1,2,1,2,1,2,1,2,1,2,1,2}/36)+MOD((FIND(MID(AN798,{1,2,3,4,5,6,7,8,9,10,11,12,13,14},1),"0123456789ABCDEFGHIJKLMNOPQRSTUVWXYZ")-1)*{1,2,1,2,1,2,1,2,1,2,1,2,1,2},36)),36),36)+1,1)=MID(AN798,15,1),"OK","Typo? check digit wrong")),"Wrong format"))</f>
        <v/>
      </c>
      <c r="AK798" s="27">
        <f>IF(AO798="","",IF(AND(LEN(AO798)=10,SUMPRODUCT(--ISERROR(FIND(MID(AO798,{1,2,3,4,5,10},1),"ABCDEFGHIJKLMNOPQRSTUVWXYZ")))=0,SUMPRODUCT(--ISERROR(FIND(MID(AO798,{6,7,8,9},1),"0123456789")))=0),"OK","Wrong format"))</f>
        <v/>
      </c>
      <c r="AL798" s="27">
        <f>IF(TRIM(H798)="","",IF(AND(LEN(UPPER(TRIM(H798)))=10,SUMPRODUCT(--ISERROR(FIND(MID(UPPER(TRIM(H798)),{1,2,3,4,10},1),"ABCDEFGHIJKLMNOPQRSTUVWXYZ")))=0,SUMPRODUCT(--ISERROR(FIND(MID(UPPER(TRIM(H798)),{5,6,7,8,9},1),"0123456789")))=0),"OK","Wrong format"))</f>
        <v/>
      </c>
      <c r="AM798" s="28">
        <f>IF(NOT(COUNTA(A798:AE798)&gt;0),"",IF(AS798&lt;&gt;"","✖ "&amp;LEFT(AS798,LEN(AS798)-2),IF(AR798&gt;0,"✔ Ready — client + "&amp;AR798&amp;" service(s)","✔ Ready — client only")))</f>
        <v/>
      </c>
      <c r="AN798" s="29">
        <f>UPPER(SUBSTITUTE(TRIM(F798)," ",""))</f>
        <v/>
      </c>
      <c r="AO798" s="29">
        <f>UPPER(SUBSTITUTE(TRIM(E798)," ",""))</f>
        <v/>
      </c>
      <c r="AP798" s="29">
        <f>IF(D798&lt;&gt;"",D798,IFERROR(VLOOKUP(MID(AG798,4,1),Lists!$E$2:$F$8,2,FALSE),""))</f>
        <v/>
      </c>
      <c r="AQ798" s="29">
        <f>IFERROR(VLOOKUP(AP798,Lists!$A$2:$C$12,3,FALSE),"")</f>
        <v/>
      </c>
      <c r="AR798" s="29">
        <f>COUNTIF(W798:AC798,"Yes")</f>
        <v/>
      </c>
      <c r="AS798" s="29">
        <f>IF(TRIM(B798)="","Legal name missing; ","")&amp;IF(AND(AJ798&lt;&gt;"",AJ798&lt;&gt;"OK"),"GSTIN: "&amp;AJ798&amp;"; ","")&amp;IF(AND(AK798&lt;&gt;"",AK798&lt;&gt;"OK"),"PAN wrong format; ","")&amp;IF(AND(AO798&lt;&gt;"",LEN(AN798)=15,MID(AN798,3,10)&lt;&gt;AO798),"PAN does not match GSTIN; ","")&amp;IF(AND(AL798&lt;&gt;"",AL798&lt;&gt;"OK"),"TAN wrong format; ","")&amp;IF(AG798="","PAN missing; ","")&amp;IF(AP798="","Entity type missing; ","")&amp;IF(AND(AN798&lt;&gt;"",COUNTIF($AN$6:$AN$1005,AN798)&gt;1),"GSTIN repeated in this sheet; ","")&amp;IF(AND(AG798&lt;&gt;"",COUNTIF($AG$6:$AG$1005,AG798)&gt;1),"PAN repeated in this sheet (same client? put extra GSTINs in Other GSTINs); ","")&amp;IF(AND(AR798&gt;0,V798=""),"Financial year missing; ","")&amp;IF(AND(AR798=0,V798&lt;&gt;""),"Financial year given but no service is Yes; ","")&amp;IF(AND(W798="Yes",AN798=""),"GST needs a GSTIN; ","")&amp;IF(AND(W798="Yes",X798=""),"GST return frequency missing; ","")&amp;IF(AND(Y798="Yes",TRIM(H798)=""),"TDS needs a TAN; ","")&amp;IF(AND(AA798="Yes",AQ798&lt;&gt;"",AQ798&lt;&gt;"company",AQ798&lt;&gt;"llp"),"ROC is only for a company / LLP; ","")&amp;IF(AND(AA798="Yes",OR(AQ798="company",AQ798="llp"),TRIM(I798)=""),"ROC needs the CIN / LLPIN; ","")</f>
        <v/>
      </c>
    </row>
    <row r="799">
      <c r="A799" s="30" t="n"/>
      <c r="B799" s="31" t="n"/>
      <c r="C799" s="31" t="n"/>
      <c r="D799" s="31" t="n"/>
      <c r="E799" s="30" t="n"/>
      <c r="F799" s="30" t="n"/>
      <c r="G799" s="30" t="n"/>
      <c r="H799" s="30" t="n"/>
      <c r="I799" s="30" t="n"/>
      <c r="J799" s="32" t="n"/>
      <c r="K799" s="31" t="n"/>
      <c r="L799" s="30" t="n"/>
      <c r="M799" s="31" t="n"/>
      <c r="N799" s="31" t="n"/>
      <c r="O799" s="31" t="n"/>
      <c r="P799" s="30" t="n"/>
      <c r="Q799" s="31" t="n"/>
      <c r="R799" s="31" t="n"/>
      <c r="S799" s="31" t="n"/>
      <c r="T799" s="31" t="n"/>
      <c r="U799" s="30" t="n"/>
      <c r="V799" s="31" t="n"/>
      <c r="W799" s="31" t="n"/>
      <c r="X799" s="31" t="n"/>
      <c r="Y799" s="31" t="n"/>
      <c r="Z799" s="31" t="n"/>
      <c r="AA799" s="31" t="n"/>
      <c r="AB799" s="31" t="n"/>
      <c r="AC799" s="31" t="n"/>
      <c r="AD799" s="31" t="n"/>
      <c r="AE799" s="31" t="n"/>
      <c r="AF799" s="27">
        <f>IF(NOT(COUNTA(A799:AE799)&gt;0),"",IF(A799="","New client","Update"))</f>
        <v/>
      </c>
      <c r="AG799" s="27">
        <f>IF(AO799&lt;&gt;"",AO799,IF(LEN(AN799)=15,MID(AN799,3,10),""))</f>
        <v/>
      </c>
      <c r="AH799" s="27">
        <f>IF(AP799="","",AP799&amp;IF(D799="","  (guessed from PAN)",""))</f>
        <v/>
      </c>
      <c r="AI799" s="27">
        <f>IF(AN799="","",IFERROR(INDEX(Lists!$L$2:$L$38,MATCH(LEFT(AN799,2),Lists!$K$2:$K$38,0)),"Unknown code"))</f>
        <v/>
      </c>
      <c r="AJ799" s="27">
        <f>IF(AN799="","",IFERROR(IF(NOT(AND(LEN(AN799)=15,ISNUMBER(MATCH(LEFT(AN799,2),Lists!$K$2:$K$38,0)),SUMPRODUCT(--ISERROR(FIND(MID(MID(AN799,3,10),{1,2,3,4,5,10},1),"ABCDEFGHIJKLMNOPQRSTUVWXYZ")))=0,SUMPRODUCT(--ISERROR(FIND(MID(MID(AN799,3,10),{6,7,8,9},1),"0123456789")))=0,ISNUMBER(FIND(MID(AN799,13,1),"123456789ABCDEFGHIJKLMNOPQRSTUVWXYZ")),MID(AN799,14,1)="Z")),"Wrong format",IF(MID("0123456789ABCDEFGHIJKLMNOPQRSTUVWXYZ",MOD(36-MOD(SUMPRODUCT(INT((FIND(MID(AN799,{1,2,3,4,5,6,7,8,9,10,11,12,13,14},1),"0123456789ABCDEFGHIJKLMNOPQRSTUVWXYZ")-1)*{1,2,1,2,1,2,1,2,1,2,1,2,1,2}/36)+MOD((FIND(MID(AN799,{1,2,3,4,5,6,7,8,9,10,11,12,13,14},1),"0123456789ABCDEFGHIJKLMNOPQRSTUVWXYZ")-1)*{1,2,1,2,1,2,1,2,1,2,1,2,1,2},36)),36),36)+1,1)=MID(AN799,15,1),"OK","Typo? check digit wrong")),"Wrong format"))</f>
        <v/>
      </c>
      <c r="AK799" s="27">
        <f>IF(AO799="","",IF(AND(LEN(AO799)=10,SUMPRODUCT(--ISERROR(FIND(MID(AO799,{1,2,3,4,5,10},1),"ABCDEFGHIJKLMNOPQRSTUVWXYZ")))=0,SUMPRODUCT(--ISERROR(FIND(MID(AO799,{6,7,8,9},1),"0123456789")))=0),"OK","Wrong format"))</f>
        <v/>
      </c>
      <c r="AL799" s="27">
        <f>IF(TRIM(H799)="","",IF(AND(LEN(UPPER(TRIM(H799)))=10,SUMPRODUCT(--ISERROR(FIND(MID(UPPER(TRIM(H799)),{1,2,3,4,10},1),"ABCDEFGHIJKLMNOPQRSTUVWXYZ")))=0,SUMPRODUCT(--ISERROR(FIND(MID(UPPER(TRIM(H799)),{5,6,7,8,9},1),"0123456789")))=0),"OK","Wrong format"))</f>
        <v/>
      </c>
      <c r="AM799" s="28">
        <f>IF(NOT(COUNTA(A799:AE799)&gt;0),"",IF(AS799&lt;&gt;"","✖ "&amp;LEFT(AS799,LEN(AS799)-2),IF(AR799&gt;0,"✔ Ready — client + "&amp;AR799&amp;" service(s)","✔ Ready — client only")))</f>
        <v/>
      </c>
      <c r="AN799" s="29">
        <f>UPPER(SUBSTITUTE(TRIM(F799)," ",""))</f>
        <v/>
      </c>
      <c r="AO799" s="29">
        <f>UPPER(SUBSTITUTE(TRIM(E799)," ",""))</f>
        <v/>
      </c>
      <c r="AP799" s="29">
        <f>IF(D799&lt;&gt;"",D799,IFERROR(VLOOKUP(MID(AG799,4,1),Lists!$E$2:$F$8,2,FALSE),""))</f>
        <v/>
      </c>
      <c r="AQ799" s="29">
        <f>IFERROR(VLOOKUP(AP799,Lists!$A$2:$C$12,3,FALSE),"")</f>
        <v/>
      </c>
      <c r="AR799" s="29">
        <f>COUNTIF(W799:AC799,"Yes")</f>
        <v/>
      </c>
      <c r="AS799" s="29">
        <f>IF(TRIM(B799)="","Legal name missing; ","")&amp;IF(AND(AJ799&lt;&gt;"",AJ799&lt;&gt;"OK"),"GSTIN: "&amp;AJ799&amp;"; ","")&amp;IF(AND(AK799&lt;&gt;"",AK799&lt;&gt;"OK"),"PAN wrong format; ","")&amp;IF(AND(AO799&lt;&gt;"",LEN(AN799)=15,MID(AN799,3,10)&lt;&gt;AO799),"PAN does not match GSTIN; ","")&amp;IF(AND(AL799&lt;&gt;"",AL799&lt;&gt;"OK"),"TAN wrong format; ","")&amp;IF(AG799="","PAN missing; ","")&amp;IF(AP799="","Entity type missing; ","")&amp;IF(AND(AN799&lt;&gt;"",COUNTIF($AN$6:$AN$1005,AN799)&gt;1),"GSTIN repeated in this sheet; ","")&amp;IF(AND(AG799&lt;&gt;"",COUNTIF($AG$6:$AG$1005,AG799)&gt;1),"PAN repeated in this sheet (same client? put extra GSTINs in Other GSTINs); ","")&amp;IF(AND(AR799&gt;0,V799=""),"Financial year missing; ","")&amp;IF(AND(AR799=0,V799&lt;&gt;""),"Financial year given but no service is Yes; ","")&amp;IF(AND(W799="Yes",AN799=""),"GST needs a GSTIN; ","")&amp;IF(AND(W799="Yes",X799=""),"GST return frequency missing; ","")&amp;IF(AND(Y799="Yes",TRIM(H799)=""),"TDS needs a TAN; ","")&amp;IF(AND(AA799="Yes",AQ799&lt;&gt;"",AQ799&lt;&gt;"company",AQ799&lt;&gt;"llp"),"ROC is only for a company / LLP; ","")&amp;IF(AND(AA799="Yes",OR(AQ799="company",AQ799="llp"),TRIM(I799)=""),"ROC needs the CIN / LLPIN; ","")</f>
        <v/>
      </c>
    </row>
    <row r="800">
      <c r="A800" s="30" t="n"/>
      <c r="B800" s="31" t="n"/>
      <c r="C800" s="31" t="n"/>
      <c r="D800" s="31" t="n"/>
      <c r="E800" s="30" t="n"/>
      <c r="F800" s="30" t="n"/>
      <c r="G800" s="30" t="n"/>
      <c r="H800" s="30" t="n"/>
      <c r="I800" s="30" t="n"/>
      <c r="J800" s="32" t="n"/>
      <c r="K800" s="31" t="n"/>
      <c r="L800" s="30" t="n"/>
      <c r="M800" s="31" t="n"/>
      <c r="N800" s="31" t="n"/>
      <c r="O800" s="31" t="n"/>
      <c r="P800" s="30" t="n"/>
      <c r="Q800" s="31" t="n"/>
      <c r="R800" s="31" t="n"/>
      <c r="S800" s="31" t="n"/>
      <c r="T800" s="31" t="n"/>
      <c r="U800" s="30" t="n"/>
      <c r="V800" s="31" t="n"/>
      <c r="W800" s="31" t="n"/>
      <c r="X800" s="31" t="n"/>
      <c r="Y800" s="31" t="n"/>
      <c r="Z800" s="31" t="n"/>
      <c r="AA800" s="31" t="n"/>
      <c r="AB800" s="31" t="n"/>
      <c r="AC800" s="31" t="n"/>
      <c r="AD800" s="31" t="n"/>
      <c r="AE800" s="31" t="n"/>
      <c r="AF800" s="27">
        <f>IF(NOT(COUNTA(A800:AE800)&gt;0),"",IF(A800="","New client","Update"))</f>
        <v/>
      </c>
      <c r="AG800" s="27">
        <f>IF(AO800&lt;&gt;"",AO800,IF(LEN(AN800)=15,MID(AN800,3,10),""))</f>
        <v/>
      </c>
      <c r="AH800" s="27">
        <f>IF(AP800="","",AP800&amp;IF(D800="","  (guessed from PAN)",""))</f>
        <v/>
      </c>
      <c r="AI800" s="27">
        <f>IF(AN800="","",IFERROR(INDEX(Lists!$L$2:$L$38,MATCH(LEFT(AN800,2),Lists!$K$2:$K$38,0)),"Unknown code"))</f>
        <v/>
      </c>
      <c r="AJ800" s="27">
        <f>IF(AN800="","",IFERROR(IF(NOT(AND(LEN(AN800)=15,ISNUMBER(MATCH(LEFT(AN800,2),Lists!$K$2:$K$38,0)),SUMPRODUCT(--ISERROR(FIND(MID(MID(AN800,3,10),{1,2,3,4,5,10},1),"ABCDEFGHIJKLMNOPQRSTUVWXYZ")))=0,SUMPRODUCT(--ISERROR(FIND(MID(MID(AN800,3,10),{6,7,8,9},1),"0123456789")))=0,ISNUMBER(FIND(MID(AN800,13,1),"123456789ABCDEFGHIJKLMNOPQRSTUVWXYZ")),MID(AN800,14,1)="Z")),"Wrong format",IF(MID("0123456789ABCDEFGHIJKLMNOPQRSTUVWXYZ",MOD(36-MOD(SUMPRODUCT(INT((FIND(MID(AN800,{1,2,3,4,5,6,7,8,9,10,11,12,13,14},1),"0123456789ABCDEFGHIJKLMNOPQRSTUVWXYZ")-1)*{1,2,1,2,1,2,1,2,1,2,1,2,1,2}/36)+MOD((FIND(MID(AN800,{1,2,3,4,5,6,7,8,9,10,11,12,13,14},1),"0123456789ABCDEFGHIJKLMNOPQRSTUVWXYZ")-1)*{1,2,1,2,1,2,1,2,1,2,1,2,1,2},36)),36),36)+1,1)=MID(AN800,15,1),"OK","Typo? check digit wrong")),"Wrong format"))</f>
        <v/>
      </c>
      <c r="AK800" s="27">
        <f>IF(AO800="","",IF(AND(LEN(AO800)=10,SUMPRODUCT(--ISERROR(FIND(MID(AO800,{1,2,3,4,5,10},1),"ABCDEFGHIJKLMNOPQRSTUVWXYZ")))=0,SUMPRODUCT(--ISERROR(FIND(MID(AO800,{6,7,8,9},1),"0123456789")))=0),"OK","Wrong format"))</f>
        <v/>
      </c>
      <c r="AL800" s="27">
        <f>IF(TRIM(H800)="","",IF(AND(LEN(UPPER(TRIM(H800)))=10,SUMPRODUCT(--ISERROR(FIND(MID(UPPER(TRIM(H800)),{1,2,3,4,10},1),"ABCDEFGHIJKLMNOPQRSTUVWXYZ")))=0,SUMPRODUCT(--ISERROR(FIND(MID(UPPER(TRIM(H800)),{5,6,7,8,9},1),"0123456789")))=0),"OK","Wrong format"))</f>
        <v/>
      </c>
      <c r="AM800" s="28">
        <f>IF(NOT(COUNTA(A800:AE800)&gt;0),"",IF(AS800&lt;&gt;"","✖ "&amp;LEFT(AS800,LEN(AS800)-2),IF(AR800&gt;0,"✔ Ready — client + "&amp;AR800&amp;" service(s)","✔ Ready — client only")))</f>
        <v/>
      </c>
      <c r="AN800" s="29">
        <f>UPPER(SUBSTITUTE(TRIM(F800)," ",""))</f>
        <v/>
      </c>
      <c r="AO800" s="29">
        <f>UPPER(SUBSTITUTE(TRIM(E800)," ",""))</f>
        <v/>
      </c>
      <c r="AP800" s="29">
        <f>IF(D800&lt;&gt;"",D800,IFERROR(VLOOKUP(MID(AG800,4,1),Lists!$E$2:$F$8,2,FALSE),""))</f>
        <v/>
      </c>
      <c r="AQ800" s="29">
        <f>IFERROR(VLOOKUP(AP800,Lists!$A$2:$C$12,3,FALSE),"")</f>
        <v/>
      </c>
      <c r="AR800" s="29">
        <f>COUNTIF(W800:AC800,"Yes")</f>
        <v/>
      </c>
      <c r="AS800" s="29">
        <f>IF(TRIM(B800)="","Legal name missing; ","")&amp;IF(AND(AJ800&lt;&gt;"",AJ800&lt;&gt;"OK"),"GSTIN: "&amp;AJ800&amp;"; ","")&amp;IF(AND(AK800&lt;&gt;"",AK800&lt;&gt;"OK"),"PAN wrong format; ","")&amp;IF(AND(AO800&lt;&gt;"",LEN(AN800)=15,MID(AN800,3,10)&lt;&gt;AO800),"PAN does not match GSTIN; ","")&amp;IF(AND(AL800&lt;&gt;"",AL800&lt;&gt;"OK"),"TAN wrong format; ","")&amp;IF(AG800="","PAN missing; ","")&amp;IF(AP800="","Entity type missing; ","")&amp;IF(AND(AN800&lt;&gt;"",COUNTIF($AN$6:$AN$1005,AN800)&gt;1),"GSTIN repeated in this sheet; ","")&amp;IF(AND(AG800&lt;&gt;"",COUNTIF($AG$6:$AG$1005,AG800)&gt;1),"PAN repeated in this sheet (same client? put extra GSTINs in Other GSTINs); ","")&amp;IF(AND(AR800&gt;0,V800=""),"Financial year missing; ","")&amp;IF(AND(AR800=0,V800&lt;&gt;""),"Financial year given but no service is Yes; ","")&amp;IF(AND(W800="Yes",AN800=""),"GST needs a GSTIN; ","")&amp;IF(AND(W800="Yes",X800=""),"GST return frequency missing; ","")&amp;IF(AND(Y800="Yes",TRIM(H800)=""),"TDS needs a TAN; ","")&amp;IF(AND(AA800="Yes",AQ800&lt;&gt;"",AQ800&lt;&gt;"company",AQ800&lt;&gt;"llp"),"ROC is only for a company / LLP; ","")&amp;IF(AND(AA800="Yes",OR(AQ800="company",AQ800="llp"),TRIM(I800)=""),"ROC needs the CIN / LLPIN; ","")</f>
        <v/>
      </c>
    </row>
    <row r="801">
      <c r="A801" s="30" t="n"/>
      <c r="B801" s="31" t="n"/>
      <c r="C801" s="31" t="n"/>
      <c r="D801" s="31" t="n"/>
      <c r="E801" s="30" t="n"/>
      <c r="F801" s="30" t="n"/>
      <c r="G801" s="30" t="n"/>
      <c r="H801" s="30" t="n"/>
      <c r="I801" s="30" t="n"/>
      <c r="J801" s="32" t="n"/>
      <c r="K801" s="31" t="n"/>
      <c r="L801" s="30" t="n"/>
      <c r="M801" s="31" t="n"/>
      <c r="N801" s="31" t="n"/>
      <c r="O801" s="31" t="n"/>
      <c r="P801" s="30" t="n"/>
      <c r="Q801" s="31" t="n"/>
      <c r="R801" s="31" t="n"/>
      <c r="S801" s="31" t="n"/>
      <c r="T801" s="31" t="n"/>
      <c r="U801" s="30" t="n"/>
      <c r="V801" s="31" t="n"/>
      <c r="W801" s="31" t="n"/>
      <c r="X801" s="31" t="n"/>
      <c r="Y801" s="31" t="n"/>
      <c r="Z801" s="31" t="n"/>
      <c r="AA801" s="31" t="n"/>
      <c r="AB801" s="31" t="n"/>
      <c r="AC801" s="31" t="n"/>
      <c r="AD801" s="31" t="n"/>
      <c r="AE801" s="31" t="n"/>
      <c r="AF801" s="27">
        <f>IF(NOT(COUNTA(A801:AE801)&gt;0),"",IF(A801="","New client","Update"))</f>
        <v/>
      </c>
      <c r="AG801" s="27">
        <f>IF(AO801&lt;&gt;"",AO801,IF(LEN(AN801)=15,MID(AN801,3,10),""))</f>
        <v/>
      </c>
      <c r="AH801" s="27">
        <f>IF(AP801="","",AP801&amp;IF(D801="","  (guessed from PAN)",""))</f>
        <v/>
      </c>
      <c r="AI801" s="27">
        <f>IF(AN801="","",IFERROR(INDEX(Lists!$L$2:$L$38,MATCH(LEFT(AN801,2),Lists!$K$2:$K$38,0)),"Unknown code"))</f>
        <v/>
      </c>
      <c r="AJ801" s="27">
        <f>IF(AN801="","",IFERROR(IF(NOT(AND(LEN(AN801)=15,ISNUMBER(MATCH(LEFT(AN801,2),Lists!$K$2:$K$38,0)),SUMPRODUCT(--ISERROR(FIND(MID(MID(AN801,3,10),{1,2,3,4,5,10},1),"ABCDEFGHIJKLMNOPQRSTUVWXYZ")))=0,SUMPRODUCT(--ISERROR(FIND(MID(MID(AN801,3,10),{6,7,8,9},1),"0123456789")))=0,ISNUMBER(FIND(MID(AN801,13,1),"123456789ABCDEFGHIJKLMNOPQRSTUVWXYZ")),MID(AN801,14,1)="Z")),"Wrong format",IF(MID("0123456789ABCDEFGHIJKLMNOPQRSTUVWXYZ",MOD(36-MOD(SUMPRODUCT(INT((FIND(MID(AN801,{1,2,3,4,5,6,7,8,9,10,11,12,13,14},1),"0123456789ABCDEFGHIJKLMNOPQRSTUVWXYZ")-1)*{1,2,1,2,1,2,1,2,1,2,1,2,1,2}/36)+MOD((FIND(MID(AN801,{1,2,3,4,5,6,7,8,9,10,11,12,13,14},1),"0123456789ABCDEFGHIJKLMNOPQRSTUVWXYZ")-1)*{1,2,1,2,1,2,1,2,1,2,1,2,1,2},36)),36),36)+1,1)=MID(AN801,15,1),"OK","Typo? check digit wrong")),"Wrong format"))</f>
        <v/>
      </c>
      <c r="AK801" s="27">
        <f>IF(AO801="","",IF(AND(LEN(AO801)=10,SUMPRODUCT(--ISERROR(FIND(MID(AO801,{1,2,3,4,5,10},1),"ABCDEFGHIJKLMNOPQRSTUVWXYZ")))=0,SUMPRODUCT(--ISERROR(FIND(MID(AO801,{6,7,8,9},1),"0123456789")))=0),"OK","Wrong format"))</f>
        <v/>
      </c>
      <c r="AL801" s="27">
        <f>IF(TRIM(H801)="","",IF(AND(LEN(UPPER(TRIM(H801)))=10,SUMPRODUCT(--ISERROR(FIND(MID(UPPER(TRIM(H801)),{1,2,3,4,10},1),"ABCDEFGHIJKLMNOPQRSTUVWXYZ")))=0,SUMPRODUCT(--ISERROR(FIND(MID(UPPER(TRIM(H801)),{5,6,7,8,9},1),"0123456789")))=0),"OK","Wrong format"))</f>
        <v/>
      </c>
      <c r="AM801" s="28">
        <f>IF(NOT(COUNTA(A801:AE801)&gt;0),"",IF(AS801&lt;&gt;"","✖ "&amp;LEFT(AS801,LEN(AS801)-2),IF(AR801&gt;0,"✔ Ready — client + "&amp;AR801&amp;" service(s)","✔ Ready — client only")))</f>
        <v/>
      </c>
      <c r="AN801" s="29">
        <f>UPPER(SUBSTITUTE(TRIM(F801)," ",""))</f>
        <v/>
      </c>
      <c r="AO801" s="29">
        <f>UPPER(SUBSTITUTE(TRIM(E801)," ",""))</f>
        <v/>
      </c>
      <c r="AP801" s="29">
        <f>IF(D801&lt;&gt;"",D801,IFERROR(VLOOKUP(MID(AG801,4,1),Lists!$E$2:$F$8,2,FALSE),""))</f>
        <v/>
      </c>
      <c r="AQ801" s="29">
        <f>IFERROR(VLOOKUP(AP801,Lists!$A$2:$C$12,3,FALSE),"")</f>
        <v/>
      </c>
      <c r="AR801" s="29">
        <f>COUNTIF(W801:AC801,"Yes")</f>
        <v/>
      </c>
      <c r="AS801" s="29">
        <f>IF(TRIM(B801)="","Legal name missing; ","")&amp;IF(AND(AJ801&lt;&gt;"",AJ801&lt;&gt;"OK"),"GSTIN: "&amp;AJ801&amp;"; ","")&amp;IF(AND(AK801&lt;&gt;"",AK801&lt;&gt;"OK"),"PAN wrong format; ","")&amp;IF(AND(AO801&lt;&gt;"",LEN(AN801)=15,MID(AN801,3,10)&lt;&gt;AO801),"PAN does not match GSTIN; ","")&amp;IF(AND(AL801&lt;&gt;"",AL801&lt;&gt;"OK"),"TAN wrong format; ","")&amp;IF(AG801="","PAN missing; ","")&amp;IF(AP801="","Entity type missing; ","")&amp;IF(AND(AN801&lt;&gt;"",COUNTIF($AN$6:$AN$1005,AN801)&gt;1),"GSTIN repeated in this sheet; ","")&amp;IF(AND(AG801&lt;&gt;"",COUNTIF($AG$6:$AG$1005,AG801)&gt;1),"PAN repeated in this sheet (same client? put extra GSTINs in Other GSTINs); ","")&amp;IF(AND(AR801&gt;0,V801=""),"Financial year missing; ","")&amp;IF(AND(AR801=0,V801&lt;&gt;""),"Financial year given but no service is Yes; ","")&amp;IF(AND(W801="Yes",AN801=""),"GST needs a GSTIN; ","")&amp;IF(AND(W801="Yes",X801=""),"GST return frequency missing; ","")&amp;IF(AND(Y801="Yes",TRIM(H801)=""),"TDS needs a TAN; ","")&amp;IF(AND(AA801="Yes",AQ801&lt;&gt;"",AQ801&lt;&gt;"company",AQ801&lt;&gt;"llp"),"ROC is only for a company / LLP; ","")&amp;IF(AND(AA801="Yes",OR(AQ801="company",AQ801="llp"),TRIM(I801)=""),"ROC needs the CIN / LLPIN; ","")</f>
        <v/>
      </c>
    </row>
    <row r="802">
      <c r="A802" s="30" t="n"/>
      <c r="B802" s="31" t="n"/>
      <c r="C802" s="31" t="n"/>
      <c r="D802" s="31" t="n"/>
      <c r="E802" s="30" t="n"/>
      <c r="F802" s="30" t="n"/>
      <c r="G802" s="30" t="n"/>
      <c r="H802" s="30" t="n"/>
      <c r="I802" s="30" t="n"/>
      <c r="J802" s="32" t="n"/>
      <c r="K802" s="31" t="n"/>
      <c r="L802" s="30" t="n"/>
      <c r="M802" s="31" t="n"/>
      <c r="N802" s="31" t="n"/>
      <c r="O802" s="31" t="n"/>
      <c r="P802" s="30" t="n"/>
      <c r="Q802" s="31" t="n"/>
      <c r="R802" s="31" t="n"/>
      <c r="S802" s="31" t="n"/>
      <c r="T802" s="31" t="n"/>
      <c r="U802" s="30" t="n"/>
      <c r="V802" s="31" t="n"/>
      <c r="W802" s="31" t="n"/>
      <c r="X802" s="31" t="n"/>
      <c r="Y802" s="31" t="n"/>
      <c r="Z802" s="31" t="n"/>
      <c r="AA802" s="31" t="n"/>
      <c r="AB802" s="31" t="n"/>
      <c r="AC802" s="31" t="n"/>
      <c r="AD802" s="31" t="n"/>
      <c r="AE802" s="31" t="n"/>
      <c r="AF802" s="27">
        <f>IF(NOT(COUNTA(A802:AE802)&gt;0),"",IF(A802="","New client","Update"))</f>
        <v/>
      </c>
      <c r="AG802" s="27">
        <f>IF(AO802&lt;&gt;"",AO802,IF(LEN(AN802)=15,MID(AN802,3,10),""))</f>
        <v/>
      </c>
      <c r="AH802" s="27">
        <f>IF(AP802="","",AP802&amp;IF(D802="","  (guessed from PAN)",""))</f>
        <v/>
      </c>
      <c r="AI802" s="27">
        <f>IF(AN802="","",IFERROR(INDEX(Lists!$L$2:$L$38,MATCH(LEFT(AN802,2),Lists!$K$2:$K$38,0)),"Unknown code"))</f>
        <v/>
      </c>
      <c r="AJ802" s="27">
        <f>IF(AN802="","",IFERROR(IF(NOT(AND(LEN(AN802)=15,ISNUMBER(MATCH(LEFT(AN802,2),Lists!$K$2:$K$38,0)),SUMPRODUCT(--ISERROR(FIND(MID(MID(AN802,3,10),{1,2,3,4,5,10},1),"ABCDEFGHIJKLMNOPQRSTUVWXYZ")))=0,SUMPRODUCT(--ISERROR(FIND(MID(MID(AN802,3,10),{6,7,8,9},1),"0123456789")))=0,ISNUMBER(FIND(MID(AN802,13,1),"123456789ABCDEFGHIJKLMNOPQRSTUVWXYZ")),MID(AN802,14,1)="Z")),"Wrong format",IF(MID("0123456789ABCDEFGHIJKLMNOPQRSTUVWXYZ",MOD(36-MOD(SUMPRODUCT(INT((FIND(MID(AN802,{1,2,3,4,5,6,7,8,9,10,11,12,13,14},1),"0123456789ABCDEFGHIJKLMNOPQRSTUVWXYZ")-1)*{1,2,1,2,1,2,1,2,1,2,1,2,1,2}/36)+MOD((FIND(MID(AN802,{1,2,3,4,5,6,7,8,9,10,11,12,13,14},1),"0123456789ABCDEFGHIJKLMNOPQRSTUVWXYZ")-1)*{1,2,1,2,1,2,1,2,1,2,1,2,1,2},36)),36),36)+1,1)=MID(AN802,15,1),"OK","Typo? check digit wrong")),"Wrong format"))</f>
        <v/>
      </c>
      <c r="AK802" s="27">
        <f>IF(AO802="","",IF(AND(LEN(AO802)=10,SUMPRODUCT(--ISERROR(FIND(MID(AO802,{1,2,3,4,5,10},1),"ABCDEFGHIJKLMNOPQRSTUVWXYZ")))=0,SUMPRODUCT(--ISERROR(FIND(MID(AO802,{6,7,8,9},1),"0123456789")))=0),"OK","Wrong format"))</f>
        <v/>
      </c>
      <c r="AL802" s="27">
        <f>IF(TRIM(H802)="","",IF(AND(LEN(UPPER(TRIM(H802)))=10,SUMPRODUCT(--ISERROR(FIND(MID(UPPER(TRIM(H802)),{1,2,3,4,10},1),"ABCDEFGHIJKLMNOPQRSTUVWXYZ")))=0,SUMPRODUCT(--ISERROR(FIND(MID(UPPER(TRIM(H802)),{5,6,7,8,9},1),"0123456789")))=0),"OK","Wrong format"))</f>
        <v/>
      </c>
      <c r="AM802" s="28">
        <f>IF(NOT(COUNTA(A802:AE802)&gt;0),"",IF(AS802&lt;&gt;"","✖ "&amp;LEFT(AS802,LEN(AS802)-2),IF(AR802&gt;0,"✔ Ready — client + "&amp;AR802&amp;" service(s)","✔ Ready — client only")))</f>
        <v/>
      </c>
      <c r="AN802" s="29">
        <f>UPPER(SUBSTITUTE(TRIM(F802)," ",""))</f>
        <v/>
      </c>
      <c r="AO802" s="29">
        <f>UPPER(SUBSTITUTE(TRIM(E802)," ",""))</f>
        <v/>
      </c>
      <c r="AP802" s="29">
        <f>IF(D802&lt;&gt;"",D802,IFERROR(VLOOKUP(MID(AG802,4,1),Lists!$E$2:$F$8,2,FALSE),""))</f>
        <v/>
      </c>
      <c r="AQ802" s="29">
        <f>IFERROR(VLOOKUP(AP802,Lists!$A$2:$C$12,3,FALSE),"")</f>
        <v/>
      </c>
      <c r="AR802" s="29">
        <f>COUNTIF(W802:AC802,"Yes")</f>
        <v/>
      </c>
      <c r="AS802" s="29">
        <f>IF(TRIM(B802)="","Legal name missing; ","")&amp;IF(AND(AJ802&lt;&gt;"",AJ802&lt;&gt;"OK"),"GSTIN: "&amp;AJ802&amp;"; ","")&amp;IF(AND(AK802&lt;&gt;"",AK802&lt;&gt;"OK"),"PAN wrong format; ","")&amp;IF(AND(AO802&lt;&gt;"",LEN(AN802)=15,MID(AN802,3,10)&lt;&gt;AO802),"PAN does not match GSTIN; ","")&amp;IF(AND(AL802&lt;&gt;"",AL802&lt;&gt;"OK"),"TAN wrong format; ","")&amp;IF(AG802="","PAN missing; ","")&amp;IF(AP802="","Entity type missing; ","")&amp;IF(AND(AN802&lt;&gt;"",COUNTIF($AN$6:$AN$1005,AN802)&gt;1),"GSTIN repeated in this sheet; ","")&amp;IF(AND(AG802&lt;&gt;"",COUNTIF($AG$6:$AG$1005,AG802)&gt;1),"PAN repeated in this sheet (same client? put extra GSTINs in Other GSTINs); ","")&amp;IF(AND(AR802&gt;0,V802=""),"Financial year missing; ","")&amp;IF(AND(AR802=0,V802&lt;&gt;""),"Financial year given but no service is Yes; ","")&amp;IF(AND(W802="Yes",AN802=""),"GST needs a GSTIN; ","")&amp;IF(AND(W802="Yes",X802=""),"GST return frequency missing; ","")&amp;IF(AND(Y802="Yes",TRIM(H802)=""),"TDS needs a TAN; ","")&amp;IF(AND(AA802="Yes",AQ802&lt;&gt;"",AQ802&lt;&gt;"company",AQ802&lt;&gt;"llp"),"ROC is only for a company / LLP; ","")&amp;IF(AND(AA802="Yes",OR(AQ802="company",AQ802="llp"),TRIM(I802)=""),"ROC needs the CIN / LLPIN; ","")</f>
        <v/>
      </c>
    </row>
    <row r="803">
      <c r="A803" s="30" t="n"/>
      <c r="B803" s="31" t="n"/>
      <c r="C803" s="31" t="n"/>
      <c r="D803" s="31" t="n"/>
      <c r="E803" s="30" t="n"/>
      <c r="F803" s="30" t="n"/>
      <c r="G803" s="30" t="n"/>
      <c r="H803" s="30" t="n"/>
      <c r="I803" s="30" t="n"/>
      <c r="J803" s="32" t="n"/>
      <c r="K803" s="31" t="n"/>
      <c r="L803" s="30" t="n"/>
      <c r="M803" s="31" t="n"/>
      <c r="N803" s="31" t="n"/>
      <c r="O803" s="31" t="n"/>
      <c r="P803" s="30" t="n"/>
      <c r="Q803" s="31" t="n"/>
      <c r="R803" s="31" t="n"/>
      <c r="S803" s="31" t="n"/>
      <c r="T803" s="31" t="n"/>
      <c r="U803" s="30" t="n"/>
      <c r="V803" s="31" t="n"/>
      <c r="W803" s="31" t="n"/>
      <c r="X803" s="31" t="n"/>
      <c r="Y803" s="31" t="n"/>
      <c r="Z803" s="31" t="n"/>
      <c r="AA803" s="31" t="n"/>
      <c r="AB803" s="31" t="n"/>
      <c r="AC803" s="31" t="n"/>
      <c r="AD803" s="31" t="n"/>
      <c r="AE803" s="31" t="n"/>
      <c r="AF803" s="27">
        <f>IF(NOT(COUNTA(A803:AE803)&gt;0),"",IF(A803="","New client","Update"))</f>
        <v/>
      </c>
      <c r="AG803" s="27">
        <f>IF(AO803&lt;&gt;"",AO803,IF(LEN(AN803)=15,MID(AN803,3,10),""))</f>
        <v/>
      </c>
      <c r="AH803" s="27">
        <f>IF(AP803="","",AP803&amp;IF(D803="","  (guessed from PAN)",""))</f>
        <v/>
      </c>
      <c r="AI803" s="27">
        <f>IF(AN803="","",IFERROR(INDEX(Lists!$L$2:$L$38,MATCH(LEFT(AN803,2),Lists!$K$2:$K$38,0)),"Unknown code"))</f>
        <v/>
      </c>
      <c r="AJ803" s="27">
        <f>IF(AN803="","",IFERROR(IF(NOT(AND(LEN(AN803)=15,ISNUMBER(MATCH(LEFT(AN803,2),Lists!$K$2:$K$38,0)),SUMPRODUCT(--ISERROR(FIND(MID(MID(AN803,3,10),{1,2,3,4,5,10},1),"ABCDEFGHIJKLMNOPQRSTUVWXYZ")))=0,SUMPRODUCT(--ISERROR(FIND(MID(MID(AN803,3,10),{6,7,8,9},1),"0123456789")))=0,ISNUMBER(FIND(MID(AN803,13,1),"123456789ABCDEFGHIJKLMNOPQRSTUVWXYZ")),MID(AN803,14,1)="Z")),"Wrong format",IF(MID("0123456789ABCDEFGHIJKLMNOPQRSTUVWXYZ",MOD(36-MOD(SUMPRODUCT(INT((FIND(MID(AN803,{1,2,3,4,5,6,7,8,9,10,11,12,13,14},1),"0123456789ABCDEFGHIJKLMNOPQRSTUVWXYZ")-1)*{1,2,1,2,1,2,1,2,1,2,1,2,1,2}/36)+MOD((FIND(MID(AN803,{1,2,3,4,5,6,7,8,9,10,11,12,13,14},1),"0123456789ABCDEFGHIJKLMNOPQRSTUVWXYZ")-1)*{1,2,1,2,1,2,1,2,1,2,1,2,1,2},36)),36),36)+1,1)=MID(AN803,15,1),"OK","Typo? check digit wrong")),"Wrong format"))</f>
        <v/>
      </c>
      <c r="AK803" s="27">
        <f>IF(AO803="","",IF(AND(LEN(AO803)=10,SUMPRODUCT(--ISERROR(FIND(MID(AO803,{1,2,3,4,5,10},1),"ABCDEFGHIJKLMNOPQRSTUVWXYZ")))=0,SUMPRODUCT(--ISERROR(FIND(MID(AO803,{6,7,8,9},1),"0123456789")))=0),"OK","Wrong format"))</f>
        <v/>
      </c>
      <c r="AL803" s="27">
        <f>IF(TRIM(H803)="","",IF(AND(LEN(UPPER(TRIM(H803)))=10,SUMPRODUCT(--ISERROR(FIND(MID(UPPER(TRIM(H803)),{1,2,3,4,10},1),"ABCDEFGHIJKLMNOPQRSTUVWXYZ")))=0,SUMPRODUCT(--ISERROR(FIND(MID(UPPER(TRIM(H803)),{5,6,7,8,9},1),"0123456789")))=0),"OK","Wrong format"))</f>
        <v/>
      </c>
      <c r="AM803" s="28">
        <f>IF(NOT(COUNTA(A803:AE803)&gt;0),"",IF(AS803&lt;&gt;"","✖ "&amp;LEFT(AS803,LEN(AS803)-2),IF(AR803&gt;0,"✔ Ready — client + "&amp;AR803&amp;" service(s)","✔ Ready — client only")))</f>
        <v/>
      </c>
      <c r="AN803" s="29">
        <f>UPPER(SUBSTITUTE(TRIM(F803)," ",""))</f>
        <v/>
      </c>
      <c r="AO803" s="29">
        <f>UPPER(SUBSTITUTE(TRIM(E803)," ",""))</f>
        <v/>
      </c>
      <c r="AP803" s="29">
        <f>IF(D803&lt;&gt;"",D803,IFERROR(VLOOKUP(MID(AG803,4,1),Lists!$E$2:$F$8,2,FALSE),""))</f>
        <v/>
      </c>
      <c r="AQ803" s="29">
        <f>IFERROR(VLOOKUP(AP803,Lists!$A$2:$C$12,3,FALSE),"")</f>
        <v/>
      </c>
      <c r="AR803" s="29">
        <f>COUNTIF(W803:AC803,"Yes")</f>
        <v/>
      </c>
      <c r="AS803" s="29">
        <f>IF(TRIM(B803)="","Legal name missing; ","")&amp;IF(AND(AJ803&lt;&gt;"",AJ803&lt;&gt;"OK"),"GSTIN: "&amp;AJ803&amp;"; ","")&amp;IF(AND(AK803&lt;&gt;"",AK803&lt;&gt;"OK"),"PAN wrong format; ","")&amp;IF(AND(AO803&lt;&gt;"",LEN(AN803)=15,MID(AN803,3,10)&lt;&gt;AO803),"PAN does not match GSTIN; ","")&amp;IF(AND(AL803&lt;&gt;"",AL803&lt;&gt;"OK"),"TAN wrong format; ","")&amp;IF(AG803="","PAN missing; ","")&amp;IF(AP803="","Entity type missing; ","")&amp;IF(AND(AN803&lt;&gt;"",COUNTIF($AN$6:$AN$1005,AN803)&gt;1),"GSTIN repeated in this sheet; ","")&amp;IF(AND(AG803&lt;&gt;"",COUNTIF($AG$6:$AG$1005,AG803)&gt;1),"PAN repeated in this sheet (same client? put extra GSTINs in Other GSTINs); ","")&amp;IF(AND(AR803&gt;0,V803=""),"Financial year missing; ","")&amp;IF(AND(AR803=0,V803&lt;&gt;""),"Financial year given but no service is Yes; ","")&amp;IF(AND(W803="Yes",AN803=""),"GST needs a GSTIN; ","")&amp;IF(AND(W803="Yes",X803=""),"GST return frequency missing; ","")&amp;IF(AND(Y803="Yes",TRIM(H803)=""),"TDS needs a TAN; ","")&amp;IF(AND(AA803="Yes",AQ803&lt;&gt;"",AQ803&lt;&gt;"company",AQ803&lt;&gt;"llp"),"ROC is only for a company / LLP; ","")&amp;IF(AND(AA803="Yes",OR(AQ803="company",AQ803="llp"),TRIM(I803)=""),"ROC needs the CIN / LLPIN; ","")</f>
        <v/>
      </c>
    </row>
    <row r="804">
      <c r="A804" s="30" t="n"/>
      <c r="B804" s="31" t="n"/>
      <c r="C804" s="31" t="n"/>
      <c r="D804" s="31" t="n"/>
      <c r="E804" s="30" t="n"/>
      <c r="F804" s="30" t="n"/>
      <c r="G804" s="30" t="n"/>
      <c r="H804" s="30" t="n"/>
      <c r="I804" s="30" t="n"/>
      <c r="J804" s="32" t="n"/>
      <c r="K804" s="31" t="n"/>
      <c r="L804" s="30" t="n"/>
      <c r="M804" s="31" t="n"/>
      <c r="N804" s="31" t="n"/>
      <c r="O804" s="31" t="n"/>
      <c r="P804" s="30" t="n"/>
      <c r="Q804" s="31" t="n"/>
      <c r="R804" s="31" t="n"/>
      <c r="S804" s="31" t="n"/>
      <c r="T804" s="31" t="n"/>
      <c r="U804" s="30" t="n"/>
      <c r="V804" s="31" t="n"/>
      <c r="W804" s="31" t="n"/>
      <c r="X804" s="31" t="n"/>
      <c r="Y804" s="31" t="n"/>
      <c r="Z804" s="31" t="n"/>
      <c r="AA804" s="31" t="n"/>
      <c r="AB804" s="31" t="n"/>
      <c r="AC804" s="31" t="n"/>
      <c r="AD804" s="31" t="n"/>
      <c r="AE804" s="31" t="n"/>
      <c r="AF804" s="27">
        <f>IF(NOT(COUNTA(A804:AE804)&gt;0),"",IF(A804="","New client","Update"))</f>
        <v/>
      </c>
      <c r="AG804" s="27">
        <f>IF(AO804&lt;&gt;"",AO804,IF(LEN(AN804)=15,MID(AN804,3,10),""))</f>
        <v/>
      </c>
      <c r="AH804" s="27">
        <f>IF(AP804="","",AP804&amp;IF(D804="","  (guessed from PAN)",""))</f>
        <v/>
      </c>
      <c r="AI804" s="27">
        <f>IF(AN804="","",IFERROR(INDEX(Lists!$L$2:$L$38,MATCH(LEFT(AN804,2),Lists!$K$2:$K$38,0)),"Unknown code"))</f>
        <v/>
      </c>
      <c r="AJ804" s="27">
        <f>IF(AN804="","",IFERROR(IF(NOT(AND(LEN(AN804)=15,ISNUMBER(MATCH(LEFT(AN804,2),Lists!$K$2:$K$38,0)),SUMPRODUCT(--ISERROR(FIND(MID(MID(AN804,3,10),{1,2,3,4,5,10},1),"ABCDEFGHIJKLMNOPQRSTUVWXYZ")))=0,SUMPRODUCT(--ISERROR(FIND(MID(MID(AN804,3,10),{6,7,8,9},1),"0123456789")))=0,ISNUMBER(FIND(MID(AN804,13,1),"123456789ABCDEFGHIJKLMNOPQRSTUVWXYZ")),MID(AN804,14,1)="Z")),"Wrong format",IF(MID("0123456789ABCDEFGHIJKLMNOPQRSTUVWXYZ",MOD(36-MOD(SUMPRODUCT(INT((FIND(MID(AN804,{1,2,3,4,5,6,7,8,9,10,11,12,13,14},1),"0123456789ABCDEFGHIJKLMNOPQRSTUVWXYZ")-1)*{1,2,1,2,1,2,1,2,1,2,1,2,1,2}/36)+MOD((FIND(MID(AN804,{1,2,3,4,5,6,7,8,9,10,11,12,13,14},1),"0123456789ABCDEFGHIJKLMNOPQRSTUVWXYZ")-1)*{1,2,1,2,1,2,1,2,1,2,1,2,1,2},36)),36),36)+1,1)=MID(AN804,15,1),"OK","Typo? check digit wrong")),"Wrong format"))</f>
        <v/>
      </c>
      <c r="AK804" s="27">
        <f>IF(AO804="","",IF(AND(LEN(AO804)=10,SUMPRODUCT(--ISERROR(FIND(MID(AO804,{1,2,3,4,5,10},1),"ABCDEFGHIJKLMNOPQRSTUVWXYZ")))=0,SUMPRODUCT(--ISERROR(FIND(MID(AO804,{6,7,8,9},1),"0123456789")))=0),"OK","Wrong format"))</f>
        <v/>
      </c>
      <c r="AL804" s="27">
        <f>IF(TRIM(H804)="","",IF(AND(LEN(UPPER(TRIM(H804)))=10,SUMPRODUCT(--ISERROR(FIND(MID(UPPER(TRIM(H804)),{1,2,3,4,10},1),"ABCDEFGHIJKLMNOPQRSTUVWXYZ")))=0,SUMPRODUCT(--ISERROR(FIND(MID(UPPER(TRIM(H804)),{5,6,7,8,9},1),"0123456789")))=0),"OK","Wrong format"))</f>
        <v/>
      </c>
      <c r="AM804" s="28">
        <f>IF(NOT(COUNTA(A804:AE804)&gt;0),"",IF(AS804&lt;&gt;"","✖ "&amp;LEFT(AS804,LEN(AS804)-2),IF(AR804&gt;0,"✔ Ready — client + "&amp;AR804&amp;" service(s)","✔ Ready — client only")))</f>
        <v/>
      </c>
      <c r="AN804" s="29">
        <f>UPPER(SUBSTITUTE(TRIM(F804)," ",""))</f>
        <v/>
      </c>
      <c r="AO804" s="29">
        <f>UPPER(SUBSTITUTE(TRIM(E804)," ",""))</f>
        <v/>
      </c>
      <c r="AP804" s="29">
        <f>IF(D804&lt;&gt;"",D804,IFERROR(VLOOKUP(MID(AG804,4,1),Lists!$E$2:$F$8,2,FALSE),""))</f>
        <v/>
      </c>
      <c r="AQ804" s="29">
        <f>IFERROR(VLOOKUP(AP804,Lists!$A$2:$C$12,3,FALSE),"")</f>
        <v/>
      </c>
      <c r="AR804" s="29">
        <f>COUNTIF(W804:AC804,"Yes")</f>
        <v/>
      </c>
      <c r="AS804" s="29">
        <f>IF(TRIM(B804)="","Legal name missing; ","")&amp;IF(AND(AJ804&lt;&gt;"",AJ804&lt;&gt;"OK"),"GSTIN: "&amp;AJ804&amp;"; ","")&amp;IF(AND(AK804&lt;&gt;"",AK804&lt;&gt;"OK"),"PAN wrong format; ","")&amp;IF(AND(AO804&lt;&gt;"",LEN(AN804)=15,MID(AN804,3,10)&lt;&gt;AO804),"PAN does not match GSTIN; ","")&amp;IF(AND(AL804&lt;&gt;"",AL804&lt;&gt;"OK"),"TAN wrong format; ","")&amp;IF(AG804="","PAN missing; ","")&amp;IF(AP804="","Entity type missing; ","")&amp;IF(AND(AN804&lt;&gt;"",COUNTIF($AN$6:$AN$1005,AN804)&gt;1),"GSTIN repeated in this sheet; ","")&amp;IF(AND(AG804&lt;&gt;"",COUNTIF($AG$6:$AG$1005,AG804)&gt;1),"PAN repeated in this sheet (same client? put extra GSTINs in Other GSTINs); ","")&amp;IF(AND(AR804&gt;0,V804=""),"Financial year missing; ","")&amp;IF(AND(AR804=0,V804&lt;&gt;""),"Financial year given but no service is Yes; ","")&amp;IF(AND(W804="Yes",AN804=""),"GST needs a GSTIN; ","")&amp;IF(AND(W804="Yes",X804=""),"GST return frequency missing; ","")&amp;IF(AND(Y804="Yes",TRIM(H804)=""),"TDS needs a TAN; ","")&amp;IF(AND(AA804="Yes",AQ804&lt;&gt;"",AQ804&lt;&gt;"company",AQ804&lt;&gt;"llp"),"ROC is only for a company / LLP; ","")&amp;IF(AND(AA804="Yes",OR(AQ804="company",AQ804="llp"),TRIM(I804)=""),"ROC needs the CIN / LLPIN; ","")</f>
        <v/>
      </c>
    </row>
    <row r="805">
      <c r="A805" s="30" t="n"/>
      <c r="B805" s="31" t="n"/>
      <c r="C805" s="31" t="n"/>
      <c r="D805" s="31" t="n"/>
      <c r="E805" s="30" t="n"/>
      <c r="F805" s="30" t="n"/>
      <c r="G805" s="30" t="n"/>
      <c r="H805" s="30" t="n"/>
      <c r="I805" s="30" t="n"/>
      <c r="J805" s="32" t="n"/>
      <c r="K805" s="31" t="n"/>
      <c r="L805" s="30" t="n"/>
      <c r="M805" s="31" t="n"/>
      <c r="N805" s="31" t="n"/>
      <c r="O805" s="31" t="n"/>
      <c r="P805" s="30" t="n"/>
      <c r="Q805" s="31" t="n"/>
      <c r="R805" s="31" t="n"/>
      <c r="S805" s="31" t="n"/>
      <c r="T805" s="31" t="n"/>
      <c r="U805" s="30" t="n"/>
      <c r="V805" s="31" t="n"/>
      <c r="W805" s="31" t="n"/>
      <c r="X805" s="31" t="n"/>
      <c r="Y805" s="31" t="n"/>
      <c r="Z805" s="31" t="n"/>
      <c r="AA805" s="31" t="n"/>
      <c r="AB805" s="31" t="n"/>
      <c r="AC805" s="31" t="n"/>
      <c r="AD805" s="31" t="n"/>
      <c r="AE805" s="31" t="n"/>
      <c r="AF805" s="27">
        <f>IF(NOT(COUNTA(A805:AE805)&gt;0),"",IF(A805="","New client","Update"))</f>
        <v/>
      </c>
      <c r="AG805" s="27">
        <f>IF(AO805&lt;&gt;"",AO805,IF(LEN(AN805)=15,MID(AN805,3,10),""))</f>
        <v/>
      </c>
      <c r="AH805" s="27">
        <f>IF(AP805="","",AP805&amp;IF(D805="","  (guessed from PAN)",""))</f>
        <v/>
      </c>
      <c r="AI805" s="27">
        <f>IF(AN805="","",IFERROR(INDEX(Lists!$L$2:$L$38,MATCH(LEFT(AN805,2),Lists!$K$2:$K$38,0)),"Unknown code"))</f>
        <v/>
      </c>
      <c r="AJ805" s="27">
        <f>IF(AN805="","",IFERROR(IF(NOT(AND(LEN(AN805)=15,ISNUMBER(MATCH(LEFT(AN805,2),Lists!$K$2:$K$38,0)),SUMPRODUCT(--ISERROR(FIND(MID(MID(AN805,3,10),{1,2,3,4,5,10},1),"ABCDEFGHIJKLMNOPQRSTUVWXYZ")))=0,SUMPRODUCT(--ISERROR(FIND(MID(MID(AN805,3,10),{6,7,8,9},1),"0123456789")))=0,ISNUMBER(FIND(MID(AN805,13,1),"123456789ABCDEFGHIJKLMNOPQRSTUVWXYZ")),MID(AN805,14,1)="Z")),"Wrong format",IF(MID("0123456789ABCDEFGHIJKLMNOPQRSTUVWXYZ",MOD(36-MOD(SUMPRODUCT(INT((FIND(MID(AN805,{1,2,3,4,5,6,7,8,9,10,11,12,13,14},1),"0123456789ABCDEFGHIJKLMNOPQRSTUVWXYZ")-1)*{1,2,1,2,1,2,1,2,1,2,1,2,1,2}/36)+MOD((FIND(MID(AN805,{1,2,3,4,5,6,7,8,9,10,11,12,13,14},1),"0123456789ABCDEFGHIJKLMNOPQRSTUVWXYZ")-1)*{1,2,1,2,1,2,1,2,1,2,1,2,1,2},36)),36),36)+1,1)=MID(AN805,15,1),"OK","Typo? check digit wrong")),"Wrong format"))</f>
        <v/>
      </c>
      <c r="AK805" s="27">
        <f>IF(AO805="","",IF(AND(LEN(AO805)=10,SUMPRODUCT(--ISERROR(FIND(MID(AO805,{1,2,3,4,5,10},1),"ABCDEFGHIJKLMNOPQRSTUVWXYZ")))=0,SUMPRODUCT(--ISERROR(FIND(MID(AO805,{6,7,8,9},1),"0123456789")))=0),"OK","Wrong format"))</f>
        <v/>
      </c>
      <c r="AL805" s="27">
        <f>IF(TRIM(H805)="","",IF(AND(LEN(UPPER(TRIM(H805)))=10,SUMPRODUCT(--ISERROR(FIND(MID(UPPER(TRIM(H805)),{1,2,3,4,10},1),"ABCDEFGHIJKLMNOPQRSTUVWXYZ")))=0,SUMPRODUCT(--ISERROR(FIND(MID(UPPER(TRIM(H805)),{5,6,7,8,9},1),"0123456789")))=0),"OK","Wrong format"))</f>
        <v/>
      </c>
      <c r="AM805" s="28">
        <f>IF(NOT(COUNTA(A805:AE805)&gt;0),"",IF(AS805&lt;&gt;"","✖ "&amp;LEFT(AS805,LEN(AS805)-2),IF(AR805&gt;0,"✔ Ready — client + "&amp;AR805&amp;" service(s)","✔ Ready — client only")))</f>
        <v/>
      </c>
      <c r="AN805" s="29">
        <f>UPPER(SUBSTITUTE(TRIM(F805)," ",""))</f>
        <v/>
      </c>
      <c r="AO805" s="29">
        <f>UPPER(SUBSTITUTE(TRIM(E805)," ",""))</f>
        <v/>
      </c>
      <c r="AP805" s="29">
        <f>IF(D805&lt;&gt;"",D805,IFERROR(VLOOKUP(MID(AG805,4,1),Lists!$E$2:$F$8,2,FALSE),""))</f>
        <v/>
      </c>
      <c r="AQ805" s="29">
        <f>IFERROR(VLOOKUP(AP805,Lists!$A$2:$C$12,3,FALSE),"")</f>
        <v/>
      </c>
      <c r="AR805" s="29">
        <f>COUNTIF(W805:AC805,"Yes")</f>
        <v/>
      </c>
      <c r="AS805" s="29">
        <f>IF(TRIM(B805)="","Legal name missing; ","")&amp;IF(AND(AJ805&lt;&gt;"",AJ805&lt;&gt;"OK"),"GSTIN: "&amp;AJ805&amp;"; ","")&amp;IF(AND(AK805&lt;&gt;"",AK805&lt;&gt;"OK"),"PAN wrong format; ","")&amp;IF(AND(AO805&lt;&gt;"",LEN(AN805)=15,MID(AN805,3,10)&lt;&gt;AO805),"PAN does not match GSTIN; ","")&amp;IF(AND(AL805&lt;&gt;"",AL805&lt;&gt;"OK"),"TAN wrong format; ","")&amp;IF(AG805="","PAN missing; ","")&amp;IF(AP805="","Entity type missing; ","")&amp;IF(AND(AN805&lt;&gt;"",COUNTIF($AN$6:$AN$1005,AN805)&gt;1),"GSTIN repeated in this sheet; ","")&amp;IF(AND(AG805&lt;&gt;"",COUNTIF($AG$6:$AG$1005,AG805)&gt;1),"PAN repeated in this sheet (same client? put extra GSTINs in Other GSTINs); ","")&amp;IF(AND(AR805&gt;0,V805=""),"Financial year missing; ","")&amp;IF(AND(AR805=0,V805&lt;&gt;""),"Financial year given but no service is Yes; ","")&amp;IF(AND(W805="Yes",AN805=""),"GST needs a GSTIN; ","")&amp;IF(AND(W805="Yes",X805=""),"GST return frequency missing; ","")&amp;IF(AND(Y805="Yes",TRIM(H805)=""),"TDS needs a TAN; ","")&amp;IF(AND(AA805="Yes",AQ805&lt;&gt;"",AQ805&lt;&gt;"company",AQ805&lt;&gt;"llp"),"ROC is only for a company / LLP; ","")&amp;IF(AND(AA805="Yes",OR(AQ805="company",AQ805="llp"),TRIM(I805)=""),"ROC needs the CIN / LLPIN; ","")</f>
        <v/>
      </c>
    </row>
    <row r="806">
      <c r="A806" s="30" t="n"/>
      <c r="B806" s="31" t="n"/>
      <c r="C806" s="31" t="n"/>
      <c r="D806" s="31" t="n"/>
      <c r="E806" s="30" t="n"/>
      <c r="F806" s="30" t="n"/>
      <c r="G806" s="30" t="n"/>
      <c r="H806" s="30" t="n"/>
      <c r="I806" s="30" t="n"/>
      <c r="J806" s="32" t="n"/>
      <c r="K806" s="31" t="n"/>
      <c r="L806" s="30" t="n"/>
      <c r="M806" s="31" t="n"/>
      <c r="N806" s="31" t="n"/>
      <c r="O806" s="31" t="n"/>
      <c r="P806" s="30" t="n"/>
      <c r="Q806" s="31" t="n"/>
      <c r="R806" s="31" t="n"/>
      <c r="S806" s="31" t="n"/>
      <c r="T806" s="31" t="n"/>
      <c r="U806" s="30" t="n"/>
      <c r="V806" s="31" t="n"/>
      <c r="W806" s="31" t="n"/>
      <c r="X806" s="31" t="n"/>
      <c r="Y806" s="31" t="n"/>
      <c r="Z806" s="31" t="n"/>
      <c r="AA806" s="31" t="n"/>
      <c r="AB806" s="31" t="n"/>
      <c r="AC806" s="31" t="n"/>
      <c r="AD806" s="31" t="n"/>
      <c r="AE806" s="31" t="n"/>
      <c r="AF806" s="27">
        <f>IF(NOT(COUNTA(A806:AE806)&gt;0),"",IF(A806="","New client","Update"))</f>
        <v/>
      </c>
      <c r="AG806" s="27">
        <f>IF(AO806&lt;&gt;"",AO806,IF(LEN(AN806)=15,MID(AN806,3,10),""))</f>
        <v/>
      </c>
      <c r="AH806" s="27">
        <f>IF(AP806="","",AP806&amp;IF(D806="","  (guessed from PAN)",""))</f>
        <v/>
      </c>
      <c r="AI806" s="27">
        <f>IF(AN806="","",IFERROR(INDEX(Lists!$L$2:$L$38,MATCH(LEFT(AN806,2),Lists!$K$2:$K$38,0)),"Unknown code"))</f>
        <v/>
      </c>
      <c r="AJ806" s="27">
        <f>IF(AN806="","",IFERROR(IF(NOT(AND(LEN(AN806)=15,ISNUMBER(MATCH(LEFT(AN806,2),Lists!$K$2:$K$38,0)),SUMPRODUCT(--ISERROR(FIND(MID(MID(AN806,3,10),{1,2,3,4,5,10},1),"ABCDEFGHIJKLMNOPQRSTUVWXYZ")))=0,SUMPRODUCT(--ISERROR(FIND(MID(MID(AN806,3,10),{6,7,8,9},1),"0123456789")))=0,ISNUMBER(FIND(MID(AN806,13,1),"123456789ABCDEFGHIJKLMNOPQRSTUVWXYZ")),MID(AN806,14,1)="Z")),"Wrong format",IF(MID("0123456789ABCDEFGHIJKLMNOPQRSTUVWXYZ",MOD(36-MOD(SUMPRODUCT(INT((FIND(MID(AN806,{1,2,3,4,5,6,7,8,9,10,11,12,13,14},1),"0123456789ABCDEFGHIJKLMNOPQRSTUVWXYZ")-1)*{1,2,1,2,1,2,1,2,1,2,1,2,1,2}/36)+MOD((FIND(MID(AN806,{1,2,3,4,5,6,7,8,9,10,11,12,13,14},1),"0123456789ABCDEFGHIJKLMNOPQRSTUVWXYZ")-1)*{1,2,1,2,1,2,1,2,1,2,1,2,1,2},36)),36),36)+1,1)=MID(AN806,15,1),"OK","Typo? check digit wrong")),"Wrong format"))</f>
        <v/>
      </c>
      <c r="AK806" s="27">
        <f>IF(AO806="","",IF(AND(LEN(AO806)=10,SUMPRODUCT(--ISERROR(FIND(MID(AO806,{1,2,3,4,5,10},1),"ABCDEFGHIJKLMNOPQRSTUVWXYZ")))=0,SUMPRODUCT(--ISERROR(FIND(MID(AO806,{6,7,8,9},1),"0123456789")))=0),"OK","Wrong format"))</f>
        <v/>
      </c>
      <c r="AL806" s="27">
        <f>IF(TRIM(H806)="","",IF(AND(LEN(UPPER(TRIM(H806)))=10,SUMPRODUCT(--ISERROR(FIND(MID(UPPER(TRIM(H806)),{1,2,3,4,10},1),"ABCDEFGHIJKLMNOPQRSTUVWXYZ")))=0,SUMPRODUCT(--ISERROR(FIND(MID(UPPER(TRIM(H806)),{5,6,7,8,9},1),"0123456789")))=0),"OK","Wrong format"))</f>
        <v/>
      </c>
      <c r="AM806" s="28">
        <f>IF(NOT(COUNTA(A806:AE806)&gt;0),"",IF(AS806&lt;&gt;"","✖ "&amp;LEFT(AS806,LEN(AS806)-2),IF(AR806&gt;0,"✔ Ready — client + "&amp;AR806&amp;" service(s)","✔ Ready — client only")))</f>
        <v/>
      </c>
      <c r="AN806" s="29">
        <f>UPPER(SUBSTITUTE(TRIM(F806)," ",""))</f>
        <v/>
      </c>
      <c r="AO806" s="29">
        <f>UPPER(SUBSTITUTE(TRIM(E806)," ",""))</f>
        <v/>
      </c>
      <c r="AP806" s="29">
        <f>IF(D806&lt;&gt;"",D806,IFERROR(VLOOKUP(MID(AG806,4,1),Lists!$E$2:$F$8,2,FALSE),""))</f>
        <v/>
      </c>
      <c r="AQ806" s="29">
        <f>IFERROR(VLOOKUP(AP806,Lists!$A$2:$C$12,3,FALSE),"")</f>
        <v/>
      </c>
      <c r="AR806" s="29">
        <f>COUNTIF(W806:AC806,"Yes")</f>
        <v/>
      </c>
      <c r="AS806" s="29">
        <f>IF(TRIM(B806)="","Legal name missing; ","")&amp;IF(AND(AJ806&lt;&gt;"",AJ806&lt;&gt;"OK"),"GSTIN: "&amp;AJ806&amp;"; ","")&amp;IF(AND(AK806&lt;&gt;"",AK806&lt;&gt;"OK"),"PAN wrong format; ","")&amp;IF(AND(AO806&lt;&gt;"",LEN(AN806)=15,MID(AN806,3,10)&lt;&gt;AO806),"PAN does not match GSTIN; ","")&amp;IF(AND(AL806&lt;&gt;"",AL806&lt;&gt;"OK"),"TAN wrong format; ","")&amp;IF(AG806="","PAN missing; ","")&amp;IF(AP806="","Entity type missing; ","")&amp;IF(AND(AN806&lt;&gt;"",COUNTIF($AN$6:$AN$1005,AN806)&gt;1),"GSTIN repeated in this sheet; ","")&amp;IF(AND(AG806&lt;&gt;"",COUNTIF($AG$6:$AG$1005,AG806)&gt;1),"PAN repeated in this sheet (same client? put extra GSTINs in Other GSTINs); ","")&amp;IF(AND(AR806&gt;0,V806=""),"Financial year missing; ","")&amp;IF(AND(AR806=0,V806&lt;&gt;""),"Financial year given but no service is Yes; ","")&amp;IF(AND(W806="Yes",AN806=""),"GST needs a GSTIN; ","")&amp;IF(AND(W806="Yes",X806=""),"GST return frequency missing; ","")&amp;IF(AND(Y806="Yes",TRIM(H806)=""),"TDS needs a TAN; ","")&amp;IF(AND(AA806="Yes",AQ806&lt;&gt;"",AQ806&lt;&gt;"company",AQ806&lt;&gt;"llp"),"ROC is only for a company / LLP; ","")&amp;IF(AND(AA806="Yes",OR(AQ806="company",AQ806="llp"),TRIM(I806)=""),"ROC needs the CIN / LLPIN; ","")</f>
        <v/>
      </c>
    </row>
    <row r="807">
      <c r="A807" s="30" t="n"/>
      <c r="B807" s="31" t="n"/>
      <c r="C807" s="31" t="n"/>
      <c r="D807" s="31" t="n"/>
      <c r="E807" s="30" t="n"/>
      <c r="F807" s="30" t="n"/>
      <c r="G807" s="30" t="n"/>
      <c r="H807" s="30" t="n"/>
      <c r="I807" s="30" t="n"/>
      <c r="J807" s="32" t="n"/>
      <c r="K807" s="31" t="n"/>
      <c r="L807" s="30" t="n"/>
      <c r="M807" s="31" t="n"/>
      <c r="N807" s="31" t="n"/>
      <c r="O807" s="31" t="n"/>
      <c r="P807" s="30" t="n"/>
      <c r="Q807" s="31" t="n"/>
      <c r="R807" s="31" t="n"/>
      <c r="S807" s="31" t="n"/>
      <c r="T807" s="31" t="n"/>
      <c r="U807" s="30" t="n"/>
      <c r="V807" s="31" t="n"/>
      <c r="W807" s="31" t="n"/>
      <c r="X807" s="31" t="n"/>
      <c r="Y807" s="31" t="n"/>
      <c r="Z807" s="31" t="n"/>
      <c r="AA807" s="31" t="n"/>
      <c r="AB807" s="31" t="n"/>
      <c r="AC807" s="31" t="n"/>
      <c r="AD807" s="31" t="n"/>
      <c r="AE807" s="31" t="n"/>
      <c r="AF807" s="27">
        <f>IF(NOT(COUNTA(A807:AE807)&gt;0),"",IF(A807="","New client","Update"))</f>
        <v/>
      </c>
      <c r="AG807" s="27">
        <f>IF(AO807&lt;&gt;"",AO807,IF(LEN(AN807)=15,MID(AN807,3,10),""))</f>
        <v/>
      </c>
      <c r="AH807" s="27">
        <f>IF(AP807="","",AP807&amp;IF(D807="","  (guessed from PAN)",""))</f>
        <v/>
      </c>
      <c r="AI807" s="27">
        <f>IF(AN807="","",IFERROR(INDEX(Lists!$L$2:$L$38,MATCH(LEFT(AN807,2),Lists!$K$2:$K$38,0)),"Unknown code"))</f>
        <v/>
      </c>
      <c r="AJ807" s="27">
        <f>IF(AN807="","",IFERROR(IF(NOT(AND(LEN(AN807)=15,ISNUMBER(MATCH(LEFT(AN807,2),Lists!$K$2:$K$38,0)),SUMPRODUCT(--ISERROR(FIND(MID(MID(AN807,3,10),{1,2,3,4,5,10},1),"ABCDEFGHIJKLMNOPQRSTUVWXYZ")))=0,SUMPRODUCT(--ISERROR(FIND(MID(MID(AN807,3,10),{6,7,8,9},1),"0123456789")))=0,ISNUMBER(FIND(MID(AN807,13,1),"123456789ABCDEFGHIJKLMNOPQRSTUVWXYZ")),MID(AN807,14,1)="Z")),"Wrong format",IF(MID("0123456789ABCDEFGHIJKLMNOPQRSTUVWXYZ",MOD(36-MOD(SUMPRODUCT(INT((FIND(MID(AN807,{1,2,3,4,5,6,7,8,9,10,11,12,13,14},1),"0123456789ABCDEFGHIJKLMNOPQRSTUVWXYZ")-1)*{1,2,1,2,1,2,1,2,1,2,1,2,1,2}/36)+MOD((FIND(MID(AN807,{1,2,3,4,5,6,7,8,9,10,11,12,13,14},1),"0123456789ABCDEFGHIJKLMNOPQRSTUVWXYZ")-1)*{1,2,1,2,1,2,1,2,1,2,1,2,1,2},36)),36),36)+1,1)=MID(AN807,15,1),"OK","Typo? check digit wrong")),"Wrong format"))</f>
        <v/>
      </c>
      <c r="AK807" s="27">
        <f>IF(AO807="","",IF(AND(LEN(AO807)=10,SUMPRODUCT(--ISERROR(FIND(MID(AO807,{1,2,3,4,5,10},1),"ABCDEFGHIJKLMNOPQRSTUVWXYZ")))=0,SUMPRODUCT(--ISERROR(FIND(MID(AO807,{6,7,8,9},1),"0123456789")))=0),"OK","Wrong format"))</f>
        <v/>
      </c>
      <c r="AL807" s="27">
        <f>IF(TRIM(H807)="","",IF(AND(LEN(UPPER(TRIM(H807)))=10,SUMPRODUCT(--ISERROR(FIND(MID(UPPER(TRIM(H807)),{1,2,3,4,10},1),"ABCDEFGHIJKLMNOPQRSTUVWXYZ")))=0,SUMPRODUCT(--ISERROR(FIND(MID(UPPER(TRIM(H807)),{5,6,7,8,9},1),"0123456789")))=0),"OK","Wrong format"))</f>
        <v/>
      </c>
      <c r="AM807" s="28">
        <f>IF(NOT(COUNTA(A807:AE807)&gt;0),"",IF(AS807&lt;&gt;"","✖ "&amp;LEFT(AS807,LEN(AS807)-2),IF(AR807&gt;0,"✔ Ready — client + "&amp;AR807&amp;" service(s)","✔ Ready — client only")))</f>
        <v/>
      </c>
      <c r="AN807" s="29">
        <f>UPPER(SUBSTITUTE(TRIM(F807)," ",""))</f>
        <v/>
      </c>
      <c r="AO807" s="29">
        <f>UPPER(SUBSTITUTE(TRIM(E807)," ",""))</f>
        <v/>
      </c>
      <c r="AP807" s="29">
        <f>IF(D807&lt;&gt;"",D807,IFERROR(VLOOKUP(MID(AG807,4,1),Lists!$E$2:$F$8,2,FALSE),""))</f>
        <v/>
      </c>
      <c r="AQ807" s="29">
        <f>IFERROR(VLOOKUP(AP807,Lists!$A$2:$C$12,3,FALSE),"")</f>
        <v/>
      </c>
      <c r="AR807" s="29">
        <f>COUNTIF(W807:AC807,"Yes")</f>
        <v/>
      </c>
      <c r="AS807" s="29">
        <f>IF(TRIM(B807)="","Legal name missing; ","")&amp;IF(AND(AJ807&lt;&gt;"",AJ807&lt;&gt;"OK"),"GSTIN: "&amp;AJ807&amp;"; ","")&amp;IF(AND(AK807&lt;&gt;"",AK807&lt;&gt;"OK"),"PAN wrong format; ","")&amp;IF(AND(AO807&lt;&gt;"",LEN(AN807)=15,MID(AN807,3,10)&lt;&gt;AO807),"PAN does not match GSTIN; ","")&amp;IF(AND(AL807&lt;&gt;"",AL807&lt;&gt;"OK"),"TAN wrong format; ","")&amp;IF(AG807="","PAN missing; ","")&amp;IF(AP807="","Entity type missing; ","")&amp;IF(AND(AN807&lt;&gt;"",COUNTIF($AN$6:$AN$1005,AN807)&gt;1),"GSTIN repeated in this sheet; ","")&amp;IF(AND(AG807&lt;&gt;"",COUNTIF($AG$6:$AG$1005,AG807)&gt;1),"PAN repeated in this sheet (same client? put extra GSTINs in Other GSTINs); ","")&amp;IF(AND(AR807&gt;0,V807=""),"Financial year missing; ","")&amp;IF(AND(AR807=0,V807&lt;&gt;""),"Financial year given but no service is Yes; ","")&amp;IF(AND(W807="Yes",AN807=""),"GST needs a GSTIN; ","")&amp;IF(AND(W807="Yes",X807=""),"GST return frequency missing; ","")&amp;IF(AND(Y807="Yes",TRIM(H807)=""),"TDS needs a TAN; ","")&amp;IF(AND(AA807="Yes",AQ807&lt;&gt;"",AQ807&lt;&gt;"company",AQ807&lt;&gt;"llp"),"ROC is only for a company / LLP; ","")&amp;IF(AND(AA807="Yes",OR(AQ807="company",AQ807="llp"),TRIM(I807)=""),"ROC needs the CIN / LLPIN; ","")</f>
        <v/>
      </c>
    </row>
    <row r="808">
      <c r="A808" s="30" t="n"/>
      <c r="B808" s="31" t="n"/>
      <c r="C808" s="31" t="n"/>
      <c r="D808" s="31" t="n"/>
      <c r="E808" s="30" t="n"/>
      <c r="F808" s="30" t="n"/>
      <c r="G808" s="30" t="n"/>
      <c r="H808" s="30" t="n"/>
      <c r="I808" s="30" t="n"/>
      <c r="J808" s="32" t="n"/>
      <c r="K808" s="31" t="n"/>
      <c r="L808" s="30" t="n"/>
      <c r="M808" s="31" t="n"/>
      <c r="N808" s="31" t="n"/>
      <c r="O808" s="31" t="n"/>
      <c r="P808" s="30" t="n"/>
      <c r="Q808" s="31" t="n"/>
      <c r="R808" s="31" t="n"/>
      <c r="S808" s="31" t="n"/>
      <c r="T808" s="31" t="n"/>
      <c r="U808" s="30" t="n"/>
      <c r="V808" s="31" t="n"/>
      <c r="W808" s="31" t="n"/>
      <c r="X808" s="31" t="n"/>
      <c r="Y808" s="31" t="n"/>
      <c r="Z808" s="31" t="n"/>
      <c r="AA808" s="31" t="n"/>
      <c r="AB808" s="31" t="n"/>
      <c r="AC808" s="31" t="n"/>
      <c r="AD808" s="31" t="n"/>
      <c r="AE808" s="31" t="n"/>
      <c r="AF808" s="27">
        <f>IF(NOT(COUNTA(A808:AE808)&gt;0),"",IF(A808="","New client","Update"))</f>
        <v/>
      </c>
      <c r="AG808" s="27">
        <f>IF(AO808&lt;&gt;"",AO808,IF(LEN(AN808)=15,MID(AN808,3,10),""))</f>
        <v/>
      </c>
      <c r="AH808" s="27">
        <f>IF(AP808="","",AP808&amp;IF(D808="","  (guessed from PAN)",""))</f>
        <v/>
      </c>
      <c r="AI808" s="27">
        <f>IF(AN808="","",IFERROR(INDEX(Lists!$L$2:$L$38,MATCH(LEFT(AN808,2),Lists!$K$2:$K$38,0)),"Unknown code"))</f>
        <v/>
      </c>
      <c r="AJ808" s="27">
        <f>IF(AN808="","",IFERROR(IF(NOT(AND(LEN(AN808)=15,ISNUMBER(MATCH(LEFT(AN808,2),Lists!$K$2:$K$38,0)),SUMPRODUCT(--ISERROR(FIND(MID(MID(AN808,3,10),{1,2,3,4,5,10},1),"ABCDEFGHIJKLMNOPQRSTUVWXYZ")))=0,SUMPRODUCT(--ISERROR(FIND(MID(MID(AN808,3,10),{6,7,8,9},1),"0123456789")))=0,ISNUMBER(FIND(MID(AN808,13,1),"123456789ABCDEFGHIJKLMNOPQRSTUVWXYZ")),MID(AN808,14,1)="Z")),"Wrong format",IF(MID("0123456789ABCDEFGHIJKLMNOPQRSTUVWXYZ",MOD(36-MOD(SUMPRODUCT(INT((FIND(MID(AN808,{1,2,3,4,5,6,7,8,9,10,11,12,13,14},1),"0123456789ABCDEFGHIJKLMNOPQRSTUVWXYZ")-1)*{1,2,1,2,1,2,1,2,1,2,1,2,1,2}/36)+MOD((FIND(MID(AN808,{1,2,3,4,5,6,7,8,9,10,11,12,13,14},1),"0123456789ABCDEFGHIJKLMNOPQRSTUVWXYZ")-1)*{1,2,1,2,1,2,1,2,1,2,1,2,1,2},36)),36),36)+1,1)=MID(AN808,15,1),"OK","Typo? check digit wrong")),"Wrong format"))</f>
        <v/>
      </c>
      <c r="AK808" s="27">
        <f>IF(AO808="","",IF(AND(LEN(AO808)=10,SUMPRODUCT(--ISERROR(FIND(MID(AO808,{1,2,3,4,5,10},1),"ABCDEFGHIJKLMNOPQRSTUVWXYZ")))=0,SUMPRODUCT(--ISERROR(FIND(MID(AO808,{6,7,8,9},1),"0123456789")))=0),"OK","Wrong format"))</f>
        <v/>
      </c>
      <c r="AL808" s="27">
        <f>IF(TRIM(H808)="","",IF(AND(LEN(UPPER(TRIM(H808)))=10,SUMPRODUCT(--ISERROR(FIND(MID(UPPER(TRIM(H808)),{1,2,3,4,10},1),"ABCDEFGHIJKLMNOPQRSTUVWXYZ")))=0,SUMPRODUCT(--ISERROR(FIND(MID(UPPER(TRIM(H808)),{5,6,7,8,9},1),"0123456789")))=0),"OK","Wrong format"))</f>
        <v/>
      </c>
      <c r="AM808" s="28">
        <f>IF(NOT(COUNTA(A808:AE808)&gt;0),"",IF(AS808&lt;&gt;"","✖ "&amp;LEFT(AS808,LEN(AS808)-2),IF(AR808&gt;0,"✔ Ready — client + "&amp;AR808&amp;" service(s)","✔ Ready — client only")))</f>
        <v/>
      </c>
      <c r="AN808" s="29">
        <f>UPPER(SUBSTITUTE(TRIM(F808)," ",""))</f>
        <v/>
      </c>
      <c r="AO808" s="29">
        <f>UPPER(SUBSTITUTE(TRIM(E808)," ",""))</f>
        <v/>
      </c>
      <c r="AP808" s="29">
        <f>IF(D808&lt;&gt;"",D808,IFERROR(VLOOKUP(MID(AG808,4,1),Lists!$E$2:$F$8,2,FALSE),""))</f>
        <v/>
      </c>
      <c r="AQ808" s="29">
        <f>IFERROR(VLOOKUP(AP808,Lists!$A$2:$C$12,3,FALSE),"")</f>
        <v/>
      </c>
      <c r="AR808" s="29">
        <f>COUNTIF(W808:AC808,"Yes")</f>
        <v/>
      </c>
      <c r="AS808" s="29">
        <f>IF(TRIM(B808)="","Legal name missing; ","")&amp;IF(AND(AJ808&lt;&gt;"",AJ808&lt;&gt;"OK"),"GSTIN: "&amp;AJ808&amp;"; ","")&amp;IF(AND(AK808&lt;&gt;"",AK808&lt;&gt;"OK"),"PAN wrong format; ","")&amp;IF(AND(AO808&lt;&gt;"",LEN(AN808)=15,MID(AN808,3,10)&lt;&gt;AO808),"PAN does not match GSTIN; ","")&amp;IF(AND(AL808&lt;&gt;"",AL808&lt;&gt;"OK"),"TAN wrong format; ","")&amp;IF(AG808="","PAN missing; ","")&amp;IF(AP808="","Entity type missing; ","")&amp;IF(AND(AN808&lt;&gt;"",COUNTIF($AN$6:$AN$1005,AN808)&gt;1),"GSTIN repeated in this sheet; ","")&amp;IF(AND(AG808&lt;&gt;"",COUNTIF($AG$6:$AG$1005,AG808)&gt;1),"PAN repeated in this sheet (same client? put extra GSTINs in Other GSTINs); ","")&amp;IF(AND(AR808&gt;0,V808=""),"Financial year missing; ","")&amp;IF(AND(AR808=0,V808&lt;&gt;""),"Financial year given but no service is Yes; ","")&amp;IF(AND(W808="Yes",AN808=""),"GST needs a GSTIN; ","")&amp;IF(AND(W808="Yes",X808=""),"GST return frequency missing; ","")&amp;IF(AND(Y808="Yes",TRIM(H808)=""),"TDS needs a TAN; ","")&amp;IF(AND(AA808="Yes",AQ808&lt;&gt;"",AQ808&lt;&gt;"company",AQ808&lt;&gt;"llp"),"ROC is only for a company / LLP; ","")&amp;IF(AND(AA808="Yes",OR(AQ808="company",AQ808="llp"),TRIM(I808)=""),"ROC needs the CIN / LLPIN; ","")</f>
        <v/>
      </c>
    </row>
    <row r="809">
      <c r="A809" s="30" t="n"/>
      <c r="B809" s="31" t="n"/>
      <c r="C809" s="31" t="n"/>
      <c r="D809" s="31" t="n"/>
      <c r="E809" s="30" t="n"/>
      <c r="F809" s="30" t="n"/>
      <c r="G809" s="30" t="n"/>
      <c r="H809" s="30" t="n"/>
      <c r="I809" s="30" t="n"/>
      <c r="J809" s="32" t="n"/>
      <c r="K809" s="31" t="n"/>
      <c r="L809" s="30" t="n"/>
      <c r="M809" s="31" t="n"/>
      <c r="N809" s="31" t="n"/>
      <c r="O809" s="31" t="n"/>
      <c r="P809" s="30" t="n"/>
      <c r="Q809" s="31" t="n"/>
      <c r="R809" s="31" t="n"/>
      <c r="S809" s="31" t="n"/>
      <c r="T809" s="31" t="n"/>
      <c r="U809" s="30" t="n"/>
      <c r="V809" s="31" t="n"/>
      <c r="W809" s="31" t="n"/>
      <c r="X809" s="31" t="n"/>
      <c r="Y809" s="31" t="n"/>
      <c r="Z809" s="31" t="n"/>
      <c r="AA809" s="31" t="n"/>
      <c r="AB809" s="31" t="n"/>
      <c r="AC809" s="31" t="n"/>
      <c r="AD809" s="31" t="n"/>
      <c r="AE809" s="31" t="n"/>
      <c r="AF809" s="27">
        <f>IF(NOT(COUNTA(A809:AE809)&gt;0),"",IF(A809="","New client","Update"))</f>
        <v/>
      </c>
      <c r="AG809" s="27">
        <f>IF(AO809&lt;&gt;"",AO809,IF(LEN(AN809)=15,MID(AN809,3,10),""))</f>
        <v/>
      </c>
      <c r="AH809" s="27">
        <f>IF(AP809="","",AP809&amp;IF(D809="","  (guessed from PAN)",""))</f>
        <v/>
      </c>
      <c r="AI809" s="27">
        <f>IF(AN809="","",IFERROR(INDEX(Lists!$L$2:$L$38,MATCH(LEFT(AN809,2),Lists!$K$2:$K$38,0)),"Unknown code"))</f>
        <v/>
      </c>
      <c r="AJ809" s="27">
        <f>IF(AN809="","",IFERROR(IF(NOT(AND(LEN(AN809)=15,ISNUMBER(MATCH(LEFT(AN809,2),Lists!$K$2:$K$38,0)),SUMPRODUCT(--ISERROR(FIND(MID(MID(AN809,3,10),{1,2,3,4,5,10},1),"ABCDEFGHIJKLMNOPQRSTUVWXYZ")))=0,SUMPRODUCT(--ISERROR(FIND(MID(MID(AN809,3,10),{6,7,8,9},1),"0123456789")))=0,ISNUMBER(FIND(MID(AN809,13,1),"123456789ABCDEFGHIJKLMNOPQRSTUVWXYZ")),MID(AN809,14,1)="Z")),"Wrong format",IF(MID("0123456789ABCDEFGHIJKLMNOPQRSTUVWXYZ",MOD(36-MOD(SUMPRODUCT(INT((FIND(MID(AN809,{1,2,3,4,5,6,7,8,9,10,11,12,13,14},1),"0123456789ABCDEFGHIJKLMNOPQRSTUVWXYZ")-1)*{1,2,1,2,1,2,1,2,1,2,1,2,1,2}/36)+MOD((FIND(MID(AN809,{1,2,3,4,5,6,7,8,9,10,11,12,13,14},1),"0123456789ABCDEFGHIJKLMNOPQRSTUVWXYZ")-1)*{1,2,1,2,1,2,1,2,1,2,1,2,1,2},36)),36),36)+1,1)=MID(AN809,15,1),"OK","Typo? check digit wrong")),"Wrong format"))</f>
        <v/>
      </c>
      <c r="AK809" s="27">
        <f>IF(AO809="","",IF(AND(LEN(AO809)=10,SUMPRODUCT(--ISERROR(FIND(MID(AO809,{1,2,3,4,5,10},1),"ABCDEFGHIJKLMNOPQRSTUVWXYZ")))=0,SUMPRODUCT(--ISERROR(FIND(MID(AO809,{6,7,8,9},1),"0123456789")))=0),"OK","Wrong format"))</f>
        <v/>
      </c>
      <c r="AL809" s="27">
        <f>IF(TRIM(H809)="","",IF(AND(LEN(UPPER(TRIM(H809)))=10,SUMPRODUCT(--ISERROR(FIND(MID(UPPER(TRIM(H809)),{1,2,3,4,10},1),"ABCDEFGHIJKLMNOPQRSTUVWXYZ")))=0,SUMPRODUCT(--ISERROR(FIND(MID(UPPER(TRIM(H809)),{5,6,7,8,9},1),"0123456789")))=0),"OK","Wrong format"))</f>
        <v/>
      </c>
      <c r="AM809" s="28">
        <f>IF(NOT(COUNTA(A809:AE809)&gt;0),"",IF(AS809&lt;&gt;"","✖ "&amp;LEFT(AS809,LEN(AS809)-2),IF(AR809&gt;0,"✔ Ready — client + "&amp;AR809&amp;" service(s)","✔ Ready — client only")))</f>
        <v/>
      </c>
      <c r="AN809" s="29">
        <f>UPPER(SUBSTITUTE(TRIM(F809)," ",""))</f>
        <v/>
      </c>
      <c r="AO809" s="29">
        <f>UPPER(SUBSTITUTE(TRIM(E809)," ",""))</f>
        <v/>
      </c>
      <c r="AP809" s="29">
        <f>IF(D809&lt;&gt;"",D809,IFERROR(VLOOKUP(MID(AG809,4,1),Lists!$E$2:$F$8,2,FALSE),""))</f>
        <v/>
      </c>
      <c r="AQ809" s="29">
        <f>IFERROR(VLOOKUP(AP809,Lists!$A$2:$C$12,3,FALSE),"")</f>
        <v/>
      </c>
      <c r="AR809" s="29">
        <f>COUNTIF(W809:AC809,"Yes")</f>
        <v/>
      </c>
      <c r="AS809" s="29">
        <f>IF(TRIM(B809)="","Legal name missing; ","")&amp;IF(AND(AJ809&lt;&gt;"",AJ809&lt;&gt;"OK"),"GSTIN: "&amp;AJ809&amp;"; ","")&amp;IF(AND(AK809&lt;&gt;"",AK809&lt;&gt;"OK"),"PAN wrong format; ","")&amp;IF(AND(AO809&lt;&gt;"",LEN(AN809)=15,MID(AN809,3,10)&lt;&gt;AO809),"PAN does not match GSTIN; ","")&amp;IF(AND(AL809&lt;&gt;"",AL809&lt;&gt;"OK"),"TAN wrong format; ","")&amp;IF(AG809="","PAN missing; ","")&amp;IF(AP809="","Entity type missing; ","")&amp;IF(AND(AN809&lt;&gt;"",COUNTIF($AN$6:$AN$1005,AN809)&gt;1),"GSTIN repeated in this sheet; ","")&amp;IF(AND(AG809&lt;&gt;"",COUNTIF($AG$6:$AG$1005,AG809)&gt;1),"PAN repeated in this sheet (same client? put extra GSTINs in Other GSTINs); ","")&amp;IF(AND(AR809&gt;0,V809=""),"Financial year missing; ","")&amp;IF(AND(AR809=0,V809&lt;&gt;""),"Financial year given but no service is Yes; ","")&amp;IF(AND(W809="Yes",AN809=""),"GST needs a GSTIN; ","")&amp;IF(AND(W809="Yes",X809=""),"GST return frequency missing; ","")&amp;IF(AND(Y809="Yes",TRIM(H809)=""),"TDS needs a TAN; ","")&amp;IF(AND(AA809="Yes",AQ809&lt;&gt;"",AQ809&lt;&gt;"company",AQ809&lt;&gt;"llp"),"ROC is only for a company / LLP; ","")&amp;IF(AND(AA809="Yes",OR(AQ809="company",AQ809="llp"),TRIM(I809)=""),"ROC needs the CIN / LLPIN; ","")</f>
        <v/>
      </c>
    </row>
    <row r="810">
      <c r="A810" s="30" t="n"/>
      <c r="B810" s="31" t="n"/>
      <c r="C810" s="31" t="n"/>
      <c r="D810" s="31" t="n"/>
      <c r="E810" s="30" t="n"/>
      <c r="F810" s="30" t="n"/>
      <c r="G810" s="30" t="n"/>
      <c r="H810" s="30" t="n"/>
      <c r="I810" s="30" t="n"/>
      <c r="J810" s="32" t="n"/>
      <c r="K810" s="31" t="n"/>
      <c r="L810" s="30" t="n"/>
      <c r="M810" s="31" t="n"/>
      <c r="N810" s="31" t="n"/>
      <c r="O810" s="31" t="n"/>
      <c r="P810" s="30" t="n"/>
      <c r="Q810" s="31" t="n"/>
      <c r="R810" s="31" t="n"/>
      <c r="S810" s="31" t="n"/>
      <c r="T810" s="31" t="n"/>
      <c r="U810" s="30" t="n"/>
      <c r="V810" s="31" t="n"/>
      <c r="W810" s="31" t="n"/>
      <c r="X810" s="31" t="n"/>
      <c r="Y810" s="31" t="n"/>
      <c r="Z810" s="31" t="n"/>
      <c r="AA810" s="31" t="n"/>
      <c r="AB810" s="31" t="n"/>
      <c r="AC810" s="31" t="n"/>
      <c r="AD810" s="31" t="n"/>
      <c r="AE810" s="31" t="n"/>
      <c r="AF810" s="27">
        <f>IF(NOT(COUNTA(A810:AE810)&gt;0),"",IF(A810="","New client","Update"))</f>
        <v/>
      </c>
      <c r="AG810" s="27">
        <f>IF(AO810&lt;&gt;"",AO810,IF(LEN(AN810)=15,MID(AN810,3,10),""))</f>
        <v/>
      </c>
      <c r="AH810" s="27">
        <f>IF(AP810="","",AP810&amp;IF(D810="","  (guessed from PAN)",""))</f>
        <v/>
      </c>
      <c r="AI810" s="27">
        <f>IF(AN810="","",IFERROR(INDEX(Lists!$L$2:$L$38,MATCH(LEFT(AN810,2),Lists!$K$2:$K$38,0)),"Unknown code"))</f>
        <v/>
      </c>
      <c r="AJ810" s="27">
        <f>IF(AN810="","",IFERROR(IF(NOT(AND(LEN(AN810)=15,ISNUMBER(MATCH(LEFT(AN810,2),Lists!$K$2:$K$38,0)),SUMPRODUCT(--ISERROR(FIND(MID(MID(AN810,3,10),{1,2,3,4,5,10},1),"ABCDEFGHIJKLMNOPQRSTUVWXYZ")))=0,SUMPRODUCT(--ISERROR(FIND(MID(MID(AN810,3,10),{6,7,8,9},1),"0123456789")))=0,ISNUMBER(FIND(MID(AN810,13,1),"123456789ABCDEFGHIJKLMNOPQRSTUVWXYZ")),MID(AN810,14,1)="Z")),"Wrong format",IF(MID("0123456789ABCDEFGHIJKLMNOPQRSTUVWXYZ",MOD(36-MOD(SUMPRODUCT(INT((FIND(MID(AN810,{1,2,3,4,5,6,7,8,9,10,11,12,13,14},1),"0123456789ABCDEFGHIJKLMNOPQRSTUVWXYZ")-1)*{1,2,1,2,1,2,1,2,1,2,1,2,1,2}/36)+MOD((FIND(MID(AN810,{1,2,3,4,5,6,7,8,9,10,11,12,13,14},1),"0123456789ABCDEFGHIJKLMNOPQRSTUVWXYZ")-1)*{1,2,1,2,1,2,1,2,1,2,1,2,1,2},36)),36),36)+1,1)=MID(AN810,15,1),"OK","Typo? check digit wrong")),"Wrong format"))</f>
        <v/>
      </c>
      <c r="AK810" s="27">
        <f>IF(AO810="","",IF(AND(LEN(AO810)=10,SUMPRODUCT(--ISERROR(FIND(MID(AO810,{1,2,3,4,5,10},1),"ABCDEFGHIJKLMNOPQRSTUVWXYZ")))=0,SUMPRODUCT(--ISERROR(FIND(MID(AO810,{6,7,8,9},1),"0123456789")))=0),"OK","Wrong format"))</f>
        <v/>
      </c>
      <c r="AL810" s="27">
        <f>IF(TRIM(H810)="","",IF(AND(LEN(UPPER(TRIM(H810)))=10,SUMPRODUCT(--ISERROR(FIND(MID(UPPER(TRIM(H810)),{1,2,3,4,10},1),"ABCDEFGHIJKLMNOPQRSTUVWXYZ")))=0,SUMPRODUCT(--ISERROR(FIND(MID(UPPER(TRIM(H810)),{5,6,7,8,9},1),"0123456789")))=0),"OK","Wrong format"))</f>
        <v/>
      </c>
      <c r="AM810" s="28">
        <f>IF(NOT(COUNTA(A810:AE810)&gt;0),"",IF(AS810&lt;&gt;"","✖ "&amp;LEFT(AS810,LEN(AS810)-2),IF(AR810&gt;0,"✔ Ready — client + "&amp;AR810&amp;" service(s)","✔ Ready — client only")))</f>
        <v/>
      </c>
      <c r="AN810" s="29">
        <f>UPPER(SUBSTITUTE(TRIM(F810)," ",""))</f>
        <v/>
      </c>
      <c r="AO810" s="29">
        <f>UPPER(SUBSTITUTE(TRIM(E810)," ",""))</f>
        <v/>
      </c>
      <c r="AP810" s="29">
        <f>IF(D810&lt;&gt;"",D810,IFERROR(VLOOKUP(MID(AG810,4,1),Lists!$E$2:$F$8,2,FALSE),""))</f>
        <v/>
      </c>
      <c r="AQ810" s="29">
        <f>IFERROR(VLOOKUP(AP810,Lists!$A$2:$C$12,3,FALSE),"")</f>
        <v/>
      </c>
      <c r="AR810" s="29">
        <f>COUNTIF(W810:AC810,"Yes")</f>
        <v/>
      </c>
      <c r="AS810" s="29">
        <f>IF(TRIM(B810)="","Legal name missing; ","")&amp;IF(AND(AJ810&lt;&gt;"",AJ810&lt;&gt;"OK"),"GSTIN: "&amp;AJ810&amp;"; ","")&amp;IF(AND(AK810&lt;&gt;"",AK810&lt;&gt;"OK"),"PAN wrong format; ","")&amp;IF(AND(AO810&lt;&gt;"",LEN(AN810)=15,MID(AN810,3,10)&lt;&gt;AO810),"PAN does not match GSTIN; ","")&amp;IF(AND(AL810&lt;&gt;"",AL810&lt;&gt;"OK"),"TAN wrong format; ","")&amp;IF(AG810="","PAN missing; ","")&amp;IF(AP810="","Entity type missing; ","")&amp;IF(AND(AN810&lt;&gt;"",COUNTIF($AN$6:$AN$1005,AN810)&gt;1),"GSTIN repeated in this sheet; ","")&amp;IF(AND(AG810&lt;&gt;"",COUNTIF($AG$6:$AG$1005,AG810)&gt;1),"PAN repeated in this sheet (same client? put extra GSTINs in Other GSTINs); ","")&amp;IF(AND(AR810&gt;0,V810=""),"Financial year missing; ","")&amp;IF(AND(AR810=0,V810&lt;&gt;""),"Financial year given but no service is Yes; ","")&amp;IF(AND(W810="Yes",AN810=""),"GST needs a GSTIN; ","")&amp;IF(AND(W810="Yes",X810=""),"GST return frequency missing; ","")&amp;IF(AND(Y810="Yes",TRIM(H810)=""),"TDS needs a TAN; ","")&amp;IF(AND(AA810="Yes",AQ810&lt;&gt;"",AQ810&lt;&gt;"company",AQ810&lt;&gt;"llp"),"ROC is only for a company / LLP; ","")&amp;IF(AND(AA810="Yes",OR(AQ810="company",AQ810="llp"),TRIM(I810)=""),"ROC needs the CIN / LLPIN; ","")</f>
        <v/>
      </c>
    </row>
    <row r="811">
      <c r="A811" s="30" t="n"/>
      <c r="B811" s="31" t="n"/>
      <c r="C811" s="31" t="n"/>
      <c r="D811" s="31" t="n"/>
      <c r="E811" s="30" t="n"/>
      <c r="F811" s="30" t="n"/>
      <c r="G811" s="30" t="n"/>
      <c r="H811" s="30" t="n"/>
      <c r="I811" s="30" t="n"/>
      <c r="J811" s="32" t="n"/>
      <c r="K811" s="31" t="n"/>
      <c r="L811" s="30" t="n"/>
      <c r="M811" s="31" t="n"/>
      <c r="N811" s="31" t="n"/>
      <c r="O811" s="31" t="n"/>
      <c r="P811" s="30" t="n"/>
      <c r="Q811" s="31" t="n"/>
      <c r="R811" s="31" t="n"/>
      <c r="S811" s="31" t="n"/>
      <c r="T811" s="31" t="n"/>
      <c r="U811" s="30" t="n"/>
      <c r="V811" s="31" t="n"/>
      <c r="W811" s="31" t="n"/>
      <c r="X811" s="31" t="n"/>
      <c r="Y811" s="31" t="n"/>
      <c r="Z811" s="31" t="n"/>
      <c r="AA811" s="31" t="n"/>
      <c r="AB811" s="31" t="n"/>
      <c r="AC811" s="31" t="n"/>
      <c r="AD811" s="31" t="n"/>
      <c r="AE811" s="31" t="n"/>
      <c r="AF811" s="27">
        <f>IF(NOT(COUNTA(A811:AE811)&gt;0),"",IF(A811="","New client","Update"))</f>
        <v/>
      </c>
      <c r="AG811" s="27">
        <f>IF(AO811&lt;&gt;"",AO811,IF(LEN(AN811)=15,MID(AN811,3,10),""))</f>
        <v/>
      </c>
      <c r="AH811" s="27">
        <f>IF(AP811="","",AP811&amp;IF(D811="","  (guessed from PAN)",""))</f>
        <v/>
      </c>
      <c r="AI811" s="27">
        <f>IF(AN811="","",IFERROR(INDEX(Lists!$L$2:$L$38,MATCH(LEFT(AN811,2),Lists!$K$2:$K$38,0)),"Unknown code"))</f>
        <v/>
      </c>
      <c r="AJ811" s="27">
        <f>IF(AN811="","",IFERROR(IF(NOT(AND(LEN(AN811)=15,ISNUMBER(MATCH(LEFT(AN811,2),Lists!$K$2:$K$38,0)),SUMPRODUCT(--ISERROR(FIND(MID(MID(AN811,3,10),{1,2,3,4,5,10},1),"ABCDEFGHIJKLMNOPQRSTUVWXYZ")))=0,SUMPRODUCT(--ISERROR(FIND(MID(MID(AN811,3,10),{6,7,8,9},1),"0123456789")))=0,ISNUMBER(FIND(MID(AN811,13,1),"123456789ABCDEFGHIJKLMNOPQRSTUVWXYZ")),MID(AN811,14,1)="Z")),"Wrong format",IF(MID("0123456789ABCDEFGHIJKLMNOPQRSTUVWXYZ",MOD(36-MOD(SUMPRODUCT(INT((FIND(MID(AN811,{1,2,3,4,5,6,7,8,9,10,11,12,13,14},1),"0123456789ABCDEFGHIJKLMNOPQRSTUVWXYZ")-1)*{1,2,1,2,1,2,1,2,1,2,1,2,1,2}/36)+MOD((FIND(MID(AN811,{1,2,3,4,5,6,7,8,9,10,11,12,13,14},1),"0123456789ABCDEFGHIJKLMNOPQRSTUVWXYZ")-1)*{1,2,1,2,1,2,1,2,1,2,1,2,1,2},36)),36),36)+1,1)=MID(AN811,15,1),"OK","Typo? check digit wrong")),"Wrong format"))</f>
        <v/>
      </c>
      <c r="AK811" s="27">
        <f>IF(AO811="","",IF(AND(LEN(AO811)=10,SUMPRODUCT(--ISERROR(FIND(MID(AO811,{1,2,3,4,5,10},1),"ABCDEFGHIJKLMNOPQRSTUVWXYZ")))=0,SUMPRODUCT(--ISERROR(FIND(MID(AO811,{6,7,8,9},1),"0123456789")))=0),"OK","Wrong format"))</f>
        <v/>
      </c>
      <c r="AL811" s="27">
        <f>IF(TRIM(H811)="","",IF(AND(LEN(UPPER(TRIM(H811)))=10,SUMPRODUCT(--ISERROR(FIND(MID(UPPER(TRIM(H811)),{1,2,3,4,10},1),"ABCDEFGHIJKLMNOPQRSTUVWXYZ")))=0,SUMPRODUCT(--ISERROR(FIND(MID(UPPER(TRIM(H811)),{5,6,7,8,9},1),"0123456789")))=0),"OK","Wrong format"))</f>
        <v/>
      </c>
      <c r="AM811" s="28">
        <f>IF(NOT(COUNTA(A811:AE811)&gt;0),"",IF(AS811&lt;&gt;"","✖ "&amp;LEFT(AS811,LEN(AS811)-2),IF(AR811&gt;0,"✔ Ready — client + "&amp;AR811&amp;" service(s)","✔ Ready — client only")))</f>
        <v/>
      </c>
      <c r="AN811" s="29">
        <f>UPPER(SUBSTITUTE(TRIM(F811)," ",""))</f>
        <v/>
      </c>
      <c r="AO811" s="29">
        <f>UPPER(SUBSTITUTE(TRIM(E811)," ",""))</f>
        <v/>
      </c>
      <c r="AP811" s="29">
        <f>IF(D811&lt;&gt;"",D811,IFERROR(VLOOKUP(MID(AG811,4,1),Lists!$E$2:$F$8,2,FALSE),""))</f>
        <v/>
      </c>
      <c r="AQ811" s="29">
        <f>IFERROR(VLOOKUP(AP811,Lists!$A$2:$C$12,3,FALSE),"")</f>
        <v/>
      </c>
      <c r="AR811" s="29">
        <f>COUNTIF(W811:AC811,"Yes")</f>
        <v/>
      </c>
      <c r="AS811" s="29">
        <f>IF(TRIM(B811)="","Legal name missing; ","")&amp;IF(AND(AJ811&lt;&gt;"",AJ811&lt;&gt;"OK"),"GSTIN: "&amp;AJ811&amp;"; ","")&amp;IF(AND(AK811&lt;&gt;"",AK811&lt;&gt;"OK"),"PAN wrong format; ","")&amp;IF(AND(AO811&lt;&gt;"",LEN(AN811)=15,MID(AN811,3,10)&lt;&gt;AO811),"PAN does not match GSTIN; ","")&amp;IF(AND(AL811&lt;&gt;"",AL811&lt;&gt;"OK"),"TAN wrong format; ","")&amp;IF(AG811="","PAN missing; ","")&amp;IF(AP811="","Entity type missing; ","")&amp;IF(AND(AN811&lt;&gt;"",COUNTIF($AN$6:$AN$1005,AN811)&gt;1),"GSTIN repeated in this sheet; ","")&amp;IF(AND(AG811&lt;&gt;"",COUNTIF($AG$6:$AG$1005,AG811)&gt;1),"PAN repeated in this sheet (same client? put extra GSTINs in Other GSTINs); ","")&amp;IF(AND(AR811&gt;0,V811=""),"Financial year missing; ","")&amp;IF(AND(AR811=0,V811&lt;&gt;""),"Financial year given but no service is Yes; ","")&amp;IF(AND(W811="Yes",AN811=""),"GST needs a GSTIN; ","")&amp;IF(AND(W811="Yes",X811=""),"GST return frequency missing; ","")&amp;IF(AND(Y811="Yes",TRIM(H811)=""),"TDS needs a TAN; ","")&amp;IF(AND(AA811="Yes",AQ811&lt;&gt;"",AQ811&lt;&gt;"company",AQ811&lt;&gt;"llp"),"ROC is only for a company / LLP; ","")&amp;IF(AND(AA811="Yes",OR(AQ811="company",AQ811="llp"),TRIM(I811)=""),"ROC needs the CIN / LLPIN; ","")</f>
        <v/>
      </c>
    </row>
    <row r="812">
      <c r="A812" s="30" t="n"/>
      <c r="B812" s="31" t="n"/>
      <c r="C812" s="31" t="n"/>
      <c r="D812" s="31" t="n"/>
      <c r="E812" s="30" t="n"/>
      <c r="F812" s="30" t="n"/>
      <c r="G812" s="30" t="n"/>
      <c r="H812" s="30" t="n"/>
      <c r="I812" s="30" t="n"/>
      <c r="J812" s="32" t="n"/>
      <c r="K812" s="31" t="n"/>
      <c r="L812" s="30" t="n"/>
      <c r="M812" s="31" t="n"/>
      <c r="N812" s="31" t="n"/>
      <c r="O812" s="31" t="n"/>
      <c r="P812" s="30" t="n"/>
      <c r="Q812" s="31" t="n"/>
      <c r="R812" s="31" t="n"/>
      <c r="S812" s="31" t="n"/>
      <c r="T812" s="31" t="n"/>
      <c r="U812" s="30" t="n"/>
      <c r="V812" s="31" t="n"/>
      <c r="W812" s="31" t="n"/>
      <c r="X812" s="31" t="n"/>
      <c r="Y812" s="31" t="n"/>
      <c r="Z812" s="31" t="n"/>
      <c r="AA812" s="31" t="n"/>
      <c r="AB812" s="31" t="n"/>
      <c r="AC812" s="31" t="n"/>
      <c r="AD812" s="31" t="n"/>
      <c r="AE812" s="31" t="n"/>
      <c r="AF812" s="27">
        <f>IF(NOT(COUNTA(A812:AE812)&gt;0),"",IF(A812="","New client","Update"))</f>
        <v/>
      </c>
      <c r="AG812" s="27">
        <f>IF(AO812&lt;&gt;"",AO812,IF(LEN(AN812)=15,MID(AN812,3,10),""))</f>
        <v/>
      </c>
      <c r="AH812" s="27">
        <f>IF(AP812="","",AP812&amp;IF(D812="","  (guessed from PAN)",""))</f>
        <v/>
      </c>
      <c r="AI812" s="27">
        <f>IF(AN812="","",IFERROR(INDEX(Lists!$L$2:$L$38,MATCH(LEFT(AN812,2),Lists!$K$2:$K$38,0)),"Unknown code"))</f>
        <v/>
      </c>
      <c r="AJ812" s="27">
        <f>IF(AN812="","",IFERROR(IF(NOT(AND(LEN(AN812)=15,ISNUMBER(MATCH(LEFT(AN812,2),Lists!$K$2:$K$38,0)),SUMPRODUCT(--ISERROR(FIND(MID(MID(AN812,3,10),{1,2,3,4,5,10},1),"ABCDEFGHIJKLMNOPQRSTUVWXYZ")))=0,SUMPRODUCT(--ISERROR(FIND(MID(MID(AN812,3,10),{6,7,8,9},1),"0123456789")))=0,ISNUMBER(FIND(MID(AN812,13,1),"123456789ABCDEFGHIJKLMNOPQRSTUVWXYZ")),MID(AN812,14,1)="Z")),"Wrong format",IF(MID("0123456789ABCDEFGHIJKLMNOPQRSTUVWXYZ",MOD(36-MOD(SUMPRODUCT(INT((FIND(MID(AN812,{1,2,3,4,5,6,7,8,9,10,11,12,13,14},1),"0123456789ABCDEFGHIJKLMNOPQRSTUVWXYZ")-1)*{1,2,1,2,1,2,1,2,1,2,1,2,1,2}/36)+MOD((FIND(MID(AN812,{1,2,3,4,5,6,7,8,9,10,11,12,13,14},1),"0123456789ABCDEFGHIJKLMNOPQRSTUVWXYZ")-1)*{1,2,1,2,1,2,1,2,1,2,1,2,1,2},36)),36),36)+1,1)=MID(AN812,15,1),"OK","Typo? check digit wrong")),"Wrong format"))</f>
        <v/>
      </c>
      <c r="AK812" s="27">
        <f>IF(AO812="","",IF(AND(LEN(AO812)=10,SUMPRODUCT(--ISERROR(FIND(MID(AO812,{1,2,3,4,5,10},1),"ABCDEFGHIJKLMNOPQRSTUVWXYZ")))=0,SUMPRODUCT(--ISERROR(FIND(MID(AO812,{6,7,8,9},1),"0123456789")))=0),"OK","Wrong format"))</f>
        <v/>
      </c>
      <c r="AL812" s="27">
        <f>IF(TRIM(H812)="","",IF(AND(LEN(UPPER(TRIM(H812)))=10,SUMPRODUCT(--ISERROR(FIND(MID(UPPER(TRIM(H812)),{1,2,3,4,10},1),"ABCDEFGHIJKLMNOPQRSTUVWXYZ")))=0,SUMPRODUCT(--ISERROR(FIND(MID(UPPER(TRIM(H812)),{5,6,7,8,9},1),"0123456789")))=0),"OK","Wrong format"))</f>
        <v/>
      </c>
      <c r="AM812" s="28">
        <f>IF(NOT(COUNTA(A812:AE812)&gt;0),"",IF(AS812&lt;&gt;"","✖ "&amp;LEFT(AS812,LEN(AS812)-2),IF(AR812&gt;0,"✔ Ready — client + "&amp;AR812&amp;" service(s)","✔ Ready — client only")))</f>
        <v/>
      </c>
      <c r="AN812" s="29">
        <f>UPPER(SUBSTITUTE(TRIM(F812)," ",""))</f>
        <v/>
      </c>
      <c r="AO812" s="29">
        <f>UPPER(SUBSTITUTE(TRIM(E812)," ",""))</f>
        <v/>
      </c>
      <c r="AP812" s="29">
        <f>IF(D812&lt;&gt;"",D812,IFERROR(VLOOKUP(MID(AG812,4,1),Lists!$E$2:$F$8,2,FALSE),""))</f>
        <v/>
      </c>
      <c r="AQ812" s="29">
        <f>IFERROR(VLOOKUP(AP812,Lists!$A$2:$C$12,3,FALSE),"")</f>
        <v/>
      </c>
      <c r="AR812" s="29">
        <f>COUNTIF(W812:AC812,"Yes")</f>
        <v/>
      </c>
      <c r="AS812" s="29">
        <f>IF(TRIM(B812)="","Legal name missing; ","")&amp;IF(AND(AJ812&lt;&gt;"",AJ812&lt;&gt;"OK"),"GSTIN: "&amp;AJ812&amp;"; ","")&amp;IF(AND(AK812&lt;&gt;"",AK812&lt;&gt;"OK"),"PAN wrong format; ","")&amp;IF(AND(AO812&lt;&gt;"",LEN(AN812)=15,MID(AN812,3,10)&lt;&gt;AO812),"PAN does not match GSTIN; ","")&amp;IF(AND(AL812&lt;&gt;"",AL812&lt;&gt;"OK"),"TAN wrong format; ","")&amp;IF(AG812="","PAN missing; ","")&amp;IF(AP812="","Entity type missing; ","")&amp;IF(AND(AN812&lt;&gt;"",COUNTIF($AN$6:$AN$1005,AN812)&gt;1),"GSTIN repeated in this sheet; ","")&amp;IF(AND(AG812&lt;&gt;"",COUNTIF($AG$6:$AG$1005,AG812)&gt;1),"PAN repeated in this sheet (same client? put extra GSTINs in Other GSTINs); ","")&amp;IF(AND(AR812&gt;0,V812=""),"Financial year missing; ","")&amp;IF(AND(AR812=0,V812&lt;&gt;""),"Financial year given but no service is Yes; ","")&amp;IF(AND(W812="Yes",AN812=""),"GST needs a GSTIN; ","")&amp;IF(AND(W812="Yes",X812=""),"GST return frequency missing; ","")&amp;IF(AND(Y812="Yes",TRIM(H812)=""),"TDS needs a TAN; ","")&amp;IF(AND(AA812="Yes",AQ812&lt;&gt;"",AQ812&lt;&gt;"company",AQ812&lt;&gt;"llp"),"ROC is only for a company / LLP; ","")&amp;IF(AND(AA812="Yes",OR(AQ812="company",AQ812="llp"),TRIM(I812)=""),"ROC needs the CIN / LLPIN; ","")</f>
        <v/>
      </c>
    </row>
    <row r="813">
      <c r="A813" s="30" t="n"/>
      <c r="B813" s="31" t="n"/>
      <c r="C813" s="31" t="n"/>
      <c r="D813" s="31" t="n"/>
      <c r="E813" s="30" t="n"/>
      <c r="F813" s="30" t="n"/>
      <c r="G813" s="30" t="n"/>
      <c r="H813" s="30" t="n"/>
      <c r="I813" s="30" t="n"/>
      <c r="J813" s="32" t="n"/>
      <c r="K813" s="31" t="n"/>
      <c r="L813" s="30" t="n"/>
      <c r="M813" s="31" t="n"/>
      <c r="N813" s="31" t="n"/>
      <c r="O813" s="31" t="n"/>
      <c r="P813" s="30" t="n"/>
      <c r="Q813" s="31" t="n"/>
      <c r="R813" s="31" t="n"/>
      <c r="S813" s="31" t="n"/>
      <c r="T813" s="31" t="n"/>
      <c r="U813" s="30" t="n"/>
      <c r="V813" s="31" t="n"/>
      <c r="W813" s="31" t="n"/>
      <c r="X813" s="31" t="n"/>
      <c r="Y813" s="31" t="n"/>
      <c r="Z813" s="31" t="n"/>
      <c r="AA813" s="31" t="n"/>
      <c r="AB813" s="31" t="n"/>
      <c r="AC813" s="31" t="n"/>
      <c r="AD813" s="31" t="n"/>
      <c r="AE813" s="31" t="n"/>
      <c r="AF813" s="27">
        <f>IF(NOT(COUNTA(A813:AE813)&gt;0),"",IF(A813="","New client","Update"))</f>
        <v/>
      </c>
      <c r="AG813" s="27">
        <f>IF(AO813&lt;&gt;"",AO813,IF(LEN(AN813)=15,MID(AN813,3,10),""))</f>
        <v/>
      </c>
      <c r="AH813" s="27">
        <f>IF(AP813="","",AP813&amp;IF(D813="","  (guessed from PAN)",""))</f>
        <v/>
      </c>
      <c r="AI813" s="27">
        <f>IF(AN813="","",IFERROR(INDEX(Lists!$L$2:$L$38,MATCH(LEFT(AN813,2),Lists!$K$2:$K$38,0)),"Unknown code"))</f>
        <v/>
      </c>
      <c r="AJ813" s="27">
        <f>IF(AN813="","",IFERROR(IF(NOT(AND(LEN(AN813)=15,ISNUMBER(MATCH(LEFT(AN813,2),Lists!$K$2:$K$38,0)),SUMPRODUCT(--ISERROR(FIND(MID(MID(AN813,3,10),{1,2,3,4,5,10},1),"ABCDEFGHIJKLMNOPQRSTUVWXYZ")))=0,SUMPRODUCT(--ISERROR(FIND(MID(MID(AN813,3,10),{6,7,8,9},1),"0123456789")))=0,ISNUMBER(FIND(MID(AN813,13,1),"123456789ABCDEFGHIJKLMNOPQRSTUVWXYZ")),MID(AN813,14,1)="Z")),"Wrong format",IF(MID("0123456789ABCDEFGHIJKLMNOPQRSTUVWXYZ",MOD(36-MOD(SUMPRODUCT(INT((FIND(MID(AN813,{1,2,3,4,5,6,7,8,9,10,11,12,13,14},1),"0123456789ABCDEFGHIJKLMNOPQRSTUVWXYZ")-1)*{1,2,1,2,1,2,1,2,1,2,1,2,1,2}/36)+MOD((FIND(MID(AN813,{1,2,3,4,5,6,7,8,9,10,11,12,13,14},1),"0123456789ABCDEFGHIJKLMNOPQRSTUVWXYZ")-1)*{1,2,1,2,1,2,1,2,1,2,1,2,1,2},36)),36),36)+1,1)=MID(AN813,15,1),"OK","Typo? check digit wrong")),"Wrong format"))</f>
        <v/>
      </c>
      <c r="AK813" s="27">
        <f>IF(AO813="","",IF(AND(LEN(AO813)=10,SUMPRODUCT(--ISERROR(FIND(MID(AO813,{1,2,3,4,5,10},1),"ABCDEFGHIJKLMNOPQRSTUVWXYZ")))=0,SUMPRODUCT(--ISERROR(FIND(MID(AO813,{6,7,8,9},1),"0123456789")))=0),"OK","Wrong format"))</f>
        <v/>
      </c>
      <c r="AL813" s="27">
        <f>IF(TRIM(H813)="","",IF(AND(LEN(UPPER(TRIM(H813)))=10,SUMPRODUCT(--ISERROR(FIND(MID(UPPER(TRIM(H813)),{1,2,3,4,10},1),"ABCDEFGHIJKLMNOPQRSTUVWXYZ")))=0,SUMPRODUCT(--ISERROR(FIND(MID(UPPER(TRIM(H813)),{5,6,7,8,9},1),"0123456789")))=0),"OK","Wrong format"))</f>
        <v/>
      </c>
      <c r="AM813" s="28">
        <f>IF(NOT(COUNTA(A813:AE813)&gt;0),"",IF(AS813&lt;&gt;"","✖ "&amp;LEFT(AS813,LEN(AS813)-2),IF(AR813&gt;0,"✔ Ready — client + "&amp;AR813&amp;" service(s)","✔ Ready — client only")))</f>
        <v/>
      </c>
      <c r="AN813" s="29">
        <f>UPPER(SUBSTITUTE(TRIM(F813)," ",""))</f>
        <v/>
      </c>
      <c r="AO813" s="29">
        <f>UPPER(SUBSTITUTE(TRIM(E813)," ",""))</f>
        <v/>
      </c>
      <c r="AP813" s="29">
        <f>IF(D813&lt;&gt;"",D813,IFERROR(VLOOKUP(MID(AG813,4,1),Lists!$E$2:$F$8,2,FALSE),""))</f>
        <v/>
      </c>
      <c r="AQ813" s="29">
        <f>IFERROR(VLOOKUP(AP813,Lists!$A$2:$C$12,3,FALSE),"")</f>
        <v/>
      </c>
      <c r="AR813" s="29">
        <f>COUNTIF(W813:AC813,"Yes")</f>
        <v/>
      </c>
      <c r="AS813" s="29">
        <f>IF(TRIM(B813)="","Legal name missing; ","")&amp;IF(AND(AJ813&lt;&gt;"",AJ813&lt;&gt;"OK"),"GSTIN: "&amp;AJ813&amp;"; ","")&amp;IF(AND(AK813&lt;&gt;"",AK813&lt;&gt;"OK"),"PAN wrong format; ","")&amp;IF(AND(AO813&lt;&gt;"",LEN(AN813)=15,MID(AN813,3,10)&lt;&gt;AO813),"PAN does not match GSTIN; ","")&amp;IF(AND(AL813&lt;&gt;"",AL813&lt;&gt;"OK"),"TAN wrong format; ","")&amp;IF(AG813="","PAN missing; ","")&amp;IF(AP813="","Entity type missing; ","")&amp;IF(AND(AN813&lt;&gt;"",COUNTIF($AN$6:$AN$1005,AN813)&gt;1),"GSTIN repeated in this sheet; ","")&amp;IF(AND(AG813&lt;&gt;"",COUNTIF($AG$6:$AG$1005,AG813)&gt;1),"PAN repeated in this sheet (same client? put extra GSTINs in Other GSTINs); ","")&amp;IF(AND(AR813&gt;0,V813=""),"Financial year missing; ","")&amp;IF(AND(AR813=0,V813&lt;&gt;""),"Financial year given but no service is Yes; ","")&amp;IF(AND(W813="Yes",AN813=""),"GST needs a GSTIN; ","")&amp;IF(AND(W813="Yes",X813=""),"GST return frequency missing; ","")&amp;IF(AND(Y813="Yes",TRIM(H813)=""),"TDS needs a TAN; ","")&amp;IF(AND(AA813="Yes",AQ813&lt;&gt;"",AQ813&lt;&gt;"company",AQ813&lt;&gt;"llp"),"ROC is only for a company / LLP; ","")&amp;IF(AND(AA813="Yes",OR(AQ813="company",AQ813="llp"),TRIM(I813)=""),"ROC needs the CIN / LLPIN; ","")</f>
        <v/>
      </c>
    </row>
    <row r="814">
      <c r="A814" s="30" t="n"/>
      <c r="B814" s="31" t="n"/>
      <c r="C814" s="31" t="n"/>
      <c r="D814" s="31" t="n"/>
      <c r="E814" s="30" t="n"/>
      <c r="F814" s="30" t="n"/>
      <c r="G814" s="30" t="n"/>
      <c r="H814" s="30" t="n"/>
      <c r="I814" s="30" t="n"/>
      <c r="J814" s="32" t="n"/>
      <c r="K814" s="31" t="n"/>
      <c r="L814" s="30" t="n"/>
      <c r="M814" s="31" t="n"/>
      <c r="N814" s="31" t="n"/>
      <c r="O814" s="31" t="n"/>
      <c r="P814" s="30" t="n"/>
      <c r="Q814" s="31" t="n"/>
      <c r="R814" s="31" t="n"/>
      <c r="S814" s="31" t="n"/>
      <c r="T814" s="31" t="n"/>
      <c r="U814" s="30" t="n"/>
      <c r="V814" s="31" t="n"/>
      <c r="W814" s="31" t="n"/>
      <c r="X814" s="31" t="n"/>
      <c r="Y814" s="31" t="n"/>
      <c r="Z814" s="31" t="n"/>
      <c r="AA814" s="31" t="n"/>
      <c r="AB814" s="31" t="n"/>
      <c r="AC814" s="31" t="n"/>
      <c r="AD814" s="31" t="n"/>
      <c r="AE814" s="31" t="n"/>
      <c r="AF814" s="27">
        <f>IF(NOT(COUNTA(A814:AE814)&gt;0),"",IF(A814="","New client","Update"))</f>
        <v/>
      </c>
      <c r="AG814" s="27">
        <f>IF(AO814&lt;&gt;"",AO814,IF(LEN(AN814)=15,MID(AN814,3,10),""))</f>
        <v/>
      </c>
      <c r="AH814" s="27">
        <f>IF(AP814="","",AP814&amp;IF(D814="","  (guessed from PAN)",""))</f>
        <v/>
      </c>
      <c r="AI814" s="27">
        <f>IF(AN814="","",IFERROR(INDEX(Lists!$L$2:$L$38,MATCH(LEFT(AN814,2),Lists!$K$2:$K$38,0)),"Unknown code"))</f>
        <v/>
      </c>
      <c r="AJ814" s="27">
        <f>IF(AN814="","",IFERROR(IF(NOT(AND(LEN(AN814)=15,ISNUMBER(MATCH(LEFT(AN814,2),Lists!$K$2:$K$38,0)),SUMPRODUCT(--ISERROR(FIND(MID(MID(AN814,3,10),{1,2,3,4,5,10},1),"ABCDEFGHIJKLMNOPQRSTUVWXYZ")))=0,SUMPRODUCT(--ISERROR(FIND(MID(MID(AN814,3,10),{6,7,8,9},1),"0123456789")))=0,ISNUMBER(FIND(MID(AN814,13,1),"123456789ABCDEFGHIJKLMNOPQRSTUVWXYZ")),MID(AN814,14,1)="Z")),"Wrong format",IF(MID("0123456789ABCDEFGHIJKLMNOPQRSTUVWXYZ",MOD(36-MOD(SUMPRODUCT(INT((FIND(MID(AN814,{1,2,3,4,5,6,7,8,9,10,11,12,13,14},1),"0123456789ABCDEFGHIJKLMNOPQRSTUVWXYZ")-1)*{1,2,1,2,1,2,1,2,1,2,1,2,1,2}/36)+MOD((FIND(MID(AN814,{1,2,3,4,5,6,7,8,9,10,11,12,13,14},1),"0123456789ABCDEFGHIJKLMNOPQRSTUVWXYZ")-1)*{1,2,1,2,1,2,1,2,1,2,1,2,1,2},36)),36),36)+1,1)=MID(AN814,15,1),"OK","Typo? check digit wrong")),"Wrong format"))</f>
        <v/>
      </c>
      <c r="AK814" s="27">
        <f>IF(AO814="","",IF(AND(LEN(AO814)=10,SUMPRODUCT(--ISERROR(FIND(MID(AO814,{1,2,3,4,5,10},1),"ABCDEFGHIJKLMNOPQRSTUVWXYZ")))=0,SUMPRODUCT(--ISERROR(FIND(MID(AO814,{6,7,8,9},1),"0123456789")))=0),"OK","Wrong format"))</f>
        <v/>
      </c>
      <c r="AL814" s="27">
        <f>IF(TRIM(H814)="","",IF(AND(LEN(UPPER(TRIM(H814)))=10,SUMPRODUCT(--ISERROR(FIND(MID(UPPER(TRIM(H814)),{1,2,3,4,10},1),"ABCDEFGHIJKLMNOPQRSTUVWXYZ")))=0,SUMPRODUCT(--ISERROR(FIND(MID(UPPER(TRIM(H814)),{5,6,7,8,9},1),"0123456789")))=0),"OK","Wrong format"))</f>
        <v/>
      </c>
      <c r="AM814" s="28">
        <f>IF(NOT(COUNTA(A814:AE814)&gt;0),"",IF(AS814&lt;&gt;"","✖ "&amp;LEFT(AS814,LEN(AS814)-2),IF(AR814&gt;0,"✔ Ready — client + "&amp;AR814&amp;" service(s)","✔ Ready — client only")))</f>
        <v/>
      </c>
      <c r="AN814" s="29">
        <f>UPPER(SUBSTITUTE(TRIM(F814)," ",""))</f>
        <v/>
      </c>
      <c r="AO814" s="29">
        <f>UPPER(SUBSTITUTE(TRIM(E814)," ",""))</f>
        <v/>
      </c>
      <c r="AP814" s="29">
        <f>IF(D814&lt;&gt;"",D814,IFERROR(VLOOKUP(MID(AG814,4,1),Lists!$E$2:$F$8,2,FALSE),""))</f>
        <v/>
      </c>
      <c r="AQ814" s="29">
        <f>IFERROR(VLOOKUP(AP814,Lists!$A$2:$C$12,3,FALSE),"")</f>
        <v/>
      </c>
      <c r="AR814" s="29">
        <f>COUNTIF(W814:AC814,"Yes")</f>
        <v/>
      </c>
      <c r="AS814" s="29">
        <f>IF(TRIM(B814)="","Legal name missing; ","")&amp;IF(AND(AJ814&lt;&gt;"",AJ814&lt;&gt;"OK"),"GSTIN: "&amp;AJ814&amp;"; ","")&amp;IF(AND(AK814&lt;&gt;"",AK814&lt;&gt;"OK"),"PAN wrong format; ","")&amp;IF(AND(AO814&lt;&gt;"",LEN(AN814)=15,MID(AN814,3,10)&lt;&gt;AO814),"PAN does not match GSTIN; ","")&amp;IF(AND(AL814&lt;&gt;"",AL814&lt;&gt;"OK"),"TAN wrong format; ","")&amp;IF(AG814="","PAN missing; ","")&amp;IF(AP814="","Entity type missing; ","")&amp;IF(AND(AN814&lt;&gt;"",COUNTIF($AN$6:$AN$1005,AN814)&gt;1),"GSTIN repeated in this sheet; ","")&amp;IF(AND(AG814&lt;&gt;"",COUNTIF($AG$6:$AG$1005,AG814)&gt;1),"PAN repeated in this sheet (same client? put extra GSTINs in Other GSTINs); ","")&amp;IF(AND(AR814&gt;0,V814=""),"Financial year missing; ","")&amp;IF(AND(AR814=0,V814&lt;&gt;""),"Financial year given but no service is Yes; ","")&amp;IF(AND(W814="Yes",AN814=""),"GST needs a GSTIN; ","")&amp;IF(AND(W814="Yes",X814=""),"GST return frequency missing; ","")&amp;IF(AND(Y814="Yes",TRIM(H814)=""),"TDS needs a TAN; ","")&amp;IF(AND(AA814="Yes",AQ814&lt;&gt;"",AQ814&lt;&gt;"company",AQ814&lt;&gt;"llp"),"ROC is only for a company / LLP; ","")&amp;IF(AND(AA814="Yes",OR(AQ814="company",AQ814="llp"),TRIM(I814)=""),"ROC needs the CIN / LLPIN; ","")</f>
        <v/>
      </c>
    </row>
    <row r="815">
      <c r="A815" s="30" t="n"/>
      <c r="B815" s="31" t="n"/>
      <c r="C815" s="31" t="n"/>
      <c r="D815" s="31" t="n"/>
      <c r="E815" s="30" t="n"/>
      <c r="F815" s="30" t="n"/>
      <c r="G815" s="30" t="n"/>
      <c r="H815" s="30" t="n"/>
      <c r="I815" s="30" t="n"/>
      <c r="J815" s="32" t="n"/>
      <c r="K815" s="31" t="n"/>
      <c r="L815" s="30" t="n"/>
      <c r="M815" s="31" t="n"/>
      <c r="N815" s="31" t="n"/>
      <c r="O815" s="31" t="n"/>
      <c r="P815" s="30" t="n"/>
      <c r="Q815" s="31" t="n"/>
      <c r="R815" s="31" t="n"/>
      <c r="S815" s="31" t="n"/>
      <c r="T815" s="31" t="n"/>
      <c r="U815" s="30" t="n"/>
      <c r="V815" s="31" t="n"/>
      <c r="W815" s="31" t="n"/>
      <c r="X815" s="31" t="n"/>
      <c r="Y815" s="31" t="n"/>
      <c r="Z815" s="31" t="n"/>
      <c r="AA815" s="31" t="n"/>
      <c r="AB815" s="31" t="n"/>
      <c r="AC815" s="31" t="n"/>
      <c r="AD815" s="31" t="n"/>
      <c r="AE815" s="31" t="n"/>
      <c r="AF815" s="27">
        <f>IF(NOT(COUNTA(A815:AE815)&gt;0),"",IF(A815="","New client","Update"))</f>
        <v/>
      </c>
      <c r="AG815" s="27">
        <f>IF(AO815&lt;&gt;"",AO815,IF(LEN(AN815)=15,MID(AN815,3,10),""))</f>
        <v/>
      </c>
      <c r="AH815" s="27">
        <f>IF(AP815="","",AP815&amp;IF(D815="","  (guessed from PAN)",""))</f>
        <v/>
      </c>
      <c r="AI815" s="27">
        <f>IF(AN815="","",IFERROR(INDEX(Lists!$L$2:$L$38,MATCH(LEFT(AN815,2),Lists!$K$2:$K$38,0)),"Unknown code"))</f>
        <v/>
      </c>
      <c r="AJ815" s="27">
        <f>IF(AN815="","",IFERROR(IF(NOT(AND(LEN(AN815)=15,ISNUMBER(MATCH(LEFT(AN815,2),Lists!$K$2:$K$38,0)),SUMPRODUCT(--ISERROR(FIND(MID(MID(AN815,3,10),{1,2,3,4,5,10},1),"ABCDEFGHIJKLMNOPQRSTUVWXYZ")))=0,SUMPRODUCT(--ISERROR(FIND(MID(MID(AN815,3,10),{6,7,8,9},1),"0123456789")))=0,ISNUMBER(FIND(MID(AN815,13,1),"123456789ABCDEFGHIJKLMNOPQRSTUVWXYZ")),MID(AN815,14,1)="Z")),"Wrong format",IF(MID("0123456789ABCDEFGHIJKLMNOPQRSTUVWXYZ",MOD(36-MOD(SUMPRODUCT(INT((FIND(MID(AN815,{1,2,3,4,5,6,7,8,9,10,11,12,13,14},1),"0123456789ABCDEFGHIJKLMNOPQRSTUVWXYZ")-1)*{1,2,1,2,1,2,1,2,1,2,1,2,1,2}/36)+MOD((FIND(MID(AN815,{1,2,3,4,5,6,7,8,9,10,11,12,13,14},1),"0123456789ABCDEFGHIJKLMNOPQRSTUVWXYZ")-1)*{1,2,1,2,1,2,1,2,1,2,1,2,1,2},36)),36),36)+1,1)=MID(AN815,15,1),"OK","Typo? check digit wrong")),"Wrong format"))</f>
        <v/>
      </c>
      <c r="AK815" s="27">
        <f>IF(AO815="","",IF(AND(LEN(AO815)=10,SUMPRODUCT(--ISERROR(FIND(MID(AO815,{1,2,3,4,5,10},1),"ABCDEFGHIJKLMNOPQRSTUVWXYZ")))=0,SUMPRODUCT(--ISERROR(FIND(MID(AO815,{6,7,8,9},1),"0123456789")))=0),"OK","Wrong format"))</f>
        <v/>
      </c>
      <c r="AL815" s="27">
        <f>IF(TRIM(H815)="","",IF(AND(LEN(UPPER(TRIM(H815)))=10,SUMPRODUCT(--ISERROR(FIND(MID(UPPER(TRIM(H815)),{1,2,3,4,10},1),"ABCDEFGHIJKLMNOPQRSTUVWXYZ")))=0,SUMPRODUCT(--ISERROR(FIND(MID(UPPER(TRIM(H815)),{5,6,7,8,9},1),"0123456789")))=0),"OK","Wrong format"))</f>
        <v/>
      </c>
      <c r="AM815" s="28">
        <f>IF(NOT(COUNTA(A815:AE815)&gt;0),"",IF(AS815&lt;&gt;"","✖ "&amp;LEFT(AS815,LEN(AS815)-2),IF(AR815&gt;0,"✔ Ready — client + "&amp;AR815&amp;" service(s)","✔ Ready — client only")))</f>
        <v/>
      </c>
      <c r="AN815" s="29">
        <f>UPPER(SUBSTITUTE(TRIM(F815)," ",""))</f>
        <v/>
      </c>
      <c r="AO815" s="29">
        <f>UPPER(SUBSTITUTE(TRIM(E815)," ",""))</f>
        <v/>
      </c>
      <c r="AP815" s="29">
        <f>IF(D815&lt;&gt;"",D815,IFERROR(VLOOKUP(MID(AG815,4,1),Lists!$E$2:$F$8,2,FALSE),""))</f>
        <v/>
      </c>
      <c r="AQ815" s="29">
        <f>IFERROR(VLOOKUP(AP815,Lists!$A$2:$C$12,3,FALSE),"")</f>
        <v/>
      </c>
      <c r="AR815" s="29">
        <f>COUNTIF(W815:AC815,"Yes")</f>
        <v/>
      </c>
      <c r="AS815" s="29">
        <f>IF(TRIM(B815)="","Legal name missing; ","")&amp;IF(AND(AJ815&lt;&gt;"",AJ815&lt;&gt;"OK"),"GSTIN: "&amp;AJ815&amp;"; ","")&amp;IF(AND(AK815&lt;&gt;"",AK815&lt;&gt;"OK"),"PAN wrong format; ","")&amp;IF(AND(AO815&lt;&gt;"",LEN(AN815)=15,MID(AN815,3,10)&lt;&gt;AO815),"PAN does not match GSTIN; ","")&amp;IF(AND(AL815&lt;&gt;"",AL815&lt;&gt;"OK"),"TAN wrong format; ","")&amp;IF(AG815="","PAN missing; ","")&amp;IF(AP815="","Entity type missing; ","")&amp;IF(AND(AN815&lt;&gt;"",COUNTIF($AN$6:$AN$1005,AN815)&gt;1),"GSTIN repeated in this sheet; ","")&amp;IF(AND(AG815&lt;&gt;"",COUNTIF($AG$6:$AG$1005,AG815)&gt;1),"PAN repeated in this sheet (same client? put extra GSTINs in Other GSTINs); ","")&amp;IF(AND(AR815&gt;0,V815=""),"Financial year missing; ","")&amp;IF(AND(AR815=0,V815&lt;&gt;""),"Financial year given but no service is Yes; ","")&amp;IF(AND(W815="Yes",AN815=""),"GST needs a GSTIN; ","")&amp;IF(AND(W815="Yes",X815=""),"GST return frequency missing; ","")&amp;IF(AND(Y815="Yes",TRIM(H815)=""),"TDS needs a TAN; ","")&amp;IF(AND(AA815="Yes",AQ815&lt;&gt;"",AQ815&lt;&gt;"company",AQ815&lt;&gt;"llp"),"ROC is only for a company / LLP; ","")&amp;IF(AND(AA815="Yes",OR(AQ815="company",AQ815="llp"),TRIM(I815)=""),"ROC needs the CIN / LLPIN; ","")</f>
        <v/>
      </c>
    </row>
    <row r="816">
      <c r="A816" s="30" t="n"/>
      <c r="B816" s="31" t="n"/>
      <c r="C816" s="31" t="n"/>
      <c r="D816" s="31" t="n"/>
      <c r="E816" s="30" t="n"/>
      <c r="F816" s="30" t="n"/>
      <c r="G816" s="30" t="n"/>
      <c r="H816" s="30" t="n"/>
      <c r="I816" s="30" t="n"/>
      <c r="J816" s="32" t="n"/>
      <c r="K816" s="31" t="n"/>
      <c r="L816" s="30" t="n"/>
      <c r="M816" s="31" t="n"/>
      <c r="N816" s="31" t="n"/>
      <c r="O816" s="31" t="n"/>
      <c r="P816" s="30" t="n"/>
      <c r="Q816" s="31" t="n"/>
      <c r="R816" s="31" t="n"/>
      <c r="S816" s="31" t="n"/>
      <c r="T816" s="31" t="n"/>
      <c r="U816" s="30" t="n"/>
      <c r="V816" s="31" t="n"/>
      <c r="W816" s="31" t="n"/>
      <c r="X816" s="31" t="n"/>
      <c r="Y816" s="31" t="n"/>
      <c r="Z816" s="31" t="n"/>
      <c r="AA816" s="31" t="n"/>
      <c r="AB816" s="31" t="n"/>
      <c r="AC816" s="31" t="n"/>
      <c r="AD816" s="31" t="n"/>
      <c r="AE816" s="31" t="n"/>
      <c r="AF816" s="27">
        <f>IF(NOT(COUNTA(A816:AE816)&gt;0),"",IF(A816="","New client","Update"))</f>
        <v/>
      </c>
      <c r="AG816" s="27">
        <f>IF(AO816&lt;&gt;"",AO816,IF(LEN(AN816)=15,MID(AN816,3,10),""))</f>
        <v/>
      </c>
      <c r="AH816" s="27">
        <f>IF(AP816="","",AP816&amp;IF(D816="","  (guessed from PAN)",""))</f>
        <v/>
      </c>
      <c r="AI816" s="27">
        <f>IF(AN816="","",IFERROR(INDEX(Lists!$L$2:$L$38,MATCH(LEFT(AN816,2),Lists!$K$2:$K$38,0)),"Unknown code"))</f>
        <v/>
      </c>
      <c r="AJ816" s="27">
        <f>IF(AN816="","",IFERROR(IF(NOT(AND(LEN(AN816)=15,ISNUMBER(MATCH(LEFT(AN816,2),Lists!$K$2:$K$38,0)),SUMPRODUCT(--ISERROR(FIND(MID(MID(AN816,3,10),{1,2,3,4,5,10},1),"ABCDEFGHIJKLMNOPQRSTUVWXYZ")))=0,SUMPRODUCT(--ISERROR(FIND(MID(MID(AN816,3,10),{6,7,8,9},1),"0123456789")))=0,ISNUMBER(FIND(MID(AN816,13,1),"123456789ABCDEFGHIJKLMNOPQRSTUVWXYZ")),MID(AN816,14,1)="Z")),"Wrong format",IF(MID("0123456789ABCDEFGHIJKLMNOPQRSTUVWXYZ",MOD(36-MOD(SUMPRODUCT(INT((FIND(MID(AN816,{1,2,3,4,5,6,7,8,9,10,11,12,13,14},1),"0123456789ABCDEFGHIJKLMNOPQRSTUVWXYZ")-1)*{1,2,1,2,1,2,1,2,1,2,1,2,1,2}/36)+MOD((FIND(MID(AN816,{1,2,3,4,5,6,7,8,9,10,11,12,13,14},1),"0123456789ABCDEFGHIJKLMNOPQRSTUVWXYZ")-1)*{1,2,1,2,1,2,1,2,1,2,1,2,1,2},36)),36),36)+1,1)=MID(AN816,15,1),"OK","Typo? check digit wrong")),"Wrong format"))</f>
        <v/>
      </c>
      <c r="AK816" s="27">
        <f>IF(AO816="","",IF(AND(LEN(AO816)=10,SUMPRODUCT(--ISERROR(FIND(MID(AO816,{1,2,3,4,5,10},1),"ABCDEFGHIJKLMNOPQRSTUVWXYZ")))=0,SUMPRODUCT(--ISERROR(FIND(MID(AO816,{6,7,8,9},1),"0123456789")))=0),"OK","Wrong format"))</f>
        <v/>
      </c>
      <c r="AL816" s="27">
        <f>IF(TRIM(H816)="","",IF(AND(LEN(UPPER(TRIM(H816)))=10,SUMPRODUCT(--ISERROR(FIND(MID(UPPER(TRIM(H816)),{1,2,3,4,10},1),"ABCDEFGHIJKLMNOPQRSTUVWXYZ")))=0,SUMPRODUCT(--ISERROR(FIND(MID(UPPER(TRIM(H816)),{5,6,7,8,9},1),"0123456789")))=0),"OK","Wrong format"))</f>
        <v/>
      </c>
      <c r="AM816" s="28">
        <f>IF(NOT(COUNTA(A816:AE816)&gt;0),"",IF(AS816&lt;&gt;"","✖ "&amp;LEFT(AS816,LEN(AS816)-2),IF(AR816&gt;0,"✔ Ready — client + "&amp;AR816&amp;" service(s)","✔ Ready — client only")))</f>
        <v/>
      </c>
      <c r="AN816" s="29">
        <f>UPPER(SUBSTITUTE(TRIM(F816)," ",""))</f>
        <v/>
      </c>
      <c r="AO816" s="29">
        <f>UPPER(SUBSTITUTE(TRIM(E816)," ",""))</f>
        <v/>
      </c>
      <c r="AP816" s="29">
        <f>IF(D816&lt;&gt;"",D816,IFERROR(VLOOKUP(MID(AG816,4,1),Lists!$E$2:$F$8,2,FALSE),""))</f>
        <v/>
      </c>
      <c r="AQ816" s="29">
        <f>IFERROR(VLOOKUP(AP816,Lists!$A$2:$C$12,3,FALSE),"")</f>
        <v/>
      </c>
      <c r="AR816" s="29">
        <f>COUNTIF(W816:AC816,"Yes")</f>
        <v/>
      </c>
      <c r="AS816" s="29">
        <f>IF(TRIM(B816)="","Legal name missing; ","")&amp;IF(AND(AJ816&lt;&gt;"",AJ816&lt;&gt;"OK"),"GSTIN: "&amp;AJ816&amp;"; ","")&amp;IF(AND(AK816&lt;&gt;"",AK816&lt;&gt;"OK"),"PAN wrong format; ","")&amp;IF(AND(AO816&lt;&gt;"",LEN(AN816)=15,MID(AN816,3,10)&lt;&gt;AO816),"PAN does not match GSTIN; ","")&amp;IF(AND(AL816&lt;&gt;"",AL816&lt;&gt;"OK"),"TAN wrong format; ","")&amp;IF(AG816="","PAN missing; ","")&amp;IF(AP816="","Entity type missing; ","")&amp;IF(AND(AN816&lt;&gt;"",COUNTIF($AN$6:$AN$1005,AN816)&gt;1),"GSTIN repeated in this sheet; ","")&amp;IF(AND(AG816&lt;&gt;"",COUNTIF($AG$6:$AG$1005,AG816)&gt;1),"PAN repeated in this sheet (same client? put extra GSTINs in Other GSTINs); ","")&amp;IF(AND(AR816&gt;0,V816=""),"Financial year missing; ","")&amp;IF(AND(AR816=0,V816&lt;&gt;""),"Financial year given but no service is Yes; ","")&amp;IF(AND(W816="Yes",AN816=""),"GST needs a GSTIN; ","")&amp;IF(AND(W816="Yes",X816=""),"GST return frequency missing; ","")&amp;IF(AND(Y816="Yes",TRIM(H816)=""),"TDS needs a TAN; ","")&amp;IF(AND(AA816="Yes",AQ816&lt;&gt;"",AQ816&lt;&gt;"company",AQ816&lt;&gt;"llp"),"ROC is only for a company / LLP; ","")&amp;IF(AND(AA816="Yes",OR(AQ816="company",AQ816="llp"),TRIM(I816)=""),"ROC needs the CIN / LLPIN; ","")</f>
        <v/>
      </c>
    </row>
    <row r="817">
      <c r="A817" s="30" t="n"/>
      <c r="B817" s="31" t="n"/>
      <c r="C817" s="31" t="n"/>
      <c r="D817" s="31" t="n"/>
      <c r="E817" s="30" t="n"/>
      <c r="F817" s="30" t="n"/>
      <c r="G817" s="30" t="n"/>
      <c r="H817" s="30" t="n"/>
      <c r="I817" s="30" t="n"/>
      <c r="J817" s="32" t="n"/>
      <c r="K817" s="31" t="n"/>
      <c r="L817" s="30" t="n"/>
      <c r="M817" s="31" t="n"/>
      <c r="N817" s="31" t="n"/>
      <c r="O817" s="31" t="n"/>
      <c r="P817" s="30" t="n"/>
      <c r="Q817" s="31" t="n"/>
      <c r="R817" s="31" t="n"/>
      <c r="S817" s="31" t="n"/>
      <c r="T817" s="31" t="n"/>
      <c r="U817" s="30" t="n"/>
      <c r="V817" s="31" t="n"/>
      <c r="W817" s="31" t="n"/>
      <c r="X817" s="31" t="n"/>
      <c r="Y817" s="31" t="n"/>
      <c r="Z817" s="31" t="n"/>
      <c r="AA817" s="31" t="n"/>
      <c r="AB817" s="31" t="n"/>
      <c r="AC817" s="31" t="n"/>
      <c r="AD817" s="31" t="n"/>
      <c r="AE817" s="31" t="n"/>
      <c r="AF817" s="27">
        <f>IF(NOT(COUNTA(A817:AE817)&gt;0),"",IF(A817="","New client","Update"))</f>
        <v/>
      </c>
      <c r="AG817" s="27">
        <f>IF(AO817&lt;&gt;"",AO817,IF(LEN(AN817)=15,MID(AN817,3,10),""))</f>
        <v/>
      </c>
      <c r="AH817" s="27">
        <f>IF(AP817="","",AP817&amp;IF(D817="","  (guessed from PAN)",""))</f>
        <v/>
      </c>
      <c r="AI817" s="27">
        <f>IF(AN817="","",IFERROR(INDEX(Lists!$L$2:$L$38,MATCH(LEFT(AN817,2),Lists!$K$2:$K$38,0)),"Unknown code"))</f>
        <v/>
      </c>
      <c r="AJ817" s="27">
        <f>IF(AN817="","",IFERROR(IF(NOT(AND(LEN(AN817)=15,ISNUMBER(MATCH(LEFT(AN817,2),Lists!$K$2:$K$38,0)),SUMPRODUCT(--ISERROR(FIND(MID(MID(AN817,3,10),{1,2,3,4,5,10},1),"ABCDEFGHIJKLMNOPQRSTUVWXYZ")))=0,SUMPRODUCT(--ISERROR(FIND(MID(MID(AN817,3,10),{6,7,8,9},1),"0123456789")))=0,ISNUMBER(FIND(MID(AN817,13,1),"123456789ABCDEFGHIJKLMNOPQRSTUVWXYZ")),MID(AN817,14,1)="Z")),"Wrong format",IF(MID("0123456789ABCDEFGHIJKLMNOPQRSTUVWXYZ",MOD(36-MOD(SUMPRODUCT(INT((FIND(MID(AN817,{1,2,3,4,5,6,7,8,9,10,11,12,13,14},1),"0123456789ABCDEFGHIJKLMNOPQRSTUVWXYZ")-1)*{1,2,1,2,1,2,1,2,1,2,1,2,1,2}/36)+MOD((FIND(MID(AN817,{1,2,3,4,5,6,7,8,9,10,11,12,13,14},1),"0123456789ABCDEFGHIJKLMNOPQRSTUVWXYZ")-1)*{1,2,1,2,1,2,1,2,1,2,1,2,1,2},36)),36),36)+1,1)=MID(AN817,15,1),"OK","Typo? check digit wrong")),"Wrong format"))</f>
        <v/>
      </c>
      <c r="AK817" s="27">
        <f>IF(AO817="","",IF(AND(LEN(AO817)=10,SUMPRODUCT(--ISERROR(FIND(MID(AO817,{1,2,3,4,5,10},1),"ABCDEFGHIJKLMNOPQRSTUVWXYZ")))=0,SUMPRODUCT(--ISERROR(FIND(MID(AO817,{6,7,8,9},1),"0123456789")))=0),"OK","Wrong format"))</f>
        <v/>
      </c>
      <c r="AL817" s="27">
        <f>IF(TRIM(H817)="","",IF(AND(LEN(UPPER(TRIM(H817)))=10,SUMPRODUCT(--ISERROR(FIND(MID(UPPER(TRIM(H817)),{1,2,3,4,10},1),"ABCDEFGHIJKLMNOPQRSTUVWXYZ")))=0,SUMPRODUCT(--ISERROR(FIND(MID(UPPER(TRIM(H817)),{5,6,7,8,9},1),"0123456789")))=0),"OK","Wrong format"))</f>
        <v/>
      </c>
      <c r="AM817" s="28">
        <f>IF(NOT(COUNTA(A817:AE817)&gt;0),"",IF(AS817&lt;&gt;"","✖ "&amp;LEFT(AS817,LEN(AS817)-2),IF(AR817&gt;0,"✔ Ready — client + "&amp;AR817&amp;" service(s)","✔ Ready — client only")))</f>
        <v/>
      </c>
      <c r="AN817" s="29">
        <f>UPPER(SUBSTITUTE(TRIM(F817)," ",""))</f>
        <v/>
      </c>
      <c r="AO817" s="29">
        <f>UPPER(SUBSTITUTE(TRIM(E817)," ",""))</f>
        <v/>
      </c>
      <c r="AP817" s="29">
        <f>IF(D817&lt;&gt;"",D817,IFERROR(VLOOKUP(MID(AG817,4,1),Lists!$E$2:$F$8,2,FALSE),""))</f>
        <v/>
      </c>
      <c r="AQ817" s="29">
        <f>IFERROR(VLOOKUP(AP817,Lists!$A$2:$C$12,3,FALSE),"")</f>
        <v/>
      </c>
      <c r="AR817" s="29">
        <f>COUNTIF(W817:AC817,"Yes")</f>
        <v/>
      </c>
      <c r="AS817" s="29">
        <f>IF(TRIM(B817)="","Legal name missing; ","")&amp;IF(AND(AJ817&lt;&gt;"",AJ817&lt;&gt;"OK"),"GSTIN: "&amp;AJ817&amp;"; ","")&amp;IF(AND(AK817&lt;&gt;"",AK817&lt;&gt;"OK"),"PAN wrong format; ","")&amp;IF(AND(AO817&lt;&gt;"",LEN(AN817)=15,MID(AN817,3,10)&lt;&gt;AO817),"PAN does not match GSTIN; ","")&amp;IF(AND(AL817&lt;&gt;"",AL817&lt;&gt;"OK"),"TAN wrong format; ","")&amp;IF(AG817="","PAN missing; ","")&amp;IF(AP817="","Entity type missing; ","")&amp;IF(AND(AN817&lt;&gt;"",COUNTIF($AN$6:$AN$1005,AN817)&gt;1),"GSTIN repeated in this sheet; ","")&amp;IF(AND(AG817&lt;&gt;"",COUNTIF($AG$6:$AG$1005,AG817)&gt;1),"PAN repeated in this sheet (same client? put extra GSTINs in Other GSTINs); ","")&amp;IF(AND(AR817&gt;0,V817=""),"Financial year missing; ","")&amp;IF(AND(AR817=0,V817&lt;&gt;""),"Financial year given but no service is Yes; ","")&amp;IF(AND(W817="Yes",AN817=""),"GST needs a GSTIN; ","")&amp;IF(AND(W817="Yes",X817=""),"GST return frequency missing; ","")&amp;IF(AND(Y817="Yes",TRIM(H817)=""),"TDS needs a TAN; ","")&amp;IF(AND(AA817="Yes",AQ817&lt;&gt;"",AQ817&lt;&gt;"company",AQ817&lt;&gt;"llp"),"ROC is only for a company / LLP; ","")&amp;IF(AND(AA817="Yes",OR(AQ817="company",AQ817="llp"),TRIM(I817)=""),"ROC needs the CIN / LLPIN; ","")</f>
        <v/>
      </c>
    </row>
    <row r="818">
      <c r="A818" s="30" t="n"/>
      <c r="B818" s="31" t="n"/>
      <c r="C818" s="31" t="n"/>
      <c r="D818" s="31" t="n"/>
      <c r="E818" s="30" t="n"/>
      <c r="F818" s="30" t="n"/>
      <c r="G818" s="30" t="n"/>
      <c r="H818" s="30" t="n"/>
      <c r="I818" s="30" t="n"/>
      <c r="J818" s="32" t="n"/>
      <c r="K818" s="31" t="n"/>
      <c r="L818" s="30" t="n"/>
      <c r="M818" s="31" t="n"/>
      <c r="N818" s="31" t="n"/>
      <c r="O818" s="31" t="n"/>
      <c r="P818" s="30" t="n"/>
      <c r="Q818" s="31" t="n"/>
      <c r="R818" s="31" t="n"/>
      <c r="S818" s="31" t="n"/>
      <c r="T818" s="31" t="n"/>
      <c r="U818" s="30" t="n"/>
      <c r="V818" s="31" t="n"/>
      <c r="W818" s="31" t="n"/>
      <c r="X818" s="31" t="n"/>
      <c r="Y818" s="31" t="n"/>
      <c r="Z818" s="31" t="n"/>
      <c r="AA818" s="31" t="n"/>
      <c r="AB818" s="31" t="n"/>
      <c r="AC818" s="31" t="n"/>
      <c r="AD818" s="31" t="n"/>
      <c r="AE818" s="31" t="n"/>
      <c r="AF818" s="27">
        <f>IF(NOT(COUNTA(A818:AE818)&gt;0),"",IF(A818="","New client","Update"))</f>
        <v/>
      </c>
      <c r="AG818" s="27">
        <f>IF(AO818&lt;&gt;"",AO818,IF(LEN(AN818)=15,MID(AN818,3,10),""))</f>
        <v/>
      </c>
      <c r="AH818" s="27">
        <f>IF(AP818="","",AP818&amp;IF(D818="","  (guessed from PAN)",""))</f>
        <v/>
      </c>
      <c r="AI818" s="27">
        <f>IF(AN818="","",IFERROR(INDEX(Lists!$L$2:$L$38,MATCH(LEFT(AN818,2),Lists!$K$2:$K$38,0)),"Unknown code"))</f>
        <v/>
      </c>
      <c r="AJ818" s="27">
        <f>IF(AN818="","",IFERROR(IF(NOT(AND(LEN(AN818)=15,ISNUMBER(MATCH(LEFT(AN818,2),Lists!$K$2:$K$38,0)),SUMPRODUCT(--ISERROR(FIND(MID(MID(AN818,3,10),{1,2,3,4,5,10},1),"ABCDEFGHIJKLMNOPQRSTUVWXYZ")))=0,SUMPRODUCT(--ISERROR(FIND(MID(MID(AN818,3,10),{6,7,8,9},1),"0123456789")))=0,ISNUMBER(FIND(MID(AN818,13,1),"123456789ABCDEFGHIJKLMNOPQRSTUVWXYZ")),MID(AN818,14,1)="Z")),"Wrong format",IF(MID("0123456789ABCDEFGHIJKLMNOPQRSTUVWXYZ",MOD(36-MOD(SUMPRODUCT(INT((FIND(MID(AN818,{1,2,3,4,5,6,7,8,9,10,11,12,13,14},1),"0123456789ABCDEFGHIJKLMNOPQRSTUVWXYZ")-1)*{1,2,1,2,1,2,1,2,1,2,1,2,1,2}/36)+MOD((FIND(MID(AN818,{1,2,3,4,5,6,7,8,9,10,11,12,13,14},1),"0123456789ABCDEFGHIJKLMNOPQRSTUVWXYZ")-1)*{1,2,1,2,1,2,1,2,1,2,1,2,1,2},36)),36),36)+1,1)=MID(AN818,15,1),"OK","Typo? check digit wrong")),"Wrong format"))</f>
        <v/>
      </c>
      <c r="AK818" s="27">
        <f>IF(AO818="","",IF(AND(LEN(AO818)=10,SUMPRODUCT(--ISERROR(FIND(MID(AO818,{1,2,3,4,5,10},1),"ABCDEFGHIJKLMNOPQRSTUVWXYZ")))=0,SUMPRODUCT(--ISERROR(FIND(MID(AO818,{6,7,8,9},1),"0123456789")))=0),"OK","Wrong format"))</f>
        <v/>
      </c>
      <c r="AL818" s="27">
        <f>IF(TRIM(H818)="","",IF(AND(LEN(UPPER(TRIM(H818)))=10,SUMPRODUCT(--ISERROR(FIND(MID(UPPER(TRIM(H818)),{1,2,3,4,10},1),"ABCDEFGHIJKLMNOPQRSTUVWXYZ")))=0,SUMPRODUCT(--ISERROR(FIND(MID(UPPER(TRIM(H818)),{5,6,7,8,9},1),"0123456789")))=0),"OK","Wrong format"))</f>
        <v/>
      </c>
      <c r="AM818" s="28">
        <f>IF(NOT(COUNTA(A818:AE818)&gt;0),"",IF(AS818&lt;&gt;"","✖ "&amp;LEFT(AS818,LEN(AS818)-2),IF(AR818&gt;0,"✔ Ready — client + "&amp;AR818&amp;" service(s)","✔ Ready — client only")))</f>
        <v/>
      </c>
      <c r="AN818" s="29">
        <f>UPPER(SUBSTITUTE(TRIM(F818)," ",""))</f>
        <v/>
      </c>
      <c r="AO818" s="29">
        <f>UPPER(SUBSTITUTE(TRIM(E818)," ",""))</f>
        <v/>
      </c>
      <c r="AP818" s="29">
        <f>IF(D818&lt;&gt;"",D818,IFERROR(VLOOKUP(MID(AG818,4,1),Lists!$E$2:$F$8,2,FALSE),""))</f>
        <v/>
      </c>
      <c r="AQ818" s="29">
        <f>IFERROR(VLOOKUP(AP818,Lists!$A$2:$C$12,3,FALSE),"")</f>
        <v/>
      </c>
      <c r="AR818" s="29">
        <f>COUNTIF(W818:AC818,"Yes")</f>
        <v/>
      </c>
      <c r="AS818" s="29">
        <f>IF(TRIM(B818)="","Legal name missing; ","")&amp;IF(AND(AJ818&lt;&gt;"",AJ818&lt;&gt;"OK"),"GSTIN: "&amp;AJ818&amp;"; ","")&amp;IF(AND(AK818&lt;&gt;"",AK818&lt;&gt;"OK"),"PAN wrong format; ","")&amp;IF(AND(AO818&lt;&gt;"",LEN(AN818)=15,MID(AN818,3,10)&lt;&gt;AO818),"PAN does not match GSTIN; ","")&amp;IF(AND(AL818&lt;&gt;"",AL818&lt;&gt;"OK"),"TAN wrong format; ","")&amp;IF(AG818="","PAN missing; ","")&amp;IF(AP818="","Entity type missing; ","")&amp;IF(AND(AN818&lt;&gt;"",COUNTIF($AN$6:$AN$1005,AN818)&gt;1),"GSTIN repeated in this sheet; ","")&amp;IF(AND(AG818&lt;&gt;"",COUNTIF($AG$6:$AG$1005,AG818)&gt;1),"PAN repeated in this sheet (same client? put extra GSTINs in Other GSTINs); ","")&amp;IF(AND(AR818&gt;0,V818=""),"Financial year missing; ","")&amp;IF(AND(AR818=0,V818&lt;&gt;""),"Financial year given but no service is Yes; ","")&amp;IF(AND(W818="Yes",AN818=""),"GST needs a GSTIN; ","")&amp;IF(AND(W818="Yes",X818=""),"GST return frequency missing; ","")&amp;IF(AND(Y818="Yes",TRIM(H818)=""),"TDS needs a TAN; ","")&amp;IF(AND(AA818="Yes",AQ818&lt;&gt;"",AQ818&lt;&gt;"company",AQ818&lt;&gt;"llp"),"ROC is only for a company / LLP; ","")&amp;IF(AND(AA818="Yes",OR(AQ818="company",AQ818="llp"),TRIM(I818)=""),"ROC needs the CIN / LLPIN; ","")</f>
        <v/>
      </c>
    </row>
    <row r="819">
      <c r="A819" s="30" t="n"/>
      <c r="B819" s="31" t="n"/>
      <c r="C819" s="31" t="n"/>
      <c r="D819" s="31" t="n"/>
      <c r="E819" s="30" t="n"/>
      <c r="F819" s="30" t="n"/>
      <c r="G819" s="30" t="n"/>
      <c r="H819" s="30" t="n"/>
      <c r="I819" s="30" t="n"/>
      <c r="J819" s="32" t="n"/>
      <c r="K819" s="31" t="n"/>
      <c r="L819" s="30" t="n"/>
      <c r="M819" s="31" t="n"/>
      <c r="N819" s="31" t="n"/>
      <c r="O819" s="31" t="n"/>
      <c r="P819" s="30" t="n"/>
      <c r="Q819" s="31" t="n"/>
      <c r="R819" s="31" t="n"/>
      <c r="S819" s="31" t="n"/>
      <c r="T819" s="31" t="n"/>
      <c r="U819" s="30" t="n"/>
      <c r="V819" s="31" t="n"/>
      <c r="W819" s="31" t="n"/>
      <c r="X819" s="31" t="n"/>
      <c r="Y819" s="31" t="n"/>
      <c r="Z819" s="31" t="n"/>
      <c r="AA819" s="31" t="n"/>
      <c r="AB819" s="31" t="n"/>
      <c r="AC819" s="31" t="n"/>
      <c r="AD819" s="31" t="n"/>
      <c r="AE819" s="31" t="n"/>
      <c r="AF819" s="27">
        <f>IF(NOT(COUNTA(A819:AE819)&gt;0),"",IF(A819="","New client","Update"))</f>
        <v/>
      </c>
      <c r="AG819" s="27">
        <f>IF(AO819&lt;&gt;"",AO819,IF(LEN(AN819)=15,MID(AN819,3,10),""))</f>
        <v/>
      </c>
      <c r="AH819" s="27">
        <f>IF(AP819="","",AP819&amp;IF(D819="","  (guessed from PAN)",""))</f>
        <v/>
      </c>
      <c r="AI819" s="27">
        <f>IF(AN819="","",IFERROR(INDEX(Lists!$L$2:$L$38,MATCH(LEFT(AN819,2),Lists!$K$2:$K$38,0)),"Unknown code"))</f>
        <v/>
      </c>
      <c r="AJ819" s="27">
        <f>IF(AN819="","",IFERROR(IF(NOT(AND(LEN(AN819)=15,ISNUMBER(MATCH(LEFT(AN819,2),Lists!$K$2:$K$38,0)),SUMPRODUCT(--ISERROR(FIND(MID(MID(AN819,3,10),{1,2,3,4,5,10},1),"ABCDEFGHIJKLMNOPQRSTUVWXYZ")))=0,SUMPRODUCT(--ISERROR(FIND(MID(MID(AN819,3,10),{6,7,8,9},1),"0123456789")))=0,ISNUMBER(FIND(MID(AN819,13,1),"123456789ABCDEFGHIJKLMNOPQRSTUVWXYZ")),MID(AN819,14,1)="Z")),"Wrong format",IF(MID("0123456789ABCDEFGHIJKLMNOPQRSTUVWXYZ",MOD(36-MOD(SUMPRODUCT(INT((FIND(MID(AN819,{1,2,3,4,5,6,7,8,9,10,11,12,13,14},1),"0123456789ABCDEFGHIJKLMNOPQRSTUVWXYZ")-1)*{1,2,1,2,1,2,1,2,1,2,1,2,1,2}/36)+MOD((FIND(MID(AN819,{1,2,3,4,5,6,7,8,9,10,11,12,13,14},1),"0123456789ABCDEFGHIJKLMNOPQRSTUVWXYZ")-1)*{1,2,1,2,1,2,1,2,1,2,1,2,1,2},36)),36),36)+1,1)=MID(AN819,15,1),"OK","Typo? check digit wrong")),"Wrong format"))</f>
        <v/>
      </c>
      <c r="AK819" s="27">
        <f>IF(AO819="","",IF(AND(LEN(AO819)=10,SUMPRODUCT(--ISERROR(FIND(MID(AO819,{1,2,3,4,5,10},1),"ABCDEFGHIJKLMNOPQRSTUVWXYZ")))=0,SUMPRODUCT(--ISERROR(FIND(MID(AO819,{6,7,8,9},1),"0123456789")))=0),"OK","Wrong format"))</f>
        <v/>
      </c>
      <c r="AL819" s="27">
        <f>IF(TRIM(H819)="","",IF(AND(LEN(UPPER(TRIM(H819)))=10,SUMPRODUCT(--ISERROR(FIND(MID(UPPER(TRIM(H819)),{1,2,3,4,10},1),"ABCDEFGHIJKLMNOPQRSTUVWXYZ")))=0,SUMPRODUCT(--ISERROR(FIND(MID(UPPER(TRIM(H819)),{5,6,7,8,9},1),"0123456789")))=0),"OK","Wrong format"))</f>
        <v/>
      </c>
      <c r="AM819" s="28">
        <f>IF(NOT(COUNTA(A819:AE819)&gt;0),"",IF(AS819&lt;&gt;"","✖ "&amp;LEFT(AS819,LEN(AS819)-2),IF(AR819&gt;0,"✔ Ready — client + "&amp;AR819&amp;" service(s)","✔ Ready — client only")))</f>
        <v/>
      </c>
      <c r="AN819" s="29">
        <f>UPPER(SUBSTITUTE(TRIM(F819)," ",""))</f>
        <v/>
      </c>
      <c r="AO819" s="29">
        <f>UPPER(SUBSTITUTE(TRIM(E819)," ",""))</f>
        <v/>
      </c>
      <c r="AP819" s="29">
        <f>IF(D819&lt;&gt;"",D819,IFERROR(VLOOKUP(MID(AG819,4,1),Lists!$E$2:$F$8,2,FALSE),""))</f>
        <v/>
      </c>
      <c r="AQ819" s="29">
        <f>IFERROR(VLOOKUP(AP819,Lists!$A$2:$C$12,3,FALSE),"")</f>
        <v/>
      </c>
      <c r="AR819" s="29">
        <f>COUNTIF(W819:AC819,"Yes")</f>
        <v/>
      </c>
      <c r="AS819" s="29">
        <f>IF(TRIM(B819)="","Legal name missing; ","")&amp;IF(AND(AJ819&lt;&gt;"",AJ819&lt;&gt;"OK"),"GSTIN: "&amp;AJ819&amp;"; ","")&amp;IF(AND(AK819&lt;&gt;"",AK819&lt;&gt;"OK"),"PAN wrong format; ","")&amp;IF(AND(AO819&lt;&gt;"",LEN(AN819)=15,MID(AN819,3,10)&lt;&gt;AO819),"PAN does not match GSTIN; ","")&amp;IF(AND(AL819&lt;&gt;"",AL819&lt;&gt;"OK"),"TAN wrong format; ","")&amp;IF(AG819="","PAN missing; ","")&amp;IF(AP819="","Entity type missing; ","")&amp;IF(AND(AN819&lt;&gt;"",COUNTIF($AN$6:$AN$1005,AN819)&gt;1),"GSTIN repeated in this sheet; ","")&amp;IF(AND(AG819&lt;&gt;"",COUNTIF($AG$6:$AG$1005,AG819)&gt;1),"PAN repeated in this sheet (same client? put extra GSTINs in Other GSTINs); ","")&amp;IF(AND(AR819&gt;0,V819=""),"Financial year missing; ","")&amp;IF(AND(AR819=0,V819&lt;&gt;""),"Financial year given but no service is Yes; ","")&amp;IF(AND(W819="Yes",AN819=""),"GST needs a GSTIN; ","")&amp;IF(AND(W819="Yes",X819=""),"GST return frequency missing; ","")&amp;IF(AND(Y819="Yes",TRIM(H819)=""),"TDS needs a TAN; ","")&amp;IF(AND(AA819="Yes",AQ819&lt;&gt;"",AQ819&lt;&gt;"company",AQ819&lt;&gt;"llp"),"ROC is only for a company / LLP; ","")&amp;IF(AND(AA819="Yes",OR(AQ819="company",AQ819="llp"),TRIM(I819)=""),"ROC needs the CIN / LLPIN; ","")</f>
        <v/>
      </c>
    </row>
    <row r="820">
      <c r="A820" s="30" t="n"/>
      <c r="B820" s="31" t="n"/>
      <c r="C820" s="31" t="n"/>
      <c r="D820" s="31" t="n"/>
      <c r="E820" s="30" t="n"/>
      <c r="F820" s="30" t="n"/>
      <c r="G820" s="30" t="n"/>
      <c r="H820" s="30" t="n"/>
      <c r="I820" s="30" t="n"/>
      <c r="J820" s="32" t="n"/>
      <c r="K820" s="31" t="n"/>
      <c r="L820" s="30" t="n"/>
      <c r="M820" s="31" t="n"/>
      <c r="N820" s="31" t="n"/>
      <c r="O820" s="31" t="n"/>
      <c r="P820" s="30" t="n"/>
      <c r="Q820" s="31" t="n"/>
      <c r="R820" s="31" t="n"/>
      <c r="S820" s="31" t="n"/>
      <c r="T820" s="31" t="n"/>
      <c r="U820" s="30" t="n"/>
      <c r="V820" s="31" t="n"/>
      <c r="W820" s="31" t="n"/>
      <c r="X820" s="31" t="n"/>
      <c r="Y820" s="31" t="n"/>
      <c r="Z820" s="31" t="n"/>
      <c r="AA820" s="31" t="n"/>
      <c r="AB820" s="31" t="n"/>
      <c r="AC820" s="31" t="n"/>
      <c r="AD820" s="31" t="n"/>
      <c r="AE820" s="31" t="n"/>
      <c r="AF820" s="27">
        <f>IF(NOT(COUNTA(A820:AE820)&gt;0),"",IF(A820="","New client","Update"))</f>
        <v/>
      </c>
      <c r="AG820" s="27">
        <f>IF(AO820&lt;&gt;"",AO820,IF(LEN(AN820)=15,MID(AN820,3,10),""))</f>
        <v/>
      </c>
      <c r="AH820" s="27">
        <f>IF(AP820="","",AP820&amp;IF(D820="","  (guessed from PAN)",""))</f>
        <v/>
      </c>
      <c r="AI820" s="27">
        <f>IF(AN820="","",IFERROR(INDEX(Lists!$L$2:$L$38,MATCH(LEFT(AN820,2),Lists!$K$2:$K$38,0)),"Unknown code"))</f>
        <v/>
      </c>
      <c r="AJ820" s="27">
        <f>IF(AN820="","",IFERROR(IF(NOT(AND(LEN(AN820)=15,ISNUMBER(MATCH(LEFT(AN820,2),Lists!$K$2:$K$38,0)),SUMPRODUCT(--ISERROR(FIND(MID(MID(AN820,3,10),{1,2,3,4,5,10},1),"ABCDEFGHIJKLMNOPQRSTUVWXYZ")))=0,SUMPRODUCT(--ISERROR(FIND(MID(MID(AN820,3,10),{6,7,8,9},1),"0123456789")))=0,ISNUMBER(FIND(MID(AN820,13,1),"123456789ABCDEFGHIJKLMNOPQRSTUVWXYZ")),MID(AN820,14,1)="Z")),"Wrong format",IF(MID("0123456789ABCDEFGHIJKLMNOPQRSTUVWXYZ",MOD(36-MOD(SUMPRODUCT(INT((FIND(MID(AN820,{1,2,3,4,5,6,7,8,9,10,11,12,13,14},1),"0123456789ABCDEFGHIJKLMNOPQRSTUVWXYZ")-1)*{1,2,1,2,1,2,1,2,1,2,1,2,1,2}/36)+MOD((FIND(MID(AN820,{1,2,3,4,5,6,7,8,9,10,11,12,13,14},1),"0123456789ABCDEFGHIJKLMNOPQRSTUVWXYZ")-1)*{1,2,1,2,1,2,1,2,1,2,1,2,1,2},36)),36),36)+1,1)=MID(AN820,15,1),"OK","Typo? check digit wrong")),"Wrong format"))</f>
        <v/>
      </c>
      <c r="AK820" s="27">
        <f>IF(AO820="","",IF(AND(LEN(AO820)=10,SUMPRODUCT(--ISERROR(FIND(MID(AO820,{1,2,3,4,5,10},1),"ABCDEFGHIJKLMNOPQRSTUVWXYZ")))=0,SUMPRODUCT(--ISERROR(FIND(MID(AO820,{6,7,8,9},1),"0123456789")))=0),"OK","Wrong format"))</f>
        <v/>
      </c>
      <c r="AL820" s="27">
        <f>IF(TRIM(H820)="","",IF(AND(LEN(UPPER(TRIM(H820)))=10,SUMPRODUCT(--ISERROR(FIND(MID(UPPER(TRIM(H820)),{1,2,3,4,10},1),"ABCDEFGHIJKLMNOPQRSTUVWXYZ")))=0,SUMPRODUCT(--ISERROR(FIND(MID(UPPER(TRIM(H820)),{5,6,7,8,9},1),"0123456789")))=0),"OK","Wrong format"))</f>
        <v/>
      </c>
      <c r="AM820" s="28">
        <f>IF(NOT(COUNTA(A820:AE820)&gt;0),"",IF(AS820&lt;&gt;"","✖ "&amp;LEFT(AS820,LEN(AS820)-2),IF(AR820&gt;0,"✔ Ready — client + "&amp;AR820&amp;" service(s)","✔ Ready — client only")))</f>
        <v/>
      </c>
      <c r="AN820" s="29">
        <f>UPPER(SUBSTITUTE(TRIM(F820)," ",""))</f>
        <v/>
      </c>
      <c r="AO820" s="29">
        <f>UPPER(SUBSTITUTE(TRIM(E820)," ",""))</f>
        <v/>
      </c>
      <c r="AP820" s="29">
        <f>IF(D820&lt;&gt;"",D820,IFERROR(VLOOKUP(MID(AG820,4,1),Lists!$E$2:$F$8,2,FALSE),""))</f>
        <v/>
      </c>
      <c r="AQ820" s="29">
        <f>IFERROR(VLOOKUP(AP820,Lists!$A$2:$C$12,3,FALSE),"")</f>
        <v/>
      </c>
      <c r="AR820" s="29">
        <f>COUNTIF(W820:AC820,"Yes")</f>
        <v/>
      </c>
      <c r="AS820" s="29">
        <f>IF(TRIM(B820)="","Legal name missing; ","")&amp;IF(AND(AJ820&lt;&gt;"",AJ820&lt;&gt;"OK"),"GSTIN: "&amp;AJ820&amp;"; ","")&amp;IF(AND(AK820&lt;&gt;"",AK820&lt;&gt;"OK"),"PAN wrong format; ","")&amp;IF(AND(AO820&lt;&gt;"",LEN(AN820)=15,MID(AN820,3,10)&lt;&gt;AO820),"PAN does not match GSTIN; ","")&amp;IF(AND(AL820&lt;&gt;"",AL820&lt;&gt;"OK"),"TAN wrong format; ","")&amp;IF(AG820="","PAN missing; ","")&amp;IF(AP820="","Entity type missing; ","")&amp;IF(AND(AN820&lt;&gt;"",COUNTIF($AN$6:$AN$1005,AN820)&gt;1),"GSTIN repeated in this sheet; ","")&amp;IF(AND(AG820&lt;&gt;"",COUNTIF($AG$6:$AG$1005,AG820)&gt;1),"PAN repeated in this sheet (same client? put extra GSTINs in Other GSTINs); ","")&amp;IF(AND(AR820&gt;0,V820=""),"Financial year missing; ","")&amp;IF(AND(AR820=0,V820&lt;&gt;""),"Financial year given but no service is Yes; ","")&amp;IF(AND(W820="Yes",AN820=""),"GST needs a GSTIN; ","")&amp;IF(AND(W820="Yes",X820=""),"GST return frequency missing; ","")&amp;IF(AND(Y820="Yes",TRIM(H820)=""),"TDS needs a TAN; ","")&amp;IF(AND(AA820="Yes",AQ820&lt;&gt;"",AQ820&lt;&gt;"company",AQ820&lt;&gt;"llp"),"ROC is only for a company / LLP; ","")&amp;IF(AND(AA820="Yes",OR(AQ820="company",AQ820="llp"),TRIM(I820)=""),"ROC needs the CIN / LLPIN; ","")</f>
        <v/>
      </c>
    </row>
    <row r="821">
      <c r="A821" s="30" t="n"/>
      <c r="B821" s="31" t="n"/>
      <c r="C821" s="31" t="n"/>
      <c r="D821" s="31" t="n"/>
      <c r="E821" s="30" t="n"/>
      <c r="F821" s="30" t="n"/>
      <c r="G821" s="30" t="n"/>
      <c r="H821" s="30" t="n"/>
      <c r="I821" s="30" t="n"/>
      <c r="J821" s="32" t="n"/>
      <c r="K821" s="31" t="n"/>
      <c r="L821" s="30" t="n"/>
      <c r="M821" s="31" t="n"/>
      <c r="N821" s="31" t="n"/>
      <c r="O821" s="31" t="n"/>
      <c r="P821" s="30" t="n"/>
      <c r="Q821" s="31" t="n"/>
      <c r="R821" s="31" t="n"/>
      <c r="S821" s="31" t="n"/>
      <c r="T821" s="31" t="n"/>
      <c r="U821" s="30" t="n"/>
      <c r="V821" s="31" t="n"/>
      <c r="W821" s="31" t="n"/>
      <c r="X821" s="31" t="n"/>
      <c r="Y821" s="31" t="n"/>
      <c r="Z821" s="31" t="n"/>
      <c r="AA821" s="31" t="n"/>
      <c r="AB821" s="31" t="n"/>
      <c r="AC821" s="31" t="n"/>
      <c r="AD821" s="31" t="n"/>
      <c r="AE821" s="31" t="n"/>
      <c r="AF821" s="27">
        <f>IF(NOT(COUNTA(A821:AE821)&gt;0),"",IF(A821="","New client","Update"))</f>
        <v/>
      </c>
      <c r="AG821" s="27">
        <f>IF(AO821&lt;&gt;"",AO821,IF(LEN(AN821)=15,MID(AN821,3,10),""))</f>
        <v/>
      </c>
      <c r="AH821" s="27">
        <f>IF(AP821="","",AP821&amp;IF(D821="","  (guessed from PAN)",""))</f>
        <v/>
      </c>
      <c r="AI821" s="27">
        <f>IF(AN821="","",IFERROR(INDEX(Lists!$L$2:$L$38,MATCH(LEFT(AN821,2),Lists!$K$2:$K$38,0)),"Unknown code"))</f>
        <v/>
      </c>
      <c r="AJ821" s="27">
        <f>IF(AN821="","",IFERROR(IF(NOT(AND(LEN(AN821)=15,ISNUMBER(MATCH(LEFT(AN821,2),Lists!$K$2:$K$38,0)),SUMPRODUCT(--ISERROR(FIND(MID(MID(AN821,3,10),{1,2,3,4,5,10},1),"ABCDEFGHIJKLMNOPQRSTUVWXYZ")))=0,SUMPRODUCT(--ISERROR(FIND(MID(MID(AN821,3,10),{6,7,8,9},1),"0123456789")))=0,ISNUMBER(FIND(MID(AN821,13,1),"123456789ABCDEFGHIJKLMNOPQRSTUVWXYZ")),MID(AN821,14,1)="Z")),"Wrong format",IF(MID("0123456789ABCDEFGHIJKLMNOPQRSTUVWXYZ",MOD(36-MOD(SUMPRODUCT(INT((FIND(MID(AN821,{1,2,3,4,5,6,7,8,9,10,11,12,13,14},1),"0123456789ABCDEFGHIJKLMNOPQRSTUVWXYZ")-1)*{1,2,1,2,1,2,1,2,1,2,1,2,1,2}/36)+MOD((FIND(MID(AN821,{1,2,3,4,5,6,7,8,9,10,11,12,13,14},1),"0123456789ABCDEFGHIJKLMNOPQRSTUVWXYZ")-1)*{1,2,1,2,1,2,1,2,1,2,1,2,1,2},36)),36),36)+1,1)=MID(AN821,15,1),"OK","Typo? check digit wrong")),"Wrong format"))</f>
        <v/>
      </c>
      <c r="AK821" s="27">
        <f>IF(AO821="","",IF(AND(LEN(AO821)=10,SUMPRODUCT(--ISERROR(FIND(MID(AO821,{1,2,3,4,5,10},1),"ABCDEFGHIJKLMNOPQRSTUVWXYZ")))=0,SUMPRODUCT(--ISERROR(FIND(MID(AO821,{6,7,8,9},1),"0123456789")))=0),"OK","Wrong format"))</f>
        <v/>
      </c>
      <c r="AL821" s="27">
        <f>IF(TRIM(H821)="","",IF(AND(LEN(UPPER(TRIM(H821)))=10,SUMPRODUCT(--ISERROR(FIND(MID(UPPER(TRIM(H821)),{1,2,3,4,10},1),"ABCDEFGHIJKLMNOPQRSTUVWXYZ")))=0,SUMPRODUCT(--ISERROR(FIND(MID(UPPER(TRIM(H821)),{5,6,7,8,9},1),"0123456789")))=0),"OK","Wrong format"))</f>
        <v/>
      </c>
      <c r="AM821" s="28">
        <f>IF(NOT(COUNTA(A821:AE821)&gt;0),"",IF(AS821&lt;&gt;"","✖ "&amp;LEFT(AS821,LEN(AS821)-2),IF(AR821&gt;0,"✔ Ready — client + "&amp;AR821&amp;" service(s)","✔ Ready — client only")))</f>
        <v/>
      </c>
      <c r="AN821" s="29">
        <f>UPPER(SUBSTITUTE(TRIM(F821)," ",""))</f>
        <v/>
      </c>
      <c r="AO821" s="29">
        <f>UPPER(SUBSTITUTE(TRIM(E821)," ",""))</f>
        <v/>
      </c>
      <c r="AP821" s="29">
        <f>IF(D821&lt;&gt;"",D821,IFERROR(VLOOKUP(MID(AG821,4,1),Lists!$E$2:$F$8,2,FALSE),""))</f>
        <v/>
      </c>
      <c r="AQ821" s="29">
        <f>IFERROR(VLOOKUP(AP821,Lists!$A$2:$C$12,3,FALSE),"")</f>
        <v/>
      </c>
      <c r="AR821" s="29">
        <f>COUNTIF(W821:AC821,"Yes")</f>
        <v/>
      </c>
      <c r="AS821" s="29">
        <f>IF(TRIM(B821)="","Legal name missing; ","")&amp;IF(AND(AJ821&lt;&gt;"",AJ821&lt;&gt;"OK"),"GSTIN: "&amp;AJ821&amp;"; ","")&amp;IF(AND(AK821&lt;&gt;"",AK821&lt;&gt;"OK"),"PAN wrong format; ","")&amp;IF(AND(AO821&lt;&gt;"",LEN(AN821)=15,MID(AN821,3,10)&lt;&gt;AO821),"PAN does not match GSTIN; ","")&amp;IF(AND(AL821&lt;&gt;"",AL821&lt;&gt;"OK"),"TAN wrong format; ","")&amp;IF(AG821="","PAN missing; ","")&amp;IF(AP821="","Entity type missing; ","")&amp;IF(AND(AN821&lt;&gt;"",COUNTIF($AN$6:$AN$1005,AN821)&gt;1),"GSTIN repeated in this sheet; ","")&amp;IF(AND(AG821&lt;&gt;"",COUNTIF($AG$6:$AG$1005,AG821)&gt;1),"PAN repeated in this sheet (same client? put extra GSTINs in Other GSTINs); ","")&amp;IF(AND(AR821&gt;0,V821=""),"Financial year missing; ","")&amp;IF(AND(AR821=0,V821&lt;&gt;""),"Financial year given but no service is Yes; ","")&amp;IF(AND(W821="Yes",AN821=""),"GST needs a GSTIN; ","")&amp;IF(AND(W821="Yes",X821=""),"GST return frequency missing; ","")&amp;IF(AND(Y821="Yes",TRIM(H821)=""),"TDS needs a TAN; ","")&amp;IF(AND(AA821="Yes",AQ821&lt;&gt;"",AQ821&lt;&gt;"company",AQ821&lt;&gt;"llp"),"ROC is only for a company / LLP; ","")&amp;IF(AND(AA821="Yes",OR(AQ821="company",AQ821="llp"),TRIM(I821)=""),"ROC needs the CIN / LLPIN; ","")</f>
        <v/>
      </c>
    </row>
    <row r="822">
      <c r="A822" s="30" t="n"/>
      <c r="B822" s="31" t="n"/>
      <c r="C822" s="31" t="n"/>
      <c r="D822" s="31" t="n"/>
      <c r="E822" s="30" t="n"/>
      <c r="F822" s="30" t="n"/>
      <c r="G822" s="30" t="n"/>
      <c r="H822" s="30" t="n"/>
      <c r="I822" s="30" t="n"/>
      <c r="J822" s="32" t="n"/>
      <c r="K822" s="31" t="n"/>
      <c r="L822" s="30" t="n"/>
      <c r="M822" s="31" t="n"/>
      <c r="N822" s="31" t="n"/>
      <c r="O822" s="31" t="n"/>
      <c r="P822" s="30" t="n"/>
      <c r="Q822" s="31" t="n"/>
      <c r="R822" s="31" t="n"/>
      <c r="S822" s="31" t="n"/>
      <c r="T822" s="31" t="n"/>
      <c r="U822" s="30" t="n"/>
      <c r="V822" s="31" t="n"/>
      <c r="W822" s="31" t="n"/>
      <c r="X822" s="31" t="n"/>
      <c r="Y822" s="31" t="n"/>
      <c r="Z822" s="31" t="n"/>
      <c r="AA822" s="31" t="n"/>
      <c r="AB822" s="31" t="n"/>
      <c r="AC822" s="31" t="n"/>
      <c r="AD822" s="31" t="n"/>
      <c r="AE822" s="31" t="n"/>
      <c r="AF822" s="27">
        <f>IF(NOT(COUNTA(A822:AE822)&gt;0),"",IF(A822="","New client","Update"))</f>
        <v/>
      </c>
      <c r="AG822" s="27">
        <f>IF(AO822&lt;&gt;"",AO822,IF(LEN(AN822)=15,MID(AN822,3,10),""))</f>
        <v/>
      </c>
      <c r="AH822" s="27">
        <f>IF(AP822="","",AP822&amp;IF(D822="","  (guessed from PAN)",""))</f>
        <v/>
      </c>
      <c r="AI822" s="27">
        <f>IF(AN822="","",IFERROR(INDEX(Lists!$L$2:$L$38,MATCH(LEFT(AN822,2),Lists!$K$2:$K$38,0)),"Unknown code"))</f>
        <v/>
      </c>
      <c r="AJ822" s="27">
        <f>IF(AN822="","",IFERROR(IF(NOT(AND(LEN(AN822)=15,ISNUMBER(MATCH(LEFT(AN822,2),Lists!$K$2:$K$38,0)),SUMPRODUCT(--ISERROR(FIND(MID(MID(AN822,3,10),{1,2,3,4,5,10},1),"ABCDEFGHIJKLMNOPQRSTUVWXYZ")))=0,SUMPRODUCT(--ISERROR(FIND(MID(MID(AN822,3,10),{6,7,8,9},1),"0123456789")))=0,ISNUMBER(FIND(MID(AN822,13,1),"123456789ABCDEFGHIJKLMNOPQRSTUVWXYZ")),MID(AN822,14,1)="Z")),"Wrong format",IF(MID("0123456789ABCDEFGHIJKLMNOPQRSTUVWXYZ",MOD(36-MOD(SUMPRODUCT(INT((FIND(MID(AN822,{1,2,3,4,5,6,7,8,9,10,11,12,13,14},1),"0123456789ABCDEFGHIJKLMNOPQRSTUVWXYZ")-1)*{1,2,1,2,1,2,1,2,1,2,1,2,1,2}/36)+MOD((FIND(MID(AN822,{1,2,3,4,5,6,7,8,9,10,11,12,13,14},1),"0123456789ABCDEFGHIJKLMNOPQRSTUVWXYZ")-1)*{1,2,1,2,1,2,1,2,1,2,1,2,1,2},36)),36),36)+1,1)=MID(AN822,15,1),"OK","Typo? check digit wrong")),"Wrong format"))</f>
        <v/>
      </c>
      <c r="AK822" s="27">
        <f>IF(AO822="","",IF(AND(LEN(AO822)=10,SUMPRODUCT(--ISERROR(FIND(MID(AO822,{1,2,3,4,5,10},1),"ABCDEFGHIJKLMNOPQRSTUVWXYZ")))=0,SUMPRODUCT(--ISERROR(FIND(MID(AO822,{6,7,8,9},1),"0123456789")))=0),"OK","Wrong format"))</f>
        <v/>
      </c>
      <c r="AL822" s="27">
        <f>IF(TRIM(H822)="","",IF(AND(LEN(UPPER(TRIM(H822)))=10,SUMPRODUCT(--ISERROR(FIND(MID(UPPER(TRIM(H822)),{1,2,3,4,10},1),"ABCDEFGHIJKLMNOPQRSTUVWXYZ")))=0,SUMPRODUCT(--ISERROR(FIND(MID(UPPER(TRIM(H822)),{5,6,7,8,9},1),"0123456789")))=0),"OK","Wrong format"))</f>
        <v/>
      </c>
      <c r="AM822" s="28">
        <f>IF(NOT(COUNTA(A822:AE822)&gt;0),"",IF(AS822&lt;&gt;"","✖ "&amp;LEFT(AS822,LEN(AS822)-2),IF(AR822&gt;0,"✔ Ready — client + "&amp;AR822&amp;" service(s)","✔ Ready — client only")))</f>
        <v/>
      </c>
      <c r="AN822" s="29">
        <f>UPPER(SUBSTITUTE(TRIM(F822)," ",""))</f>
        <v/>
      </c>
      <c r="AO822" s="29">
        <f>UPPER(SUBSTITUTE(TRIM(E822)," ",""))</f>
        <v/>
      </c>
      <c r="AP822" s="29">
        <f>IF(D822&lt;&gt;"",D822,IFERROR(VLOOKUP(MID(AG822,4,1),Lists!$E$2:$F$8,2,FALSE),""))</f>
        <v/>
      </c>
      <c r="AQ822" s="29">
        <f>IFERROR(VLOOKUP(AP822,Lists!$A$2:$C$12,3,FALSE),"")</f>
        <v/>
      </c>
      <c r="AR822" s="29">
        <f>COUNTIF(W822:AC822,"Yes")</f>
        <v/>
      </c>
      <c r="AS822" s="29">
        <f>IF(TRIM(B822)="","Legal name missing; ","")&amp;IF(AND(AJ822&lt;&gt;"",AJ822&lt;&gt;"OK"),"GSTIN: "&amp;AJ822&amp;"; ","")&amp;IF(AND(AK822&lt;&gt;"",AK822&lt;&gt;"OK"),"PAN wrong format; ","")&amp;IF(AND(AO822&lt;&gt;"",LEN(AN822)=15,MID(AN822,3,10)&lt;&gt;AO822),"PAN does not match GSTIN; ","")&amp;IF(AND(AL822&lt;&gt;"",AL822&lt;&gt;"OK"),"TAN wrong format; ","")&amp;IF(AG822="","PAN missing; ","")&amp;IF(AP822="","Entity type missing; ","")&amp;IF(AND(AN822&lt;&gt;"",COUNTIF($AN$6:$AN$1005,AN822)&gt;1),"GSTIN repeated in this sheet; ","")&amp;IF(AND(AG822&lt;&gt;"",COUNTIF($AG$6:$AG$1005,AG822)&gt;1),"PAN repeated in this sheet (same client? put extra GSTINs in Other GSTINs); ","")&amp;IF(AND(AR822&gt;0,V822=""),"Financial year missing; ","")&amp;IF(AND(AR822=0,V822&lt;&gt;""),"Financial year given but no service is Yes; ","")&amp;IF(AND(W822="Yes",AN822=""),"GST needs a GSTIN; ","")&amp;IF(AND(W822="Yes",X822=""),"GST return frequency missing; ","")&amp;IF(AND(Y822="Yes",TRIM(H822)=""),"TDS needs a TAN; ","")&amp;IF(AND(AA822="Yes",AQ822&lt;&gt;"",AQ822&lt;&gt;"company",AQ822&lt;&gt;"llp"),"ROC is only for a company / LLP; ","")&amp;IF(AND(AA822="Yes",OR(AQ822="company",AQ822="llp"),TRIM(I822)=""),"ROC needs the CIN / LLPIN; ","")</f>
        <v/>
      </c>
    </row>
    <row r="823">
      <c r="A823" s="30" t="n"/>
      <c r="B823" s="31" t="n"/>
      <c r="C823" s="31" t="n"/>
      <c r="D823" s="31" t="n"/>
      <c r="E823" s="30" t="n"/>
      <c r="F823" s="30" t="n"/>
      <c r="G823" s="30" t="n"/>
      <c r="H823" s="30" t="n"/>
      <c r="I823" s="30" t="n"/>
      <c r="J823" s="32" t="n"/>
      <c r="K823" s="31" t="n"/>
      <c r="L823" s="30" t="n"/>
      <c r="M823" s="31" t="n"/>
      <c r="N823" s="31" t="n"/>
      <c r="O823" s="31" t="n"/>
      <c r="P823" s="30" t="n"/>
      <c r="Q823" s="31" t="n"/>
      <c r="R823" s="31" t="n"/>
      <c r="S823" s="31" t="n"/>
      <c r="T823" s="31" t="n"/>
      <c r="U823" s="30" t="n"/>
      <c r="V823" s="31" t="n"/>
      <c r="W823" s="31" t="n"/>
      <c r="X823" s="31" t="n"/>
      <c r="Y823" s="31" t="n"/>
      <c r="Z823" s="31" t="n"/>
      <c r="AA823" s="31" t="n"/>
      <c r="AB823" s="31" t="n"/>
      <c r="AC823" s="31" t="n"/>
      <c r="AD823" s="31" t="n"/>
      <c r="AE823" s="31" t="n"/>
      <c r="AF823" s="27">
        <f>IF(NOT(COUNTA(A823:AE823)&gt;0),"",IF(A823="","New client","Update"))</f>
        <v/>
      </c>
      <c r="AG823" s="27">
        <f>IF(AO823&lt;&gt;"",AO823,IF(LEN(AN823)=15,MID(AN823,3,10),""))</f>
        <v/>
      </c>
      <c r="AH823" s="27">
        <f>IF(AP823="","",AP823&amp;IF(D823="","  (guessed from PAN)",""))</f>
        <v/>
      </c>
      <c r="AI823" s="27">
        <f>IF(AN823="","",IFERROR(INDEX(Lists!$L$2:$L$38,MATCH(LEFT(AN823,2),Lists!$K$2:$K$38,0)),"Unknown code"))</f>
        <v/>
      </c>
      <c r="AJ823" s="27">
        <f>IF(AN823="","",IFERROR(IF(NOT(AND(LEN(AN823)=15,ISNUMBER(MATCH(LEFT(AN823,2),Lists!$K$2:$K$38,0)),SUMPRODUCT(--ISERROR(FIND(MID(MID(AN823,3,10),{1,2,3,4,5,10},1),"ABCDEFGHIJKLMNOPQRSTUVWXYZ")))=0,SUMPRODUCT(--ISERROR(FIND(MID(MID(AN823,3,10),{6,7,8,9},1),"0123456789")))=0,ISNUMBER(FIND(MID(AN823,13,1),"123456789ABCDEFGHIJKLMNOPQRSTUVWXYZ")),MID(AN823,14,1)="Z")),"Wrong format",IF(MID("0123456789ABCDEFGHIJKLMNOPQRSTUVWXYZ",MOD(36-MOD(SUMPRODUCT(INT((FIND(MID(AN823,{1,2,3,4,5,6,7,8,9,10,11,12,13,14},1),"0123456789ABCDEFGHIJKLMNOPQRSTUVWXYZ")-1)*{1,2,1,2,1,2,1,2,1,2,1,2,1,2}/36)+MOD((FIND(MID(AN823,{1,2,3,4,5,6,7,8,9,10,11,12,13,14},1),"0123456789ABCDEFGHIJKLMNOPQRSTUVWXYZ")-1)*{1,2,1,2,1,2,1,2,1,2,1,2,1,2},36)),36),36)+1,1)=MID(AN823,15,1),"OK","Typo? check digit wrong")),"Wrong format"))</f>
        <v/>
      </c>
      <c r="AK823" s="27">
        <f>IF(AO823="","",IF(AND(LEN(AO823)=10,SUMPRODUCT(--ISERROR(FIND(MID(AO823,{1,2,3,4,5,10},1),"ABCDEFGHIJKLMNOPQRSTUVWXYZ")))=0,SUMPRODUCT(--ISERROR(FIND(MID(AO823,{6,7,8,9},1),"0123456789")))=0),"OK","Wrong format"))</f>
        <v/>
      </c>
      <c r="AL823" s="27">
        <f>IF(TRIM(H823)="","",IF(AND(LEN(UPPER(TRIM(H823)))=10,SUMPRODUCT(--ISERROR(FIND(MID(UPPER(TRIM(H823)),{1,2,3,4,10},1),"ABCDEFGHIJKLMNOPQRSTUVWXYZ")))=0,SUMPRODUCT(--ISERROR(FIND(MID(UPPER(TRIM(H823)),{5,6,7,8,9},1),"0123456789")))=0),"OK","Wrong format"))</f>
        <v/>
      </c>
      <c r="AM823" s="28">
        <f>IF(NOT(COUNTA(A823:AE823)&gt;0),"",IF(AS823&lt;&gt;"","✖ "&amp;LEFT(AS823,LEN(AS823)-2),IF(AR823&gt;0,"✔ Ready — client + "&amp;AR823&amp;" service(s)","✔ Ready — client only")))</f>
        <v/>
      </c>
      <c r="AN823" s="29">
        <f>UPPER(SUBSTITUTE(TRIM(F823)," ",""))</f>
        <v/>
      </c>
      <c r="AO823" s="29">
        <f>UPPER(SUBSTITUTE(TRIM(E823)," ",""))</f>
        <v/>
      </c>
      <c r="AP823" s="29">
        <f>IF(D823&lt;&gt;"",D823,IFERROR(VLOOKUP(MID(AG823,4,1),Lists!$E$2:$F$8,2,FALSE),""))</f>
        <v/>
      </c>
      <c r="AQ823" s="29">
        <f>IFERROR(VLOOKUP(AP823,Lists!$A$2:$C$12,3,FALSE),"")</f>
        <v/>
      </c>
      <c r="AR823" s="29">
        <f>COUNTIF(W823:AC823,"Yes")</f>
        <v/>
      </c>
      <c r="AS823" s="29">
        <f>IF(TRIM(B823)="","Legal name missing; ","")&amp;IF(AND(AJ823&lt;&gt;"",AJ823&lt;&gt;"OK"),"GSTIN: "&amp;AJ823&amp;"; ","")&amp;IF(AND(AK823&lt;&gt;"",AK823&lt;&gt;"OK"),"PAN wrong format; ","")&amp;IF(AND(AO823&lt;&gt;"",LEN(AN823)=15,MID(AN823,3,10)&lt;&gt;AO823),"PAN does not match GSTIN; ","")&amp;IF(AND(AL823&lt;&gt;"",AL823&lt;&gt;"OK"),"TAN wrong format; ","")&amp;IF(AG823="","PAN missing; ","")&amp;IF(AP823="","Entity type missing; ","")&amp;IF(AND(AN823&lt;&gt;"",COUNTIF($AN$6:$AN$1005,AN823)&gt;1),"GSTIN repeated in this sheet; ","")&amp;IF(AND(AG823&lt;&gt;"",COUNTIF($AG$6:$AG$1005,AG823)&gt;1),"PAN repeated in this sheet (same client? put extra GSTINs in Other GSTINs); ","")&amp;IF(AND(AR823&gt;0,V823=""),"Financial year missing; ","")&amp;IF(AND(AR823=0,V823&lt;&gt;""),"Financial year given but no service is Yes; ","")&amp;IF(AND(W823="Yes",AN823=""),"GST needs a GSTIN; ","")&amp;IF(AND(W823="Yes",X823=""),"GST return frequency missing; ","")&amp;IF(AND(Y823="Yes",TRIM(H823)=""),"TDS needs a TAN; ","")&amp;IF(AND(AA823="Yes",AQ823&lt;&gt;"",AQ823&lt;&gt;"company",AQ823&lt;&gt;"llp"),"ROC is only for a company / LLP; ","")&amp;IF(AND(AA823="Yes",OR(AQ823="company",AQ823="llp"),TRIM(I823)=""),"ROC needs the CIN / LLPIN; ","")</f>
        <v/>
      </c>
    </row>
    <row r="824">
      <c r="A824" s="30" t="n"/>
      <c r="B824" s="31" t="n"/>
      <c r="C824" s="31" t="n"/>
      <c r="D824" s="31" t="n"/>
      <c r="E824" s="30" t="n"/>
      <c r="F824" s="30" t="n"/>
      <c r="G824" s="30" t="n"/>
      <c r="H824" s="30" t="n"/>
      <c r="I824" s="30" t="n"/>
      <c r="J824" s="32" t="n"/>
      <c r="K824" s="31" t="n"/>
      <c r="L824" s="30" t="n"/>
      <c r="M824" s="31" t="n"/>
      <c r="N824" s="31" t="n"/>
      <c r="O824" s="31" t="n"/>
      <c r="P824" s="30" t="n"/>
      <c r="Q824" s="31" t="n"/>
      <c r="R824" s="31" t="n"/>
      <c r="S824" s="31" t="n"/>
      <c r="T824" s="31" t="n"/>
      <c r="U824" s="30" t="n"/>
      <c r="V824" s="31" t="n"/>
      <c r="W824" s="31" t="n"/>
      <c r="X824" s="31" t="n"/>
      <c r="Y824" s="31" t="n"/>
      <c r="Z824" s="31" t="n"/>
      <c r="AA824" s="31" t="n"/>
      <c r="AB824" s="31" t="n"/>
      <c r="AC824" s="31" t="n"/>
      <c r="AD824" s="31" t="n"/>
      <c r="AE824" s="31" t="n"/>
      <c r="AF824" s="27">
        <f>IF(NOT(COUNTA(A824:AE824)&gt;0),"",IF(A824="","New client","Update"))</f>
        <v/>
      </c>
      <c r="AG824" s="27">
        <f>IF(AO824&lt;&gt;"",AO824,IF(LEN(AN824)=15,MID(AN824,3,10),""))</f>
        <v/>
      </c>
      <c r="AH824" s="27">
        <f>IF(AP824="","",AP824&amp;IF(D824="","  (guessed from PAN)",""))</f>
        <v/>
      </c>
      <c r="AI824" s="27">
        <f>IF(AN824="","",IFERROR(INDEX(Lists!$L$2:$L$38,MATCH(LEFT(AN824,2),Lists!$K$2:$K$38,0)),"Unknown code"))</f>
        <v/>
      </c>
      <c r="AJ824" s="27">
        <f>IF(AN824="","",IFERROR(IF(NOT(AND(LEN(AN824)=15,ISNUMBER(MATCH(LEFT(AN824,2),Lists!$K$2:$K$38,0)),SUMPRODUCT(--ISERROR(FIND(MID(MID(AN824,3,10),{1,2,3,4,5,10},1),"ABCDEFGHIJKLMNOPQRSTUVWXYZ")))=0,SUMPRODUCT(--ISERROR(FIND(MID(MID(AN824,3,10),{6,7,8,9},1),"0123456789")))=0,ISNUMBER(FIND(MID(AN824,13,1),"123456789ABCDEFGHIJKLMNOPQRSTUVWXYZ")),MID(AN824,14,1)="Z")),"Wrong format",IF(MID("0123456789ABCDEFGHIJKLMNOPQRSTUVWXYZ",MOD(36-MOD(SUMPRODUCT(INT((FIND(MID(AN824,{1,2,3,4,5,6,7,8,9,10,11,12,13,14},1),"0123456789ABCDEFGHIJKLMNOPQRSTUVWXYZ")-1)*{1,2,1,2,1,2,1,2,1,2,1,2,1,2}/36)+MOD((FIND(MID(AN824,{1,2,3,4,5,6,7,8,9,10,11,12,13,14},1),"0123456789ABCDEFGHIJKLMNOPQRSTUVWXYZ")-1)*{1,2,1,2,1,2,1,2,1,2,1,2,1,2},36)),36),36)+1,1)=MID(AN824,15,1),"OK","Typo? check digit wrong")),"Wrong format"))</f>
        <v/>
      </c>
      <c r="AK824" s="27">
        <f>IF(AO824="","",IF(AND(LEN(AO824)=10,SUMPRODUCT(--ISERROR(FIND(MID(AO824,{1,2,3,4,5,10},1),"ABCDEFGHIJKLMNOPQRSTUVWXYZ")))=0,SUMPRODUCT(--ISERROR(FIND(MID(AO824,{6,7,8,9},1),"0123456789")))=0),"OK","Wrong format"))</f>
        <v/>
      </c>
      <c r="AL824" s="27">
        <f>IF(TRIM(H824)="","",IF(AND(LEN(UPPER(TRIM(H824)))=10,SUMPRODUCT(--ISERROR(FIND(MID(UPPER(TRIM(H824)),{1,2,3,4,10},1),"ABCDEFGHIJKLMNOPQRSTUVWXYZ")))=0,SUMPRODUCT(--ISERROR(FIND(MID(UPPER(TRIM(H824)),{5,6,7,8,9},1),"0123456789")))=0),"OK","Wrong format"))</f>
        <v/>
      </c>
      <c r="AM824" s="28">
        <f>IF(NOT(COUNTA(A824:AE824)&gt;0),"",IF(AS824&lt;&gt;"","✖ "&amp;LEFT(AS824,LEN(AS824)-2),IF(AR824&gt;0,"✔ Ready — client + "&amp;AR824&amp;" service(s)","✔ Ready — client only")))</f>
        <v/>
      </c>
      <c r="AN824" s="29">
        <f>UPPER(SUBSTITUTE(TRIM(F824)," ",""))</f>
        <v/>
      </c>
      <c r="AO824" s="29">
        <f>UPPER(SUBSTITUTE(TRIM(E824)," ",""))</f>
        <v/>
      </c>
      <c r="AP824" s="29">
        <f>IF(D824&lt;&gt;"",D824,IFERROR(VLOOKUP(MID(AG824,4,1),Lists!$E$2:$F$8,2,FALSE),""))</f>
        <v/>
      </c>
      <c r="AQ824" s="29">
        <f>IFERROR(VLOOKUP(AP824,Lists!$A$2:$C$12,3,FALSE),"")</f>
        <v/>
      </c>
      <c r="AR824" s="29">
        <f>COUNTIF(W824:AC824,"Yes")</f>
        <v/>
      </c>
      <c r="AS824" s="29">
        <f>IF(TRIM(B824)="","Legal name missing; ","")&amp;IF(AND(AJ824&lt;&gt;"",AJ824&lt;&gt;"OK"),"GSTIN: "&amp;AJ824&amp;"; ","")&amp;IF(AND(AK824&lt;&gt;"",AK824&lt;&gt;"OK"),"PAN wrong format; ","")&amp;IF(AND(AO824&lt;&gt;"",LEN(AN824)=15,MID(AN824,3,10)&lt;&gt;AO824),"PAN does not match GSTIN; ","")&amp;IF(AND(AL824&lt;&gt;"",AL824&lt;&gt;"OK"),"TAN wrong format; ","")&amp;IF(AG824="","PAN missing; ","")&amp;IF(AP824="","Entity type missing; ","")&amp;IF(AND(AN824&lt;&gt;"",COUNTIF($AN$6:$AN$1005,AN824)&gt;1),"GSTIN repeated in this sheet; ","")&amp;IF(AND(AG824&lt;&gt;"",COUNTIF($AG$6:$AG$1005,AG824)&gt;1),"PAN repeated in this sheet (same client? put extra GSTINs in Other GSTINs); ","")&amp;IF(AND(AR824&gt;0,V824=""),"Financial year missing; ","")&amp;IF(AND(AR824=0,V824&lt;&gt;""),"Financial year given but no service is Yes; ","")&amp;IF(AND(W824="Yes",AN824=""),"GST needs a GSTIN; ","")&amp;IF(AND(W824="Yes",X824=""),"GST return frequency missing; ","")&amp;IF(AND(Y824="Yes",TRIM(H824)=""),"TDS needs a TAN; ","")&amp;IF(AND(AA824="Yes",AQ824&lt;&gt;"",AQ824&lt;&gt;"company",AQ824&lt;&gt;"llp"),"ROC is only for a company / LLP; ","")&amp;IF(AND(AA824="Yes",OR(AQ824="company",AQ824="llp"),TRIM(I824)=""),"ROC needs the CIN / LLPIN; ","")</f>
        <v/>
      </c>
    </row>
    <row r="825">
      <c r="A825" s="30" t="n"/>
      <c r="B825" s="31" t="n"/>
      <c r="C825" s="31" t="n"/>
      <c r="D825" s="31" t="n"/>
      <c r="E825" s="30" t="n"/>
      <c r="F825" s="30" t="n"/>
      <c r="G825" s="30" t="n"/>
      <c r="H825" s="30" t="n"/>
      <c r="I825" s="30" t="n"/>
      <c r="J825" s="32" t="n"/>
      <c r="K825" s="31" t="n"/>
      <c r="L825" s="30" t="n"/>
      <c r="M825" s="31" t="n"/>
      <c r="N825" s="31" t="n"/>
      <c r="O825" s="31" t="n"/>
      <c r="P825" s="30" t="n"/>
      <c r="Q825" s="31" t="n"/>
      <c r="R825" s="31" t="n"/>
      <c r="S825" s="31" t="n"/>
      <c r="T825" s="31" t="n"/>
      <c r="U825" s="30" t="n"/>
      <c r="V825" s="31" t="n"/>
      <c r="W825" s="31" t="n"/>
      <c r="X825" s="31" t="n"/>
      <c r="Y825" s="31" t="n"/>
      <c r="Z825" s="31" t="n"/>
      <c r="AA825" s="31" t="n"/>
      <c r="AB825" s="31" t="n"/>
      <c r="AC825" s="31" t="n"/>
      <c r="AD825" s="31" t="n"/>
      <c r="AE825" s="31" t="n"/>
      <c r="AF825" s="27">
        <f>IF(NOT(COUNTA(A825:AE825)&gt;0),"",IF(A825="","New client","Update"))</f>
        <v/>
      </c>
      <c r="AG825" s="27">
        <f>IF(AO825&lt;&gt;"",AO825,IF(LEN(AN825)=15,MID(AN825,3,10),""))</f>
        <v/>
      </c>
      <c r="AH825" s="27">
        <f>IF(AP825="","",AP825&amp;IF(D825="","  (guessed from PAN)",""))</f>
        <v/>
      </c>
      <c r="AI825" s="27">
        <f>IF(AN825="","",IFERROR(INDEX(Lists!$L$2:$L$38,MATCH(LEFT(AN825,2),Lists!$K$2:$K$38,0)),"Unknown code"))</f>
        <v/>
      </c>
      <c r="AJ825" s="27">
        <f>IF(AN825="","",IFERROR(IF(NOT(AND(LEN(AN825)=15,ISNUMBER(MATCH(LEFT(AN825,2),Lists!$K$2:$K$38,0)),SUMPRODUCT(--ISERROR(FIND(MID(MID(AN825,3,10),{1,2,3,4,5,10},1),"ABCDEFGHIJKLMNOPQRSTUVWXYZ")))=0,SUMPRODUCT(--ISERROR(FIND(MID(MID(AN825,3,10),{6,7,8,9},1),"0123456789")))=0,ISNUMBER(FIND(MID(AN825,13,1),"123456789ABCDEFGHIJKLMNOPQRSTUVWXYZ")),MID(AN825,14,1)="Z")),"Wrong format",IF(MID("0123456789ABCDEFGHIJKLMNOPQRSTUVWXYZ",MOD(36-MOD(SUMPRODUCT(INT((FIND(MID(AN825,{1,2,3,4,5,6,7,8,9,10,11,12,13,14},1),"0123456789ABCDEFGHIJKLMNOPQRSTUVWXYZ")-1)*{1,2,1,2,1,2,1,2,1,2,1,2,1,2}/36)+MOD((FIND(MID(AN825,{1,2,3,4,5,6,7,8,9,10,11,12,13,14},1),"0123456789ABCDEFGHIJKLMNOPQRSTUVWXYZ")-1)*{1,2,1,2,1,2,1,2,1,2,1,2,1,2},36)),36),36)+1,1)=MID(AN825,15,1),"OK","Typo? check digit wrong")),"Wrong format"))</f>
        <v/>
      </c>
      <c r="AK825" s="27">
        <f>IF(AO825="","",IF(AND(LEN(AO825)=10,SUMPRODUCT(--ISERROR(FIND(MID(AO825,{1,2,3,4,5,10},1),"ABCDEFGHIJKLMNOPQRSTUVWXYZ")))=0,SUMPRODUCT(--ISERROR(FIND(MID(AO825,{6,7,8,9},1),"0123456789")))=0),"OK","Wrong format"))</f>
        <v/>
      </c>
      <c r="AL825" s="27">
        <f>IF(TRIM(H825)="","",IF(AND(LEN(UPPER(TRIM(H825)))=10,SUMPRODUCT(--ISERROR(FIND(MID(UPPER(TRIM(H825)),{1,2,3,4,10},1),"ABCDEFGHIJKLMNOPQRSTUVWXYZ")))=0,SUMPRODUCT(--ISERROR(FIND(MID(UPPER(TRIM(H825)),{5,6,7,8,9},1),"0123456789")))=0),"OK","Wrong format"))</f>
        <v/>
      </c>
      <c r="AM825" s="28">
        <f>IF(NOT(COUNTA(A825:AE825)&gt;0),"",IF(AS825&lt;&gt;"","✖ "&amp;LEFT(AS825,LEN(AS825)-2),IF(AR825&gt;0,"✔ Ready — client + "&amp;AR825&amp;" service(s)","✔ Ready — client only")))</f>
        <v/>
      </c>
      <c r="AN825" s="29">
        <f>UPPER(SUBSTITUTE(TRIM(F825)," ",""))</f>
        <v/>
      </c>
      <c r="AO825" s="29">
        <f>UPPER(SUBSTITUTE(TRIM(E825)," ",""))</f>
        <v/>
      </c>
      <c r="AP825" s="29">
        <f>IF(D825&lt;&gt;"",D825,IFERROR(VLOOKUP(MID(AG825,4,1),Lists!$E$2:$F$8,2,FALSE),""))</f>
        <v/>
      </c>
      <c r="AQ825" s="29">
        <f>IFERROR(VLOOKUP(AP825,Lists!$A$2:$C$12,3,FALSE),"")</f>
        <v/>
      </c>
      <c r="AR825" s="29">
        <f>COUNTIF(W825:AC825,"Yes")</f>
        <v/>
      </c>
      <c r="AS825" s="29">
        <f>IF(TRIM(B825)="","Legal name missing; ","")&amp;IF(AND(AJ825&lt;&gt;"",AJ825&lt;&gt;"OK"),"GSTIN: "&amp;AJ825&amp;"; ","")&amp;IF(AND(AK825&lt;&gt;"",AK825&lt;&gt;"OK"),"PAN wrong format; ","")&amp;IF(AND(AO825&lt;&gt;"",LEN(AN825)=15,MID(AN825,3,10)&lt;&gt;AO825),"PAN does not match GSTIN; ","")&amp;IF(AND(AL825&lt;&gt;"",AL825&lt;&gt;"OK"),"TAN wrong format; ","")&amp;IF(AG825="","PAN missing; ","")&amp;IF(AP825="","Entity type missing; ","")&amp;IF(AND(AN825&lt;&gt;"",COUNTIF($AN$6:$AN$1005,AN825)&gt;1),"GSTIN repeated in this sheet; ","")&amp;IF(AND(AG825&lt;&gt;"",COUNTIF($AG$6:$AG$1005,AG825)&gt;1),"PAN repeated in this sheet (same client? put extra GSTINs in Other GSTINs); ","")&amp;IF(AND(AR825&gt;0,V825=""),"Financial year missing; ","")&amp;IF(AND(AR825=0,V825&lt;&gt;""),"Financial year given but no service is Yes; ","")&amp;IF(AND(W825="Yes",AN825=""),"GST needs a GSTIN; ","")&amp;IF(AND(W825="Yes",X825=""),"GST return frequency missing; ","")&amp;IF(AND(Y825="Yes",TRIM(H825)=""),"TDS needs a TAN; ","")&amp;IF(AND(AA825="Yes",AQ825&lt;&gt;"",AQ825&lt;&gt;"company",AQ825&lt;&gt;"llp"),"ROC is only for a company / LLP; ","")&amp;IF(AND(AA825="Yes",OR(AQ825="company",AQ825="llp"),TRIM(I825)=""),"ROC needs the CIN / LLPIN; ","")</f>
        <v/>
      </c>
    </row>
    <row r="826">
      <c r="A826" s="30" t="n"/>
      <c r="B826" s="31" t="n"/>
      <c r="C826" s="31" t="n"/>
      <c r="D826" s="31" t="n"/>
      <c r="E826" s="30" t="n"/>
      <c r="F826" s="30" t="n"/>
      <c r="G826" s="30" t="n"/>
      <c r="H826" s="30" t="n"/>
      <c r="I826" s="30" t="n"/>
      <c r="J826" s="32" t="n"/>
      <c r="K826" s="31" t="n"/>
      <c r="L826" s="30" t="n"/>
      <c r="M826" s="31" t="n"/>
      <c r="N826" s="31" t="n"/>
      <c r="O826" s="31" t="n"/>
      <c r="P826" s="30" t="n"/>
      <c r="Q826" s="31" t="n"/>
      <c r="R826" s="31" t="n"/>
      <c r="S826" s="31" t="n"/>
      <c r="T826" s="31" t="n"/>
      <c r="U826" s="30" t="n"/>
      <c r="V826" s="31" t="n"/>
      <c r="W826" s="31" t="n"/>
      <c r="X826" s="31" t="n"/>
      <c r="Y826" s="31" t="n"/>
      <c r="Z826" s="31" t="n"/>
      <c r="AA826" s="31" t="n"/>
      <c r="AB826" s="31" t="n"/>
      <c r="AC826" s="31" t="n"/>
      <c r="AD826" s="31" t="n"/>
      <c r="AE826" s="31" t="n"/>
      <c r="AF826" s="27">
        <f>IF(NOT(COUNTA(A826:AE826)&gt;0),"",IF(A826="","New client","Update"))</f>
        <v/>
      </c>
      <c r="AG826" s="27">
        <f>IF(AO826&lt;&gt;"",AO826,IF(LEN(AN826)=15,MID(AN826,3,10),""))</f>
        <v/>
      </c>
      <c r="AH826" s="27">
        <f>IF(AP826="","",AP826&amp;IF(D826="","  (guessed from PAN)",""))</f>
        <v/>
      </c>
      <c r="AI826" s="27">
        <f>IF(AN826="","",IFERROR(INDEX(Lists!$L$2:$L$38,MATCH(LEFT(AN826,2),Lists!$K$2:$K$38,0)),"Unknown code"))</f>
        <v/>
      </c>
      <c r="AJ826" s="27">
        <f>IF(AN826="","",IFERROR(IF(NOT(AND(LEN(AN826)=15,ISNUMBER(MATCH(LEFT(AN826,2),Lists!$K$2:$K$38,0)),SUMPRODUCT(--ISERROR(FIND(MID(MID(AN826,3,10),{1,2,3,4,5,10},1),"ABCDEFGHIJKLMNOPQRSTUVWXYZ")))=0,SUMPRODUCT(--ISERROR(FIND(MID(MID(AN826,3,10),{6,7,8,9},1),"0123456789")))=0,ISNUMBER(FIND(MID(AN826,13,1),"123456789ABCDEFGHIJKLMNOPQRSTUVWXYZ")),MID(AN826,14,1)="Z")),"Wrong format",IF(MID("0123456789ABCDEFGHIJKLMNOPQRSTUVWXYZ",MOD(36-MOD(SUMPRODUCT(INT((FIND(MID(AN826,{1,2,3,4,5,6,7,8,9,10,11,12,13,14},1),"0123456789ABCDEFGHIJKLMNOPQRSTUVWXYZ")-1)*{1,2,1,2,1,2,1,2,1,2,1,2,1,2}/36)+MOD((FIND(MID(AN826,{1,2,3,4,5,6,7,8,9,10,11,12,13,14},1),"0123456789ABCDEFGHIJKLMNOPQRSTUVWXYZ")-1)*{1,2,1,2,1,2,1,2,1,2,1,2,1,2},36)),36),36)+1,1)=MID(AN826,15,1),"OK","Typo? check digit wrong")),"Wrong format"))</f>
        <v/>
      </c>
      <c r="AK826" s="27">
        <f>IF(AO826="","",IF(AND(LEN(AO826)=10,SUMPRODUCT(--ISERROR(FIND(MID(AO826,{1,2,3,4,5,10},1),"ABCDEFGHIJKLMNOPQRSTUVWXYZ")))=0,SUMPRODUCT(--ISERROR(FIND(MID(AO826,{6,7,8,9},1),"0123456789")))=0),"OK","Wrong format"))</f>
        <v/>
      </c>
      <c r="AL826" s="27">
        <f>IF(TRIM(H826)="","",IF(AND(LEN(UPPER(TRIM(H826)))=10,SUMPRODUCT(--ISERROR(FIND(MID(UPPER(TRIM(H826)),{1,2,3,4,10},1),"ABCDEFGHIJKLMNOPQRSTUVWXYZ")))=0,SUMPRODUCT(--ISERROR(FIND(MID(UPPER(TRIM(H826)),{5,6,7,8,9},1),"0123456789")))=0),"OK","Wrong format"))</f>
        <v/>
      </c>
      <c r="AM826" s="28">
        <f>IF(NOT(COUNTA(A826:AE826)&gt;0),"",IF(AS826&lt;&gt;"","✖ "&amp;LEFT(AS826,LEN(AS826)-2),IF(AR826&gt;0,"✔ Ready — client + "&amp;AR826&amp;" service(s)","✔ Ready — client only")))</f>
        <v/>
      </c>
      <c r="AN826" s="29">
        <f>UPPER(SUBSTITUTE(TRIM(F826)," ",""))</f>
        <v/>
      </c>
      <c r="AO826" s="29">
        <f>UPPER(SUBSTITUTE(TRIM(E826)," ",""))</f>
        <v/>
      </c>
      <c r="AP826" s="29">
        <f>IF(D826&lt;&gt;"",D826,IFERROR(VLOOKUP(MID(AG826,4,1),Lists!$E$2:$F$8,2,FALSE),""))</f>
        <v/>
      </c>
      <c r="AQ826" s="29">
        <f>IFERROR(VLOOKUP(AP826,Lists!$A$2:$C$12,3,FALSE),"")</f>
        <v/>
      </c>
      <c r="AR826" s="29">
        <f>COUNTIF(W826:AC826,"Yes")</f>
        <v/>
      </c>
      <c r="AS826" s="29">
        <f>IF(TRIM(B826)="","Legal name missing; ","")&amp;IF(AND(AJ826&lt;&gt;"",AJ826&lt;&gt;"OK"),"GSTIN: "&amp;AJ826&amp;"; ","")&amp;IF(AND(AK826&lt;&gt;"",AK826&lt;&gt;"OK"),"PAN wrong format; ","")&amp;IF(AND(AO826&lt;&gt;"",LEN(AN826)=15,MID(AN826,3,10)&lt;&gt;AO826),"PAN does not match GSTIN; ","")&amp;IF(AND(AL826&lt;&gt;"",AL826&lt;&gt;"OK"),"TAN wrong format; ","")&amp;IF(AG826="","PAN missing; ","")&amp;IF(AP826="","Entity type missing; ","")&amp;IF(AND(AN826&lt;&gt;"",COUNTIF($AN$6:$AN$1005,AN826)&gt;1),"GSTIN repeated in this sheet; ","")&amp;IF(AND(AG826&lt;&gt;"",COUNTIF($AG$6:$AG$1005,AG826)&gt;1),"PAN repeated in this sheet (same client? put extra GSTINs in Other GSTINs); ","")&amp;IF(AND(AR826&gt;0,V826=""),"Financial year missing; ","")&amp;IF(AND(AR826=0,V826&lt;&gt;""),"Financial year given but no service is Yes; ","")&amp;IF(AND(W826="Yes",AN826=""),"GST needs a GSTIN; ","")&amp;IF(AND(W826="Yes",X826=""),"GST return frequency missing; ","")&amp;IF(AND(Y826="Yes",TRIM(H826)=""),"TDS needs a TAN; ","")&amp;IF(AND(AA826="Yes",AQ826&lt;&gt;"",AQ826&lt;&gt;"company",AQ826&lt;&gt;"llp"),"ROC is only for a company / LLP; ","")&amp;IF(AND(AA826="Yes",OR(AQ826="company",AQ826="llp"),TRIM(I826)=""),"ROC needs the CIN / LLPIN; ","")</f>
        <v/>
      </c>
    </row>
    <row r="827">
      <c r="A827" s="30" t="n"/>
      <c r="B827" s="31" t="n"/>
      <c r="C827" s="31" t="n"/>
      <c r="D827" s="31" t="n"/>
      <c r="E827" s="30" t="n"/>
      <c r="F827" s="30" t="n"/>
      <c r="G827" s="30" t="n"/>
      <c r="H827" s="30" t="n"/>
      <c r="I827" s="30" t="n"/>
      <c r="J827" s="32" t="n"/>
      <c r="K827" s="31" t="n"/>
      <c r="L827" s="30" t="n"/>
      <c r="M827" s="31" t="n"/>
      <c r="N827" s="31" t="n"/>
      <c r="O827" s="31" t="n"/>
      <c r="P827" s="30" t="n"/>
      <c r="Q827" s="31" t="n"/>
      <c r="R827" s="31" t="n"/>
      <c r="S827" s="31" t="n"/>
      <c r="T827" s="31" t="n"/>
      <c r="U827" s="30" t="n"/>
      <c r="V827" s="31" t="n"/>
      <c r="W827" s="31" t="n"/>
      <c r="X827" s="31" t="n"/>
      <c r="Y827" s="31" t="n"/>
      <c r="Z827" s="31" t="n"/>
      <c r="AA827" s="31" t="n"/>
      <c r="AB827" s="31" t="n"/>
      <c r="AC827" s="31" t="n"/>
      <c r="AD827" s="31" t="n"/>
      <c r="AE827" s="31" t="n"/>
      <c r="AF827" s="27">
        <f>IF(NOT(COUNTA(A827:AE827)&gt;0),"",IF(A827="","New client","Update"))</f>
        <v/>
      </c>
      <c r="AG827" s="27">
        <f>IF(AO827&lt;&gt;"",AO827,IF(LEN(AN827)=15,MID(AN827,3,10),""))</f>
        <v/>
      </c>
      <c r="AH827" s="27">
        <f>IF(AP827="","",AP827&amp;IF(D827="","  (guessed from PAN)",""))</f>
        <v/>
      </c>
      <c r="AI827" s="27">
        <f>IF(AN827="","",IFERROR(INDEX(Lists!$L$2:$L$38,MATCH(LEFT(AN827,2),Lists!$K$2:$K$38,0)),"Unknown code"))</f>
        <v/>
      </c>
      <c r="AJ827" s="27">
        <f>IF(AN827="","",IFERROR(IF(NOT(AND(LEN(AN827)=15,ISNUMBER(MATCH(LEFT(AN827,2),Lists!$K$2:$K$38,0)),SUMPRODUCT(--ISERROR(FIND(MID(MID(AN827,3,10),{1,2,3,4,5,10},1),"ABCDEFGHIJKLMNOPQRSTUVWXYZ")))=0,SUMPRODUCT(--ISERROR(FIND(MID(MID(AN827,3,10),{6,7,8,9},1),"0123456789")))=0,ISNUMBER(FIND(MID(AN827,13,1),"123456789ABCDEFGHIJKLMNOPQRSTUVWXYZ")),MID(AN827,14,1)="Z")),"Wrong format",IF(MID("0123456789ABCDEFGHIJKLMNOPQRSTUVWXYZ",MOD(36-MOD(SUMPRODUCT(INT((FIND(MID(AN827,{1,2,3,4,5,6,7,8,9,10,11,12,13,14},1),"0123456789ABCDEFGHIJKLMNOPQRSTUVWXYZ")-1)*{1,2,1,2,1,2,1,2,1,2,1,2,1,2}/36)+MOD((FIND(MID(AN827,{1,2,3,4,5,6,7,8,9,10,11,12,13,14},1),"0123456789ABCDEFGHIJKLMNOPQRSTUVWXYZ")-1)*{1,2,1,2,1,2,1,2,1,2,1,2,1,2},36)),36),36)+1,1)=MID(AN827,15,1),"OK","Typo? check digit wrong")),"Wrong format"))</f>
        <v/>
      </c>
      <c r="AK827" s="27">
        <f>IF(AO827="","",IF(AND(LEN(AO827)=10,SUMPRODUCT(--ISERROR(FIND(MID(AO827,{1,2,3,4,5,10},1),"ABCDEFGHIJKLMNOPQRSTUVWXYZ")))=0,SUMPRODUCT(--ISERROR(FIND(MID(AO827,{6,7,8,9},1),"0123456789")))=0),"OK","Wrong format"))</f>
        <v/>
      </c>
      <c r="AL827" s="27">
        <f>IF(TRIM(H827)="","",IF(AND(LEN(UPPER(TRIM(H827)))=10,SUMPRODUCT(--ISERROR(FIND(MID(UPPER(TRIM(H827)),{1,2,3,4,10},1),"ABCDEFGHIJKLMNOPQRSTUVWXYZ")))=0,SUMPRODUCT(--ISERROR(FIND(MID(UPPER(TRIM(H827)),{5,6,7,8,9},1),"0123456789")))=0),"OK","Wrong format"))</f>
        <v/>
      </c>
      <c r="AM827" s="28">
        <f>IF(NOT(COUNTA(A827:AE827)&gt;0),"",IF(AS827&lt;&gt;"","✖ "&amp;LEFT(AS827,LEN(AS827)-2),IF(AR827&gt;0,"✔ Ready — client + "&amp;AR827&amp;" service(s)","✔ Ready — client only")))</f>
        <v/>
      </c>
      <c r="AN827" s="29">
        <f>UPPER(SUBSTITUTE(TRIM(F827)," ",""))</f>
        <v/>
      </c>
      <c r="AO827" s="29">
        <f>UPPER(SUBSTITUTE(TRIM(E827)," ",""))</f>
        <v/>
      </c>
      <c r="AP827" s="29">
        <f>IF(D827&lt;&gt;"",D827,IFERROR(VLOOKUP(MID(AG827,4,1),Lists!$E$2:$F$8,2,FALSE),""))</f>
        <v/>
      </c>
      <c r="AQ827" s="29">
        <f>IFERROR(VLOOKUP(AP827,Lists!$A$2:$C$12,3,FALSE),"")</f>
        <v/>
      </c>
      <c r="AR827" s="29">
        <f>COUNTIF(W827:AC827,"Yes")</f>
        <v/>
      </c>
      <c r="AS827" s="29">
        <f>IF(TRIM(B827)="","Legal name missing; ","")&amp;IF(AND(AJ827&lt;&gt;"",AJ827&lt;&gt;"OK"),"GSTIN: "&amp;AJ827&amp;"; ","")&amp;IF(AND(AK827&lt;&gt;"",AK827&lt;&gt;"OK"),"PAN wrong format; ","")&amp;IF(AND(AO827&lt;&gt;"",LEN(AN827)=15,MID(AN827,3,10)&lt;&gt;AO827),"PAN does not match GSTIN; ","")&amp;IF(AND(AL827&lt;&gt;"",AL827&lt;&gt;"OK"),"TAN wrong format; ","")&amp;IF(AG827="","PAN missing; ","")&amp;IF(AP827="","Entity type missing; ","")&amp;IF(AND(AN827&lt;&gt;"",COUNTIF($AN$6:$AN$1005,AN827)&gt;1),"GSTIN repeated in this sheet; ","")&amp;IF(AND(AG827&lt;&gt;"",COUNTIF($AG$6:$AG$1005,AG827)&gt;1),"PAN repeated in this sheet (same client? put extra GSTINs in Other GSTINs); ","")&amp;IF(AND(AR827&gt;0,V827=""),"Financial year missing; ","")&amp;IF(AND(AR827=0,V827&lt;&gt;""),"Financial year given but no service is Yes; ","")&amp;IF(AND(W827="Yes",AN827=""),"GST needs a GSTIN; ","")&amp;IF(AND(W827="Yes",X827=""),"GST return frequency missing; ","")&amp;IF(AND(Y827="Yes",TRIM(H827)=""),"TDS needs a TAN; ","")&amp;IF(AND(AA827="Yes",AQ827&lt;&gt;"",AQ827&lt;&gt;"company",AQ827&lt;&gt;"llp"),"ROC is only for a company / LLP; ","")&amp;IF(AND(AA827="Yes",OR(AQ827="company",AQ827="llp"),TRIM(I827)=""),"ROC needs the CIN / LLPIN; ","")</f>
        <v/>
      </c>
    </row>
    <row r="828">
      <c r="A828" s="30" t="n"/>
      <c r="B828" s="31" t="n"/>
      <c r="C828" s="31" t="n"/>
      <c r="D828" s="31" t="n"/>
      <c r="E828" s="30" t="n"/>
      <c r="F828" s="30" t="n"/>
      <c r="G828" s="30" t="n"/>
      <c r="H828" s="30" t="n"/>
      <c r="I828" s="30" t="n"/>
      <c r="J828" s="32" t="n"/>
      <c r="K828" s="31" t="n"/>
      <c r="L828" s="30" t="n"/>
      <c r="M828" s="31" t="n"/>
      <c r="N828" s="31" t="n"/>
      <c r="O828" s="31" t="n"/>
      <c r="P828" s="30" t="n"/>
      <c r="Q828" s="31" t="n"/>
      <c r="R828" s="31" t="n"/>
      <c r="S828" s="31" t="n"/>
      <c r="T828" s="31" t="n"/>
      <c r="U828" s="30" t="n"/>
      <c r="V828" s="31" t="n"/>
      <c r="W828" s="31" t="n"/>
      <c r="X828" s="31" t="n"/>
      <c r="Y828" s="31" t="n"/>
      <c r="Z828" s="31" t="n"/>
      <c r="AA828" s="31" t="n"/>
      <c r="AB828" s="31" t="n"/>
      <c r="AC828" s="31" t="n"/>
      <c r="AD828" s="31" t="n"/>
      <c r="AE828" s="31" t="n"/>
      <c r="AF828" s="27">
        <f>IF(NOT(COUNTA(A828:AE828)&gt;0),"",IF(A828="","New client","Update"))</f>
        <v/>
      </c>
      <c r="AG828" s="27">
        <f>IF(AO828&lt;&gt;"",AO828,IF(LEN(AN828)=15,MID(AN828,3,10),""))</f>
        <v/>
      </c>
      <c r="AH828" s="27">
        <f>IF(AP828="","",AP828&amp;IF(D828="","  (guessed from PAN)",""))</f>
        <v/>
      </c>
      <c r="AI828" s="27">
        <f>IF(AN828="","",IFERROR(INDEX(Lists!$L$2:$L$38,MATCH(LEFT(AN828,2),Lists!$K$2:$K$38,0)),"Unknown code"))</f>
        <v/>
      </c>
      <c r="AJ828" s="27">
        <f>IF(AN828="","",IFERROR(IF(NOT(AND(LEN(AN828)=15,ISNUMBER(MATCH(LEFT(AN828,2),Lists!$K$2:$K$38,0)),SUMPRODUCT(--ISERROR(FIND(MID(MID(AN828,3,10),{1,2,3,4,5,10},1),"ABCDEFGHIJKLMNOPQRSTUVWXYZ")))=0,SUMPRODUCT(--ISERROR(FIND(MID(MID(AN828,3,10),{6,7,8,9},1),"0123456789")))=0,ISNUMBER(FIND(MID(AN828,13,1),"123456789ABCDEFGHIJKLMNOPQRSTUVWXYZ")),MID(AN828,14,1)="Z")),"Wrong format",IF(MID("0123456789ABCDEFGHIJKLMNOPQRSTUVWXYZ",MOD(36-MOD(SUMPRODUCT(INT((FIND(MID(AN828,{1,2,3,4,5,6,7,8,9,10,11,12,13,14},1),"0123456789ABCDEFGHIJKLMNOPQRSTUVWXYZ")-1)*{1,2,1,2,1,2,1,2,1,2,1,2,1,2}/36)+MOD((FIND(MID(AN828,{1,2,3,4,5,6,7,8,9,10,11,12,13,14},1),"0123456789ABCDEFGHIJKLMNOPQRSTUVWXYZ")-1)*{1,2,1,2,1,2,1,2,1,2,1,2,1,2},36)),36),36)+1,1)=MID(AN828,15,1),"OK","Typo? check digit wrong")),"Wrong format"))</f>
        <v/>
      </c>
      <c r="AK828" s="27">
        <f>IF(AO828="","",IF(AND(LEN(AO828)=10,SUMPRODUCT(--ISERROR(FIND(MID(AO828,{1,2,3,4,5,10},1),"ABCDEFGHIJKLMNOPQRSTUVWXYZ")))=0,SUMPRODUCT(--ISERROR(FIND(MID(AO828,{6,7,8,9},1),"0123456789")))=0),"OK","Wrong format"))</f>
        <v/>
      </c>
      <c r="AL828" s="27">
        <f>IF(TRIM(H828)="","",IF(AND(LEN(UPPER(TRIM(H828)))=10,SUMPRODUCT(--ISERROR(FIND(MID(UPPER(TRIM(H828)),{1,2,3,4,10},1),"ABCDEFGHIJKLMNOPQRSTUVWXYZ")))=0,SUMPRODUCT(--ISERROR(FIND(MID(UPPER(TRIM(H828)),{5,6,7,8,9},1),"0123456789")))=0),"OK","Wrong format"))</f>
        <v/>
      </c>
      <c r="AM828" s="28">
        <f>IF(NOT(COUNTA(A828:AE828)&gt;0),"",IF(AS828&lt;&gt;"","✖ "&amp;LEFT(AS828,LEN(AS828)-2),IF(AR828&gt;0,"✔ Ready — client + "&amp;AR828&amp;" service(s)","✔ Ready — client only")))</f>
        <v/>
      </c>
      <c r="AN828" s="29">
        <f>UPPER(SUBSTITUTE(TRIM(F828)," ",""))</f>
        <v/>
      </c>
      <c r="AO828" s="29">
        <f>UPPER(SUBSTITUTE(TRIM(E828)," ",""))</f>
        <v/>
      </c>
      <c r="AP828" s="29">
        <f>IF(D828&lt;&gt;"",D828,IFERROR(VLOOKUP(MID(AG828,4,1),Lists!$E$2:$F$8,2,FALSE),""))</f>
        <v/>
      </c>
      <c r="AQ828" s="29">
        <f>IFERROR(VLOOKUP(AP828,Lists!$A$2:$C$12,3,FALSE),"")</f>
        <v/>
      </c>
      <c r="AR828" s="29">
        <f>COUNTIF(W828:AC828,"Yes")</f>
        <v/>
      </c>
      <c r="AS828" s="29">
        <f>IF(TRIM(B828)="","Legal name missing; ","")&amp;IF(AND(AJ828&lt;&gt;"",AJ828&lt;&gt;"OK"),"GSTIN: "&amp;AJ828&amp;"; ","")&amp;IF(AND(AK828&lt;&gt;"",AK828&lt;&gt;"OK"),"PAN wrong format; ","")&amp;IF(AND(AO828&lt;&gt;"",LEN(AN828)=15,MID(AN828,3,10)&lt;&gt;AO828),"PAN does not match GSTIN; ","")&amp;IF(AND(AL828&lt;&gt;"",AL828&lt;&gt;"OK"),"TAN wrong format; ","")&amp;IF(AG828="","PAN missing; ","")&amp;IF(AP828="","Entity type missing; ","")&amp;IF(AND(AN828&lt;&gt;"",COUNTIF($AN$6:$AN$1005,AN828)&gt;1),"GSTIN repeated in this sheet; ","")&amp;IF(AND(AG828&lt;&gt;"",COUNTIF($AG$6:$AG$1005,AG828)&gt;1),"PAN repeated in this sheet (same client? put extra GSTINs in Other GSTINs); ","")&amp;IF(AND(AR828&gt;0,V828=""),"Financial year missing; ","")&amp;IF(AND(AR828=0,V828&lt;&gt;""),"Financial year given but no service is Yes; ","")&amp;IF(AND(W828="Yes",AN828=""),"GST needs a GSTIN; ","")&amp;IF(AND(W828="Yes",X828=""),"GST return frequency missing; ","")&amp;IF(AND(Y828="Yes",TRIM(H828)=""),"TDS needs a TAN; ","")&amp;IF(AND(AA828="Yes",AQ828&lt;&gt;"",AQ828&lt;&gt;"company",AQ828&lt;&gt;"llp"),"ROC is only for a company / LLP; ","")&amp;IF(AND(AA828="Yes",OR(AQ828="company",AQ828="llp"),TRIM(I828)=""),"ROC needs the CIN / LLPIN; ","")</f>
        <v/>
      </c>
    </row>
    <row r="829">
      <c r="A829" s="30" t="n"/>
      <c r="B829" s="31" t="n"/>
      <c r="C829" s="31" t="n"/>
      <c r="D829" s="31" t="n"/>
      <c r="E829" s="30" t="n"/>
      <c r="F829" s="30" t="n"/>
      <c r="G829" s="30" t="n"/>
      <c r="H829" s="30" t="n"/>
      <c r="I829" s="30" t="n"/>
      <c r="J829" s="32" t="n"/>
      <c r="K829" s="31" t="n"/>
      <c r="L829" s="30" t="n"/>
      <c r="M829" s="31" t="n"/>
      <c r="N829" s="31" t="n"/>
      <c r="O829" s="31" t="n"/>
      <c r="P829" s="30" t="n"/>
      <c r="Q829" s="31" t="n"/>
      <c r="R829" s="31" t="n"/>
      <c r="S829" s="31" t="n"/>
      <c r="T829" s="31" t="n"/>
      <c r="U829" s="30" t="n"/>
      <c r="V829" s="31" t="n"/>
      <c r="W829" s="31" t="n"/>
      <c r="X829" s="31" t="n"/>
      <c r="Y829" s="31" t="n"/>
      <c r="Z829" s="31" t="n"/>
      <c r="AA829" s="31" t="n"/>
      <c r="AB829" s="31" t="n"/>
      <c r="AC829" s="31" t="n"/>
      <c r="AD829" s="31" t="n"/>
      <c r="AE829" s="31" t="n"/>
      <c r="AF829" s="27">
        <f>IF(NOT(COUNTA(A829:AE829)&gt;0),"",IF(A829="","New client","Update"))</f>
        <v/>
      </c>
      <c r="AG829" s="27">
        <f>IF(AO829&lt;&gt;"",AO829,IF(LEN(AN829)=15,MID(AN829,3,10),""))</f>
        <v/>
      </c>
      <c r="AH829" s="27">
        <f>IF(AP829="","",AP829&amp;IF(D829="","  (guessed from PAN)",""))</f>
        <v/>
      </c>
      <c r="AI829" s="27">
        <f>IF(AN829="","",IFERROR(INDEX(Lists!$L$2:$L$38,MATCH(LEFT(AN829,2),Lists!$K$2:$K$38,0)),"Unknown code"))</f>
        <v/>
      </c>
      <c r="AJ829" s="27">
        <f>IF(AN829="","",IFERROR(IF(NOT(AND(LEN(AN829)=15,ISNUMBER(MATCH(LEFT(AN829,2),Lists!$K$2:$K$38,0)),SUMPRODUCT(--ISERROR(FIND(MID(MID(AN829,3,10),{1,2,3,4,5,10},1),"ABCDEFGHIJKLMNOPQRSTUVWXYZ")))=0,SUMPRODUCT(--ISERROR(FIND(MID(MID(AN829,3,10),{6,7,8,9},1),"0123456789")))=0,ISNUMBER(FIND(MID(AN829,13,1),"123456789ABCDEFGHIJKLMNOPQRSTUVWXYZ")),MID(AN829,14,1)="Z")),"Wrong format",IF(MID("0123456789ABCDEFGHIJKLMNOPQRSTUVWXYZ",MOD(36-MOD(SUMPRODUCT(INT((FIND(MID(AN829,{1,2,3,4,5,6,7,8,9,10,11,12,13,14},1),"0123456789ABCDEFGHIJKLMNOPQRSTUVWXYZ")-1)*{1,2,1,2,1,2,1,2,1,2,1,2,1,2}/36)+MOD((FIND(MID(AN829,{1,2,3,4,5,6,7,8,9,10,11,12,13,14},1),"0123456789ABCDEFGHIJKLMNOPQRSTUVWXYZ")-1)*{1,2,1,2,1,2,1,2,1,2,1,2,1,2},36)),36),36)+1,1)=MID(AN829,15,1),"OK","Typo? check digit wrong")),"Wrong format"))</f>
        <v/>
      </c>
      <c r="AK829" s="27">
        <f>IF(AO829="","",IF(AND(LEN(AO829)=10,SUMPRODUCT(--ISERROR(FIND(MID(AO829,{1,2,3,4,5,10},1),"ABCDEFGHIJKLMNOPQRSTUVWXYZ")))=0,SUMPRODUCT(--ISERROR(FIND(MID(AO829,{6,7,8,9},1),"0123456789")))=0),"OK","Wrong format"))</f>
        <v/>
      </c>
      <c r="AL829" s="27">
        <f>IF(TRIM(H829)="","",IF(AND(LEN(UPPER(TRIM(H829)))=10,SUMPRODUCT(--ISERROR(FIND(MID(UPPER(TRIM(H829)),{1,2,3,4,10},1),"ABCDEFGHIJKLMNOPQRSTUVWXYZ")))=0,SUMPRODUCT(--ISERROR(FIND(MID(UPPER(TRIM(H829)),{5,6,7,8,9},1),"0123456789")))=0),"OK","Wrong format"))</f>
        <v/>
      </c>
      <c r="AM829" s="28">
        <f>IF(NOT(COUNTA(A829:AE829)&gt;0),"",IF(AS829&lt;&gt;"","✖ "&amp;LEFT(AS829,LEN(AS829)-2),IF(AR829&gt;0,"✔ Ready — client + "&amp;AR829&amp;" service(s)","✔ Ready — client only")))</f>
        <v/>
      </c>
      <c r="AN829" s="29">
        <f>UPPER(SUBSTITUTE(TRIM(F829)," ",""))</f>
        <v/>
      </c>
      <c r="AO829" s="29">
        <f>UPPER(SUBSTITUTE(TRIM(E829)," ",""))</f>
        <v/>
      </c>
      <c r="AP829" s="29">
        <f>IF(D829&lt;&gt;"",D829,IFERROR(VLOOKUP(MID(AG829,4,1),Lists!$E$2:$F$8,2,FALSE),""))</f>
        <v/>
      </c>
      <c r="AQ829" s="29">
        <f>IFERROR(VLOOKUP(AP829,Lists!$A$2:$C$12,3,FALSE),"")</f>
        <v/>
      </c>
      <c r="AR829" s="29">
        <f>COUNTIF(W829:AC829,"Yes")</f>
        <v/>
      </c>
      <c r="AS829" s="29">
        <f>IF(TRIM(B829)="","Legal name missing; ","")&amp;IF(AND(AJ829&lt;&gt;"",AJ829&lt;&gt;"OK"),"GSTIN: "&amp;AJ829&amp;"; ","")&amp;IF(AND(AK829&lt;&gt;"",AK829&lt;&gt;"OK"),"PAN wrong format; ","")&amp;IF(AND(AO829&lt;&gt;"",LEN(AN829)=15,MID(AN829,3,10)&lt;&gt;AO829),"PAN does not match GSTIN; ","")&amp;IF(AND(AL829&lt;&gt;"",AL829&lt;&gt;"OK"),"TAN wrong format; ","")&amp;IF(AG829="","PAN missing; ","")&amp;IF(AP829="","Entity type missing; ","")&amp;IF(AND(AN829&lt;&gt;"",COUNTIF($AN$6:$AN$1005,AN829)&gt;1),"GSTIN repeated in this sheet; ","")&amp;IF(AND(AG829&lt;&gt;"",COUNTIF($AG$6:$AG$1005,AG829)&gt;1),"PAN repeated in this sheet (same client? put extra GSTINs in Other GSTINs); ","")&amp;IF(AND(AR829&gt;0,V829=""),"Financial year missing; ","")&amp;IF(AND(AR829=0,V829&lt;&gt;""),"Financial year given but no service is Yes; ","")&amp;IF(AND(W829="Yes",AN829=""),"GST needs a GSTIN; ","")&amp;IF(AND(W829="Yes",X829=""),"GST return frequency missing; ","")&amp;IF(AND(Y829="Yes",TRIM(H829)=""),"TDS needs a TAN; ","")&amp;IF(AND(AA829="Yes",AQ829&lt;&gt;"",AQ829&lt;&gt;"company",AQ829&lt;&gt;"llp"),"ROC is only for a company / LLP; ","")&amp;IF(AND(AA829="Yes",OR(AQ829="company",AQ829="llp"),TRIM(I829)=""),"ROC needs the CIN / LLPIN; ","")</f>
        <v/>
      </c>
    </row>
    <row r="830">
      <c r="A830" s="30" t="n"/>
      <c r="B830" s="31" t="n"/>
      <c r="C830" s="31" t="n"/>
      <c r="D830" s="31" t="n"/>
      <c r="E830" s="30" t="n"/>
      <c r="F830" s="30" t="n"/>
      <c r="G830" s="30" t="n"/>
      <c r="H830" s="30" t="n"/>
      <c r="I830" s="30" t="n"/>
      <c r="J830" s="32" t="n"/>
      <c r="K830" s="31" t="n"/>
      <c r="L830" s="30" t="n"/>
      <c r="M830" s="31" t="n"/>
      <c r="N830" s="31" t="n"/>
      <c r="O830" s="31" t="n"/>
      <c r="P830" s="30" t="n"/>
      <c r="Q830" s="31" t="n"/>
      <c r="R830" s="31" t="n"/>
      <c r="S830" s="31" t="n"/>
      <c r="T830" s="31" t="n"/>
      <c r="U830" s="30" t="n"/>
      <c r="V830" s="31" t="n"/>
      <c r="W830" s="31" t="n"/>
      <c r="X830" s="31" t="n"/>
      <c r="Y830" s="31" t="n"/>
      <c r="Z830" s="31" t="n"/>
      <c r="AA830" s="31" t="n"/>
      <c r="AB830" s="31" t="n"/>
      <c r="AC830" s="31" t="n"/>
      <c r="AD830" s="31" t="n"/>
      <c r="AE830" s="31" t="n"/>
      <c r="AF830" s="27">
        <f>IF(NOT(COUNTA(A830:AE830)&gt;0),"",IF(A830="","New client","Update"))</f>
        <v/>
      </c>
      <c r="AG830" s="27">
        <f>IF(AO830&lt;&gt;"",AO830,IF(LEN(AN830)=15,MID(AN830,3,10),""))</f>
        <v/>
      </c>
      <c r="AH830" s="27">
        <f>IF(AP830="","",AP830&amp;IF(D830="","  (guessed from PAN)",""))</f>
        <v/>
      </c>
      <c r="AI830" s="27">
        <f>IF(AN830="","",IFERROR(INDEX(Lists!$L$2:$L$38,MATCH(LEFT(AN830,2),Lists!$K$2:$K$38,0)),"Unknown code"))</f>
        <v/>
      </c>
      <c r="AJ830" s="27">
        <f>IF(AN830="","",IFERROR(IF(NOT(AND(LEN(AN830)=15,ISNUMBER(MATCH(LEFT(AN830,2),Lists!$K$2:$K$38,0)),SUMPRODUCT(--ISERROR(FIND(MID(MID(AN830,3,10),{1,2,3,4,5,10},1),"ABCDEFGHIJKLMNOPQRSTUVWXYZ")))=0,SUMPRODUCT(--ISERROR(FIND(MID(MID(AN830,3,10),{6,7,8,9},1),"0123456789")))=0,ISNUMBER(FIND(MID(AN830,13,1),"123456789ABCDEFGHIJKLMNOPQRSTUVWXYZ")),MID(AN830,14,1)="Z")),"Wrong format",IF(MID("0123456789ABCDEFGHIJKLMNOPQRSTUVWXYZ",MOD(36-MOD(SUMPRODUCT(INT((FIND(MID(AN830,{1,2,3,4,5,6,7,8,9,10,11,12,13,14},1),"0123456789ABCDEFGHIJKLMNOPQRSTUVWXYZ")-1)*{1,2,1,2,1,2,1,2,1,2,1,2,1,2}/36)+MOD((FIND(MID(AN830,{1,2,3,4,5,6,7,8,9,10,11,12,13,14},1),"0123456789ABCDEFGHIJKLMNOPQRSTUVWXYZ")-1)*{1,2,1,2,1,2,1,2,1,2,1,2,1,2},36)),36),36)+1,1)=MID(AN830,15,1),"OK","Typo? check digit wrong")),"Wrong format"))</f>
        <v/>
      </c>
      <c r="AK830" s="27">
        <f>IF(AO830="","",IF(AND(LEN(AO830)=10,SUMPRODUCT(--ISERROR(FIND(MID(AO830,{1,2,3,4,5,10},1),"ABCDEFGHIJKLMNOPQRSTUVWXYZ")))=0,SUMPRODUCT(--ISERROR(FIND(MID(AO830,{6,7,8,9},1),"0123456789")))=0),"OK","Wrong format"))</f>
        <v/>
      </c>
      <c r="AL830" s="27">
        <f>IF(TRIM(H830)="","",IF(AND(LEN(UPPER(TRIM(H830)))=10,SUMPRODUCT(--ISERROR(FIND(MID(UPPER(TRIM(H830)),{1,2,3,4,10},1),"ABCDEFGHIJKLMNOPQRSTUVWXYZ")))=0,SUMPRODUCT(--ISERROR(FIND(MID(UPPER(TRIM(H830)),{5,6,7,8,9},1),"0123456789")))=0),"OK","Wrong format"))</f>
        <v/>
      </c>
      <c r="AM830" s="28">
        <f>IF(NOT(COUNTA(A830:AE830)&gt;0),"",IF(AS830&lt;&gt;"","✖ "&amp;LEFT(AS830,LEN(AS830)-2),IF(AR830&gt;0,"✔ Ready — client + "&amp;AR830&amp;" service(s)","✔ Ready — client only")))</f>
        <v/>
      </c>
      <c r="AN830" s="29">
        <f>UPPER(SUBSTITUTE(TRIM(F830)," ",""))</f>
        <v/>
      </c>
      <c r="AO830" s="29">
        <f>UPPER(SUBSTITUTE(TRIM(E830)," ",""))</f>
        <v/>
      </c>
      <c r="AP830" s="29">
        <f>IF(D830&lt;&gt;"",D830,IFERROR(VLOOKUP(MID(AG830,4,1),Lists!$E$2:$F$8,2,FALSE),""))</f>
        <v/>
      </c>
      <c r="AQ830" s="29">
        <f>IFERROR(VLOOKUP(AP830,Lists!$A$2:$C$12,3,FALSE),"")</f>
        <v/>
      </c>
      <c r="AR830" s="29">
        <f>COUNTIF(W830:AC830,"Yes")</f>
        <v/>
      </c>
      <c r="AS830" s="29">
        <f>IF(TRIM(B830)="","Legal name missing; ","")&amp;IF(AND(AJ830&lt;&gt;"",AJ830&lt;&gt;"OK"),"GSTIN: "&amp;AJ830&amp;"; ","")&amp;IF(AND(AK830&lt;&gt;"",AK830&lt;&gt;"OK"),"PAN wrong format; ","")&amp;IF(AND(AO830&lt;&gt;"",LEN(AN830)=15,MID(AN830,3,10)&lt;&gt;AO830),"PAN does not match GSTIN; ","")&amp;IF(AND(AL830&lt;&gt;"",AL830&lt;&gt;"OK"),"TAN wrong format; ","")&amp;IF(AG830="","PAN missing; ","")&amp;IF(AP830="","Entity type missing; ","")&amp;IF(AND(AN830&lt;&gt;"",COUNTIF($AN$6:$AN$1005,AN830)&gt;1),"GSTIN repeated in this sheet; ","")&amp;IF(AND(AG830&lt;&gt;"",COUNTIF($AG$6:$AG$1005,AG830)&gt;1),"PAN repeated in this sheet (same client? put extra GSTINs in Other GSTINs); ","")&amp;IF(AND(AR830&gt;0,V830=""),"Financial year missing; ","")&amp;IF(AND(AR830=0,V830&lt;&gt;""),"Financial year given but no service is Yes; ","")&amp;IF(AND(W830="Yes",AN830=""),"GST needs a GSTIN; ","")&amp;IF(AND(W830="Yes",X830=""),"GST return frequency missing; ","")&amp;IF(AND(Y830="Yes",TRIM(H830)=""),"TDS needs a TAN; ","")&amp;IF(AND(AA830="Yes",AQ830&lt;&gt;"",AQ830&lt;&gt;"company",AQ830&lt;&gt;"llp"),"ROC is only for a company / LLP; ","")&amp;IF(AND(AA830="Yes",OR(AQ830="company",AQ830="llp"),TRIM(I830)=""),"ROC needs the CIN / LLPIN; ","")</f>
        <v/>
      </c>
    </row>
    <row r="831">
      <c r="A831" s="30" t="n"/>
      <c r="B831" s="31" t="n"/>
      <c r="C831" s="31" t="n"/>
      <c r="D831" s="31" t="n"/>
      <c r="E831" s="30" t="n"/>
      <c r="F831" s="30" t="n"/>
      <c r="G831" s="30" t="n"/>
      <c r="H831" s="30" t="n"/>
      <c r="I831" s="30" t="n"/>
      <c r="J831" s="32" t="n"/>
      <c r="K831" s="31" t="n"/>
      <c r="L831" s="30" t="n"/>
      <c r="M831" s="31" t="n"/>
      <c r="N831" s="31" t="n"/>
      <c r="O831" s="31" t="n"/>
      <c r="P831" s="30" t="n"/>
      <c r="Q831" s="31" t="n"/>
      <c r="R831" s="31" t="n"/>
      <c r="S831" s="31" t="n"/>
      <c r="T831" s="31" t="n"/>
      <c r="U831" s="30" t="n"/>
      <c r="V831" s="31" t="n"/>
      <c r="W831" s="31" t="n"/>
      <c r="X831" s="31" t="n"/>
      <c r="Y831" s="31" t="n"/>
      <c r="Z831" s="31" t="n"/>
      <c r="AA831" s="31" t="n"/>
      <c r="AB831" s="31" t="n"/>
      <c r="AC831" s="31" t="n"/>
      <c r="AD831" s="31" t="n"/>
      <c r="AE831" s="31" t="n"/>
      <c r="AF831" s="27">
        <f>IF(NOT(COUNTA(A831:AE831)&gt;0),"",IF(A831="","New client","Update"))</f>
        <v/>
      </c>
      <c r="AG831" s="27">
        <f>IF(AO831&lt;&gt;"",AO831,IF(LEN(AN831)=15,MID(AN831,3,10),""))</f>
        <v/>
      </c>
      <c r="AH831" s="27">
        <f>IF(AP831="","",AP831&amp;IF(D831="","  (guessed from PAN)",""))</f>
        <v/>
      </c>
      <c r="AI831" s="27">
        <f>IF(AN831="","",IFERROR(INDEX(Lists!$L$2:$L$38,MATCH(LEFT(AN831,2),Lists!$K$2:$K$38,0)),"Unknown code"))</f>
        <v/>
      </c>
      <c r="AJ831" s="27">
        <f>IF(AN831="","",IFERROR(IF(NOT(AND(LEN(AN831)=15,ISNUMBER(MATCH(LEFT(AN831,2),Lists!$K$2:$K$38,0)),SUMPRODUCT(--ISERROR(FIND(MID(MID(AN831,3,10),{1,2,3,4,5,10},1),"ABCDEFGHIJKLMNOPQRSTUVWXYZ")))=0,SUMPRODUCT(--ISERROR(FIND(MID(MID(AN831,3,10),{6,7,8,9},1),"0123456789")))=0,ISNUMBER(FIND(MID(AN831,13,1),"123456789ABCDEFGHIJKLMNOPQRSTUVWXYZ")),MID(AN831,14,1)="Z")),"Wrong format",IF(MID("0123456789ABCDEFGHIJKLMNOPQRSTUVWXYZ",MOD(36-MOD(SUMPRODUCT(INT((FIND(MID(AN831,{1,2,3,4,5,6,7,8,9,10,11,12,13,14},1),"0123456789ABCDEFGHIJKLMNOPQRSTUVWXYZ")-1)*{1,2,1,2,1,2,1,2,1,2,1,2,1,2}/36)+MOD((FIND(MID(AN831,{1,2,3,4,5,6,7,8,9,10,11,12,13,14},1),"0123456789ABCDEFGHIJKLMNOPQRSTUVWXYZ")-1)*{1,2,1,2,1,2,1,2,1,2,1,2,1,2},36)),36),36)+1,1)=MID(AN831,15,1),"OK","Typo? check digit wrong")),"Wrong format"))</f>
        <v/>
      </c>
      <c r="AK831" s="27">
        <f>IF(AO831="","",IF(AND(LEN(AO831)=10,SUMPRODUCT(--ISERROR(FIND(MID(AO831,{1,2,3,4,5,10},1),"ABCDEFGHIJKLMNOPQRSTUVWXYZ")))=0,SUMPRODUCT(--ISERROR(FIND(MID(AO831,{6,7,8,9},1),"0123456789")))=0),"OK","Wrong format"))</f>
        <v/>
      </c>
      <c r="AL831" s="27">
        <f>IF(TRIM(H831)="","",IF(AND(LEN(UPPER(TRIM(H831)))=10,SUMPRODUCT(--ISERROR(FIND(MID(UPPER(TRIM(H831)),{1,2,3,4,10},1),"ABCDEFGHIJKLMNOPQRSTUVWXYZ")))=0,SUMPRODUCT(--ISERROR(FIND(MID(UPPER(TRIM(H831)),{5,6,7,8,9},1),"0123456789")))=0),"OK","Wrong format"))</f>
        <v/>
      </c>
      <c r="AM831" s="28">
        <f>IF(NOT(COUNTA(A831:AE831)&gt;0),"",IF(AS831&lt;&gt;"","✖ "&amp;LEFT(AS831,LEN(AS831)-2),IF(AR831&gt;0,"✔ Ready — client + "&amp;AR831&amp;" service(s)","✔ Ready — client only")))</f>
        <v/>
      </c>
      <c r="AN831" s="29">
        <f>UPPER(SUBSTITUTE(TRIM(F831)," ",""))</f>
        <v/>
      </c>
      <c r="AO831" s="29">
        <f>UPPER(SUBSTITUTE(TRIM(E831)," ",""))</f>
        <v/>
      </c>
      <c r="AP831" s="29">
        <f>IF(D831&lt;&gt;"",D831,IFERROR(VLOOKUP(MID(AG831,4,1),Lists!$E$2:$F$8,2,FALSE),""))</f>
        <v/>
      </c>
      <c r="AQ831" s="29">
        <f>IFERROR(VLOOKUP(AP831,Lists!$A$2:$C$12,3,FALSE),"")</f>
        <v/>
      </c>
      <c r="AR831" s="29">
        <f>COUNTIF(W831:AC831,"Yes")</f>
        <v/>
      </c>
      <c r="AS831" s="29">
        <f>IF(TRIM(B831)="","Legal name missing; ","")&amp;IF(AND(AJ831&lt;&gt;"",AJ831&lt;&gt;"OK"),"GSTIN: "&amp;AJ831&amp;"; ","")&amp;IF(AND(AK831&lt;&gt;"",AK831&lt;&gt;"OK"),"PAN wrong format; ","")&amp;IF(AND(AO831&lt;&gt;"",LEN(AN831)=15,MID(AN831,3,10)&lt;&gt;AO831),"PAN does not match GSTIN; ","")&amp;IF(AND(AL831&lt;&gt;"",AL831&lt;&gt;"OK"),"TAN wrong format; ","")&amp;IF(AG831="","PAN missing; ","")&amp;IF(AP831="","Entity type missing; ","")&amp;IF(AND(AN831&lt;&gt;"",COUNTIF($AN$6:$AN$1005,AN831)&gt;1),"GSTIN repeated in this sheet; ","")&amp;IF(AND(AG831&lt;&gt;"",COUNTIF($AG$6:$AG$1005,AG831)&gt;1),"PAN repeated in this sheet (same client? put extra GSTINs in Other GSTINs); ","")&amp;IF(AND(AR831&gt;0,V831=""),"Financial year missing; ","")&amp;IF(AND(AR831=0,V831&lt;&gt;""),"Financial year given but no service is Yes; ","")&amp;IF(AND(W831="Yes",AN831=""),"GST needs a GSTIN; ","")&amp;IF(AND(W831="Yes",X831=""),"GST return frequency missing; ","")&amp;IF(AND(Y831="Yes",TRIM(H831)=""),"TDS needs a TAN; ","")&amp;IF(AND(AA831="Yes",AQ831&lt;&gt;"",AQ831&lt;&gt;"company",AQ831&lt;&gt;"llp"),"ROC is only for a company / LLP; ","")&amp;IF(AND(AA831="Yes",OR(AQ831="company",AQ831="llp"),TRIM(I831)=""),"ROC needs the CIN / LLPIN; ","")</f>
        <v/>
      </c>
    </row>
    <row r="832">
      <c r="A832" s="30" t="n"/>
      <c r="B832" s="31" t="n"/>
      <c r="C832" s="31" t="n"/>
      <c r="D832" s="31" t="n"/>
      <c r="E832" s="30" t="n"/>
      <c r="F832" s="30" t="n"/>
      <c r="G832" s="30" t="n"/>
      <c r="H832" s="30" t="n"/>
      <c r="I832" s="30" t="n"/>
      <c r="J832" s="32" t="n"/>
      <c r="K832" s="31" t="n"/>
      <c r="L832" s="30" t="n"/>
      <c r="M832" s="31" t="n"/>
      <c r="N832" s="31" t="n"/>
      <c r="O832" s="31" t="n"/>
      <c r="P832" s="30" t="n"/>
      <c r="Q832" s="31" t="n"/>
      <c r="R832" s="31" t="n"/>
      <c r="S832" s="31" t="n"/>
      <c r="T832" s="31" t="n"/>
      <c r="U832" s="30" t="n"/>
      <c r="V832" s="31" t="n"/>
      <c r="W832" s="31" t="n"/>
      <c r="X832" s="31" t="n"/>
      <c r="Y832" s="31" t="n"/>
      <c r="Z832" s="31" t="n"/>
      <c r="AA832" s="31" t="n"/>
      <c r="AB832" s="31" t="n"/>
      <c r="AC832" s="31" t="n"/>
      <c r="AD832" s="31" t="n"/>
      <c r="AE832" s="31" t="n"/>
      <c r="AF832" s="27">
        <f>IF(NOT(COUNTA(A832:AE832)&gt;0),"",IF(A832="","New client","Update"))</f>
        <v/>
      </c>
      <c r="AG832" s="27">
        <f>IF(AO832&lt;&gt;"",AO832,IF(LEN(AN832)=15,MID(AN832,3,10),""))</f>
        <v/>
      </c>
      <c r="AH832" s="27">
        <f>IF(AP832="","",AP832&amp;IF(D832="","  (guessed from PAN)",""))</f>
        <v/>
      </c>
      <c r="AI832" s="27">
        <f>IF(AN832="","",IFERROR(INDEX(Lists!$L$2:$L$38,MATCH(LEFT(AN832,2),Lists!$K$2:$K$38,0)),"Unknown code"))</f>
        <v/>
      </c>
      <c r="AJ832" s="27">
        <f>IF(AN832="","",IFERROR(IF(NOT(AND(LEN(AN832)=15,ISNUMBER(MATCH(LEFT(AN832,2),Lists!$K$2:$K$38,0)),SUMPRODUCT(--ISERROR(FIND(MID(MID(AN832,3,10),{1,2,3,4,5,10},1),"ABCDEFGHIJKLMNOPQRSTUVWXYZ")))=0,SUMPRODUCT(--ISERROR(FIND(MID(MID(AN832,3,10),{6,7,8,9},1),"0123456789")))=0,ISNUMBER(FIND(MID(AN832,13,1),"123456789ABCDEFGHIJKLMNOPQRSTUVWXYZ")),MID(AN832,14,1)="Z")),"Wrong format",IF(MID("0123456789ABCDEFGHIJKLMNOPQRSTUVWXYZ",MOD(36-MOD(SUMPRODUCT(INT((FIND(MID(AN832,{1,2,3,4,5,6,7,8,9,10,11,12,13,14},1),"0123456789ABCDEFGHIJKLMNOPQRSTUVWXYZ")-1)*{1,2,1,2,1,2,1,2,1,2,1,2,1,2}/36)+MOD((FIND(MID(AN832,{1,2,3,4,5,6,7,8,9,10,11,12,13,14},1),"0123456789ABCDEFGHIJKLMNOPQRSTUVWXYZ")-1)*{1,2,1,2,1,2,1,2,1,2,1,2,1,2},36)),36),36)+1,1)=MID(AN832,15,1),"OK","Typo? check digit wrong")),"Wrong format"))</f>
        <v/>
      </c>
      <c r="AK832" s="27">
        <f>IF(AO832="","",IF(AND(LEN(AO832)=10,SUMPRODUCT(--ISERROR(FIND(MID(AO832,{1,2,3,4,5,10},1),"ABCDEFGHIJKLMNOPQRSTUVWXYZ")))=0,SUMPRODUCT(--ISERROR(FIND(MID(AO832,{6,7,8,9},1),"0123456789")))=0),"OK","Wrong format"))</f>
        <v/>
      </c>
      <c r="AL832" s="27">
        <f>IF(TRIM(H832)="","",IF(AND(LEN(UPPER(TRIM(H832)))=10,SUMPRODUCT(--ISERROR(FIND(MID(UPPER(TRIM(H832)),{1,2,3,4,10},1),"ABCDEFGHIJKLMNOPQRSTUVWXYZ")))=0,SUMPRODUCT(--ISERROR(FIND(MID(UPPER(TRIM(H832)),{5,6,7,8,9},1),"0123456789")))=0),"OK","Wrong format"))</f>
        <v/>
      </c>
      <c r="AM832" s="28">
        <f>IF(NOT(COUNTA(A832:AE832)&gt;0),"",IF(AS832&lt;&gt;"","✖ "&amp;LEFT(AS832,LEN(AS832)-2),IF(AR832&gt;0,"✔ Ready — client + "&amp;AR832&amp;" service(s)","✔ Ready — client only")))</f>
        <v/>
      </c>
      <c r="AN832" s="29">
        <f>UPPER(SUBSTITUTE(TRIM(F832)," ",""))</f>
        <v/>
      </c>
      <c r="AO832" s="29">
        <f>UPPER(SUBSTITUTE(TRIM(E832)," ",""))</f>
        <v/>
      </c>
      <c r="AP832" s="29">
        <f>IF(D832&lt;&gt;"",D832,IFERROR(VLOOKUP(MID(AG832,4,1),Lists!$E$2:$F$8,2,FALSE),""))</f>
        <v/>
      </c>
      <c r="AQ832" s="29">
        <f>IFERROR(VLOOKUP(AP832,Lists!$A$2:$C$12,3,FALSE),"")</f>
        <v/>
      </c>
      <c r="AR832" s="29">
        <f>COUNTIF(W832:AC832,"Yes")</f>
        <v/>
      </c>
      <c r="AS832" s="29">
        <f>IF(TRIM(B832)="","Legal name missing; ","")&amp;IF(AND(AJ832&lt;&gt;"",AJ832&lt;&gt;"OK"),"GSTIN: "&amp;AJ832&amp;"; ","")&amp;IF(AND(AK832&lt;&gt;"",AK832&lt;&gt;"OK"),"PAN wrong format; ","")&amp;IF(AND(AO832&lt;&gt;"",LEN(AN832)=15,MID(AN832,3,10)&lt;&gt;AO832),"PAN does not match GSTIN; ","")&amp;IF(AND(AL832&lt;&gt;"",AL832&lt;&gt;"OK"),"TAN wrong format; ","")&amp;IF(AG832="","PAN missing; ","")&amp;IF(AP832="","Entity type missing; ","")&amp;IF(AND(AN832&lt;&gt;"",COUNTIF($AN$6:$AN$1005,AN832)&gt;1),"GSTIN repeated in this sheet; ","")&amp;IF(AND(AG832&lt;&gt;"",COUNTIF($AG$6:$AG$1005,AG832)&gt;1),"PAN repeated in this sheet (same client? put extra GSTINs in Other GSTINs); ","")&amp;IF(AND(AR832&gt;0,V832=""),"Financial year missing; ","")&amp;IF(AND(AR832=0,V832&lt;&gt;""),"Financial year given but no service is Yes; ","")&amp;IF(AND(W832="Yes",AN832=""),"GST needs a GSTIN; ","")&amp;IF(AND(W832="Yes",X832=""),"GST return frequency missing; ","")&amp;IF(AND(Y832="Yes",TRIM(H832)=""),"TDS needs a TAN; ","")&amp;IF(AND(AA832="Yes",AQ832&lt;&gt;"",AQ832&lt;&gt;"company",AQ832&lt;&gt;"llp"),"ROC is only for a company / LLP; ","")&amp;IF(AND(AA832="Yes",OR(AQ832="company",AQ832="llp"),TRIM(I832)=""),"ROC needs the CIN / LLPIN; ","")</f>
        <v/>
      </c>
    </row>
    <row r="833">
      <c r="A833" s="30" t="n"/>
      <c r="B833" s="31" t="n"/>
      <c r="C833" s="31" t="n"/>
      <c r="D833" s="31" t="n"/>
      <c r="E833" s="30" t="n"/>
      <c r="F833" s="30" t="n"/>
      <c r="G833" s="30" t="n"/>
      <c r="H833" s="30" t="n"/>
      <c r="I833" s="30" t="n"/>
      <c r="J833" s="32" t="n"/>
      <c r="K833" s="31" t="n"/>
      <c r="L833" s="30" t="n"/>
      <c r="M833" s="31" t="n"/>
      <c r="N833" s="31" t="n"/>
      <c r="O833" s="31" t="n"/>
      <c r="P833" s="30" t="n"/>
      <c r="Q833" s="31" t="n"/>
      <c r="R833" s="31" t="n"/>
      <c r="S833" s="31" t="n"/>
      <c r="T833" s="31" t="n"/>
      <c r="U833" s="30" t="n"/>
      <c r="V833" s="31" t="n"/>
      <c r="W833" s="31" t="n"/>
      <c r="X833" s="31" t="n"/>
      <c r="Y833" s="31" t="n"/>
      <c r="Z833" s="31" t="n"/>
      <c r="AA833" s="31" t="n"/>
      <c r="AB833" s="31" t="n"/>
      <c r="AC833" s="31" t="n"/>
      <c r="AD833" s="31" t="n"/>
      <c r="AE833" s="31" t="n"/>
      <c r="AF833" s="27">
        <f>IF(NOT(COUNTA(A833:AE833)&gt;0),"",IF(A833="","New client","Update"))</f>
        <v/>
      </c>
      <c r="AG833" s="27">
        <f>IF(AO833&lt;&gt;"",AO833,IF(LEN(AN833)=15,MID(AN833,3,10),""))</f>
        <v/>
      </c>
      <c r="AH833" s="27">
        <f>IF(AP833="","",AP833&amp;IF(D833="","  (guessed from PAN)",""))</f>
        <v/>
      </c>
      <c r="AI833" s="27">
        <f>IF(AN833="","",IFERROR(INDEX(Lists!$L$2:$L$38,MATCH(LEFT(AN833,2),Lists!$K$2:$K$38,0)),"Unknown code"))</f>
        <v/>
      </c>
      <c r="AJ833" s="27">
        <f>IF(AN833="","",IFERROR(IF(NOT(AND(LEN(AN833)=15,ISNUMBER(MATCH(LEFT(AN833,2),Lists!$K$2:$K$38,0)),SUMPRODUCT(--ISERROR(FIND(MID(MID(AN833,3,10),{1,2,3,4,5,10},1),"ABCDEFGHIJKLMNOPQRSTUVWXYZ")))=0,SUMPRODUCT(--ISERROR(FIND(MID(MID(AN833,3,10),{6,7,8,9},1),"0123456789")))=0,ISNUMBER(FIND(MID(AN833,13,1),"123456789ABCDEFGHIJKLMNOPQRSTUVWXYZ")),MID(AN833,14,1)="Z")),"Wrong format",IF(MID("0123456789ABCDEFGHIJKLMNOPQRSTUVWXYZ",MOD(36-MOD(SUMPRODUCT(INT((FIND(MID(AN833,{1,2,3,4,5,6,7,8,9,10,11,12,13,14},1),"0123456789ABCDEFGHIJKLMNOPQRSTUVWXYZ")-1)*{1,2,1,2,1,2,1,2,1,2,1,2,1,2}/36)+MOD((FIND(MID(AN833,{1,2,3,4,5,6,7,8,9,10,11,12,13,14},1),"0123456789ABCDEFGHIJKLMNOPQRSTUVWXYZ")-1)*{1,2,1,2,1,2,1,2,1,2,1,2,1,2},36)),36),36)+1,1)=MID(AN833,15,1),"OK","Typo? check digit wrong")),"Wrong format"))</f>
        <v/>
      </c>
      <c r="AK833" s="27">
        <f>IF(AO833="","",IF(AND(LEN(AO833)=10,SUMPRODUCT(--ISERROR(FIND(MID(AO833,{1,2,3,4,5,10},1),"ABCDEFGHIJKLMNOPQRSTUVWXYZ")))=0,SUMPRODUCT(--ISERROR(FIND(MID(AO833,{6,7,8,9},1),"0123456789")))=0),"OK","Wrong format"))</f>
        <v/>
      </c>
      <c r="AL833" s="27">
        <f>IF(TRIM(H833)="","",IF(AND(LEN(UPPER(TRIM(H833)))=10,SUMPRODUCT(--ISERROR(FIND(MID(UPPER(TRIM(H833)),{1,2,3,4,10},1),"ABCDEFGHIJKLMNOPQRSTUVWXYZ")))=0,SUMPRODUCT(--ISERROR(FIND(MID(UPPER(TRIM(H833)),{5,6,7,8,9},1),"0123456789")))=0),"OK","Wrong format"))</f>
        <v/>
      </c>
      <c r="AM833" s="28">
        <f>IF(NOT(COUNTA(A833:AE833)&gt;0),"",IF(AS833&lt;&gt;"","✖ "&amp;LEFT(AS833,LEN(AS833)-2),IF(AR833&gt;0,"✔ Ready — client + "&amp;AR833&amp;" service(s)","✔ Ready — client only")))</f>
        <v/>
      </c>
      <c r="AN833" s="29">
        <f>UPPER(SUBSTITUTE(TRIM(F833)," ",""))</f>
        <v/>
      </c>
      <c r="AO833" s="29">
        <f>UPPER(SUBSTITUTE(TRIM(E833)," ",""))</f>
        <v/>
      </c>
      <c r="AP833" s="29">
        <f>IF(D833&lt;&gt;"",D833,IFERROR(VLOOKUP(MID(AG833,4,1),Lists!$E$2:$F$8,2,FALSE),""))</f>
        <v/>
      </c>
      <c r="AQ833" s="29">
        <f>IFERROR(VLOOKUP(AP833,Lists!$A$2:$C$12,3,FALSE),"")</f>
        <v/>
      </c>
      <c r="AR833" s="29">
        <f>COUNTIF(W833:AC833,"Yes")</f>
        <v/>
      </c>
      <c r="AS833" s="29">
        <f>IF(TRIM(B833)="","Legal name missing; ","")&amp;IF(AND(AJ833&lt;&gt;"",AJ833&lt;&gt;"OK"),"GSTIN: "&amp;AJ833&amp;"; ","")&amp;IF(AND(AK833&lt;&gt;"",AK833&lt;&gt;"OK"),"PAN wrong format; ","")&amp;IF(AND(AO833&lt;&gt;"",LEN(AN833)=15,MID(AN833,3,10)&lt;&gt;AO833),"PAN does not match GSTIN; ","")&amp;IF(AND(AL833&lt;&gt;"",AL833&lt;&gt;"OK"),"TAN wrong format; ","")&amp;IF(AG833="","PAN missing; ","")&amp;IF(AP833="","Entity type missing; ","")&amp;IF(AND(AN833&lt;&gt;"",COUNTIF($AN$6:$AN$1005,AN833)&gt;1),"GSTIN repeated in this sheet; ","")&amp;IF(AND(AG833&lt;&gt;"",COUNTIF($AG$6:$AG$1005,AG833)&gt;1),"PAN repeated in this sheet (same client? put extra GSTINs in Other GSTINs); ","")&amp;IF(AND(AR833&gt;0,V833=""),"Financial year missing; ","")&amp;IF(AND(AR833=0,V833&lt;&gt;""),"Financial year given but no service is Yes; ","")&amp;IF(AND(W833="Yes",AN833=""),"GST needs a GSTIN; ","")&amp;IF(AND(W833="Yes",X833=""),"GST return frequency missing; ","")&amp;IF(AND(Y833="Yes",TRIM(H833)=""),"TDS needs a TAN; ","")&amp;IF(AND(AA833="Yes",AQ833&lt;&gt;"",AQ833&lt;&gt;"company",AQ833&lt;&gt;"llp"),"ROC is only for a company / LLP; ","")&amp;IF(AND(AA833="Yes",OR(AQ833="company",AQ833="llp"),TRIM(I833)=""),"ROC needs the CIN / LLPIN; ","")</f>
        <v/>
      </c>
    </row>
    <row r="834">
      <c r="A834" s="30" t="n"/>
      <c r="B834" s="31" t="n"/>
      <c r="C834" s="31" t="n"/>
      <c r="D834" s="31" t="n"/>
      <c r="E834" s="30" t="n"/>
      <c r="F834" s="30" t="n"/>
      <c r="G834" s="30" t="n"/>
      <c r="H834" s="30" t="n"/>
      <c r="I834" s="30" t="n"/>
      <c r="J834" s="32" t="n"/>
      <c r="K834" s="31" t="n"/>
      <c r="L834" s="30" t="n"/>
      <c r="M834" s="31" t="n"/>
      <c r="N834" s="31" t="n"/>
      <c r="O834" s="31" t="n"/>
      <c r="P834" s="30" t="n"/>
      <c r="Q834" s="31" t="n"/>
      <c r="R834" s="31" t="n"/>
      <c r="S834" s="31" t="n"/>
      <c r="T834" s="31" t="n"/>
      <c r="U834" s="30" t="n"/>
      <c r="V834" s="31" t="n"/>
      <c r="W834" s="31" t="n"/>
      <c r="X834" s="31" t="n"/>
      <c r="Y834" s="31" t="n"/>
      <c r="Z834" s="31" t="n"/>
      <c r="AA834" s="31" t="n"/>
      <c r="AB834" s="31" t="n"/>
      <c r="AC834" s="31" t="n"/>
      <c r="AD834" s="31" t="n"/>
      <c r="AE834" s="31" t="n"/>
      <c r="AF834" s="27">
        <f>IF(NOT(COUNTA(A834:AE834)&gt;0),"",IF(A834="","New client","Update"))</f>
        <v/>
      </c>
      <c r="AG834" s="27">
        <f>IF(AO834&lt;&gt;"",AO834,IF(LEN(AN834)=15,MID(AN834,3,10),""))</f>
        <v/>
      </c>
      <c r="AH834" s="27">
        <f>IF(AP834="","",AP834&amp;IF(D834="","  (guessed from PAN)",""))</f>
        <v/>
      </c>
      <c r="AI834" s="27">
        <f>IF(AN834="","",IFERROR(INDEX(Lists!$L$2:$L$38,MATCH(LEFT(AN834,2),Lists!$K$2:$K$38,0)),"Unknown code"))</f>
        <v/>
      </c>
      <c r="AJ834" s="27">
        <f>IF(AN834="","",IFERROR(IF(NOT(AND(LEN(AN834)=15,ISNUMBER(MATCH(LEFT(AN834,2),Lists!$K$2:$K$38,0)),SUMPRODUCT(--ISERROR(FIND(MID(MID(AN834,3,10),{1,2,3,4,5,10},1),"ABCDEFGHIJKLMNOPQRSTUVWXYZ")))=0,SUMPRODUCT(--ISERROR(FIND(MID(MID(AN834,3,10),{6,7,8,9},1),"0123456789")))=0,ISNUMBER(FIND(MID(AN834,13,1),"123456789ABCDEFGHIJKLMNOPQRSTUVWXYZ")),MID(AN834,14,1)="Z")),"Wrong format",IF(MID("0123456789ABCDEFGHIJKLMNOPQRSTUVWXYZ",MOD(36-MOD(SUMPRODUCT(INT((FIND(MID(AN834,{1,2,3,4,5,6,7,8,9,10,11,12,13,14},1),"0123456789ABCDEFGHIJKLMNOPQRSTUVWXYZ")-1)*{1,2,1,2,1,2,1,2,1,2,1,2,1,2}/36)+MOD((FIND(MID(AN834,{1,2,3,4,5,6,7,8,9,10,11,12,13,14},1),"0123456789ABCDEFGHIJKLMNOPQRSTUVWXYZ")-1)*{1,2,1,2,1,2,1,2,1,2,1,2,1,2},36)),36),36)+1,1)=MID(AN834,15,1),"OK","Typo? check digit wrong")),"Wrong format"))</f>
        <v/>
      </c>
      <c r="AK834" s="27">
        <f>IF(AO834="","",IF(AND(LEN(AO834)=10,SUMPRODUCT(--ISERROR(FIND(MID(AO834,{1,2,3,4,5,10},1),"ABCDEFGHIJKLMNOPQRSTUVWXYZ")))=0,SUMPRODUCT(--ISERROR(FIND(MID(AO834,{6,7,8,9},1),"0123456789")))=0),"OK","Wrong format"))</f>
        <v/>
      </c>
      <c r="AL834" s="27">
        <f>IF(TRIM(H834)="","",IF(AND(LEN(UPPER(TRIM(H834)))=10,SUMPRODUCT(--ISERROR(FIND(MID(UPPER(TRIM(H834)),{1,2,3,4,10},1),"ABCDEFGHIJKLMNOPQRSTUVWXYZ")))=0,SUMPRODUCT(--ISERROR(FIND(MID(UPPER(TRIM(H834)),{5,6,7,8,9},1),"0123456789")))=0),"OK","Wrong format"))</f>
        <v/>
      </c>
      <c r="AM834" s="28">
        <f>IF(NOT(COUNTA(A834:AE834)&gt;0),"",IF(AS834&lt;&gt;"","✖ "&amp;LEFT(AS834,LEN(AS834)-2),IF(AR834&gt;0,"✔ Ready — client + "&amp;AR834&amp;" service(s)","✔ Ready — client only")))</f>
        <v/>
      </c>
      <c r="AN834" s="29">
        <f>UPPER(SUBSTITUTE(TRIM(F834)," ",""))</f>
        <v/>
      </c>
      <c r="AO834" s="29">
        <f>UPPER(SUBSTITUTE(TRIM(E834)," ",""))</f>
        <v/>
      </c>
      <c r="AP834" s="29">
        <f>IF(D834&lt;&gt;"",D834,IFERROR(VLOOKUP(MID(AG834,4,1),Lists!$E$2:$F$8,2,FALSE),""))</f>
        <v/>
      </c>
      <c r="AQ834" s="29">
        <f>IFERROR(VLOOKUP(AP834,Lists!$A$2:$C$12,3,FALSE),"")</f>
        <v/>
      </c>
      <c r="AR834" s="29">
        <f>COUNTIF(W834:AC834,"Yes")</f>
        <v/>
      </c>
      <c r="AS834" s="29">
        <f>IF(TRIM(B834)="","Legal name missing; ","")&amp;IF(AND(AJ834&lt;&gt;"",AJ834&lt;&gt;"OK"),"GSTIN: "&amp;AJ834&amp;"; ","")&amp;IF(AND(AK834&lt;&gt;"",AK834&lt;&gt;"OK"),"PAN wrong format; ","")&amp;IF(AND(AO834&lt;&gt;"",LEN(AN834)=15,MID(AN834,3,10)&lt;&gt;AO834),"PAN does not match GSTIN; ","")&amp;IF(AND(AL834&lt;&gt;"",AL834&lt;&gt;"OK"),"TAN wrong format; ","")&amp;IF(AG834="","PAN missing; ","")&amp;IF(AP834="","Entity type missing; ","")&amp;IF(AND(AN834&lt;&gt;"",COUNTIF($AN$6:$AN$1005,AN834)&gt;1),"GSTIN repeated in this sheet; ","")&amp;IF(AND(AG834&lt;&gt;"",COUNTIF($AG$6:$AG$1005,AG834)&gt;1),"PAN repeated in this sheet (same client? put extra GSTINs in Other GSTINs); ","")&amp;IF(AND(AR834&gt;0,V834=""),"Financial year missing; ","")&amp;IF(AND(AR834=0,V834&lt;&gt;""),"Financial year given but no service is Yes; ","")&amp;IF(AND(W834="Yes",AN834=""),"GST needs a GSTIN; ","")&amp;IF(AND(W834="Yes",X834=""),"GST return frequency missing; ","")&amp;IF(AND(Y834="Yes",TRIM(H834)=""),"TDS needs a TAN; ","")&amp;IF(AND(AA834="Yes",AQ834&lt;&gt;"",AQ834&lt;&gt;"company",AQ834&lt;&gt;"llp"),"ROC is only for a company / LLP; ","")&amp;IF(AND(AA834="Yes",OR(AQ834="company",AQ834="llp"),TRIM(I834)=""),"ROC needs the CIN / LLPIN; ","")</f>
        <v/>
      </c>
    </row>
    <row r="835">
      <c r="A835" s="30" t="n"/>
      <c r="B835" s="31" t="n"/>
      <c r="C835" s="31" t="n"/>
      <c r="D835" s="31" t="n"/>
      <c r="E835" s="30" t="n"/>
      <c r="F835" s="30" t="n"/>
      <c r="G835" s="30" t="n"/>
      <c r="H835" s="30" t="n"/>
      <c r="I835" s="30" t="n"/>
      <c r="J835" s="32" t="n"/>
      <c r="K835" s="31" t="n"/>
      <c r="L835" s="30" t="n"/>
      <c r="M835" s="31" t="n"/>
      <c r="N835" s="31" t="n"/>
      <c r="O835" s="31" t="n"/>
      <c r="P835" s="30" t="n"/>
      <c r="Q835" s="31" t="n"/>
      <c r="R835" s="31" t="n"/>
      <c r="S835" s="31" t="n"/>
      <c r="T835" s="31" t="n"/>
      <c r="U835" s="30" t="n"/>
      <c r="V835" s="31" t="n"/>
      <c r="W835" s="31" t="n"/>
      <c r="X835" s="31" t="n"/>
      <c r="Y835" s="31" t="n"/>
      <c r="Z835" s="31" t="n"/>
      <c r="AA835" s="31" t="n"/>
      <c r="AB835" s="31" t="n"/>
      <c r="AC835" s="31" t="n"/>
      <c r="AD835" s="31" t="n"/>
      <c r="AE835" s="31" t="n"/>
      <c r="AF835" s="27">
        <f>IF(NOT(COUNTA(A835:AE835)&gt;0),"",IF(A835="","New client","Update"))</f>
        <v/>
      </c>
      <c r="AG835" s="27">
        <f>IF(AO835&lt;&gt;"",AO835,IF(LEN(AN835)=15,MID(AN835,3,10),""))</f>
        <v/>
      </c>
      <c r="AH835" s="27">
        <f>IF(AP835="","",AP835&amp;IF(D835="","  (guessed from PAN)",""))</f>
        <v/>
      </c>
      <c r="AI835" s="27">
        <f>IF(AN835="","",IFERROR(INDEX(Lists!$L$2:$L$38,MATCH(LEFT(AN835,2),Lists!$K$2:$K$38,0)),"Unknown code"))</f>
        <v/>
      </c>
      <c r="AJ835" s="27">
        <f>IF(AN835="","",IFERROR(IF(NOT(AND(LEN(AN835)=15,ISNUMBER(MATCH(LEFT(AN835,2),Lists!$K$2:$K$38,0)),SUMPRODUCT(--ISERROR(FIND(MID(MID(AN835,3,10),{1,2,3,4,5,10},1),"ABCDEFGHIJKLMNOPQRSTUVWXYZ")))=0,SUMPRODUCT(--ISERROR(FIND(MID(MID(AN835,3,10),{6,7,8,9},1),"0123456789")))=0,ISNUMBER(FIND(MID(AN835,13,1),"123456789ABCDEFGHIJKLMNOPQRSTUVWXYZ")),MID(AN835,14,1)="Z")),"Wrong format",IF(MID("0123456789ABCDEFGHIJKLMNOPQRSTUVWXYZ",MOD(36-MOD(SUMPRODUCT(INT((FIND(MID(AN835,{1,2,3,4,5,6,7,8,9,10,11,12,13,14},1),"0123456789ABCDEFGHIJKLMNOPQRSTUVWXYZ")-1)*{1,2,1,2,1,2,1,2,1,2,1,2,1,2}/36)+MOD((FIND(MID(AN835,{1,2,3,4,5,6,7,8,9,10,11,12,13,14},1),"0123456789ABCDEFGHIJKLMNOPQRSTUVWXYZ")-1)*{1,2,1,2,1,2,1,2,1,2,1,2,1,2},36)),36),36)+1,1)=MID(AN835,15,1),"OK","Typo? check digit wrong")),"Wrong format"))</f>
        <v/>
      </c>
      <c r="AK835" s="27">
        <f>IF(AO835="","",IF(AND(LEN(AO835)=10,SUMPRODUCT(--ISERROR(FIND(MID(AO835,{1,2,3,4,5,10},1),"ABCDEFGHIJKLMNOPQRSTUVWXYZ")))=0,SUMPRODUCT(--ISERROR(FIND(MID(AO835,{6,7,8,9},1),"0123456789")))=0),"OK","Wrong format"))</f>
        <v/>
      </c>
      <c r="AL835" s="27">
        <f>IF(TRIM(H835)="","",IF(AND(LEN(UPPER(TRIM(H835)))=10,SUMPRODUCT(--ISERROR(FIND(MID(UPPER(TRIM(H835)),{1,2,3,4,10},1),"ABCDEFGHIJKLMNOPQRSTUVWXYZ")))=0,SUMPRODUCT(--ISERROR(FIND(MID(UPPER(TRIM(H835)),{5,6,7,8,9},1),"0123456789")))=0),"OK","Wrong format"))</f>
        <v/>
      </c>
      <c r="AM835" s="28">
        <f>IF(NOT(COUNTA(A835:AE835)&gt;0),"",IF(AS835&lt;&gt;"","✖ "&amp;LEFT(AS835,LEN(AS835)-2),IF(AR835&gt;0,"✔ Ready — client + "&amp;AR835&amp;" service(s)","✔ Ready — client only")))</f>
        <v/>
      </c>
      <c r="AN835" s="29">
        <f>UPPER(SUBSTITUTE(TRIM(F835)," ",""))</f>
        <v/>
      </c>
      <c r="AO835" s="29">
        <f>UPPER(SUBSTITUTE(TRIM(E835)," ",""))</f>
        <v/>
      </c>
      <c r="AP835" s="29">
        <f>IF(D835&lt;&gt;"",D835,IFERROR(VLOOKUP(MID(AG835,4,1),Lists!$E$2:$F$8,2,FALSE),""))</f>
        <v/>
      </c>
      <c r="AQ835" s="29">
        <f>IFERROR(VLOOKUP(AP835,Lists!$A$2:$C$12,3,FALSE),"")</f>
        <v/>
      </c>
      <c r="AR835" s="29">
        <f>COUNTIF(W835:AC835,"Yes")</f>
        <v/>
      </c>
      <c r="AS835" s="29">
        <f>IF(TRIM(B835)="","Legal name missing; ","")&amp;IF(AND(AJ835&lt;&gt;"",AJ835&lt;&gt;"OK"),"GSTIN: "&amp;AJ835&amp;"; ","")&amp;IF(AND(AK835&lt;&gt;"",AK835&lt;&gt;"OK"),"PAN wrong format; ","")&amp;IF(AND(AO835&lt;&gt;"",LEN(AN835)=15,MID(AN835,3,10)&lt;&gt;AO835),"PAN does not match GSTIN; ","")&amp;IF(AND(AL835&lt;&gt;"",AL835&lt;&gt;"OK"),"TAN wrong format; ","")&amp;IF(AG835="","PAN missing; ","")&amp;IF(AP835="","Entity type missing; ","")&amp;IF(AND(AN835&lt;&gt;"",COUNTIF($AN$6:$AN$1005,AN835)&gt;1),"GSTIN repeated in this sheet; ","")&amp;IF(AND(AG835&lt;&gt;"",COUNTIF($AG$6:$AG$1005,AG835)&gt;1),"PAN repeated in this sheet (same client? put extra GSTINs in Other GSTINs); ","")&amp;IF(AND(AR835&gt;0,V835=""),"Financial year missing; ","")&amp;IF(AND(AR835=0,V835&lt;&gt;""),"Financial year given but no service is Yes; ","")&amp;IF(AND(W835="Yes",AN835=""),"GST needs a GSTIN; ","")&amp;IF(AND(W835="Yes",X835=""),"GST return frequency missing; ","")&amp;IF(AND(Y835="Yes",TRIM(H835)=""),"TDS needs a TAN; ","")&amp;IF(AND(AA835="Yes",AQ835&lt;&gt;"",AQ835&lt;&gt;"company",AQ835&lt;&gt;"llp"),"ROC is only for a company / LLP; ","")&amp;IF(AND(AA835="Yes",OR(AQ835="company",AQ835="llp"),TRIM(I835)=""),"ROC needs the CIN / LLPIN; ","")</f>
        <v/>
      </c>
    </row>
    <row r="836">
      <c r="A836" s="30" t="n"/>
      <c r="B836" s="31" t="n"/>
      <c r="C836" s="31" t="n"/>
      <c r="D836" s="31" t="n"/>
      <c r="E836" s="30" t="n"/>
      <c r="F836" s="30" t="n"/>
      <c r="G836" s="30" t="n"/>
      <c r="H836" s="30" t="n"/>
      <c r="I836" s="30" t="n"/>
      <c r="J836" s="32" t="n"/>
      <c r="K836" s="31" t="n"/>
      <c r="L836" s="30" t="n"/>
      <c r="M836" s="31" t="n"/>
      <c r="N836" s="31" t="n"/>
      <c r="O836" s="31" t="n"/>
      <c r="P836" s="30" t="n"/>
      <c r="Q836" s="31" t="n"/>
      <c r="R836" s="31" t="n"/>
      <c r="S836" s="31" t="n"/>
      <c r="T836" s="31" t="n"/>
      <c r="U836" s="30" t="n"/>
      <c r="V836" s="31" t="n"/>
      <c r="W836" s="31" t="n"/>
      <c r="X836" s="31" t="n"/>
      <c r="Y836" s="31" t="n"/>
      <c r="Z836" s="31" t="n"/>
      <c r="AA836" s="31" t="n"/>
      <c r="AB836" s="31" t="n"/>
      <c r="AC836" s="31" t="n"/>
      <c r="AD836" s="31" t="n"/>
      <c r="AE836" s="31" t="n"/>
      <c r="AF836" s="27">
        <f>IF(NOT(COUNTA(A836:AE836)&gt;0),"",IF(A836="","New client","Update"))</f>
        <v/>
      </c>
      <c r="AG836" s="27">
        <f>IF(AO836&lt;&gt;"",AO836,IF(LEN(AN836)=15,MID(AN836,3,10),""))</f>
        <v/>
      </c>
      <c r="AH836" s="27">
        <f>IF(AP836="","",AP836&amp;IF(D836="","  (guessed from PAN)",""))</f>
        <v/>
      </c>
      <c r="AI836" s="27">
        <f>IF(AN836="","",IFERROR(INDEX(Lists!$L$2:$L$38,MATCH(LEFT(AN836,2),Lists!$K$2:$K$38,0)),"Unknown code"))</f>
        <v/>
      </c>
      <c r="AJ836" s="27">
        <f>IF(AN836="","",IFERROR(IF(NOT(AND(LEN(AN836)=15,ISNUMBER(MATCH(LEFT(AN836,2),Lists!$K$2:$K$38,0)),SUMPRODUCT(--ISERROR(FIND(MID(MID(AN836,3,10),{1,2,3,4,5,10},1),"ABCDEFGHIJKLMNOPQRSTUVWXYZ")))=0,SUMPRODUCT(--ISERROR(FIND(MID(MID(AN836,3,10),{6,7,8,9},1),"0123456789")))=0,ISNUMBER(FIND(MID(AN836,13,1),"123456789ABCDEFGHIJKLMNOPQRSTUVWXYZ")),MID(AN836,14,1)="Z")),"Wrong format",IF(MID("0123456789ABCDEFGHIJKLMNOPQRSTUVWXYZ",MOD(36-MOD(SUMPRODUCT(INT((FIND(MID(AN836,{1,2,3,4,5,6,7,8,9,10,11,12,13,14},1),"0123456789ABCDEFGHIJKLMNOPQRSTUVWXYZ")-1)*{1,2,1,2,1,2,1,2,1,2,1,2,1,2}/36)+MOD((FIND(MID(AN836,{1,2,3,4,5,6,7,8,9,10,11,12,13,14},1),"0123456789ABCDEFGHIJKLMNOPQRSTUVWXYZ")-1)*{1,2,1,2,1,2,1,2,1,2,1,2,1,2},36)),36),36)+1,1)=MID(AN836,15,1),"OK","Typo? check digit wrong")),"Wrong format"))</f>
        <v/>
      </c>
      <c r="AK836" s="27">
        <f>IF(AO836="","",IF(AND(LEN(AO836)=10,SUMPRODUCT(--ISERROR(FIND(MID(AO836,{1,2,3,4,5,10},1),"ABCDEFGHIJKLMNOPQRSTUVWXYZ")))=0,SUMPRODUCT(--ISERROR(FIND(MID(AO836,{6,7,8,9},1),"0123456789")))=0),"OK","Wrong format"))</f>
        <v/>
      </c>
      <c r="AL836" s="27">
        <f>IF(TRIM(H836)="","",IF(AND(LEN(UPPER(TRIM(H836)))=10,SUMPRODUCT(--ISERROR(FIND(MID(UPPER(TRIM(H836)),{1,2,3,4,10},1),"ABCDEFGHIJKLMNOPQRSTUVWXYZ")))=0,SUMPRODUCT(--ISERROR(FIND(MID(UPPER(TRIM(H836)),{5,6,7,8,9},1),"0123456789")))=0),"OK","Wrong format"))</f>
        <v/>
      </c>
      <c r="AM836" s="28">
        <f>IF(NOT(COUNTA(A836:AE836)&gt;0),"",IF(AS836&lt;&gt;"","✖ "&amp;LEFT(AS836,LEN(AS836)-2),IF(AR836&gt;0,"✔ Ready — client + "&amp;AR836&amp;" service(s)","✔ Ready — client only")))</f>
        <v/>
      </c>
      <c r="AN836" s="29">
        <f>UPPER(SUBSTITUTE(TRIM(F836)," ",""))</f>
        <v/>
      </c>
      <c r="AO836" s="29">
        <f>UPPER(SUBSTITUTE(TRIM(E836)," ",""))</f>
        <v/>
      </c>
      <c r="AP836" s="29">
        <f>IF(D836&lt;&gt;"",D836,IFERROR(VLOOKUP(MID(AG836,4,1),Lists!$E$2:$F$8,2,FALSE),""))</f>
        <v/>
      </c>
      <c r="AQ836" s="29">
        <f>IFERROR(VLOOKUP(AP836,Lists!$A$2:$C$12,3,FALSE),"")</f>
        <v/>
      </c>
      <c r="AR836" s="29">
        <f>COUNTIF(W836:AC836,"Yes")</f>
        <v/>
      </c>
      <c r="AS836" s="29">
        <f>IF(TRIM(B836)="","Legal name missing; ","")&amp;IF(AND(AJ836&lt;&gt;"",AJ836&lt;&gt;"OK"),"GSTIN: "&amp;AJ836&amp;"; ","")&amp;IF(AND(AK836&lt;&gt;"",AK836&lt;&gt;"OK"),"PAN wrong format; ","")&amp;IF(AND(AO836&lt;&gt;"",LEN(AN836)=15,MID(AN836,3,10)&lt;&gt;AO836),"PAN does not match GSTIN; ","")&amp;IF(AND(AL836&lt;&gt;"",AL836&lt;&gt;"OK"),"TAN wrong format; ","")&amp;IF(AG836="","PAN missing; ","")&amp;IF(AP836="","Entity type missing; ","")&amp;IF(AND(AN836&lt;&gt;"",COUNTIF($AN$6:$AN$1005,AN836)&gt;1),"GSTIN repeated in this sheet; ","")&amp;IF(AND(AG836&lt;&gt;"",COUNTIF($AG$6:$AG$1005,AG836)&gt;1),"PAN repeated in this sheet (same client? put extra GSTINs in Other GSTINs); ","")&amp;IF(AND(AR836&gt;0,V836=""),"Financial year missing; ","")&amp;IF(AND(AR836=0,V836&lt;&gt;""),"Financial year given but no service is Yes; ","")&amp;IF(AND(W836="Yes",AN836=""),"GST needs a GSTIN; ","")&amp;IF(AND(W836="Yes",X836=""),"GST return frequency missing; ","")&amp;IF(AND(Y836="Yes",TRIM(H836)=""),"TDS needs a TAN; ","")&amp;IF(AND(AA836="Yes",AQ836&lt;&gt;"",AQ836&lt;&gt;"company",AQ836&lt;&gt;"llp"),"ROC is only for a company / LLP; ","")&amp;IF(AND(AA836="Yes",OR(AQ836="company",AQ836="llp"),TRIM(I836)=""),"ROC needs the CIN / LLPIN; ","")</f>
        <v/>
      </c>
    </row>
    <row r="837">
      <c r="A837" s="30" t="n"/>
      <c r="B837" s="31" t="n"/>
      <c r="C837" s="31" t="n"/>
      <c r="D837" s="31" t="n"/>
      <c r="E837" s="30" t="n"/>
      <c r="F837" s="30" t="n"/>
      <c r="G837" s="30" t="n"/>
      <c r="H837" s="30" t="n"/>
      <c r="I837" s="30" t="n"/>
      <c r="J837" s="32" t="n"/>
      <c r="K837" s="31" t="n"/>
      <c r="L837" s="30" t="n"/>
      <c r="M837" s="31" t="n"/>
      <c r="N837" s="31" t="n"/>
      <c r="O837" s="31" t="n"/>
      <c r="P837" s="30" t="n"/>
      <c r="Q837" s="31" t="n"/>
      <c r="R837" s="31" t="n"/>
      <c r="S837" s="31" t="n"/>
      <c r="T837" s="31" t="n"/>
      <c r="U837" s="30" t="n"/>
      <c r="V837" s="31" t="n"/>
      <c r="W837" s="31" t="n"/>
      <c r="X837" s="31" t="n"/>
      <c r="Y837" s="31" t="n"/>
      <c r="Z837" s="31" t="n"/>
      <c r="AA837" s="31" t="n"/>
      <c r="AB837" s="31" t="n"/>
      <c r="AC837" s="31" t="n"/>
      <c r="AD837" s="31" t="n"/>
      <c r="AE837" s="31" t="n"/>
      <c r="AF837" s="27">
        <f>IF(NOT(COUNTA(A837:AE837)&gt;0),"",IF(A837="","New client","Update"))</f>
        <v/>
      </c>
      <c r="AG837" s="27">
        <f>IF(AO837&lt;&gt;"",AO837,IF(LEN(AN837)=15,MID(AN837,3,10),""))</f>
        <v/>
      </c>
      <c r="AH837" s="27">
        <f>IF(AP837="","",AP837&amp;IF(D837="","  (guessed from PAN)",""))</f>
        <v/>
      </c>
      <c r="AI837" s="27">
        <f>IF(AN837="","",IFERROR(INDEX(Lists!$L$2:$L$38,MATCH(LEFT(AN837,2),Lists!$K$2:$K$38,0)),"Unknown code"))</f>
        <v/>
      </c>
      <c r="AJ837" s="27">
        <f>IF(AN837="","",IFERROR(IF(NOT(AND(LEN(AN837)=15,ISNUMBER(MATCH(LEFT(AN837,2),Lists!$K$2:$K$38,0)),SUMPRODUCT(--ISERROR(FIND(MID(MID(AN837,3,10),{1,2,3,4,5,10},1),"ABCDEFGHIJKLMNOPQRSTUVWXYZ")))=0,SUMPRODUCT(--ISERROR(FIND(MID(MID(AN837,3,10),{6,7,8,9},1),"0123456789")))=0,ISNUMBER(FIND(MID(AN837,13,1),"123456789ABCDEFGHIJKLMNOPQRSTUVWXYZ")),MID(AN837,14,1)="Z")),"Wrong format",IF(MID("0123456789ABCDEFGHIJKLMNOPQRSTUVWXYZ",MOD(36-MOD(SUMPRODUCT(INT((FIND(MID(AN837,{1,2,3,4,5,6,7,8,9,10,11,12,13,14},1),"0123456789ABCDEFGHIJKLMNOPQRSTUVWXYZ")-1)*{1,2,1,2,1,2,1,2,1,2,1,2,1,2}/36)+MOD((FIND(MID(AN837,{1,2,3,4,5,6,7,8,9,10,11,12,13,14},1),"0123456789ABCDEFGHIJKLMNOPQRSTUVWXYZ")-1)*{1,2,1,2,1,2,1,2,1,2,1,2,1,2},36)),36),36)+1,1)=MID(AN837,15,1),"OK","Typo? check digit wrong")),"Wrong format"))</f>
        <v/>
      </c>
      <c r="AK837" s="27">
        <f>IF(AO837="","",IF(AND(LEN(AO837)=10,SUMPRODUCT(--ISERROR(FIND(MID(AO837,{1,2,3,4,5,10},1),"ABCDEFGHIJKLMNOPQRSTUVWXYZ")))=0,SUMPRODUCT(--ISERROR(FIND(MID(AO837,{6,7,8,9},1),"0123456789")))=0),"OK","Wrong format"))</f>
        <v/>
      </c>
      <c r="AL837" s="27">
        <f>IF(TRIM(H837)="","",IF(AND(LEN(UPPER(TRIM(H837)))=10,SUMPRODUCT(--ISERROR(FIND(MID(UPPER(TRIM(H837)),{1,2,3,4,10},1),"ABCDEFGHIJKLMNOPQRSTUVWXYZ")))=0,SUMPRODUCT(--ISERROR(FIND(MID(UPPER(TRIM(H837)),{5,6,7,8,9},1),"0123456789")))=0),"OK","Wrong format"))</f>
        <v/>
      </c>
      <c r="AM837" s="28">
        <f>IF(NOT(COUNTA(A837:AE837)&gt;0),"",IF(AS837&lt;&gt;"","✖ "&amp;LEFT(AS837,LEN(AS837)-2),IF(AR837&gt;0,"✔ Ready — client + "&amp;AR837&amp;" service(s)","✔ Ready — client only")))</f>
        <v/>
      </c>
      <c r="AN837" s="29">
        <f>UPPER(SUBSTITUTE(TRIM(F837)," ",""))</f>
        <v/>
      </c>
      <c r="AO837" s="29">
        <f>UPPER(SUBSTITUTE(TRIM(E837)," ",""))</f>
        <v/>
      </c>
      <c r="AP837" s="29">
        <f>IF(D837&lt;&gt;"",D837,IFERROR(VLOOKUP(MID(AG837,4,1),Lists!$E$2:$F$8,2,FALSE),""))</f>
        <v/>
      </c>
      <c r="AQ837" s="29">
        <f>IFERROR(VLOOKUP(AP837,Lists!$A$2:$C$12,3,FALSE),"")</f>
        <v/>
      </c>
      <c r="AR837" s="29">
        <f>COUNTIF(W837:AC837,"Yes")</f>
        <v/>
      </c>
      <c r="AS837" s="29">
        <f>IF(TRIM(B837)="","Legal name missing; ","")&amp;IF(AND(AJ837&lt;&gt;"",AJ837&lt;&gt;"OK"),"GSTIN: "&amp;AJ837&amp;"; ","")&amp;IF(AND(AK837&lt;&gt;"",AK837&lt;&gt;"OK"),"PAN wrong format; ","")&amp;IF(AND(AO837&lt;&gt;"",LEN(AN837)=15,MID(AN837,3,10)&lt;&gt;AO837),"PAN does not match GSTIN; ","")&amp;IF(AND(AL837&lt;&gt;"",AL837&lt;&gt;"OK"),"TAN wrong format; ","")&amp;IF(AG837="","PAN missing; ","")&amp;IF(AP837="","Entity type missing; ","")&amp;IF(AND(AN837&lt;&gt;"",COUNTIF($AN$6:$AN$1005,AN837)&gt;1),"GSTIN repeated in this sheet; ","")&amp;IF(AND(AG837&lt;&gt;"",COUNTIF($AG$6:$AG$1005,AG837)&gt;1),"PAN repeated in this sheet (same client? put extra GSTINs in Other GSTINs); ","")&amp;IF(AND(AR837&gt;0,V837=""),"Financial year missing; ","")&amp;IF(AND(AR837=0,V837&lt;&gt;""),"Financial year given but no service is Yes; ","")&amp;IF(AND(W837="Yes",AN837=""),"GST needs a GSTIN; ","")&amp;IF(AND(W837="Yes",X837=""),"GST return frequency missing; ","")&amp;IF(AND(Y837="Yes",TRIM(H837)=""),"TDS needs a TAN; ","")&amp;IF(AND(AA837="Yes",AQ837&lt;&gt;"",AQ837&lt;&gt;"company",AQ837&lt;&gt;"llp"),"ROC is only for a company / LLP; ","")&amp;IF(AND(AA837="Yes",OR(AQ837="company",AQ837="llp"),TRIM(I837)=""),"ROC needs the CIN / LLPIN; ","")</f>
        <v/>
      </c>
    </row>
    <row r="838">
      <c r="A838" s="30" t="n"/>
      <c r="B838" s="31" t="n"/>
      <c r="C838" s="31" t="n"/>
      <c r="D838" s="31" t="n"/>
      <c r="E838" s="30" t="n"/>
      <c r="F838" s="30" t="n"/>
      <c r="G838" s="30" t="n"/>
      <c r="H838" s="30" t="n"/>
      <c r="I838" s="30" t="n"/>
      <c r="J838" s="32" t="n"/>
      <c r="K838" s="31" t="n"/>
      <c r="L838" s="30" t="n"/>
      <c r="M838" s="31" t="n"/>
      <c r="N838" s="31" t="n"/>
      <c r="O838" s="31" t="n"/>
      <c r="P838" s="30" t="n"/>
      <c r="Q838" s="31" t="n"/>
      <c r="R838" s="31" t="n"/>
      <c r="S838" s="31" t="n"/>
      <c r="T838" s="31" t="n"/>
      <c r="U838" s="30" t="n"/>
      <c r="V838" s="31" t="n"/>
      <c r="W838" s="31" t="n"/>
      <c r="X838" s="31" t="n"/>
      <c r="Y838" s="31" t="n"/>
      <c r="Z838" s="31" t="n"/>
      <c r="AA838" s="31" t="n"/>
      <c r="AB838" s="31" t="n"/>
      <c r="AC838" s="31" t="n"/>
      <c r="AD838" s="31" t="n"/>
      <c r="AE838" s="31" t="n"/>
      <c r="AF838" s="27">
        <f>IF(NOT(COUNTA(A838:AE838)&gt;0),"",IF(A838="","New client","Update"))</f>
        <v/>
      </c>
      <c r="AG838" s="27">
        <f>IF(AO838&lt;&gt;"",AO838,IF(LEN(AN838)=15,MID(AN838,3,10),""))</f>
        <v/>
      </c>
      <c r="AH838" s="27">
        <f>IF(AP838="","",AP838&amp;IF(D838="","  (guessed from PAN)",""))</f>
        <v/>
      </c>
      <c r="AI838" s="27">
        <f>IF(AN838="","",IFERROR(INDEX(Lists!$L$2:$L$38,MATCH(LEFT(AN838,2),Lists!$K$2:$K$38,0)),"Unknown code"))</f>
        <v/>
      </c>
      <c r="AJ838" s="27">
        <f>IF(AN838="","",IFERROR(IF(NOT(AND(LEN(AN838)=15,ISNUMBER(MATCH(LEFT(AN838,2),Lists!$K$2:$K$38,0)),SUMPRODUCT(--ISERROR(FIND(MID(MID(AN838,3,10),{1,2,3,4,5,10},1),"ABCDEFGHIJKLMNOPQRSTUVWXYZ")))=0,SUMPRODUCT(--ISERROR(FIND(MID(MID(AN838,3,10),{6,7,8,9},1),"0123456789")))=0,ISNUMBER(FIND(MID(AN838,13,1),"123456789ABCDEFGHIJKLMNOPQRSTUVWXYZ")),MID(AN838,14,1)="Z")),"Wrong format",IF(MID("0123456789ABCDEFGHIJKLMNOPQRSTUVWXYZ",MOD(36-MOD(SUMPRODUCT(INT((FIND(MID(AN838,{1,2,3,4,5,6,7,8,9,10,11,12,13,14},1),"0123456789ABCDEFGHIJKLMNOPQRSTUVWXYZ")-1)*{1,2,1,2,1,2,1,2,1,2,1,2,1,2}/36)+MOD((FIND(MID(AN838,{1,2,3,4,5,6,7,8,9,10,11,12,13,14},1),"0123456789ABCDEFGHIJKLMNOPQRSTUVWXYZ")-1)*{1,2,1,2,1,2,1,2,1,2,1,2,1,2},36)),36),36)+1,1)=MID(AN838,15,1),"OK","Typo? check digit wrong")),"Wrong format"))</f>
        <v/>
      </c>
      <c r="AK838" s="27">
        <f>IF(AO838="","",IF(AND(LEN(AO838)=10,SUMPRODUCT(--ISERROR(FIND(MID(AO838,{1,2,3,4,5,10},1),"ABCDEFGHIJKLMNOPQRSTUVWXYZ")))=0,SUMPRODUCT(--ISERROR(FIND(MID(AO838,{6,7,8,9},1),"0123456789")))=0),"OK","Wrong format"))</f>
        <v/>
      </c>
      <c r="AL838" s="27">
        <f>IF(TRIM(H838)="","",IF(AND(LEN(UPPER(TRIM(H838)))=10,SUMPRODUCT(--ISERROR(FIND(MID(UPPER(TRIM(H838)),{1,2,3,4,10},1),"ABCDEFGHIJKLMNOPQRSTUVWXYZ")))=0,SUMPRODUCT(--ISERROR(FIND(MID(UPPER(TRIM(H838)),{5,6,7,8,9},1),"0123456789")))=0),"OK","Wrong format"))</f>
        <v/>
      </c>
      <c r="AM838" s="28">
        <f>IF(NOT(COUNTA(A838:AE838)&gt;0),"",IF(AS838&lt;&gt;"","✖ "&amp;LEFT(AS838,LEN(AS838)-2),IF(AR838&gt;0,"✔ Ready — client + "&amp;AR838&amp;" service(s)","✔ Ready — client only")))</f>
        <v/>
      </c>
      <c r="AN838" s="29">
        <f>UPPER(SUBSTITUTE(TRIM(F838)," ",""))</f>
        <v/>
      </c>
      <c r="AO838" s="29">
        <f>UPPER(SUBSTITUTE(TRIM(E838)," ",""))</f>
        <v/>
      </c>
      <c r="AP838" s="29">
        <f>IF(D838&lt;&gt;"",D838,IFERROR(VLOOKUP(MID(AG838,4,1),Lists!$E$2:$F$8,2,FALSE),""))</f>
        <v/>
      </c>
      <c r="AQ838" s="29">
        <f>IFERROR(VLOOKUP(AP838,Lists!$A$2:$C$12,3,FALSE),"")</f>
        <v/>
      </c>
      <c r="AR838" s="29">
        <f>COUNTIF(W838:AC838,"Yes")</f>
        <v/>
      </c>
      <c r="AS838" s="29">
        <f>IF(TRIM(B838)="","Legal name missing; ","")&amp;IF(AND(AJ838&lt;&gt;"",AJ838&lt;&gt;"OK"),"GSTIN: "&amp;AJ838&amp;"; ","")&amp;IF(AND(AK838&lt;&gt;"",AK838&lt;&gt;"OK"),"PAN wrong format; ","")&amp;IF(AND(AO838&lt;&gt;"",LEN(AN838)=15,MID(AN838,3,10)&lt;&gt;AO838),"PAN does not match GSTIN; ","")&amp;IF(AND(AL838&lt;&gt;"",AL838&lt;&gt;"OK"),"TAN wrong format; ","")&amp;IF(AG838="","PAN missing; ","")&amp;IF(AP838="","Entity type missing; ","")&amp;IF(AND(AN838&lt;&gt;"",COUNTIF($AN$6:$AN$1005,AN838)&gt;1),"GSTIN repeated in this sheet; ","")&amp;IF(AND(AG838&lt;&gt;"",COUNTIF($AG$6:$AG$1005,AG838)&gt;1),"PAN repeated in this sheet (same client? put extra GSTINs in Other GSTINs); ","")&amp;IF(AND(AR838&gt;0,V838=""),"Financial year missing; ","")&amp;IF(AND(AR838=0,V838&lt;&gt;""),"Financial year given but no service is Yes; ","")&amp;IF(AND(W838="Yes",AN838=""),"GST needs a GSTIN; ","")&amp;IF(AND(W838="Yes",X838=""),"GST return frequency missing; ","")&amp;IF(AND(Y838="Yes",TRIM(H838)=""),"TDS needs a TAN; ","")&amp;IF(AND(AA838="Yes",AQ838&lt;&gt;"",AQ838&lt;&gt;"company",AQ838&lt;&gt;"llp"),"ROC is only for a company / LLP; ","")&amp;IF(AND(AA838="Yes",OR(AQ838="company",AQ838="llp"),TRIM(I838)=""),"ROC needs the CIN / LLPIN; ","")</f>
        <v/>
      </c>
    </row>
    <row r="839">
      <c r="A839" s="30" t="n"/>
      <c r="B839" s="31" t="n"/>
      <c r="C839" s="31" t="n"/>
      <c r="D839" s="31" t="n"/>
      <c r="E839" s="30" t="n"/>
      <c r="F839" s="30" t="n"/>
      <c r="G839" s="30" t="n"/>
      <c r="H839" s="30" t="n"/>
      <c r="I839" s="30" t="n"/>
      <c r="J839" s="32" t="n"/>
      <c r="K839" s="31" t="n"/>
      <c r="L839" s="30" t="n"/>
      <c r="M839" s="31" t="n"/>
      <c r="N839" s="31" t="n"/>
      <c r="O839" s="31" t="n"/>
      <c r="P839" s="30" t="n"/>
      <c r="Q839" s="31" t="n"/>
      <c r="R839" s="31" t="n"/>
      <c r="S839" s="31" t="n"/>
      <c r="T839" s="31" t="n"/>
      <c r="U839" s="30" t="n"/>
      <c r="V839" s="31" t="n"/>
      <c r="W839" s="31" t="n"/>
      <c r="X839" s="31" t="n"/>
      <c r="Y839" s="31" t="n"/>
      <c r="Z839" s="31" t="n"/>
      <c r="AA839" s="31" t="n"/>
      <c r="AB839" s="31" t="n"/>
      <c r="AC839" s="31" t="n"/>
      <c r="AD839" s="31" t="n"/>
      <c r="AE839" s="31" t="n"/>
      <c r="AF839" s="27">
        <f>IF(NOT(COUNTA(A839:AE839)&gt;0),"",IF(A839="","New client","Update"))</f>
        <v/>
      </c>
      <c r="AG839" s="27">
        <f>IF(AO839&lt;&gt;"",AO839,IF(LEN(AN839)=15,MID(AN839,3,10),""))</f>
        <v/>
      </c>
      <c r="AH839" s="27">
        <f>IF(AP839="","",AP839&amp;IF(D839="","  (guessed from PAN)",""))</f>
        <v/>
      </c>
      <c r="AI839" s="27">
        <f>IF(AN839="","",IFERROR(INDEX(Lists!$L$2:$L$38,MATCH(LEFT(AN839,2),Lists!$K$2:$K$38,0)),"Unknown code"))</f>
        <v/>
      </c>
      <c r="AJ839" s="27">
        <f>IF(AN839="","",IFERROR(IF(NOT(AND(LEN(AN839)=15,ISNUMBER(MATCH(LEFT(AN839,2),Lists!$K$2:$K$38,0)),SUMPRODUCT(--ISERROR(FIND(MID(MID(AN839,3,10),{1,2,3,4,5,10},1),"ABCDEFGHIJKLMNOPQRSTUVWXYZ")))=0,SUMPRODUCT(--ISERROR(FIND(MID(MID(AN839,3,10),{6,7,8,9},1),"0123456789")))=0,ISNUMBER(FIND(MID(AN839,13,1),"123456789ABCDEFGHIJKLMNOPQRSTUVWXYZ")),MID(AN839,14,1)="Z")),"Wrong format",IF(MID("0123456789ABCDEFGHIJKLMNOPQRSTUVWXYZ",MOD(36-MOD(SUMPRODUCT(INT((FIND(MID(AN839,{1,2,3,4,5,6,7,8,9,10,11,12,13,14},1),"0123456789ABCDEFGHIJKLMNOPQRSTUVWXYZ")-1)*{1,2,1,2,1,2,1,2,1,2,1,2,1,2}/36)+MOD((FIND(MID(AN839,{1,2,3,4,5,6,7,8,9,10,11,12,13,14},1),"0123456789ABCDEFGHIJKLMNOPQRSTUVWXYZ")-1)*{1,2,1,2,1,2,1,2,1,2,1,2,1,2},36)),36),36)+1,1)=MID(AN839,15,1),"OK","Typo? check digit wrong")),"Wrong format"))</f>
        <v/>
      </c>
      <c r="AK839" s="27">
        <f>IF(AO839="","",IF(AND(LEN(AO839)=10,SUMPRODUCT(--ISERROR(FIND(MID(AO839,{1,2,3,4,5,10},1),"ABCDEFGHIJKLMNOPQRSTUVWXYZ")))=0,SUMPRODUCT(--ISERROR(FIND(MID(AO839,{6,7,8,9},1),"0123456789")))=0),"OK","Wrong format"))</f>
        <v/>
      </c>
      <c r="AL839" s="27">
        <f>IF(TRIM(H839)="","",IF(AND(LEN(UPPER(TRIM(H839)))=10,SUMPRODUCT(--ISERROR(FIND(MID(UPPER(TRIM(H839)),{1,2,3,4,10},1),"ABCDEFGHIJKLMNOPQRSTUVWXYZ")))=0,SUMPRODUCT(--ISERROR(FIND(MID(UPPER(TRIM(H839)),{5,6,7,8,9},1),"0123456789")))=0),"OK","Wrong format"))</f>
        <v/>
      </c>
      <c r="AM839" s="28">
        <f>IF(NOT(COUNTA(A839:AE839)&gt;0),"",IF(AS839&lt;&gt;"","✖ "&amp;LEFT(AS839,LEN(AS839)-2),IF(AR839&gt;0,"✔ Ready — client + "&amp;AR839&amp;" service(s)","✔ Ready — client only")))</f>
        <v/>
      </c>
      <c r="AN839" s="29">
        <f>UPPER(SUBSTITUTE(TRIM(F839)," ",""))</f>
        <v/>
      </c>
      <c r="AO839" s="29">
        <f>UPPER(SUBSTITUTE(TRIM(E839)," ",""))</f>
        <v/>
      </c>
      <c r="AP839" s="29">
        <f>IF(D839&lt;&gt;"",D839,IFERROR(VLOOKUP(MID(AG839,4,1),Lists!$E$2:$F$8,2,FALSE),""))</f>
        <v/>
      </c>
      <c r="AQ839" s="29">
        <f>IFERROR(VLOOKUP(AP839,Lists!$A$2:$C$12,3,FALSE),"")</f>
        <v/>
      </c>
      <c r="AR839" s="29">
        <f>COUNTIF(W839:AC839,"Yes")</f>
        <v/>
      </c>
      <c r="AS839" s="29">
        <f>IF(TRIM(B839)="","Legal name missing; ","")&amp;IF(AND(AJ839&lt;&gt;"",AJ839&lt;&gt;"OK"),"GSTIN: "&amp;AJ839&amp;"; ","")&amp;IF(AND(AK839&lt;&gt;"",AK839&lt;&gt;"OK"),"PAN wrong format; ","")&amp;IF(AND(AO839&lt;&gt;"",LEN(AN839)=15,MID(AN839,3,10)&lt;&gt;AO839),"PAN does not match GSTIN; ","")&amp;IF(AND(AL839&lt;&gt;"",AL839&lt;&gt;"OK"),"TAN wrong format; ","")&amp;IF(AG839="","PAN missing; ","")&amp;IF(AP839="","Entity type missing; ","")&amp;IF(AND(AN839&lt;&gt;"",COUNTIF($AN$6:$AN$1005,AN839)&gt;1),"GSTIN repeated in this sheet; ","")&amp;IF(AND(AG839&lt;&gt;"",COUNTIF($AG$6:$AG$1005,AG839)&gt;1),"PAN repeated in this sheet (same client? put extra GSTINs in Other GSTINs); ","")&amp;IF(AND(AR839&gt;0,V839=""),"Financial year missing; ","")&amp;IF(AND(AR839=0,V839&lt;&gt;""),"Financial year given but no service is Yes; ","")&amp;IF(AND(W839="Yes",AN839=""),"GST needs a GSTIN; ","")&amp;IF(AND(W839="Yes",X839=""),"GST return frequency missing; ","")&amp;IF(AND(Y839="Yes",TRIM(H839)=""),"TDS needs a TAN; ","")&amp;IF(AND(AA839="Yes",AQ839&lt;&gt;"",AQ839&lt;&gt;"company",AQ839&lt;&gt;"llp"),"ROC is only for a company / LLP; ","")&amp;IF(AND(AA839="Yes",OR(AQ839="company",AQ839="llp"),TRIM(I839)=""),"ROC needs the CIN / LLPIN; ","")</f>
        <v/>
      </c>
    </row>
    <row r="840">
      <c r="A840" s="30" t="n"/>
      <c r="B840" s="31" t="n"/>
      <c r="C840" s="31" t="n"/>
      <c r="D840" s="31" t="n"/>
      <c r="E840" s="30" t="n"/>
      <c r="F840" s="30" t="n"/>
      <c r="G840" s="30" t="n"/>
      <c r="H840" s="30" t="n"/>
      <c r="I840" s="30" t="n"/>
      <c r="J840" s="32" t="n"/>
      <c r="K840" s="31" t="n"/>
      <c r="L840" s="30" t="n"/>
      <c r="M840" s="31" t="n"/>
      <c r="N840" s="31" t="n"/>
      <c r="O840" s="31" t="n"/>
      <c r="P840" s="30" t="n"/>
      <c r="Q840" s="31" t="n"/>
      <c r="R840" s="31" t="n"/>
      <c r="S840" s="31" t="n"/>
      <c r="T840" s="31" t="n"/>
      <c r="U840" s="30" t="n"/>
      <c r="V840" s="31" t="n"/>
      <c r="W840" s="31" t="n"/>
      <c r="X840" s="31" t="n"/>
      <c r="Y840" s="31" t="n"/>
      <c r="Z840" s="31" t="n"/>
      <c r="AA840" s="31" t="n"/>
      <c r="AB840" s="31" t="n"/>
      <c r="AC840" s="31" t="n"/>
      <c r="AD840" s="31" t="n"/>
      <c r="AE840" s="31" t="n"/>
      <c r="AF840" s="27">
        <f>IF(NOT(COUNTA(A840:AE840)&gt;0),"",IF(A840="","New client","Update"))</f>
        <v/>
      </c>
      <c r="AG840" s="27">
        <f>IF(AO840&lt;&gt;"",AO840,IF(LEN(AN840)=15,MID(AN840,3,10),""))</f>
        <v/>
      </c>
      <c r="AH840" s="27">
        <f>IF(AP840="","",AP840&amp;IF(D840="","  (guessed from PAN)",""))</f>
        <v/>
      </c>
      <c r="AI840" s="27">
        <f>IF(AN840="","",IFERROR(INDEX(Lists!$L$2:$L$38,MATCH(LEFT(AN840,2),Lists!$K$2:$K$38,0)),"Unknown code"))</f>
        <v/>
      </c>
      <c r="AJ840" s="27">
        <f>IF(AN840="","",IFERROR(IF(NOT(AND(LEN(AN840)=15,ISNUMBER(MATCH(LEFT(AN840,2),Lists!$K$2:$K$38,0)),SUMPRODUCT(--ISERROR(FIND(MID(MID(AN840,3,10),{1,2,3,4,5,10},1),"ABCDEFGHIJKLMNOPQRSTUVWXYZ")))=0,SUMPRODUCT(--ISERROR(FIND(MID(MID(AN840,3,10),{6,7,8,9},1),"0123456789")))=0,ISNUMBER(FIND(MID(AN840,13,1),"123456789ABCDEFGHIJKLMNOPQRSTUVWXYZ")),MID(AN840,14,1)="Z")),"Wrong format",IF(MID("0123456789ABCDEFGHIJKLMNOPQRSTUVWXYZ",MOD(36-MOD(SUMPRODUCT(INT((FIND(MID(AN840,{1,2,3,4,5,6,7,8,9,10,11,12,13,14},1),"0123456789ABCDEFGHIJKLMNOPQRSTUVWXYZ")-1)*{1,2,1,2,1,2,1,2,1,2,1,2,1,2}/36)+MOD((FIND(MID(AN840,{1,2,3,4,5,6,7,8,9,10,11,12,13,14},1),"0123456789ABCDEFGHIJKLMNOPQRSTUVWXYZ")-1)*{1,2,1,2,1,2,1,2,1,2,1,2,1,2},36)),36),36)+1,1)=MID(AN840,15,1),"OK","Typo? check digit wrong")),"Wrong format"))</f>
        <v/>
      </c>
      <c r="AK840" s="27">
        <f>IF(AO840="","",IF(AND(LEN(AO840)=10,SUMPRODUCT(--ISERROR(FIND(MID(AO840,{1,2,3,4,5,10},1),"ABCDEFGHIJKLMNOPQRSTUVWXYZ")))=0,SUMPRODUCT(--ISERROR(FIND(MID(AO840,{6,7,8,9},1),"0123456789")))=0),"OK","Wrong format"))</f>
        <v/>
      </c>
      <c r="AL840" s="27">
        <f>IF(TRIM(H840)="","",IF(AND(LEN(UPPER(TRIM(H840)))=10,SUMPRODUCT(--ISERROR(FIND(MID(UPPER(TRIM(H840)),{1,2,3,4,10},1),"ABCDEFGHIJKLMNOPQRSTUVWXYZ")))=0,SUMPRODUCT(--ISERROR(FIND(MID(UPPER(TRIM(H840)),{5,6,7,8,9},1),"0123456789")))=0),"OK","Wrong format"))</f>
        <v/>
      </c>
      <c r="AM840" s="28">
        <f>IF(NOT(COUNTA(A840:AE840)&gt;0),"",IF(AS840&lt;&gt;"","✖ "&amp;LEFT(AS840,LEN(AS840)-2),IF(AR840&gt;0,"✔ Ready — client + "&amp;AR840&amp;" service(s)","✔ Ready — client only")))</f>
        <v/>
      </c>
      <c r="AN840" s="29">
        <f>UPPER(SUBSTITUTE(TRIM(F840)," ",""))</f>
        <v/>
      </c>
      <c r="AO840" s="29">
        <f>UPPER(SUBSTITUTE(TRIM(E840)," ",""))</f>
        <v/>
      </c>
      <c r="AP840" s="29">
        <f>IF(D840&lt;&gt;"",D840,IFERROR(VLOOKUP(MID(AG840,4,1),Lists!$E$2:$F$8,2,FALSE),""))</f>
        <v/>
      </c>
      <c r="AQ840" s="29">
        <f>IFERROR(VLOOKUP(AP840,Lists!$A$2:$C$12,3,FALSE),"")</f>
        <v/>
      </c>
      <c r="AR840" s="29">
        <f>COUNTIF(W840:AC840,"Yes")</f>
        <v/>
      </c>
      <c r="AS840" s="29">
        <f>IF(TRIM(B840)="","Legal name missing; ","")&amp;IF(AND(AJ840&lt;&gt;"",AJ840&lt;&gt;"OK"),"GSTIN: "&amp;AJ840&amp;"; ","")&amp;IF(AND(AK840&lt;&gt;"",AK840&lt;&gt;"OK"),"PAN wrong format; ","")&amp;IF(AND(AO840&lt;&gt;"",LEN(AN840)=15,MID(AN840,3,10)&lt;&gt;AO840),"PAN does not match GSTIN; ","")&amp;IF(AND(AL840&lt;&gt;"",AL840&lt;&gt;"OK"),"TAN wrong format; ","")&amp;IF(AG840="","PAN missing; ","")&amp;IF(AP840="","Entity type missing; ","")&amp;IF(AND(AN840&lt;&gt;"",COUNTIF($AN$6:$AN$1005,AN840)&gt;1),"GSTIN repeated in this sheet; ","")&amp;IF(AND(AG840&lt;&gt;"",COUNTIF($AG$6:$AG$1005,AG840)&gt;1),"PAN repeated in this sheet (same client? put extra GSTINs in Other GSTINs); ","")&amp;IF(AND(AR840&gt;0,V840=""),"Financial year missing; ","")&amp;IF(AND(AR840=0,V840&lt;&gt;""),"Financial year given but no service is Yes; ","")&amp;IF(AND(W840="Yes",AN840=""),"GST needs a GSTIN; ","")&amp;IF(AND(W840="Yes",X840=""),"GST return frequency missing; ","")&amp;IF(AND(Y840="Yes",TRIM(H840)=""),"TDS needs a TAN; ","")&amp;IF(AND(AA840="Yes",AQ840&lt;&gt;"",AQ840&lt;&gt;"company",AQ840&lt;&gt;"llp"),"ROC is only for a company / LLP; ","")&amp;IF(AND(AA840="Yes",OR(AQ840="company",AQ840="llp"),TRIM(I840)=""),"ROC needs the CIN / LLPIN; ","")</f>
        <v/>
      </c>
    </row>
    <row r="841">
      <c r="A841" s="30" t="n"/>
      <c r="B841" s="31" t="n"/>
      <c r="C841" s="31" t="n"/>
      <c r="D841" s="31" t="n"/>
      <c r="E841" s="30" t="n"/>
      <c r="F841" s="30" t="n"/>
      <c r="G841" s="30" t="n"/>
      <c r="H841" s="30" t="n"/>
      <c r="I841" s="30" t="n"/>
      <c r="J841" s="32" t="n"/>
      <c r="K841" s="31" t="n"/>
      <c r="L841" s="30" t="n"/>
      <c r="M841" s="31" t="n"/>
      <c r="N841" s="31" t="n"/>
      <c r="O841" s="31" t="n"/>
      <c r="P841" s="30" t="n"/>
      <c r="Q841" s="31" t="n"/>
      <c r="R841" s="31" t="n"/>
      <c r="S841" s="31" t="n"/>
      <c r="T841" s="31" t="n"/>
      <c r="U841" s="30" t="n"/>
      <c r="V841" s="31" t="n"/>
      <c r="W841" s="31" t="n"/>
      <c r="X841" s="31" t="n"/>
      <c r="Y841" s="31" t="n"/>
      <c r="Z841" s="31" t="n"/>
      <c r="AA841" s="31" t="n"/>
      <c r="AB841" s="31" t="n"/>
      <c r="AC841" s="31" t="n"/>
      <c r="AD841" s="31" t="n"/>
      <c r="AE841" s="31" t="n"/>
      <c r="AF841" s="27">
        <f>IF(NOT(COUNTA(A841:AE841)&gt;0),"",IF(A841="","New client","Update"))</f>
        <v/>
      </c>
      <c r="AG841" s="27">
        <f>IF(AO841&lt;&gt;"",AO841,IF(LEN(AN841)=15,MID(AN841,3,10),""))</f>
        <v/>
      </c>
      <c r="AH841" s="27">
        <f>IF(AP841="","",AP841&amp;IF(D841="","  (guessed from PAN)",""))</f>
        <v/>
      </c>
      <c r="AI841" s="27">
        <f>IF(AN841="","",IFERROR(INDEX(Lists!$L$2:$L$38,MATCH(LEFT(AN841,2),Lists!$K$2:$K$38,0)),"Unknown code"))</f>
        <v/>
      </c>
      <c r="AJ841" s="27">
        <f>IF(AN841="","",IFERROR(IF(NOT(AND(LEN(AN841)=15,ISNUMBER(MATCH(LEFT(AN841,2),Lists!$K$2:$K$38,0)),SUMPRODUCT(--ISERROR(FIND(MID(MID(AN841,3,10),{1,2,3,4,5,10},1),"ABCDEFGHIJKLMNOPQRSTUVWXYZ")))=0,SUMPRODUCT(--ISERROR(FIND(MID(MID(AN841,3,10),{6,7,8,9},1),"0123456789")))=0,ISNUMBER(FIND(MID(AN841,13,1),"123456789ABCDEFGHIJKLMNOPQRSTUVWXYZ")),MID(AN841,14,1)="Z")),"Wrong format",IF(MID("0123456789ABCDEFGHIJKLMNOPQRSTUVWXYZ",MOD(36-MOD(SUMPRODUCT(INT((FIND(MID(AN841,{1,2,3,4,5,6,7,8,9,10,11,12,13,14},1),"0123456789ABCDEFGHIJKLMNOPQRSTUVWXYZ")-1)*{1,2,1,2,1,2,1,2,1,2,1,2,1,2}/36)+MOD((FIND(MID(AN841,{1,2,3,4,5,6,7,8,9,10,11,12,13,14},1),"0123456789ABCDEFGHIJKLMNOPQRSTUVWXYZ")-1)*{1,2,1,2,1,2,1,2,1,2,1,2,1,2},36)),36),36)+1,1)=MID(AN841,15,1),"OK","Typo? check digit wrong")),"Wrong format"))</f>
        <v/>
      </c>
      <c r="AK841" s="27">
        <f>IF(AO841="","",IF(AND(LEN(AO841)=10,SUMPRODUCT(--ISERROR(FIND(MID(AO841,{1,2,3,4,5,10},1),"ABCDEFGHIJKLMNOPQRSTUVWXYZ")))=0,SUMPRODUCT(--ISERROR(FIND(MID(AO841,{6,7,8,9},1),"0123456789")))=0),"OK","Wrong format"))</f>
        <v/>
      </c>
      <c r="AL841" s="27">
        <f>IF(TRIM(H841)="","",IF(AND(LEN(UPPER(TRIM(H841)))=10,SUMPRODUCT(--ISERROR(FIND(MID(UPPER(TRIM(H841)),{1,2,3,4,10},1),"ABCDEFGHIJKLMNOPQRSTUVWXYZ")))=0,SUMPRODUCT(--ISERROR(FIND(MID(UPPER(TRIM(H841)),{5,6,7,8,9},1),"0123456789")))=0),"OK","Wrong format"))</f>
        <v/>
      </c>
      <c r="AM841" s="28">
        <f>IF(NOT(COUNTA(A841:AE841)&gt;0),"",IF(AS841&lt;&gt;"","✖ "&amp;LEFT(AS841,LEN(AS841)-2),IF(AR841&gt;0,"✔ Ready — client + "&amp;AR841&amp;" service(s)","✔ Ready — client only")))</f>
        <v/>
      </c>
      <c r="AN841" s="29">
        <f>UPPER(SUBSTITUTE(TRIM(F841)," ",""))</f>
        <v/>
      </c>
      <c r="AO841" s="29">
        <f>UPPER(SUBSTITUTE(TRIM(E841)," ",""))</f>
        <v/>
      </c>
      <c r="AP841" s="29">
        <f>IF(D841&lt;&gt;"",D841,IFERROR(VLOOKUP(MID(AG841,4,1),Lists!$E$2:$F$8,2,FALSE),""))</f>
        <v/>
      </c>
      <c r="AQ841" s="29">
        <f>IFERROR(VLOOKUP(AP841,Lists!$A$2:$C$12,3,FALSE),"")</f>
        <v/>
      </c>
      <c r="AR841" s="29">
        <f>COUNTIF(W841:AC841,"Yes")</f>
        <v/>
      </c>
      <c r="AS841" s="29">
        <f>IF(TRIM(B841)="","Legal name missing; ","")&amp;IF(AND(AJ841&lt;&gt;"",AJ841&lt;&gt;"OK"),"GSTIN: "&amp;AJ841&amp;"; ","")&amp;IF(AND(AK841&lt;&gt;"",AK841&lt;&gt;"OK"),"PAN wrong format; ","")&amp;IF(AND(AO841&lt;&gt;"",LEN(AN841)=15,MID(AN841,3,10)&lt;&gt;AO841),"PAN does not match GSTIN; ","")&amp;IF(AND(AL841&lt;&gt;"",AL841&lt;&gt;"OK"),"TAN wrong format; ","")&amp;IF(AG841="","PAN missing; ","")&amp;IF(AP841="","Entity type missing; ","")&amp;IF(AND(AN841&lt;&gt;"",COUNTIF($AN$6:$AN$1005,AN841)&gt;1),"GSTIN repeated in this sheet; ","")&amp;IF(AND(AG841&lt;&gt;"",COUNTIF($AG$6:$AG$1005,AG841)&gt;1),"PAN repeated in this sheet (same client? put extra GSTINs in Other GSTINs); ","")&amp;IF(AND(AR841&gt;0,V841=""),"Financial year missing; ","")&amp;IF(AND(AR841=0,V841&lt;&gt;""),"Financial year given but no service is Yes; ","")&amp;IF(AND(W841="Yes",AN841=""),"GST needs a GSTIN; ","")&amp;IF(AND(W841="Yes",X841=""),"GST return frequency missing; ","")&amp;IF(AND(Y841="Yes",TRIM(H841)=""),"TDS needs a TAN; ","")&amp;IF(AND(AA841="Yes",AQ841&lt;&gt;"",AQ841&lt;&gt;"company",AQ841&lt;&gt;"llp"),"ROC is only for a company / LLP; ","")&amp;IF(AND(AA841="Yes",OR(AQ841="company",AQ841="llp"),TRIM(I841)=""),"ROC needs the CIN / LLPIN; ","")</f>
        <v/>
      </c>
    </row>
    <row r="842">
      <c r="A842" s="30" t="n"/>
      <c r="B842" s="31" t="n"/>
      <c r="C842" s="31" t="n"/>
      <c r="D842" s="31" t="n"/>
      <c r="E842" s="30" t="n"/>
      <c r="F842" s="30" t="n"/>
      <c r="G842" s="30" t="n"/>
      <c r="H842" s="30" t="n"/>
      <c r="I842" s="30" t="n"/>
      <c r="J842" s="32" t="n"/>
      <c r="K842" s="31" t="n"/>
      <c r="L842" s="30" t="n"/>
      <c r="M842" s="31" t="n"/>
      <c r="N842" s="31" t="n"/>
      <c r="O842" s="31" t="n"/>
      <c r="P842" s="30" t="n"/>
      <c r="Q842" s="31" t="n"/>
      <c r="R842" s="31" t="n"/>
      <c r="S842" s="31" t="n"/>
      <c r="T842" s="31" t="n"/>
      <c r="U842" s="30" t="n"/>
      <c r="V842" s="31" t="n"/>
      <c r="W842" s="31" t="n"/>
      <c r="X842" s="31" t="n"/>
      <c r="Y842" s="31" t="n"/>
      <c r="Z842" s="31" t="n"/>
      <c r="AA842" s="31" t="n"/>
      <c r="AB842" s="31" t="n"/>
      <c r="AC842" s="31" t="n"/>
      <c r="AD842" s="31" t="n"/>
      <c r="AE842" s="31" t="n"/>
      <c r="AF842" s="27">
        <f>IF(NOT(COUNTA(A842:AE842)&gt;0),"",IF(A842="","New client","Update"))</f>
        <v/>
      </c>
      <c r="AG842" s="27">
        <f>IF(AO842&lt;&gt;"",AO842,IF(LEN(AN842)=15,MID(AN842,3,10),""))</f>
        <v/>
      </c>
      <c r="AH842" s="27">
        <f>IF(AP842="","",AP842&amp;IF(D842="","  (guessed from PAN)",""))</f>
        <v/>
      </c>
      <c r="AI842" s="27">
        <f>IF(AN842="","",IFERROR(INDEX(Lists!$L$2:$L$38,MATCH(LEFT(AN842,2),Lists!$K$2:$K$38,0)),"Unknown code"))</f>
        <v/>
      </c>
      <c r="AJ842" s="27">
        <f>IF(AN842="","",IFERROR(IF(NOT(AND(LEN(AN842)=15,ISNUMBER(MATCH(LEFT(AN842,2),Lists!$K$2:$K$38,0)),SUMPRODUCT(--ISERROR(FIND(MID(MID(AN842,3,10),{1,2,3,4,5,10},1),"ABCDEFGHIJKLMNOPQRSTUVWXYZ")))=0,SUMPRODUCT(--ISERROR(FIND(MID(MID(AN842,3,10),{6,7,8,9},1),"0123456789")))=0,ISNUMBER(FIND(MID(AN842,13,1),"123456789ABCDEFGHIJKLMNOPQRSTUVWXYZ")),MID(AN842,14,1)="Z")),"Wrong format",IF(MID("0123456789ABCDEFGHIJKLMNOPQRSTUVWXYZ",MOD(36-MOD(SUMPRODUCT(INT((FIND(MID(AN842,{1,2,3,4,5,6,7,8,9,10,11,12,13,14},1),"0123456789ABCDEFGHIJKLMNOPQRSTUVWXYZ")-1)*{1,2,1,2,1,2,1,2,1,2,1,2,1,2}/36)+MOD((FIND(MID(AN842,{1,2,3,4,5,6,7,8,9,10,11,12,13,14},1),"0123456789ABCDEFGHIJKLMNOPQRSTUVWXYZ")-1)*{1,2,1,2,1,2,1,2,1,2,1,2,1,2},36)),36),36)+1,1)=MID(AN842,15,1),"OK","Typo? check digit wrong")),"Wrong format"))</f>
        <v/>
      </c>
      <c r="AK842" s="27">
        <f>IF(AO842="","",IF(AND(LEN(AO842)=10,SUMPRODUCT(--ISERROR(FIND(MID(AO842,{1,2,3,4,5,10},1),"ABCDEFGHIJKLMNOPQRSTUVWXYZ")))=0,SUMPRODUCT(--ISERROR(FIND(MID(AO842,{6,7,8,9},1),"0123456789")))=0),"OK","Wrong format"))</f>
        <v/>
      </c>
      <c r="AL842" s="27">
        <f>IF(TRIM(H842)="","",IF(AND(LEN(UPPER(TRIM(H842)))=10,SUMPRODUCT(--ISERROR(FIND(MID(UPPER(TRIM(H842)),{1,2,3,4,10},1),"ABCDEFGHIJKLMNOPQRSTUVWXYZ")))=0,SUMPRODUCT(--ISERROR(FIND(MID(UPPER(TRIM(H842)),{5,6,7,8,9},1),"0123456789")))=0),"OK","Wrong format"))</f>
        <v/>
      </c>
      <c r="AM842" s="28">
        <f>IF(NOT(COUNTA(A842:AE842)&gt;0),"",IF(AS842&lt;&gt;"","✖ "&amp;LEFT(AS842,LEN(AS842)-2),IF(AR842&gt;0,"✔ Ready — client + "&amp;AR842&amp;" service(s)","✔ Ready — client only")))</f>
        <v/>
      </c>
      <c r="AN842" s="29">
        <f>UPPER(SUBSTITUTE(TRIM(F842)," ",""))</f>
        <v/>
      </c>
      <c r="AO842" s="29">
        <f>UPPER(SUBSTITUTE(TRIM(E842)," ",""))</f>
        <v/>
      </c>
      <c r="AP842" s="29">
        <f>IF(D842&lt;&gt;"",D842,IFERROR(VLOOKUP(MID(AG842,4,1),Lists!$E$2:$F$8,2,FALSE),""))</f>
        <v/>
      </c>
      <c r="AQ842" s="29">
        <f>IFERROR(VLOOKUP(AP842,Lists!$A$2:$C$12,3,FALSE),"")</f>
        <v/>
      </c>
      <c r="AR842" s="29">
        <f>COUNTIF(W842:AC842,"Yes")</f>
        <v/>
      </c>
      <c r="AS842" s="29">
        <f>IF(TRIM(B842)="","Legal name missing; ","")&amp;IF(AND(AJ842&lt;&gt;"",AJ842&lt;&gt;"OK"),"GSTIN: "&amp;AJ842&amp;"; ","")&amp;IF(AND(AK842&lt;&gt;"",AK842&lt;&gt;"OK"),"PAN wrong format; ","")&amp;IF(AND(AO842&lt;&gt;"",LEN(AN842)=15,MID(AN842,3,10)&lt;&gt;AO842),"PAN does not match GSTIN; ","")&amp;IF(AND(AL842&lt;&gt;"",AL842&lt;&gt;"OK"),"TAN wrong format; ","")&amp;IF(AG842="","PAN missing; ","")&amp;IF(AP842="","Entity type missing; ","")&amp;IF(AND(AN842&lt;&gt;"",COUNTIF($AN$6:$AN$1005,AN842)&gt;1),"GSTIN repeated in this sheet; ","")&amp;IF(AND(AG842&lt;&gt;"",COUNTIF($AG$6:$AG$1005,AG842)&gt;1),"PAN repeated in this sheet (same client? put extra GSTINs in Other GSTINs); ","")&amp;IF(AND(AR842&gt;0,V842=""),"Financial year missing; ","")&amp;IF(AND(AR842=0,V842&lt;&gt;""),"Financial year given but no service is Yes; ","")&amp;IF(AND(W842="Yes",AN842=""),"GST needs a GSTIN; ","")&amp;IF(AND(W842="Yes",X842=""),"GST return frequency missing; ","")&amp;IF(AND(Y842="Yes",TRIM(H842)=""),"TDS needs a TAN; ","")&amp;IF(AND(AA842="Yes",AQ842&lt;&gt;"",AQ842&lt;&gt;"company",AQ842&lt;&gt;"llp"),"ROC is only for a company / LLP; ","")&amp;IF(AND(AA842="Yes",OR(AQ842="company",AQ842="llp"),TRIM(I842)=""),"ROC needs the CIN / LLPIN; ","")</f>
        <v/>
      </c>
    </row>
    <row r="843">
      <c r="A843" s="30" t="n"/>
      <c r="B843" s="31" t="n"/>
      <c r="C843" s="31" t="n"/>
      <c r="D843" s="31" t="n"/>
      <c r="E843" s="30" t="n"/>
      <c r="F843" s="30" t="n"/>
      <c r="G843" s="30" t="n"/>
      <c r="H843" s="30" t="n"/>
      <c r="I843" s="30" t="n"/>
      <c r="J843" s="32" t="n"/>
      <c r="K843" s="31" t="n"/>
      <c r="L843" s="30" t="n"/>
      <c r="M843" s="31" t="n"/>
      <c r="N843" s="31" t="n"/>
      <c r="O843" s="31" t="n"/>
      <c r="P843" s="30" t="n"/>
      <c r="Q843" s="31" t="n"/>
      <c r="R843" s="31" t="n"/>
      <c r="S843" s="31" t="n"/>
      <c r="T843" s="31" t="n"/>
      <c r="U843" s="30" t="n"/>
      <c r="V843" s="31" t="n"/>
      <c r="W843" s="31" t="n"/>
      <c r="X843" s="31" t="n"/>
      <c r="Y843" s="31" t="n"/>
      <c r="Z843" s="31" t="n"/>
      <c r="AA843" s="31" t="n"/>
      <c r="AB843" s="31" t="n"/>
      <c r="AC843" s="31" t="n"/>
      <c r="AD843" s="31" t="n"/>
      <c r="AE843" s="31" t="n"/>
      <c r="AF843" s="27">
        <f>IF(NOT(COUNTA(A843:AE843)&gt;0),"",IF(A843="","New client","Update"))</f>
        <v/>
      </c>
      <c r="AG843" s="27">
        <f>IF(AO843&lt;&gt;"",AO843,IF(LEN(AN843)=15,MID(AN843,3,10),""))</f>
        <v/>
      </c>
      <c r="AH843" s="27">
        <f>IF(AP843="","",AP843&amp;IF(D843="","  (guessed from PAN)",""))</f>
        <v/>
      </c>
      <c r="AI843" s="27">
        <f>IF(AN843="","",IFERROR(INDEX(Lists!$L$2:$L$38,MATCH(LEFT(AN843,2),Lists!$K$2:$K$38,0)),"Unknown code"))</f>
        <v/>
      </c>
      <c r="AJ843" s="27">
        <f>IF(AN843="","",IFERROR(IF(NOT(AND(LEN(AN843)=15,ISNUMBER(MATCH(LEFT(AN843,2),Lists!$K$2:$K$38,0)),SUMPRODUCT(--ISERROR(FIND(MID(MID(AN843,3,10),{1,2,3,4,5,10},1),"ABCDEFGHIJKLMNOPQRSTUVWXYZ")))=0,SUMPRODUCT(--ISERROR(FIND(MID(MID(AN843,3,10),{6,7,8,9},1),"0123456789")))=0,ISNUMBER(FIND(MID(AN843,13,1),"123456789ABCDEFGHIJKLMNOPQRSTUVWXYZ")),MID(AN843,14,1)="Z")),"Wrong format",IF(MID("0123456789ABCDEFGHIJKLMNOPQRSTUVWXYZ",MOD(36-MOD(SUMPRODUCT(INT((FIND(MID(AN843,{1,2,3,4,5,6,7,8,9,10,11,12,13,14},1),"0123456789ABCDEFGHIJKLMNOPQRSTUVWXYZ")-1)*{1,2,1,2,1,2,1,2,1,2,1,2,1,2}/36)+MOD((FIND(MID(AN843,{1,2,3,4,5,6,7,8,9,10,11,12,13,14},1),"0123456789ABCDEFGHIJKLMNOPQRSTUVWXYZ")-1)*{1,2,1,2,1,2,1,2,1,2,1,2,1,2},36)),36),36)+1,1)=MID(AN843,15,1),"OK","Typo? check digit wrong")),"Wrong format"))</f>
        <v/>
      </c>
      <c r="AK843" s="27">
        <f>IF(AO843="","",IF(AND(LEN(AO843)=10,SUMPRODUCT(--ISERROR(FIND(MID(AO843,{1,2,3,4,5,10},1),"ABCDEFGHIJKLMNOPQRSTUVWXYZ")))=0,SUMPRODUCT(--ISERROR(FIND(MID(AO843,{6,7,8,9},1),"0123456789")))=0),"OK","Wrong format"))</f>
        <v/>
      </c>
      <c r="AL843" s="27">
        <f>IF(TRIM(H843)="","",IF(AND(LEN(UPPER(TRIM(H843)))=10,SUMPRODUCT(--ISERROR(FIND(MID(UPPER(TRIM(H843)),{1,2,3,4,10},1),"ABCDEFGHIJKLMNOPQRSTUVWXYZ")))=0,SUMPRODUCT(--ISERROR(FIND(MID(UPPER(TRIM(H843)),{5,6,7,8,9},1),"0123456789")))=0),"OK","Wrong format"))</f>
        <v/>
      </c>
      <c r="AM843" s="28">
        <f>IF(NOT(COUNTA(A843:AE843)&gt;0),"",IF(AS843&lt;&gt;"","✖ "&amp;LEFT(AS843,LEN(AS843)-2),IF(AR843&gt;0,"✔ Ready — client + "&amp;AR843&amp;" service(s)","✔ Ready — client only")))</f>
        <v/>
      </c>
      <c r="AN843" s="29">
        <f>UPPER(SUBSTITUTE(TRIM(F843)," ",""))</f>
        <v/>
      </c>
      <c r="AO843" s="29">
        <f>UPPER(SUBSTITUTE(TRIM(E843)," ",""))</f>
        <v/>
      </c>
      <c r="AP843" s="29">
        <f>IF(D843&lt;&gt;"",D843,IFERROR(VLOOKUP(MID(AG843,4,1),Lists!$E$2:$F$8,2,FALSE),""))</f>
        <v/>
      </c>
      <c r="AQ843" s="29">
        <f>IFERROR(VLOOKUP(AP843,Lists!$A$2:$C$12,3,FALSE),"")</f>
        <v/>
      </c>
      <c r="AR843" s="29">
        <f>COUNTIF(W843:AC843,"Yes")</f>
        <v/>
      </c>
      <c r="AS843" s="29">
        <f>IF(TRIM(B843)="","Legal name missing; ","")&amp;IF(AND(AJ843&lt;&gt;"",AJ843&lt;&gt;"OK"),"GSTIN: "&amp;AJ843&amp;"; ","")&amp;IF(AND(AK843&lt;&gt;"",AK843&lt;&gt;"OK"),"PAN wrong format; ","")&amp;IF(AND(AO843&lt;&gt;"",LEN(AN843)=15,MID(AN843,3,10)&lt;&gt;AO843),"PAN does not match GSTIN; ","")&amp;IF(AND(AL843&lt;&gt;"",AL843&lt;&gt;"OK"),"TAN wrong format; ","")&amp;IF(AG843="","PAN missing; ","")&amp;IF(AP843="","Entity type missing; ","")&amp;IF(AND(AN843&lt;&gt;"",COUNTIF($AN$6:$AN$1005,AN843)&gt;1),"GSTIN repeated in this sheet; ","")&amp;IF(AND(AG843&lt;&gt;"",COUNTIF($AG$6:$AG$1005,AG843)&gt;1),"PAN repeated in this sheet (same client? put extra GSTINs in Other GSTINs); ","")&amp;IF(AND(AR843&gt;0,V843=""),"Financial year missing; ","")&amp;IF(AND(AR843=0,V843&lt;&gt;""),"Financial year given but no service is Yes; ","")&amp;IF(AND(W843="Yes",AN843=""),"GST needs a GSTIN; ","")&amp;IF(AND(W843="Yes",X843=""),"GST return frequency missing; ","")&amp;IF(AND(Y843="Yes",TRIM(H843)=""),"TDS needs a TAN; ","")&amp;IF(AND(AA843="Yes",AQ843&lt;&gt;"",AQ843&lt;&gt;"company",AQ843&lt;&gt;"llp"),"ROC is only for a company / LLP; ","")&amp;IF(AND(AA843="Yes",OR(AQ843="company",AQ843="llp"),TRIM(I843)=""),"ROC needs the CIN / LLPIN; ","")</f>
        <v/>
      </c>
    </row>
    <row r="844">
      <c r="A844" s="30" t="n"/>
      <c r="B844" s="31" t="n"/>
      <c r="C844" s="31" t="n"/>
      <c r="D844" s="31" t="n"/>
      <c r="E844" s="30" t="n"/>
      <c r="F844" s="30" t="n"/>
      <c r="G844" s="30" t="n"/>
      <c r="H844" s="30" t="n"/>
      <c r="I844" s="30" t="n"/>
      <c r="J844" s="32" t="n"/>
      <c r="K844" s="31" t="n"/>
      <c r="L844" s="30" t="n"/>
      <c r="M844" s="31" t="n"/>
      <c r="N844" s="31" t="n"/>
      <c r="O844" s="31" t="n"/>
      <c r="P844" s="30" t="n"/>
      <c r="Q844" s="31" t="n"/>
      <c r="R844" s="31" t="n"/>
      <c r="S844" s="31" t="n"/>
      <c r="T844" s="31" t="n"/>
      <c r="U844" s="30" t="n"/>
      <c r="V844" s="31" t="n"/>
      <c r="W844" s="31" t="n"/>
      <c r="X844" s="31" t="n"/>
      <c r="Y844" s="31" t="n"/>
      <c r="Z844" s="31" t="n"/>
      <c r="AA844" s="31" t="n"/>
      <c r="AB844" s="31" t="n"/>
      <c r="AC844" s="31" t="n"/>
      <c r="AD844" s="31" t="n"/>
      <c r="AE844" s="31" t="n"/>
      <c r="AF844" s="27">
        <f>IF(NOT(COUNTA(A844:AE844)&gt;0),"",IF(A844="","New client","Update"))</f>
        <v/>
      </c>
      <c r="AG844" s="27">
        <f>IF(AO844&lt;&gt;"",AO844,IF(LEN(AN844)=15,MID(AN844,3,10),""))</f>
        <v/>
      </c>
      <c r="AH844" s="27">
        <f>IF(AP844="","",AP844&amp;IF(D844="","  (guessed from PAN)",""))</f>
        <v/>
      </c>
      <c r="AI844" s="27">
        <f>IF(AN844="","",IFERROR(INDEX(Lists!$L$2:$L$38,MATCH(LEFT(AN844,2),Lists!$K$2:$K$38,0)),"Unknown code"))</f>
        <v/>
      </c>
      <c r="AJ844" s="27">
        <f>IF(AN844="","",IFERROR(IF(NOT(AND(LEN(AN844)=15,ISNUMBER(MATCH(LEFT(AN844,2),Lists!$K$2:$K$38,0)),SUMPRODUCT(--ISERROR(FIND(MID(MID(AN844,3,10),{1,2,3,4,5,10},1),"ABCDEFGHIJKLMNOPQRSTUVWXYZ")))=0,SUMPRODUCT(--ISERROR(FIND(MID(MID(AN844,3,10),{6,7,8,9},1),"0123456789")))=0,ISNUMBER(FIND(MID(AN844,13,1),"123456789ABCDEFGHIJKLMNOPQRSTUVWXYZ")),MID(AN844,14,1)="Z")),"Wrong format",IF(MID("0123456789ABCDEFGHIJKLMNOPQRSTUVWXYZ",MOD(36-MOD(SUMPRODUCT(INT((FIND(MID(AN844,{1,2,3,4,5,6,7,8,9,10,11,12,13,14},1),"0123456789ABCDEFGHIJKLMNOPQRSTUVWXYZ")-1)*{1,2,1,2,1,2,1,2,1,2,1,2,1,2}/36)+MOD((FIND(MID(AN844,{1,2,3,4,5,6,7,8,9,10,11,12,13,14},1),"0123456789ABCDEFGHIJKLMNOPQRSTUVWXYZ")-1)*{1,2,1,2,1,2,1,2,1,2,1,2,1,2},36)),36),36)+1,1)=MID(AN844,15,1),"OK","Typo? check digit wrong")),"Wrong format"))</f>
        <v/>
      </c>
      <c r="AK844" s="27">
        <f>IF(AO844="","",IF(AND(LEN(AO844)=10,SUMPRODUCT(--ISERROR(FIND(MID(AO844,{1,2,3,4,5,10},1),"ABCDEFGHIJKLMNOPQRSTUVWXYZ")))=0,SUMPRODUCT(--ISERROR(FIND(MID(AO844,{6,7,8,9},1),"0123456789")))=0),"OK","Wrong format"))</f>
        <v/>
      </c>
      <c r="AL844" s="27">
        <f>IF(TRIM(H844)="","",IF(AND(LEN(UPPER(TRIM(H844)))=10,SUMPRODUCT(--ISERROR(FIND(MID(UPPER(TRIM(H844)),{1,2,3,4,10},1),"ABCDEFGHIJKLMNOPQRSTUVWXYZ")))=0,SUMPRODUCT(--ISERROR(FIND(MID(UPPER(TRIM(H844)),{5,6,7,8,9},1),"0123456789")))=0),"OK","Wrong format"))</f>
        <v/>
      </c>
      <c r="AM844" s="28">
        <f>IF(NOT(COUNTA(A844:AE844)&gt;0),"",IF(AS844&lt;&gt;"","✖ "&amp;LEFT(AS844,LEN(AS844)-2),IF(AR844&gt;0,"✔ Ready — client + "&amp;AR844&amp;" service(s)","✔ Ready — client only")))</f>
        <v/>
      </c>
      <c r="AN844" s="29">
        <f>UPPER(SUBSTITUTE(TRIM(F844)," ",""))</f>
        <v/>
      </c>
      <c r="AO844" s="29">
        <f>UPPER(SUBSTITUTE(TRIM(E844)," ",""))</f>
        <v/>
      </c>
      <c r="AP844" s="29">
        <f>IF(D844&lt;&gt;"",D844,IFERROR(VLOOKUP(MID(AG844,4,1),Lists!$E$2:$F$8,2,FALSE),""))</f>
        <v/>
      </c>
      <c r="AQ844" s="29">
        <f>IFERROR(VLOOKUP(AP844,Lists!$A$2:$C$12,3,FALSE),"")</f>
        <v/>
      </c>
      <c r="AR844" s="29">
        <f>COUNTIF(W844:AC844,"Yes")</f>
        <v/>
      </c>
      <c r="AS844" s="29">
        <f>IF(TRIM(B844)="","Legal name missing; ","")&amp;IF(AND(AJ844&lt;&gt;"",AJ844&lt;&gt;"OK"),"GSTIN: "&amp;AJ844&amp;"; ","")&amp;IF(AND(AK844&lt;&gt;"",AK844&lt;&gt;"OK"),"PAN wrong format; ","")&amp;IF(AND(AO844&lt;&gt;"",LEN(AN844)=15,MID(AN844,3,10)&lt;&gt;AO844),"PAN does not match GSTIN; ","")&amp;IF(AND(AL844&lt;&gt;"",AL844&lt;&gt;"OK"),"TAN wrong format; ","")&amp;IF(AG844="","PAN missing; ","")&amp;IF(AP844="","Entity type missing; ","")&amp;IF(AND(AN844&lt;&gt;"",COUNTIF($AN$6:$AN$1005,AN844)&gt;1),"GSTIN repeated in this sheet; ","")&amp;IF(AND(AG844&lt;&gt;"",COUNTIF($AG$6:$AG$1005,AG844)&gt;1),"PAN repeated in this sheet (same client? put extra GSTINs in Other GSTINs); ","")&amp;IF(AND(AR844&gt;0,V844=""),"Financial year missing; ","")&amp;IF(AND(AR844=0,V844&lt;&gt;""),"Financial year given but no service is Yes; ","")&amp;IF(AND(W844="Yes",AN844=""),"GST needs a GSTIN; ","")&amp;IF(AND(W844="Yes",X844=""),"GST return frequency missing; ","")&amp;IF(AND(Y844="Yes",TRIM(H844)=""),"TDS needs a TAN; ","")&amp;IF(AND(AA844="Yes",AQ844&lt;&gt;"",AQ844&lt;&gt;"company",AQ844&lt;&gt;"llp"),"ROC is only for a company / LLP; ","")&amp;IF(AND(AA844="Yes",OR(AQ844="company",AQ844="llp"),TRIM(I844)=""),"ROC needs the CIN / LLPIN; ","")</f>
        <v/>
      </c>
    </row>
    <row r="845">
      <c r="A845" s="30" t="n"/>
      <c r="B845" s="31" t="n"/>
      <c r="C845" s="31" t="n"/>
      <c r="D845" s="31" t="n"/>
      <c r="E845" s="30" t="n"/>
      <c r="F845" s="30" t="n"/>
      <c r="G845" s="30" t="n"/>
      <c r="H845" s="30" t="n"/>
      <c r="I845" s="30" t="n"/>
      <c r="J845" s="32" t="n"/>
      <c r="K845" s="31" t="n"/>
      <c r="L845" s="30" t="n"/>
      <c r="M845" s="31" t="n"/>
      <c r="N845" s="31" t="n"/>
      <c r="O845" s="31" t="n"/>
      <c r="P845" s="30" t="n"/>
      <c r="Q845" s="31" t="n"/>
      <c r="R845" s="31" t="n"/>
      <c r="S845" s="31" t="n"/>
      <c r="T845" s="31" t="n"/>
      <c r="U845" s="30" t="n"/>
      <c r="V845" s="31" t="n"/>
      <c r="W845" s="31" t="n"/>
      <c r="X845" s="31" t="n"/>
      <c r="Y845" s="31" t="n"/>
      <c r="Z845" s="31" t="n"/>
      <c r="AA845" s="31" t="n"/>
      <c r="AB845" s="31" t="n"/>
      <c r="AC845" s="31" t="n"/>
      <c r="AD845" s="31" t="n"/>
      <c r="AE845" s="31" t="n"/>
      <c r="AF845" s="27">
        <f>IF(NOT(COUNTA(A845:AE845)&gt;0),"",IF(A845="","New client","Update"))</f>
        <v/>
      </c>
      <c r="AG845" s="27">
        <f>IF(AO845&lt;&gt;"",AO845,IF(LEN(AN845)=15,MID(AN845,3,10),""))</f>
        <v/>
      </c>
      <c r="AH845" s="27">
        <f>IF(AP845="","",AP845&amp;IF(D845="","  (guessed from PAN)",""))</f>
        <v/>
      </c>
      <c r="AI845" s="27">
        <f>IF(AN845="","",IFERROR(INDEX(Lists!$L$2:$L$38,MATCH(LEFT(AN845,2),Lists!$K$2:$K$38,0)),"Unknown code"))</f>
        <v/>
      </c>
      <c r="AJ845" s="27">
        <f>IF(AN845="","",IFERROR(IF(NOT(AND(LEN(AN845)=15,ISNUMBER(MATCH(LEFT(AN845,2),Lists!$K$2:$K$38,0)),SUMPRODUCT(--ISERROR(FIND(MID(MID(AN845,3,10),{1,2,3,4,5,10},1),"ABCDEFGHIJKLMNOPQRSTUVWXYZ")))=0,SUMPRODUCT(--ISERROR(FIND(MID(MID(AN845,3,10),{6,7,8,9},1),"0123456789")))=0,ISNUMBER(FIND(MID(AN845,13,1),"123456789ABCDEFGHIJKLMNOPQRSTUVWXYZ")),MID(AN845,14,1)="Z")),"Wrong format",IF(MID("0123456789ABCDEFGHIJKLMNOPQRSTUVWXYZ",MOD(36-MOD(SUMPRODUCT(INT((FIND(MID(AN845,{1,2,3,4,5,6,7,8,9,10,11,12,13,14},1),"0123456789ABCDEFGHIJKLMNOPQRSTUVWXYZ")-1)*{1,2,1,2,1,2,1,2,1,2,1,2,1,2}/36)+MOD((FIND(MID(AN845,{1,2,3,4,5,6,7,8,9,10,11,12,13,14},1),"0123456789ABCDEFGHIJKLMNOPQRSTUVWXYZ")-1)*{1,2,1,2,1,2,1,2,1,2,1,2,1,2},36)),36),36)+1,1)=MID(AN845,15,1),"OK","Typo? check digit wrong")),"Wrong format"))</f>
        <v/>
      </c>
      <c r="AK845" s="27">
        <f>IF(AO845="","",IF(AND(LEN(AO845)=10,SUMPRODUCT(--ISERROR(FIND(MID(AO845,{1,2,3,4,5,10},1),"ABCDEFGHIJKLMNOPQRSTUVWXYZ")))=0,SUMPRODUCT(--ISERROR(FIND(MID(AO845,{6,7,8,9},1),"0123456789")))=0),"OK","Wrong format"))</f>
        <v/>
      </c>
      <c r="AL845" s="27">
        <f>IF(TRIM(H845)="","",IF(AND(LEN(UPPER(TRIM(H845)))=10,SUMPRODUCT(--ISERROR(FIND(MID(UPPER(TRIM(H845)),{1,2,3,4,10},1),"ABCDEFGHIJKLMNOPQRSTUVWXYZ")))=0,SUMPRODUCT(--ISERROR(FIND(MID(UPPER(TRIM(H845)),{5,6,7,8,9},1),"0123456789")))=0),"OK","Wrong format"))</f>
        <v/>
      </c>
      <c r="AM845" s="28">
        <f>IF(NOT(COUNTA(A845:AE845)&gt;0),"",IF(AS845&lt;&gt;"","✖ "&amp;LEFT(AS845,LEN(AS845)-2),IF(AR845&gt;0,"✔ Ready — client + "&amp;AR845&amp;" service(s)","✔ Ready — client only")))</f>
        <v/>
      </c>
      <c r="AN845" s="29">
        <f>UPPER(SUBSTITUTE(TRIM(F845)," ",""))</f>
        <v/>
      </c>
      <c r="AO845" s="29">
        <f>UPPER(SUBSTITUTE(TRIM(E845)," ",""))</f>
        <v/>
      </c>
      <c r="AP845" s="29">
        <f>IF(D845&lt;&gt;"",D845,IFERROR(VLOOKUP(MID(AG845,4,1),Lists!$E$2:$F$8,2,FALSE),""))</f>
        <v/>
      </c>
      <c r="AQ845" s="29">
        <f>IFERROR(VLOOKUP(AP845,Lists!$A$2:$C$12,3,FALSE),"")</f>
        <v/>
      </c>
      <c r="AR845" s="29">
        <f>COUNTIF(W845:AC845,"Yes")</f>
        <v/>
      </c>
      <c r="AS845" s="29">
        <f>IF(TRIM(B845)="","Legal name missing; ","")&amp;IF(AND(AJ845&lt;&gt;"",AJ845&lt;&gt;"OK"),"GSTIN: "&amp;AJ845&amp;"; ","")&amp;IF(AND(AK845&lt;&gt;"",AK845&lt;&gt;"OK"),"PAN wrong format; ","")&amp;IF(AND(AO845&lt;&gt;"",LEN(AN845)=15,MID(AN845,3,10)&lt;&gt;AO845),"PAN does not match GSTIN; ","")&amp;IF(AND(AL845&lt;&gt;"",AL845&lt;&gt;"OK"),"TAN wrong format; ","")&amp;IF(AG845="","PAN missing; ","")&amp;IF(AP845="","Entity type missing; ","")&amp;IF(AND(AN845&lt;&gt;"",COUNTIF($AN$6:$AN$1005,AN845)&gt;1),"GSTIN repeated in this sheet; ","")&amp;IF(AND(AG845&lt;&gt;"",COUNTIF($AG$6:$AG$1005,AG845)&gt;1),"PAN repeated in this sheet (same client? put extra GSTINs in Other GSTINs); ","")&amp;IF(AND(AR845&gt;0,V845=""),"Financial year missing; ","")&amp;IF(AND(AR845=0,V845&lt;&gt;""),"Financial year given but no service is Yes; ","")&amp;IF(AND(W845="Yes",AN845=""),"GST needs a GSTIN; ","")&amp;IF(AND(W845="Yes",X845=""),"GST return frequency missing; ","")&amp;IF(AND(Y845="Yes",TRIM(H845)=""),"TDS needs a TAN; ","")&amp;IF(AND(AA845="Yes",AQ845&lt;&gt;"",AQ845&lt;&gt;"company",AQ845&lt;&gt;"llp"),"ROC is only for a company / LLP; ","")&amp;IF(AND(AA845="Yes",OR(AQ845="company",AQ845="llp"),TRIM(I845)=""),"ROC needs the CIN / LLPIN; ","")</f>
        <v/>
      </c>
    </row>
    <row r="846">
      <c r="A846" s="30" t="n"/>
      <c r="B846" s="31" t="n"/>
      <c r="C846" s="31" t="n"/>
      <c r="D846" s="31" t="n"/>
      <c r="E846" s="30" t="n"/>
      <c r="F846" s="30" t="n"/>
      <c r="G846" s="30" t="n"/>
      <c r="H846" s="30" t="n"/>
      <c r="I846" s="30" t="n"/>
      <c r="J846" s="32" t="n"/>
      <c r="K846" s="31" t="n"/>
      <c r="L846" s="30" t="n"/>
      <c r="M846" s="31" t="n"/>
      <c r="N846" s="31" t="n"/>
      <c r="O846" s="31" t="n"/>
      <c r="P846" s="30" t="n"/>
      <c r="Q846" s="31" t="n"/>
      <c r="R846" s="31" t="n"/>
      <c r="S846" s="31" t="n"/>
      <c r="T846" s="31" t="n"/>
      <c r="U846" s="30" t="n"/>
      <c r="V846" s="31" t="n"/>
      <c r="W846" s="31" t="n"/>
      <c r="X846" s="31" t="n"/>
      <c r="Y846" s="31" t="n"/>
      <c r="Z846" s="31" t="n"/>
      <c r="AA846" s="31" t="n"/>
      <c r="AB846" s="31" t="n"/>
      <c r="AC846" s="31" t="n"/>
      <c r="AD846" s="31" t="n"/>
      <c r="AE846" s="31" t="n"/>
      <c r="AF846" s="27">
        <f>IF(NOT(COUNTA(A846:AE846)&gt;0),"",IF(A846="","New client","Update"))</f>
        <v/>
      </c>
      <c r="AG846" s="27">
        <f>IF(AO846&lt;&gt;"",AO846,IF(LEN(AN846)=15,MID(AN846,3,10),""))</f>
        <v/>
      </c>
      <c r="AH846" s="27">
        <f>IF(AP846="","",AP846&amp;IF(D846="","  (guessed from PAN)",""))</f>
        <v/>
      </c>
      <c r="AI846" s="27">
        <f>IF(AN846="","",IFERROR(INDEX(Lists!$L$2:$L$38,MATCH(LEFT(AN846,2),Lists!$K$2:$K$38,0)),"Unknown code"))</f>
        <v/>
      </c>
      <c r="AJ846" s="27">
        <f>IF(AN846="","",IFERROR(IF(NOT(AND(LEN(AN846)=15,ISNUMBER(MATCH(LEFT(AN846,2),Lists!$K$2:$K$38,0)),SUMPRODUCT(--ISERROR(FIND(MID(MID(AN846,3,10),{1,2,3,4,5,10},1),"ABCDEFGHIJKLMNOPQRSTUVWXYZ")))=0,SUMPRODUCT(--ISERROR(FIND(MID(MID(AN846,3,10),{6,7,8,9},1),"0123456789")))=0,ISNUMBER(FIND(MID(AN846,13,1),"123456789ABCDEFGHIJKLMNOPQRSTUVWXYZ")),MID(AN846,14,1)="Z")),"Wrong format",IF(MID("0123456789ABCDEFGHIJKLMNOPQRSTUVWXYZ",MOD(36-MOD(SUMPRODUCT(INT((FIND(MID(AN846,{1,2,3,4,5,6,7,8,9,10,11,12,13,14},1),"0123456789ABCDEFGHIJKLMNOPQRSTUVWXYZ")-1)*{1,2,1,2,1,2,1,2,1,2,1,2,1,2}/36)+MOD((FIND(MID(AN846,{1,2,3,4,5,6,7,8,9,10,11,12,13,14},1),"0123456789ABCDEFGHIJKLMNOPQRSTUVWXYZ")-1)*{1,2,1,2,1,2,1,2,1,2,1,2,1,2},36)),36),36)+1,1)=MID(AN846,15,1),"OK","Typo? check digit wrong")),"Wrong format"))</f>
        <v/>
      </c>
      <c r="AK846" s="27">
        <f>IF(AO846="","",IF(AND(LEN(AO846)=10,SUMPRODUCT(--ISERROR(FIND(MID(AO846,{1,2,3,4,5,10},1),"ABCDEFGHIJKLMNOPQRSTUVWXYZ")))=0,SUMPRODUCT(--ISERROR(FIND(MID(AO846,{6,7,8,9},1),"0123456789")))=0),"OK","Wrong format"))</f>
        <v/>
      </c>
      <c r="AL846" s="27">
        <f>IF(TRIM(H846)="","",IF(AND(LEN(UPPER(TRIM(H846)))=10,SUMPRODUCT(--ISERROR(FIND(MID(UPPER(TRIM(H846)),{1,2,3,4,10},1),"ABCDEFGHIJKLMNOPQRSTUVWXYZ")))=0,SUMPRODUCT(--ISERROR(FIND(MID(UPPER(TRIM(H846)),{5,6,7,8,9},1),"0123456789")))=0),"OK","Wrong format"))</f>
        <v/>
      </c>
      <c r="AM846" s="28">
        <f>IF(NOT(COUNTA(A846:AE846)&gt;0),"",IF(AS846&lt;&gt;"","✖ "&amp;LEFT(AS846,LEN(AS846)-2),IF(AR846&gt;0,"✔ Ready — client + "&amp;AR846&amp;" service(s)","✔ Ready — client only")))</f>
        <v/>
      </c>
      <c r="AN846" s="29">
        <f>UPPER(SUBSTITUTE(TRIM(F846)," ",""))</f>
        <v/>
      </c>
      <c r="AO846" s="29">
        <f>UPPER(SUBSTITUTE(TRIM(E846)," ",""))</f>
        <v/>
      </c>
      <c r="AP846" s="29">
        <f>IF(D846&lt;&gt;"",D846,IFERROR(VLOOKUP(MID(AG846,4,1),Lists!$E$2:$F$8,2,FALSE),""))</f>
        <v/>
      </c>
      <c r="AQ846" s="29">
        <f>IFERROR(VLOOKUP(AP846,Lists!$A$2:$C$12,3,FALSE),"")</f>
        <v/>
      </c>
      <c r="AR846" s="29">
        <f>COUNTIF(W846:AC846,"Yes")</f>
        <v/>
      </c>
      <c r="AS846" s="29">
        <f>IF(TRIM(B846)="","Legal name missing; ","")&amp;IF(AND(AJ846&lt;&gt;"",AJ846&lt;&gt;"OK"),"GSTIN: "&amp;AJ846&amp;"; ","")&amp;IF(AND(AK846&lt;&gt;"",AK846&lt;&gt;"OK"),"PAN wrong format; ","")&amp;IF(AND(AO846&lt;&gt;"",LEN(AN846)=15,MID(AN846,3,10)&lt;&gt;AO846),"PAN does not match GSTIN; ","")&amp;IF(AND(AL846&lt;&gt;"",AL846&lt;&gt;"OK"),"TAN wrong format; ","")&amp;IF(AG846="","PAN missing; ","")&amp;IF(AP846="","Entity type missing; ","")&amp;IF(AND(AN846&lt;&gt;"",COUNTIF($AN$6:$AN$1005,AN846)&gt;1),"GSTIN repeated in this sheet; ","")&amp;IF(AND(AG846&lt;&gt;"",COUNTIF($AG$6:$AG$1005,AG846)&gt;1),"PAN repeated in this sheet (same client? put extra GSTINs in Other GSTINs); ","")&amp;IF(AND(AR846&gt;0,V846=""),"Financial year missing; ","")&amp;IF(AND(AR846=0,V846&lt;&gt;""),"Financial year given but no service is Yes; ","")&amp;IF(AND(W846="Yes",AN846=""),"GST needs a GSTIN; ","")&amp;IF(AND(W846="Yes",X846=""),"GST return frequency missing; ","")&amp;IF(AND(Y846="Yes",TRIM(H846)=""),"TDS needs a TAN; ","")&amp;IF(AND(AA846="Yes",AQ846&lt;&gt;"",AQ846&lt;&gt;"company",AQ846&lt;&gt;"llp"),"ROC is only for a company / LLP; ","")&amp;IF(AND(AA846="Yes",OR(AQ846="company",AQ846="llp"),TRIM(I846)=""),"ROC needs the CIN / LLPIN; ","")</f>
        <v/>
      </c>
    </row>
    <row r="847">
      <c r="A847" s="30" t="n"/>
      <c r="B847" s="31" t="n"/>
      <c r="C847" s="31" t="n"/>
      <c r="D847" s="31" t="n"/>
      <c r="E847" s="30" t="n"/>
      <c r="F847" s="30" t="n"/>
      <c r="G847" s="30" t="n"/>
      <c r="H847" s="30" t="n"/>
      <c r="I847" s="30" t="n"/>
      <c r="J847" s="32" t="n"/>
      <c r="K847" s="31" t="n"/>
      <c r="L847" s="30" t="n"/>
      <c r="M847" s="31" t="n"/>
      <c r="N847" s="31" t="n"/>
      <c r="O847" s="31" t="n"/>
      <c r="P847" s="30" t="n"/>
      <c r="Q847" s="31" t="n"/>
      <c r="R847" s="31" t="n"/>
      <c r="S847" s="31" t="n"/>
      <c r="T847" s="31" t="n"/>
      <c r="U847" s="30" t="n"/>
      <c r="V847" s="31" t="n"/>
      <c r="W847" s="31" t="n"/>
      <c r="X847" s="31" t="n"/>
      <c r="Y847" s="31" t="n"/>
      <c r="Z847" s="31" t="n"/>
      <c r="AA847" s="31" t="n"/>
      <c r="AB847" s="31" t="n"/>
      <c r="AC847" s="31" t="n"/>
      <c r="AD847" s="31" t="n"/>
      <c r="AE847" s="31" t="n"/>
      <c r="AF847" s="27">
        <f>IF(NOT(COUNTA(A847:AE847)&gt;0),"",IF(A847="","New client","Update"))</f>
        <v/>
      </c>
      <c r="AG847" s="27">
        <f>IF(AO847&lt;&gt;"",AO847,IF(LEN(AN847)=15,MID(AN847,3,10),""))</f>
        <v/>
      </c>
      <c r="AH847" s="27">
        <f>IF(AP847="","",AP847&amp;IF(D847="","  (guessed from PAN)",""))</f>
        <v/>
      </c>
      <c r="AI847" s="27">
        <f>IF(AN847="","",IFERROR(INDEX(Lists!$L$2:$L$38,MATCH(LEFT(AN847,2),Lists!$K$2:$K$38,0)),"Unknown code"))</f>
        <v/>
      </c>
      <c r="AJ847" s="27">
        <f>IF(AN847="","",IFERROR(IF(NOT(AND(LEN(AN847)=15,ISNUMBER(MATCH(LEFT(AN847,2),Lists!$K$2:$K$38,0)),SUMPRODUCT(--ISERROR(FIND(MID(MID(AN847,3,10),{1,2,3,4,5,10},1),"ABCDEFGHIJKLMNOPQRSTUVWXYZ")))=0,SUMPRODUCT(--ISERROR(FIND(MID(MID(AN847,3,10),{6,7,8,9},1),"0123456789")))=0,ISNUMBER(FIND(MID(AN847,13,1),"123456789ABCDEFGHIJKLMNOPQRSTUVWXYZ")),MID(AN847,14,1)="Z")),"Wrong format",IF(MID("0123456789ABCDEFGHIJKLMNOPQRSTUVWXYZ",MOD(36-MOD(SUMPRODUCT(INT((FIND(MID(AN847,{1,2,3,4,5,6,7,8,9,10,11,12,13,14},1),"0123456789ABCDEFGHIJKLMNOPQRSTUVWXYZ")-1)*{1,2,1,2,1,2,1,2,1,2,1,2,1,2}/36)+MOD((FIND(MID(AN847,{1,2,3,4,5,6,7,8,9,10,11,12,13,14},1),"0123456789ABCDEFGHIJKLMNOPQRSTUVWXYZ")-1)*{1,2,1,2,1,2,1,2,1,2,1,2,1,2},36)),36),36)+1,1)=MID(AN847,15,1),"OK","Typo? check digit wrong")),"Wrong format"))</f>
        <v/>
      </c>
      <c r="AK847" s="27">
        <f>IF(AO847="","",IF(AND(LEN(AO847)=10,SUMPRODUCT(--ISERROR(FIND(MID(AO847,{1,2,3,4,5,10},1),"ABCDEFGHIJKLMNOPQRSTUVWXYZ")))=0,SUMPRODUCT(--ISERROR(FIND(MID(AO847,{6,7,8,9},1),"0123456789")))=0),"OK","Wrong format"))</f>
        <v/>
      </c>
      <c r="AL847" s="27">
        <f>IF(TRIM(H847)="","",IF(AND(LEN(UPPER(TRIM(H847)))=10,SUMPRODUCT(--ISERROR(FIND(MID(UPPER(TRIM(H847)),{1,2,3,4,10},1),"ABCDEFGHIJKLMNOPQRSTUVWXYZ")))=0,SUMPRODUCT(--ISERROR(FIND(MID(UPPER(TRIM(H847)),{5,6,7,8,9},1),"0123456789")))=0),"OK","Wrong format"))</f>
        <v/>
      </c>
      <c r="AM847" s="28">
        <f>IF(NOT(COUNTA(A847:AE847)&gt;0),"",IF(AS847&lt;&gt;"","✖ "&amp;LEFT(AS847,LEN(AS847)-2),IF(AR847&gt;0,"✔ Ready — client + "&amp;AR847&amp;" service(s)","✔ Ready — client only")))</f>
        <v/>
      </c>
      <c r="AN847" s="29">
        <f>UPPER(SUBSTITUTE(TRIM(F847)," ",""))</f>
        <v/>
      </c>
      <c r="AO847" s="29">
        <f>UPPER(SUBSTITUTE(TRIM(E847)," ",""))</f>
        <v/>
      </c>
      <c r="AP847" s="29">
        <f>IF(D847&lt;&gt;"",D847,IFERROR(VLOOKUP(MID(AG847,4,1),Lists!$E$2:$F$8,2,FALSE),""))</f>
        <v/>
      </c>
      <c r="AQ847" s="29">
        <f>IFERROR(VLOOKUP(AP847,Lists!$A$2:$C$12,3,FALSE),"")</f>
        <v/>
      </c>
      <c r="AR847" s="29">
        <f>COUNTIF(W847:AC847,"Yes")</f>
        <v/>
      </c>
      <c r="AS847" s="29">
        <f>IF(TRIM(B847)="","Legal name missing; ","")&amp;IF(AND(AJ847&lt;&gt;"",AJ847&lt;&gt;"OK"),"GSTIN: "&amp;AJ847&amp;"; ","")&amp;IF(AND(AK847&lt;&gt;"",AK847&lt;&gt;"OK"),"PAN wrong format; ","")&amp;IF(AND(AO847&lt;&gt;"",LEN(AN847)=15,MID(AN847,3,10)&lt;&gt;AO847),"PAN does not match GSTIN; ","")&amp;IF(AND(AL847&lt;&gt;"",AL847&lt;&gt;"OK"),"TAN wrong format; ","")&amp;IF(AG847="","PAN missing; ","")&amp;IF(AP847="","Entity type missing; ","")&amp;IF(AND(AN847&lt;&gt;"",COUNTIF($AN$6:$AN$1005,AN847)&gt;1),"GSTIN repeated in this sheet; ","")&amp;IF(AND(AG847&lt;&gt;"",COUNTIF($AG$6:$AG$1005,AG847)&gt;1),"PAN repeated in this sheet (same client? put extra GSTINs in Other GSTINs); ","")&amp;IF(AND(AR847&gt;0,V847=""),"Financial year missing; ","")&amp;IF(AND(AR847=0,V847&lt;&gt;""),"Financial year given but no service is Yes; ","")&amp;IF(AND(W847="Yes",AN847=""),"GST needs a GSTIN; ","")&amp;IF(AND(W847="Yes",X847=""),"GST return frequency missing; ","")&amp;IF(AND(Y847="Yes",TRIM(H847)=""),"TDS needs a TAN; ","")&amp;IF(AND(AA847="Yes",AQ847&lt;&gt;"",AQ847&lt;&gt;"company",AQ847&lt;&gt;"llp"),"ROC is only for a company / LLP; ","")&amp;IF(AND(AA847="Yes",OR(AQ847="company",AQ847="llp"),TRIM(I847)=""),"ROC needs the CIN / LLPIN; ","")</f>
        <v/>
      </c>
    </row>
    <row r="848">
      <c r="A848" s="30" t="n"/>
      <c r="B848" s="31" t="n"/>
      <c r="C848" s="31" t="n"/>
      <c r="D848" s="31" t="n"/>
      <c r="E848" s="30" t="n"/>
      <c r="F848" s="30" t="n"/>
      <c r="G848" s="30" t="n"/>
      <c r="H848" s="30" t="n"/>
      <c r="I848" s="30" t="n"/>
      <c r="J848" s="32" t="n"/>
      <c r="K848" s="31" t="n"/>
      <c r="L848" s="30" t="n"/>
      <c r="M848" s="31" t="n"/>
      <c r="N848" s="31" t="n"/>
      <c r="O848" s="31" t="n"/>
      <c r="P848" s="30" t="n"/>
      <c r="Q848" s="31" t="n"/>
      <c r="R848" s="31" t="n"/>
      <c r="S848" s="31" t="n"/>
      <c r="T848" s="31" t="n"/>
      <c r="U848" s="30" t="n"/>
      <c r="V848" s="31" t="n"/>
      <c r="W848" s="31" t="n"/>
      <c r="X848" s="31" t="n"/>
      <c r="Y848" s="31" t="n"/>
      <c r="Z848" s="31" t="n"/>
      <c r="AA848" s="31" t="n"/>
      <c r="AB848" s="31" t="n"/>
      <c r="AC848" s="31" t="n"/>
      <c r="AD848" s="31" t="n"/>
      <c r="AE848" s="31" t="n"/>
      <c r="AF848" s="27">
        <f>IF(NOT(COUNTA(A848:AE848)&gt;0),"",IF(A848="","New client","Update"))</f>
        <v/>
      </c>
      <c r="AG848" s="27">
        <f>IF(AO848&lt;&gt;"",AO848,IF(LEN(AN848)=15,MID(AN848,3,10),""))</f>
        <v/>
      </c>
      <c r="AH848" s="27">
        <f>IF(AP848="","",AP848&amp;IF(D848="","  (guessed from PAN)",""))</f>
        <v/>
      </c>
      <c r="AI848" s="27">
        <f>IF(AN848="","",IFERROR(INDEX(Lists!$L$2:$L$38,MATCH(LEFT(AN848,2),Lists!$K$2:$K$38,0)),"Unknown code"))</f>
        <v/>
      </c>
      <c r="AJ848" s="27">
        <f>IF(AN848="","",IFERROR(IF(NOT(AND(LEN(AN848)=15,ISNUMBER(MATCH(LEFT(AN848,2),Lists!$K$2:$K$38,0)),SUMPRODUCT(--ISERROR(FIND(MID(MID(AN848,3,10),{1,2,3,4,5,10},1),"ABCDEFGHIJKLMNOPQRSTUVWXYZ")))=0,SUMPRODUCT(--ISERROR(FIND(MID(MID(AN848,3,10),{6,7,8,9},1),"0123456789")))=0,ISNUMBER(FIND(MID(AN848,13,1),"123456789ABCDEFGHIJKLMNOPQRSTUVWXYZ")),MID(AN848,14,1)="Z")),"Wrong format",IF(MID("0123456789ABCDEFGHIJKLMNOPQRSTUVWXYZ",MOD(36-MOD(SUMPRODUCT(INT((FIND(MID(AN848,{1,2,3,4,5,6,7,8,9,10,11,12,13,14},1),"0123456789ABCDEFGHIJKLMNOPQRSTUVWXYZ")-1)*{1,2,1,2,1,2,1,2,1,2,1,2,1,2}/36)+MOD((FIND(MID(AN848,{1,2,3,4,5,6,7,8,9,10,11,12,13,14},1),"0123456789ABCDEFGHIJKLMNOPQRSTUVWXYZ")-1)*{1,2,1,2,1,2,1,2,1,2,1,2,1,2},36)),36),36)+1,1)=MID(AN848,15,1),"OK","Typo? check digit wrong")),"Wrong format"))</f>
        <v/>
      </c>
      <c r="AK848" s="27">
        <f>IF(AO848="","",IF(AND(LEN(AO848)=10,SUMPRODUCT(--ISERROR(FIND(MID(AO848,{1,2,3,4,5,10},1),"ABCDEFGHIJKLMNOPQRSTUVWXYZ")))=0,SUMPRODUCT(--ISERROR(FIND(MID(AO848,{6,7,8,9},1),"0123456789")))=0),"OK","Wrong format"))</f>
        <v/>
      </c>
      <c r="AL848" s="27">
        <f>IF(TRIM(H848)="","",IF(AND(LEN(UPPER(TRIM(H848)))=10,SUMPRODUCT(--ISERROR(FIND(MID(UPPER(TRIM(H848)),{1,2,3,4,10},1),"ABCDEFGHIJKLMNOPQRSTUVWXYZ")))=0,SUMPRODUCT(--ISERROR(FIND(MID(UPPER(TRIM(H848)),{5,6,7,8,9},1),"0123456789")))=0),"OK","Wrong format"))</f>
        <v/>
      </c>
      <c r="AM848" s="28">
        <f>IF(NOT(COUNTA(A848:AE848)&gt;0),"",IF(AS848&lt;&gt;"","✖ "&amp;LEFT(AS848,LEN(AS848)-2),IF(AR848&gt;0,"✔ Ready — client + "&amp;AR848&amp;" service(s)","✔ Ready — client only")))</f>
        <v/>
      </c>
      <c r="AN848" s="29">
        <f>UPPER(SUBSTITUTE(TRIM(F848)," ",""))</f>
        <v/>
      </c>
      <c r="AO848" s="29">
        <f>UPPER(SUBSTITUTE(TRIM(E848)," ",""))</f>
        <v/>
      </c>
      <c r="AP848" s="29">
        <f>IF(D848&lt;&gt;"",D848,IFERROR(VLOOKUP(MID(AG848,4,1),Lists!$E$2:$F$8,2,FALSE),""))</f>
        <v/>
      </c>
      <c r="AQ848" s="29">
        <f>IFERROR(VLOOKUP(AP848,Lists!$A$2:$C$12,3,FALSE),"")</f>
        <v/>
      </c>
      <c r="AR848" s="29">
        <f>COUNTIF(W848:AC848,"Yes")</f>
        <v/>
      </c>
      <c r="AS848" s="29">
        <f>IF(TRIM(B848)="","Legal name missing; ","")&amp;IF(AND(AJ848&lt;&gt;"",AJ848&lt;&gt;"OK"),"GSTIN: "&amp;AJ848&amp;"; ","")&amp;IF(AND(AK848&lt;&gt;"",AK848&lt;&gt;"OK"),"PAN wrong format; ","")&amp;IF(AND(AO848&lt;&gt;"",LEN(AN848)=15,MID(AN848,3,10)&lt;&gt;AO848),"PAN does not match GSTIN; ","")&amp;IF(AND(AL848&lt;&gt;"",AL848&lt;&gt;"OK"),"TAN wrong format; ","")&amp;IF(AG848="","PAN missing; ","")&amp;IF(AP848="","Entity type missing; ","")&amp;IF(AND(AN848&lt;&gt;"",COUNTIF($AN$6:$AN$1005,AN848)&gt;1),"GSTIN repeated in this sheet; ","")&amp;IF(AND(AG848&lt;&gt;"",COUNTIF($AG$6:$AG$1005,AG848)&gt;1),"PAN repeated in this sheet (same client? put extra GSTINs in Other GSTINs); ","")&amp;IF(AND(AR848&gt;0,V848=""),"Financial year missing; ","")&amp;IF(AND(AR848=0,V848&lt;&gt;""),"Financial year given but no service is Yes; ","")&amp;IF(AND(W848="Yes",AN848=""),"GST needs a GSTIN; ","")&amp;IF(AND(W848="Yes",X848=""),"GST return frequency missing; ","")&amp;IF(AND(Y848="Yes",TRIM(H848)=""),"TDS needs a TAN; ","")&amp;IF(AND(AA848="Yes",AQ848&lt;&gt;"",AQ848&lt;&gt;"company",AQ848&lt;&gt;"llp"),"ROC is only for a company / LLP; ","")&amp;IF(AND(AA848="Yes",OR(AQ848="company",AQ848="llp"),TRIM(I848)=""),"ROC needs the CIN / LLPIN; ","")</f>
        <v/>
      </c>
    </row>
    <row r="849">
      <c r="A849" s="30" t="n"/>
      <c r="B849" s="31" t="n"/>
      <c r="C849" s="31" t="n"/>
      <c r="D849" s="31" t="n"/>
      <c r="E849" s="30" t="n"/>
      <c r="F849" s="30" t="n"/>
      <c r="G849" s="30" t="n"/>
      <c r="H849" s="30" t="n"/>
      <c r="I849" s="30" t="n"/>
      <c r="J849" s="32" t="n"/>
      <c r="K849" s="31" t="n"/>
      <c r="L849" s="30" t="n"/>
      <c r="M849" s="31" t="n"/>
      <c r="N849" s="31" t="n"/>
      <c r="O849" s="31" t="n"/>
      <c r="P849" s="30" t="n"/>
      <c r="Q849" s="31" t="n"/>
      <c r="R849" s="31" t="n"/>
      <c r="S849" s="31" t="n"/>
      <c r="T849" s="31" t="n"/>
      <c r="U849" s="30" t="n"/>
      <c r="V849" s="31" t="n"/>
      <c r="W849" s="31" t="n"/>
      <c r="X849" s="31" t="n"/>
      <c r="Y849" s="31" t="n"/>
      <c r="Z849" s="31" t="n"/>
      <c r="AA849" s="31" t="n"/>
      <c r="AB849" s="31" t="n"/>
      <c r="AC849" s="31" t="n"/>
      <c r="AD849" s="31" t="n"/>
      <c r="AE849" s="31" t="n"/>
      <c r="AF849" s="27">
        <f>IF(NOT(COUNTA(A849:AE849)&gt;0),"",IF(A849="","New client","Update"))</f>
        <v/>
      </c>
      <c r="AG849" s="27">
        <f>IF(AO849&lt;&gt;"",AO849,IF(LEN(AN849)=15,MID(AN849,3,10),""))</f>
        <v/>
      </c>
      <c r="AH849" s="27">
        <f>IF(AP849="","",AP849&amp;IF(D849="","  (guessed from PAN)",""))</f>
        <v/>
      </c>
      <c r="AI849" s="27">
        <f>IF(AN849="","",IFERROR(INDEX(Lists!$L$2:$L$38,MATCH(LEFT(AN849,2),Lists!$K$2:$K$38,0)),"Unknown code"))</f>
        <v/>
      </c>
      <c r="AJ849" s="27">
        <f>IF(AN849="","",IFERROR(IF(NOT(AND(LEN(AN849)=15,ISNUMBER(MATCH(LEFT(AN849,2),Lists!$K$2:$K$38,0)),SUMPRODUCT(--ISERROR(FIND(MID(MID(AN849,3,10),{1,2,3,4,5,10},1),"ABCDEFGHIJKLMNOPQRSTUVWXYZ")))=0,SUMPRODUCT(--ISERROR(FIND(MID(MID(AN849,3,10),{6,7,8,9},1),"0123456789")))=0,ISNUMBER(FIND(MID(AN849,13,1),"123456789ABCDEFGHIJKLMNOPQRSTUVWXYZ")),MID(AN849,14,1)="Z")),"Wrong format",IF(MID("0123456789ABCDEFGHIJKLMNOPQRSTUVWXYZ",MOD(36-MOD(SUMPRODUCT(INT((FIND(MID(AN849,{1,2,3,4,5,6,7,8,9,10,11,12,13,14},1),"0123456789ABCDEFGHIJKLMNOPQRSTUVWXYZ")-1)*{1,2,1,2,1,2,1,2,1,2,1,2,1,2}/36)+MOD((FIND(MID(AN849,{1,2,3,4,5,6,7,8,9,10,11,12,13,14},1),"0123456789ABCDEFGHIJKLMNOPQRSTUVWXYZ")-1)*{1,2,1,2,1,2,1,2,1,2,1,2,1,2},36)),36),36)+1,1)=MID(AN849,15,1),"OK","Typo? check digit wrong")),"Wrong format"))</f>
        <v/>
      </c>
      <c r="AK849" s="27">
        <f>IF(AO849="","",IF(AND(LEN(AO849)=10,SUMPRODUCT(--ISERROR(FIND(MID(AO849,{1,2,3,4,5,10},1),"ABCDEFGHIJKLMNOPQRSTUVWXYZ")))=0,SUMPRODUCT(--ISERROR(FIND(MID(AO849,{6,7,8,9},1),"0123456789")))=0),"OK","Wrong format"))</f>
        <v/>
      </c>
      <c r="AL849" s="27">
        <f>IF(TRIM(H849)="","",IF(AND(LEN(UPPER(TRIM(H849)))=10,SUMPRODUCT(--ISERROR(FIND(MID(UPPER(TRIM(H849)),{1,2,3,4,10},1),"ABCDEFGHIJKLMNOPQRSTUVWXYZ")))=0,SUMPRODUCT(--ISERROR(FIND(MID(UPPER(TRIM(H849)),{5,6,7,8,9},1),"0123456789")))=0),"OK","Wrong format"))</f>
        <v/>
      </c>
      <c r="AM849" s="28">
        <f>IF(NOT(COUNTA(A849:AE849)&gt;0),"",IF(AS849&lt;&gt;"","✖ "&amp;LEFT(AS849,LEN(AS849)-2),IF(AR849&gt;0,"✔ Ready — client + "&amp;AR849&amp;" service(s)","✔ Ready — client only")))</f>
        <v/>
      </c>
      <c r="AN849" s="29">
        <f>UPPER(SUBSTITUTE(TRIM(F849)," ",""))</f>
        <v/>
      </c>
      <c r="AO849" s="29">
        <f>UPPER(SUBSTITUTE(TRIM(E849)," ",""))</f>
        <v/>
      </c>
      <c r="AP849" s="29">
        <f>IF(D849&lt;&gt;"",D849,IFERROR(VLOOKUP(MID(AG849,4,1),Lists!$E$2:$F$8,2,FALSE),""))</f>
        <v/>
      </c>
      <c r="AQ849" s="29">
        <f>IFERROR(VLOOKUP(AP849,Lists!$A$2:$C$12,3,FALSE),"")</f>
        <v/>
      </c>
      <c r="AR849" s="29">
        <f>COUNTIF(W849:AC849,"Yes")</f>
        <v/>
      </c>
      <c r="AS849" s="29">
        <f>IF(TRIM(B849)="","Legal name missing; ","")&amp;IF(AND(AJ849&lt;&gt;"",AJ849&lt;&gt;"OK"),"GSTIN: "&amp;AJ849&amp;"; ","")&amp;IF(AND(AK849&lt;&gt;"",AK849&lt;&gt;"OK"),"PAN wrong format; ","")&amp;IF(AND(AO849&lt;&gt;"",LEN(AN849)=15,MID(AN849,3,10)&lt;&gt;AO849),"PAN does not match GSTIN; ","")&amp;IF(AND(AL849&lt;&gt;"",AL849&lt;&gt;"OK"),"TAN wrong format; ","")&amp;IF(AG849="","PAN missing; ","")&amp;IF(AP849="","Entity type missing; ","")&amp;IF(AND(AN849&lt;&gt;"",COUNTIF($AN$6:$AN$1005,AN849)&gt;1),"GSTIN repeated in this sheet; ","")&amp;IF(AND(AG849&lt;&gt;"",COUNTIF($AG$6:$AG$1005,AG849)&gt;1),"PAN repeated in this sheet (same client? put extra GSTINs in Other GSTINs); ","")&amp;IF(AND(AR849&gt;0,V849=""),"Financial year missing; ","")&amp;IF(AND(AR849=0,V849&lt;&gt;""),"Financial year given but no service is Yes; ","")&amp;IF(AND(W849="Yes",AN849=""),"GST needs a GSTIN; ","")&amp;IF(AND(W849="Yes",X849=""),"GST return frequency missing; ","")&amp;IF(AND(Y849="Yes",TRIM(H849)=""),"TDS needs a TAN; ","")&amp;IF(AND(AA849="Yes",AQ849&lt;&gt;"",AQ849&lt;&gt;"company",AQ849&lt;&gt;"llp"),"ROC is only for a company / LLP; ","")&amp;IF(AND(AA849="Yes",OR(AQ849="company",AQ849="llp"),TRIM(I849)=""),"ROC needs the CIN / LLPIN; ","")</f>
        <v/>
      </c>
    </row>
    <row r="850">
      <c r="A850" s="30" t="n"/>
      <c r="B850" s="31" t="n"/>
      <c r="C850" s="31" t="n"/>
      <c r="D850" s="31" t="n"/>
      <c r="E850" s="30" t="n"/>
      <c r="F850" s="30" t="n"/>
      <c r="G850" s="30" t="n"/>
      <c r="H850" s="30" t="n"/>
      <c r="I850" s="30" t="n"/>
      <c r="J850" s="32" t="n"/>
      <c r="K850" s="31" t="n"/>
      <c r="L850" s="30" t="n"/>
      <c r="M850" s="31" t="n"/>
      <c r="N850" s="31" t="n"/>
      <c r="O850" s="31" t="n"/>
      <c r="P850" s="30" t="n"/>
      <c r="Q850" s="31" t="n"/>
      <c r="R850" s="31" t="n"/>
      <c r="S850" s="31" t="n"/>
      <c r="T850" s="31" t="n"/>
      <c r="U850" s="30" t="n"/>
      <c r="V850" s="31" t="n"/>
      <c r="W850" s="31" t="n"/>
      <c r="X850" s="31" t="n"/>
      <c r="Y850" s="31" t="n"/>
      <c r="Z850" s="31" t="n"/>
      <c r="AA850" s="31" t="n"/>
      <c r="AB850" s="31" t="n"/>
      <c r="AC850" s="31" t="n"/>
      <c r="AD850" s="31" t="n"/>
      <c r="AE850" s="31" t="n"/>
      <c r="AF850" s="27">
        <f>IF(NOT(COUNTA(A850:AE850)&gt;0),"",IF(A850="","New client","Update"))</f>
        <v/>
      </c>
      <c r="AG850" s="27">
        <f>IF(AO850&lt;&gt;"",AO850,IF(LEN(AN850)=15,MID(AN850,3,10),""))</f>
        <v/>
      </c>
      <c r="AH850" s="27">
        <f>IF(AP850="","",AP850&amp;IF(D850="","  (guessed from PAN)",""))</f>
        <v/>
      </c>
      <c r="AI850" s="27">
        <f>IF(AN850="","",IFERROR(INDEX(Lists!$L$2:$L$38,MATCH(LEFT(AN850,2),Lists!$K$2:$K$38,0)),"Unknown code"))</f>
        <v/>
      </c>
      <c r="AJ850" s="27">
        <f>IF(AN850="","",IFERROR(IF(NOT(AND(LEN(AN850)=15,ISNUMBER(MATCH(LEFT(AN850,2),Lists!$K$2:$K$38,0)),SUMPRODUCT(--ISERROR(FIND(MID(MID(AN850,3,10),{1,2,3,4,5,10},1),"ABCDEFGHIJKLMNOPQRSTUVWXYZ")))=0,SUMPRODUCT(--ISERROR(FIND(MID(MID(AN850,3,10),{6,7,8,9},1),"0123456789")))=0,ISNUMBER(FIND(MID(AN850,13,1),"123456789ABCDEFGHIJKLMNOPQRSTUVWXYZ")),MID(AN850,14,1)="Z")),"Wrong format",IF(MID("0123456789ABCDEFGHIJKLMNOPQRSTUVWXYZ",MOD(36-MOD(SUMPRODUCT(INT((FIND(MID(AN850,{1,2,3,4,5,6,7,8,9,10,11,12,13,14},1),"0123456789ABCDEFGHIJKLMNOPQRSTUVWXYZ")-1)*{1,2,1,2,1,2,1,2,1,2,1,2,1,2}/36)+MOD((FIND(MID(AN850,{1,2,3,4,5,6,7,8,9,10,11,12,13,14},1),"0123456789ABCDEFGHIJKLMNOPQRSTUVWXYZ")-1)*{1,2,1,2,1,2,1,2,1,2,1,2,1,2},36)),36),36)+1,1)=MID(AN850,15,1),"OK","Typo? check digit wrong")),"Wrong format"))</f>
        <v/>
      </c>
      <c r="AK850" s="27">
        <f>IF(AO850="","",IF(AND(LEN(AO850)=10,SUMPRODUCT(--ISERROR(FIND(MID(AO850,{1,2,3,4,5,10},1),"ABCDEFGHIJKLMNOPQRSTUVWXYZ")))=0,SUMPRODUCT(--ISERROR(FIND(MID(AO850,{6,7,8,9},1),"0123456789")))=0),"OK","Wrong format"))</f>
        <v/>
      </c>
      <c r="AL850" s="27">
        <f>IF(TRIM(H850)="","",IF(AND(LEN(UPPER(TRIM(H850)))=10,SUMPRODUCT(--ISERROR(FIND(MID(UPPER(TRIM(H850)),{1,2,3,4,10},1),"ABCDEFGHIJKLMNOPQRSTUVWXYZ")))=0,SUMPRODUCT(--ISERROR(FIND(MID(UPPER(TRIM(H850)),{5,6,7,8,9},1),"0123456789")))=0),"OK","Wrong format"))</f>
        <v/>
      </c>
      <c r="AM850" s="28">
        <f>IF(NOT(COUNTA(A850:AE850)&gt;0),"",IF(AS850&lt;&gt;"","✖ "&amp;LEFT(AS850,LEN(AS850)-2),IF(AR850&gt;0,"✔ Ready — client + "&amp;AR850&amp;" service(s)","✔ Ready — client only")))</f>
        <v/>
      </c>
      <c r="AN850" s="29">
        <f>UPPER(SUBSTITUTE(TRIM(F850)," ",""))</f>
        <v/>
      </c>
      <c r="AO850" s="29">
        <f>UPPER(SUBSTITUTE(TRIM(E850)," ",""))</f>
        <v/>
      </c>
      <c r="AP850" s="29">
        <f>IF(D850&lt;&gt;"",D850,IFERROR(VLOOKUP(MID(AG850,4,1),Lists!$E$2:$F$8,2,FALSE),""))</f>
        <v/>
      </c>
      <c r="AQ850" s="29">
        <f>IFERROR(VLOOKUP(AP850,Lists!$A$2:$C$12,3,FALSE),"")</f>
        <v/>
      </c>
      <c r="AR850" s="29">
        <f>COUNTIF(W850:AC850,"Yes")</f>
        <v/>
      </c>
      <c r="AS850" s="29">
        <f>IF(TRIM(B850)="","Legal name missing; ","")&amp;IF(AND(AJ850&lt;&gt;"",AJ850&lt;&gt;"OK"),"GSTIN: "&amp;AJ850&amp;"; ","")&amp;IF(AND(AK850&lt;&gt;"",AK850&lt;&gt;"OK"),"PAN wrong format; ","")&amp;IF(AND(AO850&lt;&gt;"",LEN(AN850)=15,MID(AN850,3,10)&lt;&gt;AO850),"PAN does not match GSTIN; ","")&amp;IF(AND(AL850&lt;&gt;"",AL850&lt;&gt;"OK"),"TAN wrong format; ","")&amp;IF(AG850="","PAN missing; ","")&amp;IF(AP850="","Entity type missing; ","")&amp;IF(AND(AN850&lt;&gt;"",COUNTIF($AN$6:$AN$1005,AN850)&gt;1),"GSTIN repeated in this sheet; ","")&amp;IF(AND(AG850&lt;&gt;"",COUNTIF($AG$6:$AG$1005,AG850)&gt;1),"PAN repeated in this sheet (same client? put extra GSTINs in Other GSTINs); ","")&amp;IF(AND(AR850&gt;0,V850=""),"Financial year missing; ","")&amp;IF(AND(AR850=0,V850&lt;&gt;""),"Financial year given but no service is Yes; ","")&amp;IF(AND(W850="Yes",AN850=""),"GST needs a GSTIN; ","")&amp;IF(AND(W850="Yes",X850=""),"GST return frequency missing; ","")&amp;IF(AND(Y850="Yes",TRIM(H850)=""),"TDS needs a TAN; ","")&amp;IF(AND(AA850="Yes",AQ850&lt;&gt;"",AQ850&lt;&gt;"company",AQ850&lt;&gt;"llp"),"ROC is only for a company / LLP; ","")&amp;IF(AND(AA850="Yes",OR(AQ850="company",AQ850="llp"),TRIM(I850)=""),"ROC needs the CIN / LLPIN; ","")</f>
        <v/>
      </c>
    </row>
    <row r="851">
      <c r="A851" s="30" t="n"/>
      <c r="B851" s="31" t="n"/>
      <c r="C851" s="31" t="n"/>
      <c r="D851" s="31" t="n"/>
      <c r="E851" s="30" t="n"/>
      <c r="F851" s="30" t="n"/>
      <c r="G851" s="30" t="n"/>
      <c r="H851" s="30" t="n"/>
      <c r="I851" s="30" t="n"/>
      <c r="J851" s="32" t="n"/>
      <c r="K851" s="31" t="n"/>
      <c r="L851" s="30" t="n"/>
      <c r="M851" s="31" t="n"/>
      <c r="N851" s="31" t="n"/>
      <c r="O851" s="31" t="n"/>
      <c r="P851" s="30" t="n"/>
      <c r="Q851" s="31" t="n"/>
      <c r="R851" s="31" t="n"/>
      <c r="S851" s="31" t="n"/>
      <c r="T851" s="31" t="n"/>
      <c r="U851" s="30" t="n"/>
      <c r="V851" s="31" t="n"/>
      <c r="W851" s="31" t="n"/>
      <c r="X851" s="31" t="n"/>
      <c r="Y851" s="31" t="n"/>
      <c r="Z851" s="31" t="n"/>
      <c r="AA851" s="31" t="n"/>
      <c r="AB851" s="31" t="n"/>
      <c r="AC851" s="31" t="n"/>
      <c r="AD851" s="31" t="n"/>
      <c r="AE851" s="31" t="n"/>
      <c r="AF851" s="27">
        <f>IF(NOT(COUNTA(A851:AE851)&gt;0),"",IF(A851="","New client","Update"))</f>
        <v/>
      </c>
      <c r="AG851" s="27">
        <f>IF(AO851&lt;&gt;"",AO851,IF(LEN(AN851)=15,MID(AN851,3,10),""))</f>
        <v/>
      </c>
      <c r="AH851" s="27">
        <f>IF(AP851="","",AP851&amp;IF(D851="","  (guessed from PAN)",""))</f>
        <v/>
      </c>
      <c r="AI851" s="27">
        <f>IF(AN851="","",IFERROR(INDEX(Lists!$L$2:$L$38,MATCH(LEFT(AN851,2),Lists!$K$2:$K$38,0)),"Unknown code"))</f>
        <v/>
      </c>
      <c r="AJ851" s="27">
        <f>IF(AN851="","",IFERROR(IF(NOT(AND(LEN(AN851)=15,ISNUMBER(MATCH(LEFT(AN851,2),Lists!$K$2:$K$38,0)),SUMPRODUCT(--ISERROR(FIND(MID(MID(AN851,3,10),{1,2,3,4,5,10},1),"ABCDEFGHIJKLMNOPQRSTUVWXYZ")))=0,SUMPRODUCT(--ISERROR(FIND(MID(MID(AN851,3,10),{6,7,8,9},1),"0123456789")))=0,ISNUMBER(FIND(MID(AN851,13,1),"123456789ABCDEFGHIJKLMNOPQRSTUVWXYZ")),MID(AN851,14,1)="Z")),"Wrong format",IF(MID("0123456789ABCDEFGHIJKLMNOPQRSTUVWXYZ",MOD(36-MOD(SUMPRODUCT(INT((FIND(MID(AN851,{1,2,3,4,5,6,7,8,9,10,11,12,13,14},1),"0123456789ABCDEFGHIJKLMNOPQRSTUVWXYZ")-1)*{1,2,1,2,1,2,1,2,1,2,1,2,1,2}/36)+MOD((FIND(MID(AN851,{1,2,3,4,5,6,7,8,9,10,11,12,13,14},1),"0123456789ABCDEFGHIJKLMNOPQRSTUVWXYZ")-1)*{1,2,1,2,1,2,1,2,1,2,1,2,1,2},36)),36),36)+1,1)=MID(AN851,15,1),"OK","Typo? check digit wrong")),"Wrong format"))</f>
        <v/>
      </c>
      <c r="AK851" s="27">
        <f>IF(AO851="","",IF(AND(LEN(AO851)=10,SUMPRODUCT(--ISERROR(FIND(MID(AO851,{1,2,3,4,5,10},1),"ABCDEFGHIJKLMNOPQRSTUVWXYZ")))=0,SUMPRODUCT(--ISERROR(FIND(MID(AO851,{6,7,8,9},1),"0123456789")))=0),"OK","Wrong format"))</f>
        <v/>
      </c>
      <c r="AL851" s="27">
        <f>IF(TRIM(H851)="","",IF(AND(LEN(UPPER(TRIM(H851)))=10,SUMPRODUCT(--ISERROR(FIND(MID(UPPER(TRIM(H851)),{1,2,3,4,10},1),"ABCDEFGHIJKLMNOPQRSTUVWXYZ")))=0,SUMPRODUCT(--ISERROR(FIND(MID(UPPER(TRIM(H851)),{5,6,7,8,9},1),"0123456789")))=0),"OK","Wrong format"))</f>
        <v/>
      </c>
      <c r="AM851" s="28">
        <f>IF(NOT(COUNTA(A851:AE851)&gt;0),"",IF(AS851&lt;&gt;"","✖ "&amp;LEFT(AS851,LEN(AS851)-2),IF(AR851&gt;0,"✔ Ready — client + "&amp;AR851&amp;" service(s)","✔ Ready — client only")))</f>
        <v/>
      </c>
      <c r="AN851" s="29">
        <f>UPPER(SUBSTITUTE(TRIM(F851)," ",""))</f>
        <v/>
      </c>
      <c r="AO851" s="29">
        <f>UPPER(SUBSTITUTE(TRIM(E851)," ",""))</f>
        <v/>
      </c>
      <c r="AP851" s="29">
        <f>IF(D851&lt;&gt;"",D851,IFERROR(VLOOKUP(MID(AG851,4,1),Lists!$E$2:$F$8,2,FALSE),""))</f>
        <v/>
      </c>
      <c r="AQ851" s="29">
        <f>IFERROR(VLOOKUP(AP851,Lists!$A$2:$C$12,3,FALSE),"")</f>
        <v/>
      </c>
      <c r="AR851" s="29">
        <f>COUNTIF(W851:AC851,"Yes")</f>
        <v/>
      </c>
      <c r="AS851" s="29">
        <f>IF(TRIM(B851)="","Legal name missing; ","")&amp;IF(AND(AJ851&lt;&gt;"",AJ851&lt;&gt;"OK"),"GSTIN: "&amp;AJ851&amp;"; ","")&amp;IF(AND(AK851&lt;&gt;"",AK851&lt;&gt;"OK"),"PAN wrong format; ","")&amp;IF(AND(AO851&lt;&gt;"",LEN(AN851)=15,MID(AN851,3,10)&lt;&gt;AO851),"PAN does not match GSTIN; ","")&amp;IF(AND(AL851&lt;&gt;"",AL851&lt;&gt;"OK"),"TAN wrong format; ","")&amp;IF(AG851="","PAN missing; ","")&amp;IF(AP851="","Entity type missing; ","")&amp;IF(AND(AN851&lt;&gt;"",COUNTIF($AN$6:$AN$1005,AN851)&gt;1),"GSTIN repeated in this sheet; ","")&amp;IF(AND(AG851&lt;&gt;"",COUNTIF($AG$6:$AG$1005,AG851)&gt;1),"PAN repeated in this sheet (same client? put extra GSTINs in Other GSTINs); ","")&amp;IF(AND(AR851&gt;0,V851=""),"Financial year missing; ","")&amp;IF(AND(AR851=0,V851&lt;&gt;""),"Financial year given but no service is Yes; ","")&amp;IF(AND(W851="Yes",AN851=""),"GST needs a GSTIN; ","")&amp;IF(AND(W851="Yes",X851=""),"GST return frequency missing; ","")&amp;IF(AND(Y851="Yes",TRIM(H851)=""),"TDS needs a TAN; ","")&amp;IF(AND(AA851="Yes",AQ851&lt;&gt;"",AQ851&lt;&gt;"company",AQ851&lt;&gt;"llp"),"ROC is only for a company / LLP; ","")&amp;IF(AND(AA851="Yes",OR(AQ851="company",AQ851="llp"),TRIM(I851)=""),"ROC needs the CIN / LLPIN; ","")</f>
        <v/>
      </c>
    </row>
    <row r="852">
      <c r="A852" s="30" t="n"/>
      <c r="B852" s="31" t="n"/>
      <c r="C852" s="31" t="n"/>
      <c r="D852" s="31" t="n"/>
      <c r="E852" s="30" t="n"/>
      <c r="F852" s="30" t="n"/>
      <c r="G852" s="30" t="n"/>
      <c r="H852" s="30" t="n"/>
      <c r="I852" s="30" t="n"/>
      <c r="J852" s="32" t="n"/>
      <c r="K852" s="31" t="n"/>
      <c r="L852" s="30" t="n"/>
      <c r="M852" s="31" t="n"/>
      <c r="N852" s="31" t="n"/>
      <c r="O852" s="31" t="n"/>
      <c r="P852" s="30" t="n"/>
      <c r="Q852" s="31" t="n"/>
      <c r="R852" s="31" t="n"/>
      <c r="S852" s="31" t="n"/>
      <c r="T852" s="31" t="n"/>
      <c r="U852" s="30" t="n"/>
      <c r="V852" s="31" t="n"/>
      <c r="W852" s="31" t="n"/>
      <c r="X852" s="31" t="n"/>
      <c r="Y852" s="31" t="n"/>
      <c r="Z852" s="31" t="n"/>
      <c r="AA852" s="31" t="n"/>
      <c r="AB852" s="31" t="n"/>
      <c r="AC852" s="31" t="n"/>
      <c r="AD852" s="31" t="n"/>
      <c r="AE852" s="31" t="n"/>
      <c r="AF852" s="27">
        <f>IF(NOT(COUNTA(A852:AE852)&gt;0),"",IF(A852="","New client","Update"))</f>
        <v/>
      </c>
      <c r="AG852" s="27">
        <f>IF(AO852&lt;&gt;"",AO852,IF(LEN(AN852)=15,MID(AN852,3,10),""))</f>
        <v/>
      </c>
      <c r="AH852" s="27">
        <f>IF(AP852="","",AP852&amp;IF(D852="","  (guessed from PAN)",""))</f>
        <v/>
      </c>
      <c r="AI852" s="27">
        <f>IF(AN852="","",IFERROR(INDEX(Lists!$L$2:$L$38,MATCH(LEFT(AN852,2),Lists!$K$2:$K$38,0)),"Unknown code"))</f>
        <v/>
      </c>
      <c r="AJ852" s="27">
        <f>IF(AN852="","",IFERROR(IF(NOT(AND(LEN(AN852)=15,ISNUMBER(MATCH(LEFT(AN852,2),Lists!$K$2:$K$38,0)),SUMPRODUCT(--ISERROR(FIND(MID(MID(AN852,3,10),{1,2,3,4,5,10},1),"ABCDEFGHIJKLMNOPQRSTUVWXYZ")))=0,SUMPRODUCT(--ISERROR(FIND(MID(MID(AN852,3,10),{6,7,8,9},1),"0123456789")))=0,ISNUMBER(FIND(MID(AN852,13,1),"123456789ABCDEFGHIJKLMNOPQRSTUVWXYZ")),MID(AN852,14,1)="Z")),"Wrong format",IF(MID("0123456789ABCDEFGHIJKLMNOPQRSTUVWXYZ",MOD(36-MOD(SUMPRODUCT(INT((FIND(MID(AN852,{1,2,3,4,5,6,7,8,9,10,11,12,13,14},1),"0123456789ABCDEFGHIJKLMNOPQRSTUVWXYZ")-1)*{1,2,1,2,1,2,1,2,1,2,1,2,1,2}/36)+MOD((FIND(MID(AN852,{1,2,3,4,5,6,7,8,9,10,11,12,13,14},1),"0123456789ABCDEFGHIJKLMNOPQRSTUVWXYZ")-1)*{1,2,1,2,1,2,1,2,1,2,1,2,1,2},36)),36),36)+1,1)=MID(AN852,15,1),"OK","Typo? check digit wrong")),"Wrong format"))</f>
        <v/>
      </c>
      <c r="AK852" s="27">
        <f>IF(AO852="","",IF(AND(LEN(AO852)=10,SUMPRODUCT(--ISERROR(FIND(MID(AO852,{1,2,3,4,5,10},1),"ABCDEFGHIJKLMNOPQRSTUVWXYZ")))=0,SUMPRODUCT(--ISERROR(FIND(MID(AO852,{6,7,8,9},1),"0123456789")))=0),"OK","Wrong format"))</f>
        <v/>
      </c>
      <c r="AL852" s="27">
        <f>IF(TRIM(H852)="","",IF(AND(LEN(UPPER(TRIM(H852)))=10,SUMPRODUCT(--ISERROR(FIND(MID(UPPER(TRIM(H852)),{1,2,3,4,10},1),"ABCDEFGHIJKLMNOPQRSTUVWXYZ")))=0,SUMPRODUCT(--ISERROR(FIND(MID(UPPER(TRIM(H852)),{5,6,7,8,9},1),"0123456789")))=0),"OK","Wrong format"))</f>
        <v/>
      </c>
      <c r="AM852" s="28">
        <f>IF(NOT(COUNTA(A852:AE852)&gt;0),"",IF(AS852&lt;&gt;"","✖ "&amp;LEFT(AS852,LEN(AS852)-2),IF(AR852&gt;0,"✔ Ready — client + "&amp;AR852&amp;" service(s)","✔ Ready — client only")))</f>
        <v/>
      </c>
      <c r="AN852" s="29">
        <f>UPPER(SUBSTITUTE(TRIM(F852)," ",""))</f>
        <v/>
      </c>
      <c r="AO852" s="29">
        <f>UPPER(SUBSTITUTE(TRIM(E852)," ",""))</f>
        <v/>
      </c>
      <c r="AP852" s="29">
        <f>IF(D852&lt;&gt;"",D852,IFERROR(VLOOKUP(MID(AG852,4,1),Lists!$E$2:$F$8,2,FALSE),""))</f>
        <v/>
      </c>
      <c r="AQ852" s="29">
        <f>IFERROR(VLOOKUP(AP852,Lists!$A$2:$C$12,3,FALSE),"")</f>
        <v/>
      </c>
      <c r="AR852" s="29">
        <f>COUNTIF(W852:AC852,"Yes")</f>
        <v/>
      </c>
      <c r="AS852" s="29">
        <f>IF(TRIM(B852)="","Legal name missing; ","")&amp;IF(AND(AJ852&lt;&gt;"",AJ852&lt;&gt;"OK"),"GSTIN: "&amp;AJ852&amp;"; ","")&amp;IF(AND(AK852&lt;&gt;"",AK852&lt;&gt;"OK"),"PAN wrong format; ","")&amp;IF(AND(AO852&lt;&gt;"",LEN(AN852)=15,MID(AN852,3,10)&lt;&gt;AO852),"PAN does not match GSTIN; ","")&amp;IF(AND(AL852&lt;&gt;"",AL852&lt;&gt;"OK"),"TAN wrong format; ","")&amp;IF(AG852="","PAN missing; ","")&amp;IF(AP852="","Entity type missing; ","")&amp;IF(AND(AN852&lt;&gt;"",COUNTIF($AN$6:$AN$1005,AN852)&gt;1),"GSTIN repeated in this sheet; ","")&amp;IF(AND(AG852&lt;&gt;"",COUNTIF($AG$6:$AG$1005,AG852)&gt;1),"PAN repeated in this sheet (same client? put extra GSTINs in Other GSTINs); ","")&amp;IF(AND(AR852&gt;0,V852=""),"Financial year missing; ","")&amp;IF(AND(AR852=0,V852&lt;&gt;""),"Financial year given but no service is Yes; ","")&amp;IF(AND(W852="Yes",AN852=""),"GST needs a GSTIN; ","")&amp;IF(AND(W852="Yes",X852=""),"GST return frequency missing; ","")&amp;IF(AND(Y852="Yes",TRIM(H852)=""),"TDS needs a TAN; ","")&amp;IF(AND(AA852="Yes",AQ852&lt;&gt;"",AQ852&lt;&gt;"company",AQ852&lt;&gt;"llp"),"ROC is only for a company / LLP; ","")&amp;IF(AND(AA852="Yes",OR(AQ852="company",AQ852="llp"),TRIM(I852)=""),"ROC needs the CIN / LLPIN; ","")</f>
        <v/>
      </c>
    </row>
    <row r="853">
      <c r="A853" s="30" t="n"/>
      <c r="B853" s="31" t="n"/>
      <c r="C853" s="31" t="n"/>
      <c r="D853" s="31" t="n"/>
      <c r="E853" s="30" t="n"/>
      <c r="F853" s="30" t="n"/>
      <c r="G853" s="30" t="n"/>
      <c r="H853" s="30" t="n"/>
      <c r="I853" s="30" t="n"/>
      <c r="J853" s="32" t="n"/>
      <c r="K853" s="31" t="n"/>
      <c r="L853" s="30" t="n"/>
      <c r="M853" s="31" t="n"/>
      <c r="N853" s="31" t="n"/>
      <c r="O853" s="31" t="n"/>
      <c r="P853" s="30" t="n"/>
      <c r="Q853" s="31" t="n"/>
      <c r="R853" s="31" t="n"/>
      <c r="S853" s="31" t="n"/>
      <c r="T853" s="31" t="n"/>
      <c r="U853" s="30" t="n"/>
      <c r="V853" s="31" t="n"/>
      <c r="W853" s="31" t="n"/>
      <c r="X853" s="31" t="n"/>
      <c r="Y853" s="31" t="n"/>
      <c r="Z853" s="31" t="n"/>
      <c r="AA853" s="31" t="n"/>
      <c r="AB853" s="31" t="n"/>
      <c r="AC853" s="31" t="n"/>
      <c r="AD853" s="31" t="n"/>
      <c r="AE853" s="31" t="n"/>
      <c r="AF853" s="27">
        <f>IF(NOT(COUNTA(A853:AE853)&gt;0),"",IF(A853="","New client","Update"))</f>
        <v/>
      </c>
      <c r="AG853" s="27">
        <f>IF(AO853&lt;&gt;"",AO853,IF(LEN(AN853)=15,MID(AN853,3,10),""))</f>
        <v/>
      </c>
      <c r="AH853" s="27">
        <f>IF(AP853="","",AP853&amp;IF(D853="","  (guessed from PAN)",""))</f>
        <v/>
      </c>
      <c r="AI853" s="27">
        <f>IF(AN853="","",IFERROR(INDEX(Lists!$L$2:$L$38,MATCH(LEFT(AN853,2),Lists!$K$2:$K$38,0)),"Unknown code"))</f>
        <v/>
      </c>
      <c r="AJ853" s="27">
        <f>IF(AN853="","",IFERROR(IF(NOT(AND(LEN(AN853)=15,ISNUMBER(MATCH(LEFT(AN853,2),Lists!$K$2:$K$38,0)),SUMPRODUCT(--ISERROR(FIND(MID(MID(AN853,3,10),{1,2,3,4,5,10},1),"ABCDEFGHIJKLMNOPQRSTUVWXYZ")))=0,SUMPRODUCT(--ISERROR(FIND(MID(MID(AN853,3,10),{6,7,8,9},1),"0123456789")))=0,ISNUMBER(FIND(MID(AN853,13,1),"123456789ABCDEFGHIJKLMNOPQRSTUVWXYZ")),MID(AN853,14,1)="Z")),"Wrong format",IF(MID("0123456789ABCDEFGHIJKLMNOPQRSTUVWXYZ",MOD(36-MOD(SUMPRODUCT(INT((FIND(MID(AN853,{1,2,3,4,5,6,7,8,9,10,11,12,13,14},1),"0123456789ABCDEFGHIJKLMNOPQRSTUVWXYZ")-1)*{1,2,1,2,1,2,1,2,1,2,1,2,1,2}/36)+MOD((FIND(MID(AN853,{1,2,3,4,5,6,7,8,9,10,11,12,13,14},1),"0123456789ABCDEFGHIJKLMNOPQRSTUVWXYZ")-1)*{1,2,1,2,1,2,1,2,1,2,1,2,1,2},36)),36),36)+1,1)=MID(AN853,15,1),"OK","Typo? check digit wrong")),"Wrong format"))</f>
        <v/>
      </c>
      <c r="AK853" s="27">
        <f>IF(AO853="","",IF(AND(LEN(AO853)=10,SUMPRODUCT(--ISERROR(FIND(MID(AO853,{1,2,3,4,5,10},1),"ABCDEFGHIJKLMNOPQRSTUVWXYZ")))=0,SUMPRODUCT(--ISERROR(FIND(MID(AO853,{6,7,8,9},1),"0123456789")))=0),"OK","Wrong format"))</f>
        <v/>
      </c>
      <c r="AL853" s="27">
        <f>IF(TRIM(H853)="","",IF(AND(LEN(UPPER(TRIM(H853)))=10,SUMPRODUCT(--ISERROR(FIND(MID(UPPER(TRIM(H853)),{1,2,3,4,10},1),"ABCDEFGHIJKLMNOPQRSTUVWXYZ")))=0,SUMPRODUCT(--ISERROR(FIND(MID(UPPER(TRIM(H853)),{5,6,7,8,9},1),"0123456789")))=0),"OK","Wrong format"))</f>
        <v/>
      </c>
      <c r="AM853" s="28">
        <f>IF(NOT(COUNTA(A853:AE853)&gt;0),"",IF(AS853&lt;&gt;"","✖ "&amp;LEFT(AS853,LEN(AS853)-2),IF(AR853&gt;0,"✔ Ready — client + "&amp;AR853&amp;" service(s)","✔ Ready — client only")))</f>
        <v/>
      </c>
      <c r="AN853" s="29">
        <f>UPPER(SUBSTITUTE(TRIM(F853)," ",""))</f>
        <v/>
      </c>
      <c r="AO853" s="29">
        <f>UPPER(SUBSTITUTE(TRIM(E853)," ",""))</f>
        <v/>
      </c>
      <c r="AP853" s="29">
        <f>IF(D853&lt;&gt;"",D853,IFERROR(VLOOKUP(MID(AG853,4,1),Lists!$E$2:$F$8,2,FALSE),""))</f>
        <v/>
      </c>
      <c r="AQ853" s="29">
        <f>IFERROR(VLOOKUP(AP853,Lists!$A$2:$C$12,3,FALSE),"")</f>
        <v/>
      </c>
      <c r="AR853" s="29">
        <f>COUNTIF(W853:AC853,"Yes")</f>
        <v/>
      </c>
      <c r="AS853" s="29">
        <f>IF(TRIM(B853)="","Legal name missing; ","")&amp;IF(AND(AJ853&lt;&gt;"",AJ853&lt;&gt;"OK"),"GSTIN: "&amp;AJ853&amp;"; ","")&amp;IF(AND(AK853&lt;&gt;"",AK853&lt;&gt;"OK"),"PAN wrong format; ","")&amp;IF(AND(AO853&lt;&gt;"",LEN(AN853)=15,MID(AN853,3,10)&lt;&gt;AO853),"PAN does not match GSTIN; ","")&amp;IF(AND(AL853&lt;&gt;"",AL853&lt;&gt;"OK"),"TAN wrong format; ","")&amp;IF(AG853="","PAN missing; ","")&amp;IF(AP853="","Entity type missing; ","")&amp;IF(AND(AN853&lt;&gt;"",COUNTIF($AN$6:$AN$1005,AN853)&gt;1),"GSTIN repeated in this sheet; ","")&amp;IF(AND(AG853&lt;&gt;"",COUNTIF($AG$6:$AG$1005,AG853)&gt;1),"PAN repeated in this sheet (same client? put extra GSTINs in Other GSTINs); ","")&amp;IF(AND(AR853&gt;0,V853=""),"Financial year missing; ","")&amp;IF(AND(AR853=0,V853&lt;&gt;""),"Financial year given but no service is Yes; ","")&amp;IF(AND(W853="Yes",AN853=""),"GST needs a GSTIN; ","")&amp;IF(AND(W853="Yes",X853=""),"GST return frequency missing; ","")&amp;IF(AND(Y853="Yes",TRIM(H853)=""),"TDS needs a TAN; ","")&amp;IF(AND(AA853="Yes",AQ853&lt;&gt;"",AQ853&lt;&gt;"company",AQ853&lt;&gt;"llp"),"ROC is only for a company / LLP; ","")&amp;IF(AND(AA853="Yes",OR(AQ853="company",AQ853="llp"),TRIM(I853)=""),"ROC needs the CIN / LLPIN; ","")</f>
        <v/>
      </c>
    </row>
    <row r="854">
      <c r="A854" s="30" t="n"/>
      <c r="B854" s="31" t="n"/>
      <c r="C854" s="31" t="n"/>
      <c r="D854" s="31" t="n"/>
      <c r="E854" s="30" t="n"/>
      <c r="F854" s="30" t="n"/>
      <c r="G854" s="30" t="n"/>
      <c r="H854" s="30" t="n"/>
      <c r="I854" s="30" t="n"/>
      <c r="J854" s="32" t="n"/>
      <c r="K854" s="31" t="n"/>
      <c r="L854" s="30" t="n"/>
      <c r="M854" s="31" t="n"/>
      <c r="N854" s="31" t="n"/>
      <c r="O854" s="31" t="n"/>
      <c r="P854" s="30" t="n"/>
      <c r="Q854" s="31" t="n"/>
      <c r="R854" s="31" t="n"/>
      <c r="S854" s="31" t="n"/>
      <c r="T854" s="31" t="n"/>
      <c r="U854" s="30" t="n"/>
      <c r="V854" s="31" t="n"/>
      <c r="W854" s="31" t="n"/>
      <c r="X854" s="31" t="n"/>
      <c r="Y854" s="31" t="n"/>
      <c r="Z854" s="31" t="n"/>
      <c r="AA854" s="31" t="n"/>
      <c r="AB854" s="31" t="n"/>
      <c r="AC854" s="31" t="n"/>
      <c r="AD854" s="31" t="n"/>
      <c r="AE854" s="31" t="n"/>
      <c r="AF854" s="27">
        <f>IF(NOT(COUNTA(A854:AE854)&gt;0),"",IF(A854="","New client","Update"))</f>
        <v/>
      </c>
      <c r="AG854" s="27">
        <f>IF(AO854&lt;&gt;"",AO854,IF(LEN(AN854)=15,MID(AN854,3,10),""))</f>
        <v/>
      </c>
      <c r="AH854" s="27">
        <f>IF(AP854="","",AP854&amp;IF(D854="","  (guessed from PAN)",""))</f>
        <v/>
      </c>
      <c r="AI854" s="27">
        <f>IF(AN854="","",IFERROR(INDEX(Lists!$L$2:$L$38,MATCH(LEFT(AN854,2),Lists!$K$2:$K$38,0)),"Unknown code"))</f>
        <v/>
      </c>
      <c r="AJ854" s="27">
        <f>IF(AN854="","",IFERROR(IF(NOT(AND(LEN(AN854)=15,ISNUMBER(MATCH(LEFT(AN854,2),Lists!$K$2:$K$38,0)),SUMPRODUCT(--ISERROR(FIND(MID(MID(AN854,3,10),{1,2,3,4,5,10},1),"ABCDEFGHIJKLMNOPQRSTUVWXYZ")))=0,SUMPRODUCT(--ISERROR(FIND(MID(MID(AN854,3,10),{6,7,8,9},1),"0123456789")))=0,ISNUMBER(FIND(MID(AN854,13,1),"123456789ABCDEFGHIJKLMNOPQRSTUVWXYZ")),MID(AN854,14,1)="Z")),"Wrong format",IF(MID("0123456789ABCDEFGHIJKLMNOPQRSTUVWXYZ",MOD(36-MOD(SUMPRODUCT(INT((FIND(MID(AN854,{1,2,3,4,5,6,7,8,9,10,11,12,13,14},1),"0123456789ABCDEFGHIJKLMNOPQRSTUVWXYZ")-1)*{1,2,1,2,1,2,1,2,1,2,1,2,1,2}/36)+MOD((FIND(MID(AN854,{1,2,3,4,5,6,7,8,9,10,11,12,13,14},1),"0123456789ABCDEFGHIJKLMNOPQRSTUVWXYZ")-1)*{1,2,1,2,1,2,1,2,1,2,1,2,1,2},36)),36),36)+1,1)=MID(AN854,15,1),"OK","Typo? check digit wrong")),"Wrong format"))</f>
        <v/>
      </c>
      <c r="AK854" s="27">
        <f>IF(AO854="","",IF(AND(LEN(AO854)=10,SUMPRODUCT(--ISERROR(FIND(MID(AO854,{1,2,3,4,5,10},1),"ABCDEFGHIJKLMNOPQRSTUVWXYZ")))=0,SUMPRODUCT(--ISERROR(FIND(MID(AO854,{6,7,8,9},1),"0123456789")))=0),"OK","Wrong format"))</f>
        <v/>
      </c>
      <c r="AL854" s="27">
        <f>IF(TRIM(H854)="","",IF(AND(LEN(UPPER(TRIM(H854)))=10,SUMPRODUCT(--ISERROR(FIND(MID(UPPER(TRIM(H854)),{1,2,3,4,10},1),"ABCDEFGHIJKLMNOPQRSTUVWXYZ")))=0,SUMPRODUCT(--ISERROR(FIND(MID(UPPER(TRIM(H854)),{5,6,7,8,9},1),"0123456789")))=0),"OK","Wrong format"))</f>
        <v/>
      </c>
      <c r="AM854" s="28">
        <f>IF(NOT(COUNTA(A854:AE854)&gt;0),"",IF(AS854&lt;&gt;"","✖ "&amp;LEFT(AS854,LEN(AS854)-2),IF(AR854&gt;0,"✔ Ready — client + "&amp;AR854&amp;" service(s)","✔ Ready — client only")))</f>
        <v/>
      </c>
      <c r="AN854" s="29">
        <f>UPPER(SUBSTITUTE(TRIM(F854)," ",""))</f>
        <v/>
      </c>
      <c r="AO854" s="29">
        <f>UPPER(SUBSTITUTE(TRIM(E854)," ",""))</f>
        <v/>
      </c>
      <c r="AP854" s="29">
        <f>IF(D854&lt;&gt;"",D854,IFERROR(VLOOKUP(MID(AG854,4,1),Lists!$E$2:$F$8,2,FALSE),""))</f>
        <v/>
      </c>
      <c r="AQ854" s="29">
        <f>IFERROR(VLOOKUP(AP854,Lists!$A$2:$C$12,3,FALSE),"")</f>
        <v/>
      </c>
      <c r="AR854" s="29">
        <f>COUNTIF(W854:AC854,"Yes")</f>
        <v/>
      </c>
      <c r="AS854" s="29">
        <f>IF(TRIM(B854)="","Legal name missing; ","")&amp;IF(AND(AJ854&lt;&gt;"",AJ854&lt;&gt;"OK"),"GSTIN: "&amp;AJ854&amp;"; ","")&amp;IF(AND(AK854&lt;&gt;"",AK854&lt;&gt;"OK"),"PAN wrong format; ","")&amp;IF(AND(AO854&lt;&gt;"",LEN(AN854)=15,MID(AN854,3,10)&lt;&gt;AO854),"PAN does not match GSTIN; ","")&amp;IF(AND(AL854&lt;&gt;"",AL854&lt;&gt;"OK"),"TAN wrong format; ","")&amp;IF(AG854="","PAN missing; ","")&amp;IF(AP854="","Entity type missing; ","")&amp;IF(AND(AN854&lt;&gt;"",COUNTIF($AN$6:$AN$1005,AN854)&gt;1),"GSTIN repeated in this sheet; ","")&amp;IF(AND(AG854&lt;&gt;"",COUNTIF($AG$6:$AG$1005,AG854)&gt;1),"PAN repeated in this sheet (same client? put extra GSTINs in Other GSTINs); ","")&amp;IF(AND(AR854&gt;0,V854=""),"Financial year missing; ","")&amp;IF(AND(AR854=0,V854&lt;&gt;""),"Financial year given but no service is Yes; ","")&amp;IF(AND(W854="Yes",AN854=""),"GST needs a GSTIN; ","")&amp;IF(AND(W854="Yes",X854=""),"GST return frequency missing; ","")&amp;IF(AND(Y854="Yes",TRIM(H854)=""),"TDS needs a TAN; ","")&amp;IF(AND(AA854="Yes",AQ854&lt;&gt;"",AQ854&lt;&gt;"company",AQ854&lt;&gt;"llp"),"ROC is only for a company / LLP; ","")&amp;IF(AND(AA854="Yes",OR(AQ854="company",AQ854="llp"),TRIM(I854)=""),"ROC needs the CIN / LLPIN; ","")</f>
        <v/>
      </c>
    </row>
    <row r="855">
      <c r="A855" s="30" t="n"/>
      <c r="B855" s="31" t="n"/>
      <c r="C855" s="31" t="n"/>
      <c r="D855" s="31" t="n"/>
      <c r="E855" s="30" t="n"/>
      <c r="F855" s="30" t="n"/>
      <c r="G855" s="30" t="n"/>
      <c r="H855" s="30" t="n"/>
      <c r="I855" s="30" t="n"/>
      <c r="J855" s="32" t="n"/>
      <c r="K855" s="31" t="n"/>
      <c r="L855" s="30" t="n"/>
      <c r="M855" s="31" t="n"/>
      <c r="N855" s="31" t="n"/>
      <c r="O855" s="31" t="n"/>
      <c r="P855" s="30" t="n"/>
      <c r="Q855" s="31" t="n"/>
      <c r="R855" s="31" t="n"/>
      <c r="S855" s="31" t="n"/>
      <c r="T855" s="31" t="n"/>
      <c r="U855" s="30" t="n"/>
      <c r="V855" s="31" t="n"/>
      <c r="W855" s="31" t="n"/>
      <c r="X855" s="31" t="n"/>
      <c r="Y855" s="31" t="n"/>
      <c r="Z855" s="31" t="n"/>
      <c r="AA855" s="31" t="n"/>
      <c r="AB855" s="31" t="n"/>
      <c r="AC855" s="31" t="n"/>
      <c r="AD855" s="31" t="n"/>
      <c r="AE855" s="31" t="n"/>
      <c r="AF855" s="27">
        <f>IF(NOT(COUNTA(A855:AE855)&gt;0),"",IF(A855="","New client","Update"))</f>
        <v/>
      </c>
      <c r="AG855" s="27">
        <f>IF(AO855&lt;&gt;"",AO855,IF(LEN(AN855)=15,MID(AN855,3,10),""))</f>
        <v/>
      </c>
      <c r="AH855" s="27">
        <f>IF(AP855="","",AP855&amp;IF(D855="","  (guessed from PAN)",""))</f>
        <v/>
      </c>
      <c r="AI855" s="27">
        <f>IF(AN855="","",IFERROR(INDEX(Lists!$L$2:$L$38,MATCH(LEFT(AN855,2),Lists!$K$2:$K$38,0)),"Unknown code"))</f>
        <v/>
      </c>
      <c r="AJ855" s="27">
        <f>IF(AN855="","",IFERROR(IF(NOT(AND(LEN(AN855)=15,ISNUMBER(MATCH(LEFT(AN855,2),Lists!$K$2:$K$38,0)),SUMPRODUCT(--ISERROR(FIND(MID(MID(AN855,3,10),{1,2,3,4,5,10},1),"ABCDEFGHIJKLMNOPQRSTUVWXYZ")))=0,SUMPRODUCT(--ISERROR(FIND(MID(MID(AN855,3,10),{6,7,8,9},1),"0123456789")))=0,ISNUMBER(FIND(MID(AN855,13,1),"123456789ABCDEFGHIJKLMNOPQRSTUVWXYZ")),MID(AN855,14,1)="Z")),"Wrong format",IF(MID("0123456789ABCDEFGHIJKLMNOPQRSTUVWXYZ",MOD(36-MOD(SUMPRODUCT(INT((FIND(MID(AN855,{1,2,3,4,5,6,7,8,9,10,11,12,13,14},1),"0123456789ABCDEFGHIJKLMNOPQRSTUVWXYZ")-1)*{1,2,1,2,1,2,1,2,1,2,1,2,1,2}/36)+MOD((FIND(MID(AN855,{1,2,3,4,5,6,7,8,9,10,11,12,13,14},1),"0123456789ABCDEFGHIJKLMNOPQRSTUVWXYZ")-1)*{1,2,1,2,1,2,1,2,1,2,1,2,1,2},36)),36),36)+1,1)=MID(AN855,15,1),"OK","Typo? check digit wrong")),"Wrong format"))</f>
        <v/>
      </c>
      <c r="AK855" s="27">
        <f>IF(AO855="","",IF(AND(LEN(AO855)=10,SUMPRODUCT(--ISERROR(FIND(MID(AO855,{1,2,3,4,5,10},1),"ABCDEFGHIJKLMNOPQRSTUVWXYZ")))=0,SUMPRODUCT(--ISERROR(FIND(MID(AO855,{6,7,8,9},1),"0123456789")))=0),"OK","Wrong format"))</f>
        <v/>
      </c>
      <c r="AL855" s="27">
        <f>IF(TRIM(H855)="","",IF(AND(LEN(UPPER(TRIM(H855)))=10,SUMPRODUCT(--ISERROR(FIND(MID(UPPER(TRIM(H855)),{1,2,3,4,10},1),"ABCDEFGHIJKLMNOPQRSTUVWXYZ")))=0,SUMPRODUCT(--ISERROR(FIND(MID(UPPER(TRIM(H855)),{5,6,7,8,9},1),"0123456789")))=0),"OK","Wrong format"))</f>
        <v/>
      </c>
      <c r="AM855" s="28">
        <f>IF(NOT(COUNTA(A855:AE855)&gt;0),"",IF(AS855&lt;&gt;"","✖ "&amp;LEFT(AS855,LEN(AS855)-2),IF(AR855&gt;0,"✔ Ready — client + "&amp;AR855&amp;" service(s)","✔ Ready — client only")))</f>
        <v/>
      </c>
      <c r="AN855" s="29">
        <f>UPPER(SUBSTITUTE(TRIM(F855)," ",""))</f>
        <v/>
      </c>
      <c r="AO855" s="29">
        <f>UPPER(SUBSTITUTE(TRIM(E855)," ",""))</f>
        <v/>
      </c>
      <c r="AP855" s="29">
        <f>IF(D855&lt;&gt;"",D855,IFERROR(VLOOKUP(MID(AG855,4,1),Lists!$E$2:$F$8,2,FALSE),""))</f>
        <v/>
      </c>
      <c r="AQ855" s="29">
        <f>IFERROR(VLOOKUP(AP855,Lists!$A$2:$C$12,3,FALSE),"")</f>
        <v/>
      </c>
      <c r="AR855" s="29">
        <f>COUNTIF(W855:AC855,"Yes")</f>
        <v/>
      </c>
      <c r="AS855" s="29">
        <f>IF(TRIM(B855)="","Legal name missing; ","")&amp;IF(AND(AJ855&lt;&gt;"",AJ855&lt;&gt;"OK"),"GSTIN: "&amp;AJ855&amp;"; ","")&amp;IF(AND(AK855&lt;&gt;"",AK855&lt;&gt;"OK"),"PAN wrong format; ","")&amp;IF(AND(AO855&lt;&gt;"",LEN(AN855)=15,MID(AN855,3,10)&lt;&gt;AO855),"PAN does not match GSTIN; ","")&amp;IF(AND(AL855&lt;&gt;"",AL855&lt;&gt;"OK"),"TAN wrong format; ","")&amp;IF(AG855="","PAN missing; ","")&amp;IF(AP855="","Entity type missing; ","")&amp;IF(AND(AN855&lt;&gt;"",COUNTIF($AN$6:$AN$1005,AN855)&gt;1),"GSTIN repeated in this sheet; ","")&amp;IF(AND(AG855&lt;&gt;"",COUNTIF($AG$6:$AG$1005,AG855)&gt;1),"PAN repeated in this sheet (same client? put extra GSTINs in Other GSTINs); ","")&amp;IF(AND(AR855&gt;0,V855=""),"Financial year missing; ","")&amp;IF(AND(AR855=0,V855&lt;&gt;""),"Financial year given but no service is Yes; ","")&amp;IF(AND(W855="Yes",AN855=""),"GST needs a GSTIN; ","")&amp;IF(AND(W855="Yes",X855=""),"GST return frequency missing; ","")&amp;IF(AND(Y855="Yes",TRIM(H855)=""),"TDS needs a TAN; ","")&amp;IF(AND(AA855="Yes",AQ855&lt;&gt;"",AQ855&lt;&gt;"company",AQ855&lt;&gt;"llp"),"ROC is only for a company / LLP; ","")&amp;IF(AND(AA855="Yes",OR(AQ855="company",AQ855="llp"),TRIM(I855)=""),"ROC needs the CIN / LLPIN; ","")</f>
        <v/>
      </c>
    </row>
    <row r="856">
      <c r="A856" s="30" t="n"/>
      <c r="B856" s="31" t="n"/>
      <c r="C856" s="31" t="n"/>
      <c r="D856" s="31" t="n"/>
      <c r="E856" s="30" t="n"/>
      <c r="F856" s="30" t="n"/>
      <c r="G856" s="30" t="n"/>
      <c r="H856" s="30" t="n"/>
      <c r="I856" s="30" t="n"/>
      <c r="J856" s="32" t="n"/>
      <c r="K856" s="31" t="n"/>
      <c r="L856" s="30" t="n"/>
      <c r="M856" s="31" t="n"/>
      <c r="N856" s="31" t="n"/>
      <c r="O856" s="31" t="n"/>
      <c r="P856" s="30" t="n"/>
      <c r="Q856" s="31" t="n"/>
      <c r="R856" s="31" t="n"/>
      <c r="S856" s="31" t="n"/>
      <c r="T856" s="31" t="n"/>
      <c r="U856" s="30" t="n"/>
      <c r="V856" s="31" t="n"/>
      <c r="W856" s="31" t="n"/>
      <c r="X856" s="31" t="n"/>
      <c r="Y856" s="31" t="n"/>
      <c r="Z856" s="31" t="n"/>
      <c r="AA856" s="31" t="n"/>
      <c r="AB856" s="31" t="n"/>
      <c r="AC856" s="31" t="n"/>
      <c r="AD856" s="31" t="n"/>
      <c r="AE856" s="31" t="n"/>
      <c r="AF856" s="27">
        <f>IF(NOT(COUNTA(A856:AE856)&gt;0),"",IF(A856="","New client","Update"))</f>
        <v/>
      </c>
      <c r="AG856" s="27">
        <f>IF(AO856&lt;&gt;"",AO856,IF(LEN(AN856)=15,MID(AN856,3,10),""))</f>
        <v/>
      </c>
      <c r="AH856" s="27">
        <f>IF(AP856="","",AP856&amp;IF(D856="","  (guessed from PAN)",""))</f>
        <v/>
      </c>
      <c r="AI856" s="27">
        <f>IF(AN856="","",IFERROR(INDEX(Lists!$L$2:$L$38,MATCH(LEFT(AN856,2),Lists!$K$2:$K$38,0)),"Unknown code"))</f>
        <v/>
      </c>
      <c r="AJ856" s="27">
        <f>IF(AN856="","",IFERROR(IF(NOT(AND(LEN(AN856)=15,ISNUMBER(MATCH(LEFT(AN856,2),Lists!$K$2:$K$38,0)),SUMPRODUCT(--ISERROR(FIND(MID(MID(AN856,3,10),{1,2,3,4,5,10},1),"ABCDEFGHIJKLMNOPQRSTUVWXYZ")))=0,SUMPRODUCT(--ISERROR(FIND(MID(MID(AN856,3,10),{6,7,8,9},1),"0123456789")))=0,ISNUMBER(FIND(MID(AN856,13,1),"123456789ABCDEFGHIJKLMNOPQRSTUVWXYZ")),MID(AN856,14,1)="Z")),"Wrong format",IF(MID("0123456789ABCDEFGHIJKLMNOPQRSTUVWXYZ",MOD(36-MOD(SUMPRODUCT(INT((FIND(MID(AN856,{1,2,3,4,5,6,7,8,9,10,11,12,13,14},1),"0123456789ABCDEFGHIJKLMNOPQRSTUVWXYZ")-1)*{1,2,1,2,1,2,1,2,1,2,1,2,1,2}/36)+MOD((FIND(MID(AN856,{1,2,3,4,5,6,7,8,9,10,11,12,13,14},1),"0123456789ABCDEFGHIJKLMNOPQRSTUVWXYZ")-1)*{1,2,1,2,1,2,1,2,1,2,1,2,1,2},36)),36),36)+1,1)=MID(AN856,15,1),"OK","Typo? check digit wrong")),"Wrong format"))</f>
        <v/>
      </c>
      <c r="AK856" s="27">
        <f>IF(AO856="","",IF(AND(LEN(AO856)=10,SUMPRODUCT(--ISERROR(FIND(MID(AO856,{1,2,3,4,5,10},1),"ABCDEFGHIJKLMNOPQRSTUVWXYZ")))=0,SUMPRODUCT(--ISERROR(FIND(MID(AO856,{6,7,8,9},1),"0123456789")))=0),"OK","Wrong format"))</f>
        <v/>
      </c>
      <c r="AL856" s="27">
        <f>IF(TRIM(H856)="","",IF(AND(LEN(UPPER(TRIM(H856)))=10,SUMPRODUCT(--ISERROR(FIND(MID(UPPER(TRIM(H856)),{1,2,3,4,10},1),"ABCDEFGHIJKLMNOPQRSTUVWXYZ")))=0,SUMPRODUCT(--ISERROR(FIND(MID(UPPER(TRIM(H856)),{5,6,7,8,9},1),"0123456789")))=0),"OK","Wrong format"))</f>
        <v/>
      </c>
      <c r="AM856" s="28">
        <f>IF(NOT(COUNTA(A856:AE856)&gt;0),"",IF(AS856&lt;&gt;"","✖ "&amp;LEFT(AS856,LEN(AS856)-2),IF(AR856&gt;0,"✔ Ready — client + "&amp;AR856&amp;" service(s)","✔ Ready — client only")))</f>
        <v/>
      </c>
      <c r="AN856" s="29">
        <f>UPPER(SUBSTITUTE(TRIM(F856)," ",""))</f>
        <v/>
      </c>
      <c r="AO856" s="29">
        <f>UPPER(SUBSTITUTE(TRIM(E856)," ",""))</f>
        <v/>
      </c>
      <c r="AP856" s="29">
        <f>IF(D856&lt;&gt;"",D856,IFERROR(VLOOKUP(MID(AG856,4,1),Lists!$E$2:$F$8,2,FALSE),""))</f>
        <v/>
      </c>
      <c r="AQ856" s="29">
        <f>IFERROR(VLOOKUP(AP856,Lists!$A$2:$C$12,3,FALSE),"")</f>
        <v/>
      </c>
      <c r="AR856" s="29">
        <f>COUNTIF(W856:AC856,"Yes")</f>
        <v/>
      </c>
      <c r="AS856" s="29">
        <f>IF(TRIM(B856)="","Legal name missing; ","")&amp;IF(AND(AJ856&lt;&gt;"",AJ856&lt;&gt;"OK"),"GSTIN: "&amp;AJ856&amp;"; ","")&amp;IF(AND(AK856&lt;&gt;"",AK856&lt;&gt;"OK"),"PAN wrong format; ","")&amp;IF(AND(AO856&lt;&gt;"",LEN(AN856)=15,MID(AN856,3,10)&lt;&gt;AO856),"PAN does not match GSTIN; ","")&amp;IF(AND(AL856&lt;&gt;"",AL856&lt;&gt;"OK"),"TAN wrong format; ","")&amp;IF(AG856="","PAN missing; ","")&amp;IF(AP856="","Entity type missing; ","")&amp;IF(AND(AN856&lt;&gt;"",COUNTIF($AN$6:$AN$1005,AN856)&gt;1),"GSTIN repeated in this sheet; ","")&amp;IF(AND(AG856&lt;&gt;"",COUNTIF($AG$6:$AG$1005,AG856)&gt;1),"PAN repeated in this sheet (same client? put extra GSTINs in Other GSTINs); ","")&amp;IF(AND(AR856&gt;0,V856=""),"Financial year missing; ","")&amp;IF(AND(AR856=0,V856&lt;&gt;""),"Financial year given but no service is Yes; ","")&amp;IF(AND(W856="Yes",AN856=""),"GST needs a GSTIN; ","")&amp;IF(AND(W856="Yes",X856=""),"GST return frequency missing; ","")&amp;IF(AND(Y856="Yes",TRIM(H856)=""),"TDS needs a TAN; ","")&amp;IF(AND(AA856="Yes",AQ856&lt;&gt;"",AQ856&lt;&gt;"company",AQ856&lt;&gt;"llp"),"ROC is only for a company / LLP; ","")&amp;IF(AND(AA856="Yes",OR(AQ856="company",AQ856="llp"),TRIM(I856)=""),"ROC needs the CIN / LLPIN; ","")</f>
        <v/>
      </c>
    </row>
    <row r="857">
      <c r="A857" s="30" t="n"/>
      <c r="B857" s="31" t="n"/>
      <c r="C857" s="31" t="n"/>
      <c r="D857" s="31" t="n"/>
      <c r="E857" s="30" t="n"/>
      <c r="F857" s="30" t="n"/>
      <c r="G857" s="30" t="n"/>
      <c r="H857" s="30" t="n"/>
      <c r="I857" s="30" t="n"/>
      <c r="J857" s="32" t="n"/>
      <c r="K857" s="31" t="n"/>
      <c r="L857" s="30" t="n"/>
      <c r="M857" s="31" t="n"/>
      <c r="N857" s="31" t="n"/>
      <c r="O857" s="31" t="n"/>
      <c r="P857" s="30" t="n"/>
      <c r="Q857" s="31" t="n"/>
      <c r="R857" s="31" t="n"/>
      <c r="S857" s="31" t="n"/>
      <c r="T857" s="31" t="n"/>
      <c r="U857" s="30" t="n"/>
      <c r="V857" s="31" t="n"/>
      <c r="W857" s="31" t="n"/>
      <c r="X857" s="31" t="n"/>
      <c r="Y857" s="31" t="n"/>
      <c r="Z857" s="31" t="n"/>
      <c r="AA857" s="31" t="n"/>
      <c r="AB857" s="31" t="n"/>
      <c r="AC857" s="31" t="n"/>
      <c r="AD857" s="31" t="n"/>
      <c r="AE857" s="31" t="n"/>
      <c r="AF857" s="27">
        <f>IF(NOT(COUNTA(A857:AE857)&gt;0),"",IF(A857="","New client","Update"))</f>
        <v/>
      </c>
      <c r="AG857" s="27">
        <f>IF(AO857&lt;&gt;"",AO857,IF(LEN(AN857)=15,MID(AN857,3,10),""))</f>
        <v/>
      </c>
      <c r="AH857" s="27">
        <f>IF(AP857="","",AP857&amp;IF(D857="","  (guessed from PAN)",""))</f>
        <v/>
      </c>
      <c r="AI857" s="27">
        <f>IF(AN857="","",IFERROR(INDEX(Lists!$L$2:$L$38,MATCH(LEFT(AN857,2),Lists!$K$2:$K$38,0)),"Unknown code"))</f>
        <v/>
      </c>
      <c r="AJ857" s="27">
        <f>IF(AN857="","",IFERROR(IF(NOT(AND(LEN(AN857)=15,ISNUMBER(MATCH(LEFT(AN857,2),Lists!$K$2:$K$38,0)),SUMPRODUCT(--ISERROR(FIND(MID(MID(AN857,3,10),{1,2,3,4,5,10},1),"ABCDEFGHIJKLMNOPQRSTUVWXYZ")))=0,SUMPRODUCT(--ISERROR(FIND(MID(MID(AN857,3,10),{6,7,8,9},1),"0123456789")))=0,ISNUMBER(FIND(MID(AN857,13,1),"123456789ABCDEFGHIJKLMNOPQRSTUVWXYZ")),MID(AN857,14,1)="Z")),"Wrong format",IF(MID("0123456789ABCDEFGHIJKLMNOPQRSTUVWXYZ",MOD(36-MOD(SUMPRODUCT(INT((FIND(MID(AN857,{1,2,3,4,5,6,7,8,9,10,11,12,13,14},1),"0123456789ABCDEFGHIJKLMNOPQRSTUVWXYZ")-1)*{1,2,1,2,1,2,1,2,1,2,1,2,1,2}/36)+MOD((FIND(MID(AN857,{1,2,3,4,5,6,7,8,9,10,11,12,13,14},1),"0123456789ABCDEFGHIJKLMNOPQRSTUVWXYZ")-1)*{1,2,1,2,1,2,1,2,1,2,1,2,1,2},36)),36),36)+1,1)=MID(AN857,15,1),"OK","Typo? check digit wrong")),"Wrong format"))</f>
        <v/>
      </c>
      <c r="AK857" s="27">
        <f>IF(AO857="","",IF(AND(LEN(AO857)=10,SUMPRODUCT(--ISERROR(FIND(MID(AO857,{1,2,3,4,5,10},1),"ABCDEFGHIJKLMNOPQRSTUVWXYZ")))=0,SUMPRODUCT(--ISERROR(FIND(MID(AO857,{6,7,8,9},1),"0123456789")))=0),"OK","Wrong format"))</f>
        <v/>
      </c>
      <c r="AL857" s="27">
        <f>IF(TRIM(H857)="","",IF(AND(LEN(UPPER(TRIM(H857)))=10,SUMPRODUCT(--ISERROR(FIND(MID(UPPER(TRIM(H857)),{1,2,3,4,10},1),"ABCDEFGHIJKLMNOPQRSTUVWXYZ")))=0,SUMPRODUCT(--ISERROR(FIND(MID(UPPER(TRIM(H857)),{5,6,7,8,9},1),"0123456789")))=0),"OK","Wrong format"))</f>
        <v/>
      </c>
      <c r="AM857" s="28">
        <f>IF(NOT(COUNTA(A857:AE857)&gt;0),"",IF(AS857&lt;&gt;"","✖ "&amp;LEFT(AS857,LEN(AS857)-2),IF(AR857&gt;0,"✔ Ready — client + "&amp;AR857&amp;" service(s)","✔ Ready — client only")))</f>
        <v/>
      </c>
      <c r="AN857" s="29">
        <f>UPPER(SUBSTITUTE(TRIM(F857)," ",""))</f>
        <v/>
      </c>
      <c r="AO857" s="29">
        <f>UPPER(SUBSTITUTE(TRIM(E857)," ",""))</f>
        <v/>
      </c>
      <c r="AP857" s="29">
        <f>IF(D857&lt;&gt;"",D857,IFERROR(VLOOKUP(MID(AG857,4,1),Lists!$E$2:$F$8,2,FALSE),""))</f>
        <v/>
      </c>
      <c r="AQ857" s="29">
        <f>IFERROR(VLOOKUP(AP857,Lists!$A$2:$C$12,3,FALSE),"")</f>
        <v/>
      </c>
      <c r="AR857" s="29">
        <f>COUNTIF(W857:AC857,"Yes")</f>
        <v/>
      </c>
      <c r="AS857" s="29">
        <f>IF(TRIM(B857)="","Legal name missing; ","")&amp;IF(AND(AJ857&lt;&gt;"",AJ857&lt;&gt;"OK"),"GSTIN: "&amp;AJ857&amp;"; ","")&amp;IF(AND(AK857&lt;&gt;"",AK857&lt;&gt;"OK"),"PAN wrong format; ","")&amp;IF(AND(AO857&lt;&gt;"",LEN(AN857)=15,MID(AN857,3,10)&lt;&gt;AO857),"PAN does not match GSTIN; ","")&amp;IF(AND(AL857&lt;&gt;"",AL857&lt;&gt;"OK"),"TAN wrong format; ","")&amp;IF(AG857="","PAN missing; ","")&amp;IF(AP857="","Entity type missing; ","")&amp;IF(AND(AN857&lt;&gt;"",COUNTIF($AN$6:$AN$1005,AN857)&gt;1),"GSTIN repeated in this sheet; ","")&amp;IF(AND(AG857&lt;&gt;"",COUNTIF($AG$6:$AG$1005,AG857)&gt;1),"PAN repeated in this sheet (same client? put extra GSTINs in Other GSTINs); ","")&amp;IF(AND(AR857&gt;0,V857=""),"Financial year missing; ","")&amp;IF(AND(AR857=0,V857&lt;&gt;""),"Financial year given but no service is Yes; ","")&amp;IF(AND(W857="Yes",AN857=""),"GST needs a GSTIN; ","")&amp;IF(AND(W857="Yes",X857=""),"GST return frequency missing; ","")&amp;IF(AND(Y857="Yes",TRIM(H857)=""),"TDS needs a TAN; ","")&amp;IF(AND(AA857="Yes",AQ857&lt;&gt;"",AQ857&lt;&gt;"company",AQ857&lt;&gt;"llp"),"ROC is only for a company / LLP; ","")&amp;IF(AND(AA857="Yes",OR(AQ857="company",AQ857="llp"),TRIM(I857)=""),"ROC needs the CIN / LLPIN; ","")</f>
        <v/>
      </c>
    </row>
    <row r="858">
      <c r="A858" s="30" t="n"/>
      <c r="B858" s="31" t="n"/>
      <c r="C858" s="31" t="n"/>
      <c r="D858" s="31" t="n"/>
      <c r="E858" s="30" t="n"/>
      <c r="F858" s="30" t="n"/>
      <c r="G858" s="30" t="n"/>
      <c r="H858" s="30" t="n"/>
      <c r="I858" s="30" t="n"/>
      <c r="J858" s="32" t="n"/>
      <c r="K858" s="31" t="n"/>
      <c r="L858" s="30" t="n"/>
      <c r="M858" s="31" t="n"/>
      <c r="N858" s="31" t="n"/>
      <c r="O858" s="31" t="n"/>
      <c r="P858" s="30" t="n"/>
      <c r="Q858" s="31" t="n"/>
      <c r="R858" s="31" t="n"/>
      <c r="S858" s="31" t="n"/>
      <c r="T858" s="31" t="n"/>
      <c r="U858" s="30" t="n"/>
      <c r="V858" s="31" t="n"/>
      <c r="W858" s="31" t="n"/>
      <c r="X858" s="31" t="n"/>
      <c r="Y858" s="31" t="n"/>
      <c r="Z858" s="31" t="n"/>
      <c r="AA858" s="31" t="n"/>
      <c r="AB858" s="31" t="n"/>
      <c r="AC858" s="31" t="n"/>
      <c r="AD858" s="31" t="n"/>
      <c r="AE858" s="31" t="n"/>
      <c r="AF858" s="27">
        <f>IF(NOT(COUNTA(A858:AE858)&gt;0),"",IF(A858="","New client","Update"))</f>
        <v/>
      </c>
      <c r="AG858" s="27">
        <f>IF(AO858&lt;&gt;"",AO858,IF(LEN(AN858)=15,MID(AN858,3,10),""))</f>
        <v/>
      </c>
      <c r="AH858" s="27">
        <f>IF(AP858="","",AP858&amp;IF(D858="","  (guessed from PAN)",""))</f>
        <v/>
      </c>
      <c r="AI858" s="27">
        <f>IF(AN858="","",IFERROR(INDEX(Lists!$L$2:$L$38,MATCH(LEFT(AN858,2),Lists!$K$2:$K$38,0)),"Unknown code"))</f>
        <v/>
      </c>
      <c r="AJ858" s="27">
        <f>IF(AN858="","",IFERROR(IF(NOT(AND(LEN(AN858)=15,ISNUMBER(MATCH(LEFT(AN858,2),Lists!$K$2:$K$38,0)),SUMPRODUCT(--ISERROR(FIND(MID(MID(AN858,3,10),{1,2,3,4,5,10},1),"ABCDEFGHIJKLMNOPQRSTUVWXYZ")))=0,SUMPRODUCT(--ISERROR(FIND(MID(MID(AN858,3,10),{6,7,8,9},1),"0123456789")))=0,ISNUMBER(FIND(MID(AN858,13,1),"123456789ABCDEFGHIJKLMNOPQRSTUVWXYZ")),MID(AN858,14,1)="Z")),"Wrong format",IF(MID("0123456789ABCDEFGHIJKLMNOPQRSTUVWXYZ",MOD(36-MOD(SUMPRODUCT(INT((FIND(MID(AN858,{1,2,3,4,5,6,7,8,9,10,11,12,13,14},1),"0123456789ABCDEFGHIJKLMNOPQRSTUVWXYZ")-1)*{1,2,1,2,1,2,1,2,1,2,1,2,1,2}/36)+MOD((FIND(MID(AN858,{1,2,3,4,5,6,7,8,9,10,11,12,13,14},1),"0123456789ABCDEFGHIJKLMNOPQRSTUVWXYZ")-1)*{1,2,1,2,1,2,1,2,1,2,1,2,1,2},36)),36),36)+1,1)=MID(AN858,15,1),"OK","Typo? check digit wrong")),"Wrong format"))</f>
        <v/>
      </c>
      <c r="AK858" s="27">
        <f>IF(AO858="","",IF(AND(LEN(AO858)=10,SUMPRODUCT(--ISERROR(FIND(MID(AO858,{1,2,3,4,5,10},1),"ABCDEFGHIJKLMNOPQRSTUVWXYZ")))=0,SUMPRODUCT(--ISERROR(FIND(MID(AO858,{6,7,8,9},1),"0123456789")))=0),"OK","Wrong format"))</f>
        <v/>
      </c>
      <c r="AL858" s="27">
        <f>IF(TRIM(H858)="","",IF(AND(LEN(UPPER(TRIM(H858)))=10,SUMPRODUCT(--ISERROR(FIND(MID(UPPER(TRIM(H858)),{1,2,3,4,10},1),"ABCDEFGHIJKLMNOPQRSTUVWXYZ")))=0,SUMPRODUCT(--ISERROR(FIND(MID(UPPER(TRIM(H858)),{5,6,7,8,9},1),"0123456789")))=0),"OK","Wrong format"))</f>
        <v/>
      </c>
      <c r="AM858" s="28">
        <f>IF(NOT(COUNTA(A858:AE858)&gt;0),"",IF(AS858&lt;&gt;"","✖ "&amp;LEFT(AS858,LEN(AS858)-2),IF(AR858&gt;0,"✔ Ready — client + "&amp;AR858&amp;" service(s)","✔ Ready — client only")))</f>
        <v/>
      </c>
      <c r="AN858" s="29">
        <f>UPPER(SUBSTITUTE(TRIM(F858)," ",""))</f>
        <v/>
      </c>
      <c r="AO858" s="29">
        <f>UPPER(SUBSTITUTE(TRIM(E858)," ",""))</f>
        <v/>
      </c>
      <c r="AP858" s="29">
        <f>IF(D858&lt;&gt;"",D858,IFERROR(VLOOKUP(MID(AG858,4,1),Lists!$E$2:$F$8,2,FALSE),""))</f>
        <v/>
      </c>
      <c r="AQ858" s="29">
        <f>IFERROR(VLOOKUP(AP858,Lists!$A$2:$C$12,3,FALSE),"")</f>
        <v/>
      </c>
      <c r="AR858" s="29">
        <f>COUNTIF(W858:AC858,"Yes")</f>
        <v/>
      </c>
      <c r="AS858" s="29">
        <f>IF(TRIM(B858)="","Legal name missing; ","")&amp;IF(AND(AJ858&lt;&gt;"",AJ858&lt;&gt;"OK"),"GSTIN: "&amp;AJ858&amp;"; ","")&amp;IF(AND(AK858&lt;&gt;"",AK858&lt;&gt;"OK"),"PAN wrong format; ","")&amp;IF(AND(AO858&lt;&gt;"",LEN(AN858)=15,MID(AN858,3,10)&lt;&gt;AO858),"PAN does not match GSTIN; ","")&amp;IF(AND(AL858&lt;&gt;"",AL858&lt;&gt;"OK"),"TAN wrong format; ","")&amp;IF(AG858="","PAN missing; ","")&amp;IF(AP858="","Entity type missing; ","")&amp;IF(AND(AN858&lt;&gt;"",COUNTIF($AN$6:$AN$1005,AN858)&gt;1),"GSTIN repeated in this sheet; ","")&amp;IF(AND(AG858&lt;&gt;"",COUNTIF($AG$6:$AG$1005,AG858)&gt;1),"PAN repeated in this sheet (same client? put extra GSTINs in Other GSTINs); ","")&amp;IF(AND(AR858&gt;0,V858=""),"Financial year missing; ","")&amp;IF(AND(AR858=0,V858&lt;&gt;""),"Financial year given but no service is Yes; ","")&amp;IF(AND(W858="Yes",AN858=""),"GST needs a GSTIN; ","")&amp;IF(AND(W858="Yes",X858=""),"GST return frequency missing; ","")&amp;IF(AND(Y858="Yes",TRIM(H858)=""),"TDS needs a TAN; ","")&amp;IF(AND(AA858="Yes",AQ858&lt;&gt;"",AQ858&lt;&gt;"company",AQ858&lt;&gt;"llp"),"ROC is only for a company / LLP; ","")&amp;IF(AND(AA858="Yes",OR(AQ858="company",AQ858="llp"),TRIM(I858)=""),"ROC needs the CIN / LLPIN; ","")</f>
        <v/>
      </c>
    </row>
    <row r="859">
      <c r="A859" s="30" t="n"/>
      <c r="B859" s="31" t="n"/>
      <c r="C859" s="31" t="n"/>
      <c r="D859" s="31" t="n"/>
      <c r="E859" s="30" t="n"/>
      <c r="F859" s="30" t="n"/>
      <c r="G859" s="30" t="n"/>
      <c r="H859" s="30" t="n"/>
      <c r="I859" s="30" t="n"/>
      <c r="J859" s="32" t="n"/>
      <c r="K859" s="31" t="n"/>
      <c r="L859" s="30" t="n"/>
      <c r="M859" s="31" t="n"/>
      <c r="N859" s="31" t="n"/>
      <c r="O859" s="31" t="n"/>
      <c r="P859" s="30" t="n"/>
      <c r="Q859" s="31" t="n"/>
      <c r="R859" s="31" t="n"/>
      <c r="S859" s="31" t="n"/>
      <c r="T859" s="31" t="n"/>
      <c r="U859" s="30" t="n"/>
      <c r="V859" s="31" t="n"/>
      <c r="W859" s="31" t="n"/>
      <c r="X859" s="31" t="n"/>
      <c r="Y859" s="31" t="n"/>
      <c r="Z859" s="31" t="n"/>
      <c r="AA859" s="31" t="n"/>
      <c r="AB859" s="31" t="n"/>
      <c r="AC859" s="31" t="n"/>
      <c r="AD859" s="31" t="n"/>
      <c r="AE859" s="31" t="n"/>
      <c r="AF859" s="27">
        <f>IF(NOT(COUNTA(A859:AE859)&gt;0),"",IF(A859="","New client","Update"))</f>
        <v/>
      </c>
      <c r="AG859" s="27">
        <f>IF(AO859&lt;&gt;"",AO859,IF(LEN(AN859)=15,MID(AN859,3,10),""))</f>
        <v/>
      </c>
      <c r="AH859" s="27">
        <f>IF(AP859="","",AP859&amp;IF(D859="","  (guessed from PAN)",""))</f>
        <v/>
      </c>
      <c r="AI859" s="27">
        <f>IF(AN859="","",IFERROR(INDEX(Lists!$L$2:$L$38,MATCH(LEFT(AN859,2),Lists!$K$2:$K$38,0)),"Unknown code"))</f>
        <v/>
      </c>
      <c r="AJ859" s="27">
        <f>IF(AN859="","",IFERROR(IF(NOT(AND(LEN(AN859)=15,ISNUMBER(MATCH(LEFT(AN859,2),Lists!$K$2:$K$38,0)),SUMPRODUCT(--ISERROR(FIND(MID(MID(AN859,3,10),{1,2,3,4,5,10},1),"ABCDEFGHIJKLMNOPQRSTUVWXYZ")))=0,SUMPRODUCT(--ISERROR(FIND(MID(MID(AN859,3,10),{6,7,8,9},1),"0123456789")))=0,ISNUMBER(FIND(MID(AN859,13,1),"123456789ABCDEFGHIJKLMNOPQRSTUVWXYZ")),MID(AN859,14,1)="Z")),"Wrong format",IF(MID("0123456789ABCDEFGHIJKLMNOPQRSTUVWXYZ",MOD(36-MOD(SUMPRODUCT(INT((FIND(MID(AN859,{1,2,3,4,5,6,7,8,9,10,11,12,13,14},1),"0123456789ABCDEFGHIJKLMNOPQRSTUVWXYZ")-1)*{1,2,1,2,1,2,1,2,1,2,1,2,1,2}/36)+MOD((FIND(MID(AN859,{1,2,3,4,5,6,7,8,9,10,11,12,13,14},1),"0123456789ABCDEFGHIJKLMNOPQRSTUVWXYZ")-1)*{1,2,1,2,1,2,1,2,1,2,1,2,1,2},36)),36),36)+1,1)=MID(AN859,15,1),"OK","Typo? check digit wrong")),"Wrong format"))</f>
        <v/>
      </c>
      <c r="AK859" s="27">
        <f>IF(AO859="","",IF(AND(LEN(AO859)=10,SUMPRODUCT(--ISERROR(FIND(MID(AO859,{1,2,3,4,5,10},1),"ABCDEFGHIJKLMNOPQRSTUVWXYZ")))=0,SUMPRODUCT(--ISERROR(FIND(MID(AO859,{6,7,8,9},1),"0123456789")))=0),"OK","Wrong format"))</f>
        <v/>
      </c>
      <c r="AL859" s="27">
        <f>IF(TRIM(H859)="","",IF(AND(LEN(UPPER(TRIM(H859)))=10,SUMPRODUCT(--ISERROR(FIND(MID(UPPER(TRIM(H859)),{1,2,3,4,10},1),"ABCDEFGHIJKLMNOPQRSTUVWXYZ")))=0,SUMPRODUCT(--ISERROR(FIND(MID(UPPER(TRIM(H859)),{5,6,7,8,9},1),"0123456789")))=0),"OK","Wrong format"))</f>
        <v/>
      </c>
      <c r="AM859" s="28">
        <f>IF(NOT(COUNTA(A859:AE859)&gt;0),"",IF(AS859&lt;&gt;"","✖ "&amp;LEFT(AS859,LEN(AS859)-2),IF(AR859&gt;0,"✔ Ready — client + "&amp;AR859&amp;" service(s)","✔ Ready — client only")))</f>
        <v/>
      </c>
      <c r="AN859" s="29">
        <f>UPPER(SUBSTITUTE(TRIM(F859)," ",""))</f>
        <v/>
      </c>
      <c r="AO859" s="29">
        <f>UPPER(SUBSTITUTE(TRIM(E859)," ",""))</f>
        <v/>
      </c>
      <c r="AP859" s="29">
        <f>IF(D859&lt;&gt;"",D859,IFERROR(VLOOKUP(MID(AG859,4,1),Lists!$E$2:$F$8,2,FALSE),""))</f>
        <v/>
      </c>
      <c r="AQ859" s="29">
        <f>IFERROR(VLOOKUP(AP859,Lists!$A$2:$C$12,3,FALSE),"")</f>
        <v/>
      </c>
      <c r="AR859" s="29">
        <f>COUNTIF(W859:AC859,"Yes")</f>
        <v/>
      </c>
      <c r="AS859" s="29">
        <f>IF(TRIM(B859)="","Legal name missing; ","")&amp;IF(AND(AJ859&lt;&gt;"",AJ859&lt;&gt;"OK"),"GSTIN: "&amp;AJ859&amp;"; ","")&amp;IF(AND(AK859&lt;&gt;"",AK859&lt;&gt;"OK"),"PAN wrong format; ","")&amp;IF(AND(AO859&lt;&gt;"",LEN(AN859)=15,MID(AN859,3,10)&lt;&gt;AO859),"PAN does not match GSTIN; ","")&amp;IF(AND(AL859&lt;&gt;"",AL859&lt;&gt;"OK"),"TAN wrong format; ","")&amp;IF(AG859="","PAN missing; ","")&amp;IF(AP859="","Entity type missing; ","")&amp;IF(AND(AN859&lt;&gt;"",COUNTIF($AN$6:$AN$1005,AN859)&gt;1),"GSTIN repeated in this sheet; ","")&amp;IF(AND(AG859&lt;&gt;"",COUNTIF($AG$6:$AG$1005,AG859)&gt;1),"PAN repeated in this sheet (same client? put extra GSTINs in Other GSTINs); ","")&amp;IF(AND(AR859&gt;0,V859=""),"Financial year missing; ","")&amp;IF(AND(AR859=0,V859&lt;&gt;""),"Financial year given but no service is Yes; ","")&amp;IF(AND(W859="Yes",AN859=""),"GST needs a GSTIN; ","")&amp;IF(AND(W859="Yes",X859=""),"GST return frequency missing; ","")&amp;IF(AND(Y859="Yes",TRIM(H859)=""),"TDS needs a TAN; ","")&amp;IF(AND(AA859="Yes",AQ859&lt;&gt;"",AQ859&lt;&gt;"company",AQ859&lt;&gt;"llp"),"ROC is only for a company / LLP; ","")&amp;IF(AND(AA859="Yes",OR(AQ859="company",AQ859="llp"),TRIM(I859)=""),"ROC needs the CIN / LLPIN; ","")</f>
        <v/>
      </c>
    </row>
    <row r="860">
      <c r="A860" s="30" t="n"/>
      <c r="B860" s="31" t="n"/>
      <c r="C860" s="31" t="n"/>
      <c r="D860" s="31" t="n"/>
      <c r="E860" s="30" t="n"/>
      <c r="F860" s="30" t="n"/>
      <c r="G860" s="30" t="n"/>
      <c r="H860" s="30" t="n"/>
      <c r="I860" s="30" t="n"/>
      <c r="J860" s="32" t="n"/>
      <c r="K860" s="31" t="n"/>
      <c r="L860" s="30" t="n"/>
      <c r="M860" s="31" t="n"/>
      <c r="N860" s="31" t="n"/>
      <c r="O860" s="31" t="n"/>
      <c r="P860" s="30" t="n"/>
      <c r="Q860" s="31" t="n"/>
      <c r="R860" s="31" t="n"/>
      <c r="S860" s="31" t="n"/>
      <c r="T860" s="31" t="n"/>
      <c r="U860" s="30" t="n"/>
      <c r="V860" s="31" t="n"/>
      <c r="W860" s="31" t="n"/>
      <c r="X860" s="31" t="n"/>
      <c r="Y860" s="31" t="n"/>
      <c r="Z860" s="31" t="n"/>
      <c r="AA860" s="31" t="n"/>
      <c r="AB860" s="31" t="n"/>
      <c r="AC860" s="31" t="n"/>
      <c r="AD860" s="31" t="n"/>
      <c r="AE860" s="31" t="n"/>
      <c r="AF860" s="27">
        <f>IF(NOT(COUNTA(A860:AE860)&gt;0),"",IF(A860="","New client","Update"))</f>
        <v/>
      </c>
      <c r="AG860" s="27">
        <f>IF(AO860&lt;&gt;"",AO860,IF(LEN(AN860)=15,MID(AN860,3,10),""))</f>
        <v/>
      </c>
      <c r="AH860" s="27">
        <f>IF(AP860="","",AP860&amp;IF(D860="","  (guessed from PAN)",""))</f>
        <v/>
      </c>
      <c r="AI860" s="27">
        <f>IF(AN860="","",IFERROR(INDEX(Lists!$L$2:$L$38,MATCH(LEFT(AN860,2),Lists!$K$2:$K$38,0)),"Unknown code"))</f>
        <v/>
      </c>
      <c r="AJ860" s="27">
        <f>IF(AN860="","",IFERROR(IF(NOT(AND(LEN(AN860)=15,ISNUMBER(MATCH(LEFT(AN860,2),Lists!$K$2:$K$38,0)),SUMPRODUCT(--ISERROR(FIND(MID(MID(AN860,3,10),{1,2,3,4,5,10},1),"ABCDEFGHIJKLMNOPQRSTUVWXYZ")))=0,SUMPRODUCT(--ISERROR(FIND(MID(MID(AN860,3,10),{6,7,8,9},1),"0123456789")))=0,ISNUMBER(FIND(MID(AN860,13,1),"123456789ABCDEFGHIJKLMNOPQRSTUVWXYZ")),MID(AN860,14,1)="Z")),"Wrong format",IF(MID("0123456789ABCDEFGHIJKLMNOPQRSTUVWXYZ",MOD(36-MOD(SUMPRODUCT(INT((FIND(MID(AN860,{1,2,3,4,5,6,7,8,9,10,11,12,13,14},1),"0123456789ABCDEFGHIJKLMNOPQRSTUVWXYZ")-1)*{1,2,1,2,1,2,1,2,1,2,1,2,1,2}/36)+MOD((FIND(MID(AN860,{1,2,3,4,5,6,7,8,9,10,11,12,13,14},1),"0123456789ABCDEFGHIJKLMNOPQRSTUVWXYZ")-1)*{1,2,1,2,1,2,1,2,1,2,1,2,1,2},36)),36),36)+1,1)=MID(AN860,15,1),"OK","Typo? check digit wrong")),"Wrong format"))</f>
        <v/>
      </c>
      <c r="AK860" s="27">
        <f>IF(AO860="","",IF(AND(LEN(AO860)=10,SUMPRODUCT(--ISERROR(FIND(MID(AO860,{1,2,3,4,5,10},1),"ABCDEFGHIJKLMNOPQRSTUVWXYZ")))=0,SUMPRODUCT(--ISERROR(FIND(MID(AO860,{6,7,8,9},1),"0123456789")))=0),"OK","Wrong format"))</f>
        <v/>
      </c>
      <c r="AL860" s="27">
        <f>IF(TRIM(H860)="","",IF(AND(LEN(UPPER(TRIM(H860)))=10,SUMPRODUCT(--ISERROR(FIND(MID(UPPER(TRIM(H860)),{1,2,3,4,10},1),"ABCDEFGHIJKLMNOPQRSTUVWXYZ")))=0,SUMPRODUCT(--ISERROR(FIND(MID(UPPER(TRIM(H860)),{5,6,7,8,9},1),"0123456789")))=0),"OK","Wrong format"))</f>
        <v/>
      </c>
      <c r="AM860" s="28">
        <f>IF(NOT(COUNTA(A860:AE860)&gt;0),"",IF(AS860&lt;&gt;"","✖ "&amp;LEFT(AS860,LEN(AS860)-2),IF(AR860&gt;0,"✔ Ready — client + "&amp;AR860&amp;" service(s)","✔ Ready — client only")))</f>
        <v/>
      </c>
      <c r="AN860" s="29">
        <f>UPPER(SUBSTITUTE(TRIM(F860)," ",""))</f>
        <v/>
      </c>
      <c r="AO860" s="29">
        <f>UPPER(SUBSTITUTE(TRIM(E860)," ",""))</f>
        <v/>
      </c>
      <c r="AP860" s="29">
        <f>IF(D860&lt;&gt;"",D860,IFERROR(VLOOKUP(MID(AG860,4,1),Lists!$E$2:$F$8,2,FALSE),""))</f>
        <v/>
      </c>
      <c r="AQ860" s="29">
        <f>IFERROR(VLOOKUP(AP860,Lists!$A$2:$C$12,3,FALSE),"")</f>
        <v/>
      </c>
      <c r="AR860" s="29">
        <f>COUNTIF(W860:AC860,"Yes")</f>
        <v/>
      </c>
      <c r="AS860" s="29">
        <f>IF(TRIM(B860)="","Legal name missing; ","")&amp;IF(AND(AJ860&lt;&gt;"",AJ860&lt;&gt;"OK"),"GSTIN: "&amp;AJ860&amp;"; ","")&amp;IF(AND(AK860&lt;&gt;"",AK860&lt;&gt;"OK"),"PAN wrong format; ","")&amp;IF(AND(AO860&lt;&gt;"",LEN(AN860)=15,MID(AN860,3,10)&lt;&gt;AO860),"PAN does not match GSTIN; ","")&amp;IF(AND(AL860&lt;&gt;"",AL860&lt;&gt;"OK"),"TAN wrong format; ","")&amp;IF(AG860="","PAN missing; ","")&amp;IF(AP860="","Entity type missing; ","")&amp;IF(AND(AN860&lt;&gt;"",COUNTIF($AN$6:$AN$1005,AN860)&gt;1),"GSTIN repeated in this sheet; ","")&amp;IF(AND(AG860&lt;&gt;"",COUNTIF($AG$6:$AG$1005,AG860)&gt;1),"PAN repeated in this sheet (same client? put extra GSTINs in Other GSTINs); ","")&amp;IF(AND(AR860&gt;0,V860=""),"Financial year missing; ","")&amp;IF(AND(AR860=0,V860&lt;&gt;""),"Financial year given but no service is Yes; ","")&amp;IF(AND(W860="Yes",AN860=""),"GST needs a GSTIN; ","")&amp;IF(AND(W860="Yes",X860=""),"GST return frequency missing; ","")&amp;IF(AND(Y860="Yes",TRIM(H860)=""),"TDS needs a TAN; ","")&amp;IF(AND(AA860="Yes",AQ860&lt;&gt;"",AQ860&lt;&gt;"company",AQ860&lt;&gt;"llp"),"ROC is only for a company / LLP; ","")&amp;IF(AND(AA860="Yes",OR(AQ860="company",AQ860="llp"),TRIM(I860)=""),"ROC needs the CIN / LLPIN; ","")</f>
        <v/>
      </c>
    </row>
    <row r="861">
      <c r="A861" s="30" t="n"/>
      <c r="B861" s="31" t="n"/>
      <c r="C861" s="31" t="n"/>
      <c r="D861" s="31" t="n"/>
      <c r="E861" s="30" t="n"/>
      <c r="F861" s="30" t="n"/>
      <c r="G861" s="30" t="n"/>
      <c r="H861" s="30" t="n"/>
      <c r="I861" s="30" t="n"/>
      <c r="J861" s="32" t="n"/>
      <c r="K861" s="31" t="n"/>
      <c r="L861" s="30" t="n"/>
      <c r="M861" s="31" t="n"/>
      <c r="N861" s="31" t="n"/>
      <c r="O861" s="31" t="n"/>
      <c r="P861" s="30" t="n"/>
      <c r="Q861" s="31" t="n"/>
      <c r="R861" s="31" t="n"/>
      <c r="S861" s="31" t="n"/>
      <c r="T861" s="31" t="n"/>
      <c r="U861" s="30" t="n"/>
      <c r="V861" s="31" t="n"/>
      <c r="W861" s="31" t="n"/>
      <c r="X861" s="31" t="n"/>
      <c r="Y861" s="31" t="n"/>
      <c r="Z861" s="31" t="n"/>
      <c r="AA861" s="31" t="n"/>
      <c r="AB861" s="31" t="n"/>
      <c r="AC861" s="31" t="n"/>
      <c r="AD861" s="31" t="n"/>
      <c r="AE861" s="31" t="n"/>
      <c r="AF861" s="27">
        <f>IF(NOT(COUNTA(A861:AE861)&gt;0),"",IF(A861="","New client","Update"))</f>
        <v/>
      </c>
      <c r="AG861" s="27">
        <f>IF(AO861&lt;&gt;"",AO861,IF(LEN(AN861)=15,MID(AN861,3,10),""))</f>
        <v/>
      </c>
      <c r="AH861" s="27">
        <f>IF(AP861="","",AP861&amp;IF(D861="","  (guessed from PAN)",""))</f>
        <v/>
      </c>
      <c r="AI861" s="27">
        <f>IF(AN861="","",IFERROR(INDEX(Lists!$L$2:$L$38,MATCH(LEFT(AN861,2),Lists!$K$2:$K$38,0)),"Unknown code"))</f>
        <v/>
      </c>
      <c r="AJ861" s="27">
        <f>IF(AN861="","",IFERROR(IF(NOT(AND(LEN(AN861)=15,ISNUMBER(MATCH(LEFT(AN861,2),Lists!$K$2:$K$38,0)),SUMPRODUCT(--ISERROR(FIND(MID(MID(AN861,3,10),{1,2,3,4,5,10},1),"ABCDEFGHIJKLMNOPQRSTUVWXYZ")))=0,SUMPRODUCT(--ISERROR(FIND(MID(MID(AN861,3,10),{6,7,8,9},1),"0123456789")))=0,ISNUMBER(FIND(MID(AN861,13,1),"123456789ABCDEFGHIJKLMNOPQRSTUVWXYZ")),MID(AN861,14,1)="Z")),"Wrong format",IF(MID("0123456789ABCDEFGHIJKLMNOPQRSTUVWXYZ",MOD(36-MOD(SUMPRODUCT(INT((FIND(MID(AN861,{1,2,3,4,5,6,7,8,9,10,11,12,13,14},1),"0123456789ABCDEFGHIJKLMNOPQRSTUVWXYZ")-1)*{1,2,1,2,1,2,1,2,1,2,1,2,1,2}/36)+MOD((FIND(MID(AN861,{1,2,3,4,5,6,7,8,9,10,11,12,13,14},1),"0123456789ABCDEFGHIJKLMNOPQRSTUVWXYZ")-1)*{1,2,1,2,1,2,1,2,1,2,1,2,1,2},36)),36),36)+1,1)=MID(AN861,15,1),"OK","Typo? check digit wrong")),"Wrong format"))</f>
        <v/>
      </c>
      <c r="AK861" s="27">
        <f>IF(AO861="","",IF(AND(LEN(AO861)=10,SUMPRODUCT(--ISERROR(FIND(MID(AO861,{1,2,3,4,5,10},1),"ABCDEFGHIJKLMNOPQRSTUVWXYZ")))=0,SUMPRODUCT(--ISERROR(FIND(MID(AO861,{6,7,8,9},1),"0123456789")))=0),"OK","Wrong format"))</f>
        <v/>
      </c>
      <c r="AL861" s="27">
        <f>IF(TRIM(H861)="","",IF(AND(LEN(UPPER(TRIM(H861)))=10,SUMPRODUCT(--ISERROR(FIND(MID(UPPER(TRIM(H861)),{1,2,3,4,10},1),"ABCDEFGHIJKLMNOPQRSTUVWXYZ")))=0,SUMPRODUCT(--ISERROR(FIND(MID(UPPER(TRIM(H861)),{5,6,7,8,9},1),"0123456789")))=0),"OK","Wrong format"))</f>
        <v/>
      </c>
      <c r="AM861" s="28">
        <f>IF(NOT(COUNTA(A861:AE861)&gt;0),"",IF(AS861&lt;&gt;"","✖ "&amp;LEFT(AS861,LEN(AS861)-2),IF(AR861&gt;0,"✔ Ready — client + "&amp;AR861&amp;" service(s)","✔ Ready — client only")))</f>
        <v/>
      </c>
      <c r="AN861" s="29">
        <f>UPPER(SUBSTITUTE(TRIM(F861)," ",""))</f>
        <v/>
      </c>
      <c r="AO861" s="29">
        <f>UPPER(SUBSTITUTE(TRIM(E861)," ",""))</f>
        <v/>
      </c>
      <c r="AP861" s="29">
        <f>IF(D861&lt;&gt;"",D861,IFERROR(VLOOKUP(MID(AG861,4,1),Lists!$E$2:$F$8,2,FALSE),""))</f>
        <v/>
      </c>
      <c r="AQ861" s="29">
        <f>IFERROR(VLOOKUP(AP861,Lists!$A$2:$C$12,3,FALSE),"")</f>
        <v/>
      </c>
      <c r="AR861" s="29">
        <f>COUNTIF(W861:AC861,"Yes")</f>
        <v/>
      </c>
      <c r="AS861" s="29">
        <f>IF(TRIM(B861)="","Legal name missing; ","")&amp;IF(AND(AJ861&lt;&gt;"",AJ861&lt;&gt;"OK"),"GSTIN: "&amp;AJ861&amp;"; ","")&amp;IF(AND(AK861&lt;&gt;"",AK861&lt;&gt;"OK"),"PAN wrong format; ","")&amp;IF(AND(AO861&lt;&gt;"",LEN(AN861)=15,MID(AN861,3,10)&lt;&gt;AO861),"PAN does not match GSTIN; ","")&amp;IF(AND(AL861&lt;&gt;"",AL861&lt;&gt;"OK"),"TAN wrong format; ","")&amp;IF(AG861="","PAN missing; ","")&amp;IF(AP861="","Entity type missing; ","")&amp;IF(AND(AN861&lt;&gt;"",COUNTIF($AN$6:$AN$1005,AN861)&gt;1),"GSTIN repeated in this sheet; ","")&amp;IF(AND(AG861&lt;&gt;"",COUNTIF($AG$6:$AG$1005,AG861)&gt;1),"PAN repeated in this sheet (same client? put extra GSTINs in Other GSTINs); ","")&amp;IF(AND(AR861&gt;0,V861=""),"Financial year missing; ","")&amp;IF(AND(AR861=0,V861&lt;&gt;""),"Financial year given but no service is Yes; ","")&amp;IF(AND(W861="Yes",AN861=""),"GST needs a GSTIN; ","")&amp;IF(AND(W861="Yes",X861=""),"GST return frequency missing; ","")&amp;IF(AND(Y861="Yes",TRIM(H861)=""),"TDS needs a TAN; ","")&amp;IF(AND(AA861="Yes",AQ861&lt;&gt;"",AQ861&lt;&gt;"company",AQ861&lt;&gt;"llp"),"ROC is only for a company / LLP; ","")&amp;IF(AND(AA861="Yes",OR(AQ861="company",AQ861="llp"),TRIM(I861)=""),"ROC needs the CIN / LLPIN; ","")</f>
        <v/>
      </c>
    </row>
    <row r="862">
      <c r="A862" s="30" t="n"/>
      <c r="B862" s="31" t="n"/>
      <c r="C862" s="31" t="n"/>
      <c r="D862" s="31" t="n"/>
      <c r="E862" s="30" t="n"/>
      <c r="F862" s="30" t="n"/>
      <c r="G862" s="30" t="n"/>
      <c r="H862" s="30" t="n"/>
      <c r="I862" s="30" t="n"/>
      <c r="J862" s="32" t="n"/>
      <c r="K862" s="31" t="n"/>
      <c r="L862" s="30" t="n"/>
      <c r="M862" s="31" t="n"/>
      <c r="N862" s="31" t="n"/>
      <c r="O862" s="31" t="n"/>
      <c r="P862" s="30" t="n"/>
      <c r="Q862" s="31" t="n"/>
      <c r="R862" s="31" t="n"/>
      <c r="S862" s="31" t="n"/>
      <c r="T862" s="31" t="n"/>
      <c r="U862" s="30" t="n"/>
      <c r="V862" s="31" t="n"/>
      <c r="W862" s="31" t="n"/>
      <c r="X862" s="31" t="n"/>
      <c r="Y862" s="31" t="n"/>
      <c r="Z862" s="31" t="n"/>
      <c r="AA862" s="31" t="n"/>
      <c r="AB862" s="31" t="n"/>
      <c r="AC862" s="31" t="n"/>
      <c r="AD862" s="31" t="n"/>
      <c r="AE862" s="31" t="n"/>
      <c r="AF862" s="27">
        <f>IF(NOT(COUNTA(A862:AE862)&gt;0),"",IF(A862="","New client","Update"))</f>
        <v/>
      </c>
      <c r="AG862" s="27">
        <f>IF(AO862&lt;&gt;"",AO862,IF(LEN(AN862)=15,MID(AN862,3,10),""))</f>
        <v/>
      </c>
      <c r="AH862" s="27">
        <f>IF(AP862="","",AP862&amp;IF(D862="","  (guessed from PAN)",""))</f>
        <v/>
      </c>
      <c r="AI862" s="27">
        <f>IF(AN862="","",IFERROR(INDEX(Lists!$L$2:$L$38,MATCH(LEFT(AN862,2),Lists!$K$2:$K$38,0)),"Unknown code"))</f>
        <v/>
      </c>
      <c r="AJ862" s="27">
        <f>IF(AN862="","",IFERROR(IF(NOT(AND(LEN(AN862)=15,ISNUMBER(MATCH(LEFT(AN862,2),Lists!$K$2:$K$38,0)),SUMPRODUCT(--ISERROR(FIND(MID(MID(AN862,3,10),{1,2,3,4,5,10},1),"ABCDEFGHIJKLMNOPQRSTUVWXYZ")))=0,SUMPRODUCT(--ISERROR(FIND(MID(MID(AN862,3,10),{6,7,8,9},1),"0123456789")))=0,ISNUMBER(FIND(MID(AN862,13,1),"123456789ABCDEFGHIJKLMNOPQRSTUVWXYZ")),MID(AN862,14,1)="Z")),"Wrong format",IF(MID("0123456789ABCDEFGHIJKLMNOPQRSTUVWXYZ",MOD(36-MOD(SUMPRODUCT(INT((FIND(MID(AN862,{1,2,3,4,5,6,7,8,9,10,11,12,13,14},1),"0123456789ABCDEFGHIJKLMNOPQRSTUVWXYZ")-1)*{1,2,1,2,1,2,1,2,1,2,1,2,1,2}/36)+MOD((FIND(MID(AN862,{1,2,3,4,5,6,7,8,9,10,11,12,13,14},1),"0123456789ABCDEFGHIJKLMNOPQRSTUVWXYZ")-1)*{1,2,1,2,1,2,1,2,1,2,1,2,1,2},36)),36),36)+1,1)=MID(AN862,15,1),"OK","Typo? check digit wrong")),"Wrong format"))</f>
        <v/>
      </c>
      <c r="AK862" s="27">
        <f>IF(AO862="","",IF(AND(LEN(AO862)=10,SUMPRODUCT(--ISERROR(FIND(MID(AO862,{1,2,3,4,5,10},1),"ABCDEFGHIJKLMNOPQRSTUVWXYZ")))=0,SUMPRODUCT(--ISERROR(FIND(MID(AO862,{6,7,8,9},1),"0123456789")))=0),"OK","Wrong format"))</f>
        <v/>
      </c>
      <c r="AL862" s="27">
        <f>IF(TRIM(H862)="","",IF(AND(LEN(UPPER(TRIM(H862)))=10,SUMPRODUCT(--ISERROR(FIND(MID(UPPER(TRIM(H862)),{1,2,3,4,10},1),"ABCDEFGHIJKLMNOPQRSTUVWXYZ")))=0,SUMPRODUCT(--ISERROR(FIND(MID(UPPER(TRIM(H862)),{5,6,7,8,9},1),"0123456789")))=0),"OK","Wrong format"))</f>
        <v/>
      </c>
      <c r="AM862" s="28">
        <f>IF(NOT(COUNTA(A862:AE862)&gt;0),"",IF(AS862&lt;&gt;"","✖ "&amp;LEFT(AS862,LEN(AS862)-2),IF(AR862&gt;0,"✔ Ready — client + "&amp;AR862&amp;" service(s)","✔ Ready — client only")))</f>
        <v/>
      </c>
      <c r="AN862" s="29">
        <f>UPPER(SUBSTITUTE(TRIM(F862)," ",""))</f>
        <v/>
      </c>
      <c r="AO862" s="29">
        <f>UPPER(SUBSTITUTE(TRIM(E862)," ",""))</f>
        <v/>
      </c>
      <c r="AP862" s="29">
        <f>IF(D862&lt;&gt;"",D862,IFERROR(VLOOKUP(MID(AG862,4,1),Lists!$E$2:$F$8,2,FALSE),""))</f>
        <v/>
      </c>
      <c r="AQ862" s="29">
        <f>IFERROR(VLOOKUP(AP862,Lists!$A$2:$C$12,3,FALSE),"")</f>
        <v/>
      </c>
      <c r="AR862" s="29">
        <f>COUNTIF(W862:AC862,"Yes")</f>
        <v/>
      </c>
      <c r="AS862" s="29">
        <f>IF(TRIM(B862)="","Legal name missing; ","")&amp;IF(AND(AJ862&lt;&gt;"",AJ862&lt;&gt;"OK"),"GSTIN: "&amp;AJ862&amp;"; ","")&amp;IF(AND(AK862&lt;&gt;"",AK862&lt;&gt;"OK"),"PAN wrong format; ","")&amp;IF(AND(AO862&lt;&gt;"",LEN(AN862)=15,MID(AN862,3,10)&lt;&gt;AO862),"PAN does not match GSTIN; ","")&amp;IF(AND(AL862&lt;&gt;"",AL862&lt;&gt;"OK"),"TAN wrong format; ","")&amp;IF(AG862="","PAN missing; ","")&amp;IF(AP862="","Entity type missing; ","")&amp;IF(AND(AN862&lt;&gt;"",COUNTIF($AN$6:$AN$1005,AN862)&gt;1),"GSTIN repeated in this sheet; ","")&amp;IF(AND(AG862&lt;&gt;"",COUNTIF($AG$6:$AG$1005,AG862)&gt;1),"PAN repeated in this sheet (same client? put extra GSTINs in Other GSTINs); ","")&amp;IF(AND(AR862&gt;0,V862=""),"Financial year missing; ","")&amp;IF(AND(AR862=0,V862&lt;&gt;""),"Financial year given but no service is Yes; ","")&amp;IF(AND(W862="Yes",AN862=""),"GST needs a GSTIN; ","")&amp;IF(AND(W862="Yes",X862=""),"GST return frequency missing; ","")&amp;IF(AND(Y862="Yes",TRIM(H862)=""),"TDS needs a TAN; ","")&amp;IF(AND(AA862="Yes",AQ862&lt;&gt;"",AQ862&lt;&gt;"company",AQ862&lt;&gt;"llp"),"ROC is only for a company / LLP; ","")&amp;IF(AND(AA862="Yes",OR(AQ862="company",AQ862="llp"),TRIM(I862)=""),"ROC needs the CIN / LLPIN; ","")</f>
        <v/>
      </c>
    </row>
    <row r="863">
      <c r="A863" s="30" t="n"/>
      <c r="B863" s="31" t="n"/>
      <c r="C863" s="31" t="n"/>
      <c r="D863" s="31" t="n"/>
      <c r="E863" s="30" t="n"/>
      <c r="F863" s="30" t="n"/>
      <c r="G863" s="30" t="n"/>
      <c r="H863" s="30" t="n"/>
      <c r="I863" s="30" t="n"/>
      <c r="J863" s="32" t="n"/>
      <c r="K863" s="31" t="n"/>
      <c r="L863" s="30" t="n"/>
      <c r="M863" s="31" t="n"/>
      <c r="N863" s="31" t="n"/>
      <c r="O863" s="31" t="n"/>
      <c r="P863" s="30" t="n"/>
      <c r="Q863" s="31" t="n"/>
      <c r="R863" s="31" t="n"/>
      <c r="S863" s="31" t="n"/>
      <c r="T863" s="31" t="n"/>
      <c r="U863" s="30" t="n"/>
      <c r="V863" s="31" t="n"/>
      <c r="W863" s="31" t="n"/>
      <c r="X863" s="31" t="n"/>
      <c r="Y863" s="31" t="n"/>
      <c r="Z863" s="31" t="n"/>
      <c r="AA863" s="31" t="n"/>
      <c r="AB863" s="31" t="n"/>
      <c r="AC863" s="31" t="n"/>
      <c r="AD863" s="31" t="n"/>
      <c r="AE863" s="31" t="n"/>
      <c r="AF863" s="27">
        <f>IF(NOT(COUNTA(A863:AE863)&gt;0),"",IF(A863="","New client","Update"))</f>
        <v/>
      </c>
      <c r="AG863" s="27">
        <f>IF(AO863&lt;&gt;"",AO863,IF(LEN(AN863)=15,MID(AN863,3,10),""))</f>
        <v/>
      </c>
      <c r="AH863" s="27">
        <f>IF(AP863="","",AP863&amp;IF(D863="","  (guessed from PAN)",""))</f>
        <v/>
      </c>
      <c r="AI863" s="27">
        <f>IF(AN863="","",IFERROR(INDEX(Lists!$L$2:$L$38,MATCH(LEFT(AN863,2),Lists!$K$2:$K$38,0)),"Unknown code"))</f>
        <v/>
      </c>
      <c r="AJ863" s="27">
        <f>IF(AN863="","",IFERROR(IF(NOT(AND(LEN(AN863)=15,ISNUMBER(MATCH(LEFT(AN863,2),Lists!$K$2:$K$38,0)),SUMPRODUCT(--ISERROR(FIND(MID(MID(AN863,3,10),{1,2,3,4,5,10},1),"ABCDEFGHIJKLMNOPQRSTUVWXYZ")))=0,SUMPRODUCT(--ISERROR(FIND(MID(MID(AN863,3,10),{6,7,8,9},1),"0123456789")))=0,ISNUMBER(FIND(MID(AN863,13,1),"123456789ABCDEFGHIJKLMNOPQRSTUVWXYZ")),MID(AN863,14,1)="Z")),"Wrong format",IF(MID("0123456789ABCDEFGHIJKLMNOPQRSTUVWXYZ",MOD(36-MOD(SUMPRODUCT(INT((FIND(MID(AN863,{1,2,3,4,5,6,7,8,9,10,11,12,13,14},1),"0123456789ABCDEFGHIJKLMNOPQRSTUVWXYZ")-1)*{1,2,1,2,1,2,1,2,1,2,1,2,1,2}/36)+MOD((FIND(MID(AN863,{1,2,3,4,5,6,7,8,9,10,11,12,13,14},1),"0123456789ABCDEFGHIJKLMNOPQRSTUVWXYZ")-1)*{1,2,1,2,1,2,1,2,1,2,1,2,1,2},36)),36),36)+1,1)=MID(AN863,15,1),"OK","Typo? check digit wrong")),"Wrong format"))</f>
        <v/>
      </c>
      <c r="AK863" s="27">
        <f>IF(AO863="","",IF(AND(LEN(AO863)=10,SUMPRODUCT(--ISERROR(FIND(MID(AO863,{1,2,3,4,5,10},1),"ABCDEFGHIJKLMNOPQRSTUVWXYZ")))=0,SUMPRODUCT(--ISERROR(FIND(MID(AO863,{6,7,8,9},1),"0123456789")))=0),"OK","Wrong format"))</f>
        <v/>
      </c>
      <c r="AL863" s="27">
        <f>IF(TRIM(H863)="","",IF(AND(LEN(UPPER(TRIM(H863)))=10,SUMPRODUCT(--ISERROR(FIND(MID(UPPER(TRIM(H863)),{1,2,3,4,10},1),"ABCDEFGHIJKLMNOPQRSTUVWXYZ")))=0,SUMPRODUCT(--ISERROR(FIND(MID(UPPER(TRIM(H863)),{5,6,7,8,9},1),"0123456789")))=0),"OK","Wrong format"))</f>
        <v/>
      </c>
      <c r="AM863" s="28">
        <f>IF(NOT(COUNTA(A863:AE863)&gt;0),"",IF(AS863&lt;&gt;"","✖ "&amp;LEFT(AS863,LEN(AS863)-2),IF(AR863&gt;0,"✔ Ready — client + "&amp;AR863&amp;" service(s)","✔ Ready — client only")))</f>
        <v/>
      </c>
      <c r="AN863" s="29">
        <f>UPPER(SUBSTITUTE(TRIM(F863)," ",""))</f>
        <v/>
      </c>
      <c r="AO863" s="29">
        <f>UPPER(SUBSTITUTE(TRIM(E863)," ",""))</f>
        <v/>
      </c>
      <c r="AP863" s="29">
        <f>IF(D863&lt;&gt;"",D863,IFERROR(VLOOKUP(MID(AG863,4,1),Lists!$E$2:$F$8,2,FALSE),""))</f>
        <v/>
      </c>
      <c r="AQ863" s="29">
        <f>IFERROR(VLOOKUP(AP863,Lists!$A$2:$C$12,3,FALSE),"")</f>
        <v/>
      </c>
      <c r="AR863" s="29">
        <f>COUNTIF(W863:AC863,"Yes")</f>
        <v/>
      </c>
      <c r="AS863" s="29">
        <f>IF(TRIM(B863)="","Legal name missing; ","")&amp;IF(AND(AJ863&lt;&gt;"",AJ863&lt;&gt;"OK"),"GSTIN: "&amp;AJ863&amp;"; ","")&amp;IF(AND(AK863&lt;&gt;"",AK863&lt;&gt;"OK"),"PAN wrong format; ","")&amp;IF(AND(AO863&lt;&gt;"",LEN(AN863)=15,MID(AN863,3,10)&lt;&gt;AO863),"PAN does not match GSTIN; ","")&amp;IF(AND(AL863&lt;&gt;"",AL863&lt;&gt;"OK"),"TAN wrong format; ","")&amp;IF(AG863="","PAN missing; ","")&amp;IF(AP863="","Entity type missing; ","")&amp;IF(AND(AN863&lt;&gt;"",COUNTIF($AN$6:$AN$1005,AN863)&gt;1),"GSTIN repeated in this sheet; ","")&amp;IF(AND(AG863&lt;&gt;"",COUNTIF($AG$6:$AG$1005,AG863)&gt;1),"PAN repeated in this sheet (same client? put extra GSTINs in Other GSTINs); ","")&amp;IF(AND(AR863&gt;0,V863=""),"Financial year missing; ","")&amp;IF(AND(AR863=0,V863&lt;&gt;""),"Financial year given but no service is Yes; ","")&amp;IF(AND(W863="Yes",AN863=""),"GST needs a GSTIN; ","")&amp;IF(AND(W863="Yes",X863=""),"GST return frequency missing; ","")&amp;IF(AND(Y863="Yes",TRIM(H863)=""),"TDS needs a TAN; ","")&amp;IF(AND(AA863="Yes",AQ863&lt;&gt;"",AQ863&lt;&gt;"company",AQ863&lt;&gt;"llp"),"ROC is only for a company / LLP; ","")&amp;IF(AND(AA863="Yes",OR(AQ863="company",AQ863="llp"),TRIM(I863)=""),"ROC needs the CIN / LLPIN; ","")</f>
        <v/>
      </c>
    </row>
    <row r="864">
      <c r="A864" s="30" t="n"/>
      <c r="B864" s="31" t="n"/>
      <c r="C864" s="31" t="n"/>
      <c r="D864" s="31" t="n"/>
      <c r="E864" s="30" t="n"/>
      <c r="F864" s="30" t="n"/>
      <c r="G864" s="30" t="n"/>
      <c r="H864" s="30" t="n"/>
      <c r="I864" s="30" t="n"/>
      <c r="J864" s="32" t="n"/>
      <c r="K864" s="31" t="n"/>
      <c r="L864" s="30" t="n"/>
      <c r="M864" s="31" t="n"/>
      <c r="N864" s="31" t="n"/>
      <c r="O864" s="31" t="n"/>
      <c r="P864" s="30" t="n"/>
      <c r="Q864" s="31" t="n"/>
      <c r="R864" s="31" t="n"/>
      <c r="S864" s="31" t="n"/>
      <c r="T864" s="31" t="n"/>
      <c r="U864" s="30" t="n"/>
      <c r="V864" s="31" t="n"/>
      <c r="W864" s="31" t="n"/>
      <c r="X864" s="31" t="n"/>
      <c r="Y864" s="31" t="n"/>
      <c r="Z864" s="31" t="n"/>
      <c r="AA864" s="31" t="n"/>
      <c r="AB864" s="31" t="n"/>
      <c r="AC864" s="31" t="n"/>
      <c r="AD864" s="31" t="n"/>
      <c r="AE864" s="31" t="n"/>
      <c r="AF864" s="27">
        <f>IF(NOT(COUNTA(A864:AE864)&gt;0),"",IF(A864="","New client","Update"))</f>
        <v/>
      </c>
      <c r="AG864" s="27">
        <f>IF(AO864&lt;&gt;"",AO864,IF(LEN(AN864)=15,MID(AN864,3,10),""))</f>
        <v/>
      </c>
      <c r="AH864" s="27">
        <f>IF(AP864="","",AP864&amp;IF(D864="","  (guessed from PAN)",""))</f>
        <v/>
      </c>
      <c r="AI864" s="27">
        <f>IF(AN864="","",IFERROR(INDEX(Lists!$L$2:$L$38,MATCH(LEFT(AN864,2),Lists!$K$2:$K$38,0)),"Unknown code"))</f>
        <v/>
      </c>
      <c r="AJ864" s="27">
        <f>IF(AN864="","",IFERROR(IF(NOT(AND(LEN(AN864)=15,ISNUMBER(MATCH(LEFT(AN864,2),Lists!$K$2:$K$38,0)),SUMPRODUCT(--ISERROR(FIND(MID(MID(AN864,3,10),{1,2,3,4,5,10},1),"ABCDEFGHIJKLMNOPQRSTUVWXYZ")))=0,SUMPRODUCT(--ISERROR(FIND(MID(MID(AN864,3,10),{6,7,8,9},1),"0123456789")))=0,ISNUMBER(FIND(MID(AN864,13,1),"123456789ABCDEFGHIJKLMNOPQRSTUVWXYZ")),MID(AN864,14,1)="Z")),"Wrong format",IF(MID("0123456789ABCDEFGHIJKLMNOPQRSTUVWXYZ",MOD(36-MOD(SUMPRODUCT(INT((FIND(MID(AN864,{1,2,3,4,5,6,7,8,9,10,11,12,13,14},1),"0123456789ABCDEFGHIJKLMNOPQRSTUVWXYZ")-1)*{1,2,1,2,1,2,1,2,1,2,1,2,1,2}/36)+MOD((FIND(MID(AN864,{1,2,3,4,5,6,7,8,9,10,11,12,13,14},1),"0123456789ABCDEFGHIJKLMNOPQRSTUVWXYZ")-1)*{1,2,1,2,1,2,1,2,1,2,1,2,1,2},36)),36),36)+1,1)=MID(AN864,15,1),"OK","Typo? check digit wrong")),"Wrong format"))</f>
        <v/>
      </c>
      <c r="AK864" s="27">
        <f>IF(AO864="","",IF(AND(LEN(AO864)=10,SUMPRODUCT(--ISERROR(FIND(MID(AO864,{1,2,3,4,5,10},1),"ABCDEFGHIJKLMNOPQRSTUVWXYZ")))=0,SUMPRODUCT(--ISERROR(FIND(MID(AO864,{6,7,8,9},1),"0123456789")))=0),"OK","Wrong format"))</f>
        <v/>
      </c>
      <c r="AL864" s="27">
        <f>IF(TRIM(H864)="","",IF(AND(LEN(UPPER(TRIM(H864)))=10,SUMPRODUCT(--ISERROR(FIND(MID(UPPER(TRIM(H864)),{1,2,3,4,10},1),"ABCDEFGHIJKLMNOPQRSTUVWXYZ")))=0,SUMPRODUCT(--ISERROR(FIND(MID(UPPER(TRIM(H864)),{5,6,7,8,9},1),"0123456789")))=0),"OK","Wrong format"))</f>
        <v/>
      </c>
      <c r="AM864" s="28">
        <f>IF(NOT(COUNTA(A864:AE864)&gt;0),"",IF(AS864&lt;&gt;"","✖ "&amp;LEFT(AS864,LEN(AS864)-2),IF(AR864&gt;0,"✔ Ready — client + "&amp;AR864&amp;" service(s)","✔ Ready — client only")))</f>
        <v/>
      </c>
      <c r="AN864" s="29">
        <f>UPPER(SUBSTITUTE(TRIM(F864)," ",""))</f>
        <v/>
      </c>
      <c r="AO864" s="29">
        <f>UPPER(SUBSTITUTE(TRIM(E864)," ",""))</f>
        <v/>
      </c>
      <c r="AP864" s="29">
        <f>IF(D864&lt;&gt;"",D864,IFERROR(VLOOKUP(MID(AG864,4,1),Lists!$E$2:$F$8,2,FALSE),""))</f>
        <v/>
      </c>
      <c r="AQ864" s="29">
        <f>IFERROR(VLOOKUP(AP864,Lists!$A$2:$C$12,3,FALSE),"")</f>
        <v/>
      </c>
      <c r="AR864" s="29">
        <f>COUNTIF(W864:AC864,"Yes")</f>
        <v/>
      </c>
      <c r="AS864" s="29">
        <f>IF(TRIM(B864)="","Legal name missing; ","")&amp;IF(AND(AJ864&lt;&gt;"",AJ864&lt;&gt;"OK"),"GSTIN: "&amp;AJ864&amp;"; ","")&amp;IF(AND(AK864&lt;&gt;"",AK864&lt;&gt;"OK"),"PAN wrong format; ","")&amp;IF(AND(AO864&lt;&gt;"",LEN(AN864)=15,MID(AN864,3,10)&lt;&gt;AO864),"PAN does not match GSTIN; ","")&amp;IF(AND(AL864&lt;&gt;"",AL864&lt;&gt;"OK"),"TAN wrong format; ","")&amp;IF(AG864="","PAN missing; ","")&amp;IF(AP864="","Entity type missing; ","")&amp;IF(AND(AN864&lt;&gt;"",COUNTIF($AN$6:$AN$1005,AN864)&gt;1),"GSTIN repeated in this sheet; ","")&amp;IF(AND(AG864&lt;&gt;"",COUNTIF($AG$6:$AG$1005,AG864)&gt;1),"PAN repeated in this sheet (same client? put extra GSTINs in Other GSTINs); ","")&amp;IF(AND(AR864&gt;0,V864=""),"Financial year missing; ","")&amp;IF(AND(AR864=0,V864&lt;&gt;""),"Financial year given but no service is Yes; ","")&amp;IF(AND(W864="Yes",AN864=""),"GST needs a GSTIN; ","")&amp;IF(AND(W864="Yes",X864=""),"GST return frequency missing; ","")&amp;IF(AND(Y864="Yes",TRIM(H864)=""),"TDS needs a TAN; ","")&amp;IF(AND(AA864="Yes",AQ864&lt;&gt;"",AQ864&lt;&gt;"company",AQ864&lt;&gt;"llp"),"ROC is only for a company / LLP; ","")&amp;IF(AND(AA864="Yes",OR(AQ864="company",AQ864="llp"),TRIM(I864)=""),"ROC needs the CIN / LLPIN; ","")</f>
        <v/>
      </c>
    </row>
    <row r="865">
      <c r="A865" s="30" t="n"/>
      <c r="B865" s="31" t="n"/>
      <c r="C865" s="31" t="n"/>
      <c r="D865" s="31" t="n"/>
      <c r="E865" s="30" t="n"/>
      <c r="F865" s="30" t="n"/>
      <c r="G865" s="30" t="n"/>
      <c r="H865" s="30" t="n"/>
      <c r="I865" s="30" t="n"/>
      <c r="J865" s="32" t="n"/>
      <c r="K865" s="31" t="n"/>
      <c r="L865" s="30" t="n"/>
      <c r="M865" s="31" t="n"/>
      <c r="N865" s="31" t="n"/>
      <c r="O865" s="31" t="n"/>
      <c r="P865" s="30" t="n"/>
      <c r="Q865" s="31" t="n"/>
      <c r="R865" s="31" t="n"/>
      <c r="S865" s="31" t="n"/>
      <c r="T865" s="31" t="n"/>
      <c r="U865" s="30" t="n"/>
      <c r="V865" s="31" t="n"/>
      <c r="W865" s="31" t="n"/>
      <c r="X865" s="31" t="n"/>
      <c r="Y865" s="31" t="n"/>
      <c r="Z865" s="31" t="n"/>
      <c r="AA865" s="31" t="n"/>
      <c r="AB865" s="31" t="n"/>
      <c r="AC865" s="31" t="n"/>
      <c r="AD865" s="31" t="n"/>
      <c r="AE865" s="31" t="n"/>
      <c r="AF865" s="27">
        <f>IF(NOT(COUNTA(A865:AE865)&gt;0),"",IF(A865="","New client","Update"))</f>
        <v/>
      </c>
      <c r="AG865" s="27">
        <f>IF(AO865&lt;&gt;"",AO865,IF(LEN(AN865)=15,MID(AN865,3,10),""))</f>
        <v/>
      </c>
      <c r="AH865" s="27">
        <f>IF(AP865="","",AP865&amp;IF(D865="","  (guessed from PAN)",""))</f>
        <v/>
      </c>
      <c r="AI865" s="27">
        <f>IF(AN865="","",IFERROR(INDEX(Lists!$L$2:$L$38,MATCH(LEFT(AN865,2),Lists!$K$2:$K$38,0)),"Unknown code"))</f>
        <v/>
      </c>
      <c r="AJ865" s="27">
        <f>IF(AN865="","",IFERROR(IF(NOT(AND(LEN(AN865)=15,ISNUMBER(MATCH(LEFT(AN865,2),Lists!$K$2:$K$38,0)),SUMPRODUCT(--ISERROR(FIND(MID(MID(AN865,3,10),{1,2,3,4,5,10},1),"ABCDEFGHIJKLMNOPQRSTUVWXYZ")))=0,SUMPRODUCT(--ISERROR(FIND(MID(MID(AN865,3,10),{6,7,8,9},1),"0123456789")))=0,ISNUMBER(FIND(MID(AN865,13,1),"123456789ABCDEFGHIJKLMNOPQRSTUVWXYZ")),MID(AN865,14,1)="Z")),"Wrong format",IF(MID("0123456789ABCDEFGHIJKLMNOPQRSTUVWXYZ",MOD(36-MOD(SUMPRODUCT(INT((FIND(MID(AN865,{1,2,3,4,5,6,7,8,9,10,11,12,13,14},1),"0123456789ABCDEFGHIJKLMNOPQRSTUVWXYZ")-1)*{1,2,1,2,1,2,1,2,1,2,1,2,1,2}/36)+MOD((FIND(MID(AN865,{1,2,3,4,5,6,7,8,9,10,11,12,13,14},1),"0123456789ABCDEFGHIJKLMNOPQRSTUVWXYZ")-1)*{1,2,1,2,1,2,1,2,1,2,1,2,1,2},36)),36),36)+1,1)=MID(AN865,15,1),"OK","Typo? check digit wrong")),"Wrong format"))</f>
        <v/>
      </c>
      <c r="AK865" s="27">
        <f>IF(AO865="","",IF(AND(LEN(AO865)=10,SUMPRODUCT(--ISERROR(FIND(MID(AO865,{1,2,3,4,5,10},1),"ABCDEFGHIJKLMNOPQRSTUVWXYZ")))=0,SUMPRODUCT(--ISERROR(FIND(MID(AO865,{6,7,8,9},1),"0123456789")))=0),"OK","Wrong format"))</f>
        <v/>
      </c>
      <c r="AL865" s="27">
        <f>IF(TRIM(H865)="","",IF(AND(LEN(UPPER(TRIM(H865)))=10,SUMPRODUCT(--ISERROR(FIND(MID(UPPER(TRIM(H865)),{1,2,3,4,10},1),"ABCDEFGHIJKLMNOPQRSTUVWXYZ")))=0,SUMPRODUCT(--ISERROR(FIND(MID(UPPER(TRIM(H865)),{5,6,7,8,9},1),"0123456789")))=0),"OK","Wrong format"))</f>
        <v/>
      </c>
      <c r="AM865" s="28">
        <f>IF(NOT(COUNTA(A865:AE865)&gt;0),"",IF(AS865&lt;&gt;"","✖ "&amp;LEFT(AS865,LEN(AS865)-2),IF(AR865&gt;0,"✔ Ready — client + "&amp;AR865&amp;" service(s)","✔ Ready — client only")))</f>
        <v/>
      </c>
      <c r="AN865" s="29">
        <f>UPPER(SUBSTITUTE(TRIM(F865)," ",""))</f>
        <v/>
      </c>
      <c r="AO865" s="29">
        <f>UPPER(SUBSTITUTE(TRIM(E865)," ",""))</f>
        <v/>
      </c>
      <c r="AP865" s="29">
        <f>IF(D865&lt;&gt;"",D865,IFERROR(VLOOKUP(MID(AG865,4,1),Lists!$E$2:$F$8,2,FALSE),""))</f>
        <v/>
      </c>
      <c r="AQ865" s="29">
        <f>IFERROR(VLOOKUP(AP865,Lists!$A$2:$C$12,3,FALSE),"")</f>
        <v/>
      </c>
      <c r="AR865" s="29">
        <f>COUNTIF(W865:AC865,"Yes")</f>
        <v/>
      </c>
      <c r="AS865" s="29">
        <f>IF(TRIM(B865)="","Legal name missing; ","")&amp;IF(AND(AJ865&lt;&gt;"",AJ865&lt;&gt;"OK"),"GSTIN: "&amp;AJ865&amp;"; ","")&amp;IF(AND(AK865&lt;&gt;"",AK865&lt;&gt;"OK"),"PAN wrong format; ","")&amp;IF(AND(AO865&lt;&gt;"",LEN(AN865)=15,MID(AN865,3,10)&lt;&gt;AO865),"PAN does not match GSTIN; ","")&amp;IF(AND(AL865&lt;&gt;"",AL865&lt;&gt;"OK"),"TAN wrong format; ","")&amp;IF(AG865="","PAN missing; ","")&amp;IF(AP865="","Entity type missing; ","")&amp;IF(AND(AN865&lt;&gt;"",COUNTIF($AN$6:$AN$1005,AN865)&gt;1),"GSTIN repeated in this sheet; ","")&amp;IF(AND(AG865&lt;&gt;"",COUNTIF($AG$6:$AG$1005,AG865)&gt;1),"PAN repeated in this sheet (same client? put extra GSTINs in Other GSTINs); ","")&amp;IF(AND(AR865&gt;0,V865=""),"Financial year missing; ","")&amp;IF(AND(AR865=0,V865&lt;&gt;""),"Financial year given but no service is Yes; ","")&amp;IF(AND(W865="Yes",AN865=""),"GST needs a GSTIN; ","")&amp;IF(AND(W865="Yes",X865=""),"GST return frequency missing; ","")&amp;IF(AND(Y865="Yes",TRIM(H865)=""),"TDS needs a TAN; ","")&amp;IF(AND(AA865="Yes",AQ865&lt;&gt;"",AQ865&lt;&gt;"company",AQ865&lt;&gt;"llp"),"ROC is only for a company / LLP; ","")&amp;IF(AND(AA865="Yes",OR(AQ865="company",AQ865="llp"),TRIM(I865)=""),"ROC needs the CIN / LLPIN; ","")</f>
        <v/>
      </c>
    </row>
    <row r="866">
      <c r="A866" s="30" t="n"/>
      <c r="B866" s="31" t="n"/>
      <c r="C866" s="31" t="n"/>
      <c r="D866" s="31" t="n"/>
      <c r="E866" s="30" t="n"/>
      <c r="F866" s="30" t="n"/>
      <c r="G866" s="30" t="n"/>
      <c r="H866" s="30" t="n"/>
      <c r="I866" s="30" t="n"/>
      <c r="J866" s="32" t="n"/>
      <c r="K866" s="31" t="n"/>
      <c r="L866" s="30" t="n"/>
      <c r="M866" s="31" t="n"/>
      <c r="N866" s="31" t="n"/>
      <c r="O866" s="31" t="n"/>
      <c r="P866" s="30" t="n"/>
      <c r="Q866" s="31" t="n"/>
      <c r="R866" s="31" t="n"/>
      <c r="S866" s="31" t="n"/>
      <c r="T866" s="31" t="n"/>
      <c r="U866" s="30" t="n"/>
      <c r="V866" s="31" t="n"/>
      <c r="W866" s="31" t="n"/>
      <c r="X866" s="31" t="n"/>
      <c r="Y866" s="31" t="n"/>
      <c r="Z866" s="31" t="n"/>
      <c r="AA866" s="31" t="n"/>
      <c r="AB866" s="31" t="n"/>
      <c r="AC866" s="31" t="n"/>
      <c r="AD866" s="31" t="n"/>
      <c r="AE866" s="31" t="n"/>
      <c r="AF866" s="27">
        <f>IF(NOT(COUNTA(A866:AE866)&gt;0),"",IF(A866="","New client","Update"))</f>
        <v/>
      </c>
      <c r="AG866" s="27">
        <f>IF(AO866&lt;&gt;"",AO866,IF(LEN(AN866)=15,MID(AN866,3,10),""))</f>
        <v/>
      </c>
      <c r="AH866" s="27">
        <f>IF(AP866="","",AP866&amp;IF(D866="","  (guessed from PAN)",""))</f>
        <v/>
      </c>
      <c r="AI866" s="27">
        <f>IF(AN866="","",IFERROR(INDEX(Lists!$L$2:$L$38,MATCH(LEFT(AN866,2),Lists!$K$2:$K$38,0)),"Unknown code"))</f>
        <v/>
      </c>
      <c r="AJ866" s="27">
        <f>IF(AN866="","",IFERROR(IF(NOT(AND(LEN(AN866)=15,ISNUMBER(MATCH(LEFT(AN866,2),Lists!$K$2:$K$38,0)),SUMPRODUCT(--ISERROR(FIND(MID(MID(AN866,3,10),{1,2,3,4,5,10},1),"ABCDEFGHIJKLMNOPQRSTUVWXYZ")))=0,SUMPRODUCT(--ISERROR(FIND(MID(MID(AN866,3,10),{6,7,8,9},1),"0123456789")))=0,ISNUMBER(FIND(MID(AN866,13,1),"123456789ABCDEFGHIJKLMNOPQRSTUVWXYZ")),MID(AN866,14,1)="Z")),"Wrong format",IF(MID("0123456789ABCDEFGHIJKLMNOPQRSTUVWXYZ",MOD(36-MOD(SUMPRODUCT(INT((FIND(MID(AN866,{1,2,3,4,5,6,7,8,9,10,11,12,13,14},1),"0123456789ABCDEFGHIJKLMNOPQRSTUVWXYZ")-1)*{1,2,1,2,1,2,1,2,1,2,1,2,1,2}/36)+MOD((FIND(MID(AN866,{1,2,3,4,5,6,7,8,9,10,11,12,13,14},1),"0123456789ABCDEFGHIJKLMNOPQRSTUVWXYZ")-1)*{1,2,1,2,1,2,1,2,1,2,1,2,1,2},36)),36),36)+1,1)=MID(AN866,15,1),"OK","Typo? check digit wrong")),"Wrong format"))</f>
        <v/>
      </c>
      <c r="AK866" s="27">
        <f>IF(AO866="","",IF(AND(LEN(AO866)=10,SUMPRODUCT(--ISERROR(FIND(MID(AO866,{1,2,3,4,5,10},1),"ABCDEFGHIJKLMNOPQRSTUVWXYZ")))=0,SUMPRODUCT(--ISERROR(FIND(MID(AO866,{6,7,8,9},1),"0123456789")))=0),"OK","Wrong format"))</f>
        <v/>
      </c>
      <c r="AL866" s="27">
        <f>IF(TRIM(H866)="","",IF(AND(LEN(UPPER(TRIM(H866)))=10,SUMPRODUCT(--ISERROR(FIND(MID(UPPER(TRIM(H866)),{1,2,3,4,10},1),"ABCDEFGHIJKLMNOPQRSTUVWXYZ")))=0,SUMPRODUCT(--ISERROR(FIND(MID(UPPER(TRIM(H866)),{5,6,7,8,9},1),"0123456789")))=0),"OK","Wrong format"))</f>
        <v/>
      </c>
      <c r="AM866" s="28">
        <f>IF(NOT(COUNTA(A866:AE866)&gt;0),"",IF(AS866&lt;&gt;"","✖ "&amp;LEFT(AS866,LEN(AS866)-2),IF(AR866&gt;0,"✔ Ready — client + "&amp;AR866&amp;" service(s)","✔ Ready — client only")))</f>
        <v/>
      </c>
      <c r="AN866" s="29">
        <f>UPPER(SUBSTITUTE(TRIM(F866)," ",""))</f>
        <v/>
      </c>
      <c r="AO866" s="29">
        <f>UPPER(SUBSTITUTE(TRIM(E866)," ",""))</f>
        <v/>
      </c>
      <c r="AP866" s="29">
        <f>IF(D866&lt;&gt;"",D866,IFERROR(VLOOKUP(MID(AG866,4,1),Lists!$E$2:$F$8,2,FALSE),""))</f>
        <v/>
      </c>
      <c r="AQ866" s="29">
        <f>IFERROR(VLOOKUP(AP866,Lists!$A$2:$C$12,3,FALSE),"")</f>
        <v/>
      </c>
      <c r="AR866" s="29">
        <f>COUNTIF(W866:AC866,"Yes")</f>
        <v/>
      </c>
      <c r="AS866" s="29">
        <f>IF(TRIM(B866)="","Legal name missing; ","")&amp;IF(AND(AJ866&lt;&gt;"",AJ866&lt;&gt;"OK"),"GSTIN: "&amp;AJ866&amp;"; ","")&amp;IF(AND(AK866&lt;&gt;"",AK866&lt;&gt;"OK"),"PAN wrong format; ","")&amp;IF(AND(AO866&lt;&gt;"",LEN(AN866)=15,MID(AN866,3,10)&lt;&gt;AO866),"PAN does not match GSTIN; ","")&amp;IF(AND(AL866&lt;&gt;"",AL866&lt;&gt;"OK"),"TAN wrong format; ","")&amp;IF(AG866="","PAN missing; ","")&amp;IF(AP866="","Entity type missing; ","")&amp;IF(AND(AN866&lt;&gt;"",COUNTIF($AN$6:$AN$1005,AN866)&gt;1),"GSTIN repeated in this sheet; ","")&amp;IF(AND(AG866&lt;&gt;"",COUNTIF($AG$6:$AG$1005,AG866)&gt;1),"PAN repeated in this sheet (same client? put extra GSTINs in Other GSTINs); ","")&amp;IF(AND(AR866&gt;0,V866=""),"Financial year missing; ","")&amp;IF(AND(AR866=0,V866&lt;&gt;""),"Financial year given but no service is Yes; ","")&amp;IF(AND(W866="Yes",AN866=""),"GST needs a GSTIN; ","")&amp;IF(AND(W866="Yes",X866=""),"GST return frequency missing; ","")&amp;IF(AND(Y866="Yes",TRIM(H866)=""),"TDS needs a TAN; ","")&amp;IF(AND(AA866="Yes",AQ866&lt;&gt;"",AQ866&lt;&gt;"company",AQ866&lt;&gt;"llp"),"ROC is only for a company / LLP; ","")&amp;IF(AND(AA866="Yes",OR(AQ866="company",AQ866="llp"),TRIM(I866)=""),"ROC needs the CIN / LLPIN; ","")</f>
        <v/>
      </c>
    </row>
    <row r="867">
      <c r="A867" s="30" t="n"/>
      <c r="B867" s="31" t="n"/>
      <c r="C867" s="31" t="n"/>
      <c r="D867" s="31" t="n"/>
      <c r="E867" s="30" t="n"/>
      <c r="F867" s="30" t="n"/>
      <c r="G867" s="30" t="n"/>
      <c r="H867" s="30" t="n"/>
      <c r="I867" s="30" t="n"/>
      <c r="J867" s="32" t="n"/>
      <c r="K867" s="31" t="n"/>
      <c r="L867" s="30" t="n"/>
      <c r="M867" s="31" t="n"/>
      <c r="N867" s="31" t="n"/>
      <c r="O867" s="31" t="n"/>
      <c r="P867" s="30" t="n"/>
      <c r="Q867" s="31" t="n"/>
      <c r="R867" s="31" t="n"/>
      <c r="S867" s="31" t="n"/>
      <c r="T867" s="31" t="n"/>
      <c r="U867" s="30" t="n"/>
      <c r="V867" s="31" t="n"/>
      <c r="W867" s="31" t="n"/>
      <c r="X867" s="31" t="n"/>
      <c r="Y867" s="31" t="n"/>
      <c r="Z867" s="31" t="n"/>
      <c r="AA867" s="31" t="n"/>
      <c r="AB867" s="31" t="n"/>
      <c r="AC867" s="31" t="n"/>
      <c r="AD867" s="31" t="n"/>
      <c r="AE867" s="31" t="n"/>
      <c r="AF867" s="27">
        <f>IF(NOT(COUNTA(A867:AE867)&gt;0),"",IF(A867="","New client","Update"))</f>
        <v/>
      </c>
      <c r="AG867" s="27">
        <f>IF(AO867&lt;&gt;"",AO867,IF(LEN(AN867)=15,MID(AN867,3,10),""))</f>
        <v/>
      </c>
      <c r="AH867" s="27">
        <f>IF(AP867="","",AP867&amp;IF(D867="","  (guessed from PAN)",""))</f>
        <v/>
      </c>
      <c r="AI867" s="27">
        <f>IF(AN867="","",IFERROR(INDEX(Lists!$L$2:$L$38,MATCH(LEFT(AN867,2),Lists!$K$2:$K$38,0)),"Unknown code"))</f>
        <v/>
      </c>
      <c r="AJ867" s="27">
        <f>IF(AN867="","",IFERROR(IF(NOT(AND(LEN(AN867)=15,ISNUMBER(MATCH(LEFT(AN867,2),Lists!$K$2:$K$38,0)),SUMPRODUCT(--ISERROR(FIND(MID(MID(AN867,3,10),{1,2,3,4,5,10},1),"ABCDEFGHIJKLMNOPQRSTUVWXYZ")))=0,SUMPRODUCT(--ISERROR(FIND(MID(MID(AN867,3,10),{6,7,8,9},1),"0123456789")))=0,ISNUMBER(FIND(MID(AN867,13,1),"123456789ABCDEFGHIJKLMNOPQRSTUVWXYZ")),MID(AN867,14,1)="Z")),"Wrong format",IF(MID("0123456789ABCDEFGHIJKLMNOPQRSTUVWXYZ",MOD(36-MOD(SUMPRODUCT(INT((FIND(MID(AN867,{1,2,3,4,5,6,7,8,9,10,11,12,13,14},1),"0123456789ABCDEFGHIJKLMNOPQRSTUVWXYZ")-1)*{1,2,1,2,1,2,1,2,1,2,1,2,1,2}/36)+MOD((FIND(MID(AN867,{1,2,3,4,5,6,7,8,9,10,11,12,13,14},1),"0123456789ABCDEFGHIJKLMNOPQRSTUVWXYZ")-1)*{1,2,1,2,1,2,1,2,1,2,1,2,1,2},36)),36),36)+1,1)=MID(AN867,15,1),"OK","Typo? check digit wrong")),"Wrong format"))</f>
        <v/>
      </c>
      <c r="AK867" s="27">
        <f>IF(AO867="","",IF(AND(LEN(AO867)=10,SUMPRODUCT(--ISERROR(FIND(MID(AO867,{1,2,3,4,5,10},1),"ABCDEFGHIJKLMNOPQRSTUVWXYZ")))=0,SUMPRODUCT(--ISERROR(FIND(MID(AO867,{6,7,8,9},1),"0123456789")))=0),"OK","Wrong format"))</f>
        <v/>
      </c>
      <c r="AL867" s="27">
        <f>IF(TRIM(H867)="","",IF(AND(LEN(UPPER(TRIM(H867)))=10,SUMPRODUCT(--ISERROR(FIND(MID(UPPER(TRIM(H867)),{1,2,3,4,10},1),"ABCDEFGHIJKLMNOPQRSTUVWXYZ")))=0,SUMPRODUCT(--ISERROR(FIND(MID(UPPER(TRIM(H867)),{5,6,7,8,9},1),"0123456789")))=0),"OK","Wrong format"))</f>
        <v/>
      </c>
      <c r="AM867" s="28">
        <f>IF(NOT(COUNTA(A867:AE867)&gt;0),"",IF(AS867&lt;&gt;"","✖ "&amp;LEFT(AS867,LEN(AS867)-2),IF(AR867&gt;0,"✔ Ready — client + "&amp;AR867&amp;" service(s)","✔ Ready — client only")))</f>
        <v/>
      </c>
      <c r="AN867" s="29">
        <f>UPPER(SUBSTITUTE(TRIM(F867)," ",""))</f>
        <v/>
      </c>
      <c r="AO867" s="29">
        <f>UPPER(SUBSTITUTE(TRIM(E867)," ",""))</f>
        <v/>
      </c>
      <c r="AP867" s="29">
        <f>IF(D867&lt;&gt;"",D867,IFERROR(VLOOKUP(MID(AG867,4,1),Lists!$E$2:$F$8,2,FALSE),""))</f>
        <v/>
      </c>
      <c r="AQ867" s="29">
        <f>IFERROR(VLOOKUP(AP867,Lists!$A$2:$C$12,3,FALSE),"")</f>
        <v/>
      </c>
      <c r="AR867" s="29">
        <f>COUNTIF(W867:AC867,"Yes")</f>
        <v/>
      </c>
      <c r="AS867" s="29">
        <f>IF(TRIM(B867)="","Legal name missing; ","")&amp;IF(AND(AJ867&lt;&gt;"",AJ867&lt;&gt;"OK"),"GSTIN: "&amp;AJ867&amp;"; ","")&amp;IF(AND(AK867&lt;&gt;"",AK867&lt;&gt;"OK"),"PAN wrong format; ","")&amp;IF(AND(AO867&lt;&gt;"",LEN(AN867)=15,MID(AN867,3,10)&lt;&gt;AO867),"PAN does not match GSTIN; ","")&amp;IF(AND(AL867&lt;&gt;"",AL867&lt;&gt;"OK"),"TAN wrong format; ","")&amp;IF(AG867="","PAN missing; ","")&amp;IF(AP867="","Entity type missing; ","")&amp;IF(AND(AN867&lt;&gt;"",COUNTIF($AN$6:$AN$1005,AN867)&gt;1),"GSTIN repeated in this sheet; ","")&amp;IF(AND(AG867&lt;&gt;"",COUNTIF($AG$6:$AG$1005,AG867)&gt;1),"PAN repeated in this sheet (same client? put extra GSTINs in Other GSTINs); ","")&amp;IF(AND(AR867&gt;0,V867=""),"Financial year missing; ","")&amp;IF(AND(AR867=0,V867&lt;&gt;""),"Financial year given but no service is Yes; ","")&amp;IF(AND(W867="Yes",AN867=""),"GST needs a GSTIN; ","")&amp;IF(AND(W867="Yes",X867=""),"GST return frequency missing; ","")&amp;IF(AND(Y867="Yes",TRIM(H867)=""),"TDS needs a TAN; ","")&amp;IF(AND(AA867="Yes",AQ867&lt;&gt;"",AQ867&lt;&gt;"company",AQ867&lt;&gt;"llp"),"ROC is only for a company / LLP; ","")&amp;IF(AND(AA867="Yes",OR(AQ867="company",AQ867="llp"),TRIM(I867)=""),"ROC needs the CIN / LLPIN; ","")</f>
        <v/>
      </c>
    </row>
    <row r="868">
      <c r="A868" s="30" t="n"/>
      <c r="B868" s="31" t="n"/>
      <c r="C868" s="31" t="n"/>
      <c r="D868" s="31" t="n"/>
      <c r="E868" s="30" t="n"/>
      <c r="F868" s="30" t="n"/>
      <c r="G868" s="30" t="n"/>
      <c r="H868" s="30" t="n"/>
      <c r="I868" s="30" t="n"/>
      <c r="J868" s="32" t="n"/>
      <c r="K868" s="31" t="n"/>
      <c r="L868" s="30" t="n"/>
      <c r="M868" s="31" t="n"/>
      <c r="N868" s="31" t="n"/>
      <c r="O868" s="31" t="n"/>
      <c r="P868" s="30" t="n"/>
      <c r="Q868" s="31" t="n"/>
      <c r="R868" s="31" t="n"/>
      <c r="S868" s="31" t="n"/>
      <c r="T868" s="31" t="n"/>
      <c r="U868" s="30" t="n"/>
      <c r="V868" s="31" t="n"/>
      <c r="W868" s="31" t="n"/>
      <c r="X868" s="31" t="n"/>
      <c r="Y868" s="31" t="n"/>
      <c r="Z868" s="31" t="n"/>
      <c r="AA868" s="31" t="n"/>
      <c r="AB868" s="31" t="n"/>
      <c r="AC868" s="31" t="n"/>
      <c r="AD868" s="31" t="n"/>
      <c r="AE868" s="31" t="n"/>
      <c r="AF868" s="27">
        <f>IF(NOT(COUNTA(A868:AE868)&gt;0),"",IF(A868="","New client","Update"))</f>
        <v/>
      </c>
      <c r="AG868" s="27">
        <f>IF(AO868&lt;&gt;"",AO868,IF(LEN(AN868)=15,MID(AN868,3,10),""))</f>
        <v/>
      </c>
      <c r="AH868" s="27">
        <f>IF(AP868="","",AP868&amp;IF(D868="","  (guessed from PAN)",""))</f>
        <v/>
      </c>
      <c r="AI868" s="27">
        <f>IF(AN868="","",IFERROR(INDEX(Lists!$L$2:$L$38,MATCH(LEFT(AN868,2),Lists!$K$2:$K$38,0)),"Unknown code"))</f>
        <v/>
      </c>
      <c r="AJ868" s="27">
        <f>IF(AN868="","",IFERROR(IF(NOT(AND(LEN(AN868)=15,ISNUMBER(MATCH(LEFT(AN868,2),Lists!$K$2:$K$38,0)),SUMPRODUCT(--ISERROR(FIND(MID(MID(AN868,3,10),{1,2,3,4,5,10},1),"ABCDEFGHIJKLMNOPQRSTUVWXYZ")))=0,SUMPRODUCT(--ISERROR(FIND(MID(MID(AN868,3,10),{6,7,8,9},1),"0123456789")))=0,ISNUMBER(FIND(MID(AN868,13,1),"123456789ABCDEFGHIJKLMNOPQRSTUVWXYZ")),MID(AN868,14,1)="Z")),"Wrong format",IF(MID("0123456789ABCDEFGHIJKLMNOPQRSTUVWXYZ",MOD(36-MOD(SUMPRODUCT(INT((FIND(MID(AN868,{1,2,3,4,5,6,7,8,9,10,11,12,13,14},1),"0123456789ABCDEFGHIJKLMNOPQRSTUVWXYZ")-1)*{1,2,1,2,1,2,1,2,1,2,1,2,1,2}/36)+MOD((FIND(MID(AN868,{1,2,3,4,5,6,7,8,9,10,11,12,13,14},1),"0123456789ABCDEFGHIJKLMNOPQRSTUVWXYZ")-1)*{1,2,1,2,1,2,1,2,1,2,1,2,1,2},36)),36),36)+1,1)=MID(AN868,15,1),"OK","Typo? check digit wrong")),"Wrong format"))</f>
        <v/>
      </c>
      <c r="AK868" s="27">
        <f>IF(AO868="","",IF(AND(LEN(AO868)=10,SUMPRODUCT(--ISERROR(FIND(MID(AO868,{1,2,3,4,5,10},1),"ABCDEFGHIJKLMNOPQRSTUVWXYZ")))=0,SUMPRODUCT(--ISERROR(FIND(MID(AO868,{6,7,8,9},1),"0123456789")))=0),"OK","Wrong format"))</f>
        <v/>
      </c>
      <c r="AL868" s="27">
        <f>IF(TRIM(H868)="","",IF(AND(LEN(UPPER(TRIM(H868)))=10,SUMPRODUCT(--ISERROR(FIND(MID(UPPER(TRIM(H868)),{1,2,3,4,10},1),"ABCDEFGHIJKLMNOPQRSTUVWXYZ")))=0,SUMPRODUCT(--ISERROR(FIND(MID(UPPER(TRIM(H868)),{5,6,7,8,9},1),"0123456789")))=0),"OK","Wrong format"))</f>
        <v/>
      </c>
      <c r="AM868" s="28">
        <f>IF(NOT(COUNTA(A868:AE868)&gt;0),"",IF(AS868&lt;&gt;"","✖ "&amp;LEFT(AS868,LEN(AS868)-2),IF(AR868&gt;0,"✔ Ready — client + "&amp;AR868&amp;" service(s)","✔ Ready — client only")))</f>
        <v/>
      </c>
      <c r="AN868" s="29">
        <f>UPPER(SUBSTITUTE(TRIM(F868)," ",""))</f>
        <v/>
      </c>
      <c r="AO868" s="29">
        <f>UPPER(SUBSTITUTE(TRIM(E868)," ",""))</f>
        <v/>
      </c>
      <c r="AP868" s="29">
        <f>IF(D868&lt;&gt;"",D868,IFERROR(VLOOKUP(MID(AG868,4,1),Lists!$E$2:$F$8,2,FALSE),""))</f>
        <v/>
      </c>
      <c r="AQ868" s="29">
        <f>IFERROR(VLOOKUP(AP868,Lists!$A$2:$C$12,3,FALSE),"")</f>
        <v/>
      </c>
      <c r="AR868" s="29">
        <f>COUNTIF(W868:AC868,"Yes")</f>
        <v/>
      </c>
      <c r="AS868" s="29">
        <f>IF(TRIM(B868)="","Legal name missing; ","")&amp;IF(AND(AJ868&lt;&gt;"",AJ868&lt;&gt;"OK"),"GSTIN: "&amp;AJ868&amp;"; ","")&amp;IF(AND(AK868&lt;&gt;"",AK868&lt;&gt;"OK"),"PAN wrong format; ","")&amp;IF(AND(AO868&lt;&gt;"",LEN(AN868)=15,MID(AN868,3,10)&lt;&gt;AO868),"PAN does not match GSTIN; ","")&amp;IF(AND(AL868&lt;&gt;"",AL868&lt;&gt;"OK"),"TAN wrong format; ","")&amp;IF(AG868="","PAN missing; ","")&amp;IF(AP868="","Entity type missing; ","")&amp;IF(AND(AN868&lt;&gt;"",COUNTIF($AN$6:$AN$1005,AN868)&gt;1),"GSTIN repeated in this sheet; ","")&amp;IF(AND(AG868&lt;&gt;"",COUNTIF($AG$6:$AG$1005,AG868)&gt;1),"PAN repeated in this sheet (same client? put extra GSTINs in Other GSTINs); ","")&amp;IF(AND(AR868&gt;0,V868=""),"Financial year missing; ","")&amp;IF(AND(AR868=0,V868&lt;&gt;""),"Financial year given but no service is Yes; ","")&amp;IF(AND(W868="Yes",AN868=""),"GST needs a GSTIN; ","")&amp;IF(AND(W868="Yes",X868=""),"GST return frequency missing; ","")&amp;IF(AND(Y868="Yes",TRIM(H868)=""),"TDS needs a TAN; ","")&amp;IF(AND(AA868="Yes",AQ868&lt;&gt;"",AQ868&lt;&gt;"company",AQ868&lt;&gt;"llp"),"ROC is only for a company / LLP; ","")&amp;IF(AND(AA868="Yes",OR(AQ868="company",AQ868="llp"),TRIM(I868)=""),"ROC needs the CIN / LLPIN; ","")</f>
        <v/>
      </c>
    </row>
    <row r="869">
      <c r="A869" s="30" t="n"/>
      <c r="B869" s="31" t="n"/>
      <c r="C869" s="31" t="n"/>
      <c r="D869" s="31" t="n"/>
      <c r="E869" s="30" t="n"/>
      <c r="F869" s="30" t="n"/>
      <c r="G869" s="30" t="n"/>
      <c r="H869" s="30" t="n"/>
      <c r="I869" s="30" t="n"/>
      <c r="J869" s="32" t="n"/>
      <c r="K869" s="31" t="n"/>
      <c r="L869" s="30" t="n"/>
      <c r="M869" s="31" t="n"/>
      <c r="N869" s="31" t="n"/>
      <c r="O869" s="31" t="n"/>
      <c r="P869" s="30" t="n"/>
      <c r="Q869" s="31" t="n"/>
      <c r="R869" s="31" t="n"/>
      <c r="S869" s="31" t="n"/>
      <c r="T869" s="31" t="n"/>
      <c r="U869" s="30" t="n"/>
      <c r="V869" s="31" t="n"/>
      <c r="W869" s="31" t="n"/>
      <c r="X869" s="31" t="n"/>
      <c r="Y869" s="31" t="n"/>
      <c r="Z869" s="31" t="n"/>
      <c r="AA869" s="31" t="n"/>
      <c r="AB869" s="31" t="n"/>
      <c r="AC869" s="31" t="n"/>
      <c r="AD869" s="31" t="n"/>
      <c r="AE869" s="31" t="n"/>
      <c r="AF869" s="27">
        <f>IF(NOT(COUNTA(A869:AE869)&gt;0),"",IF(A869="","New client","Update"))</f>
        <v/>
      </c>
      <c r="AG869" s="27">
        <f>IF(AO869&lt;&gt;"",AO869,IF(LEN(AN869)=15,MID(AN869,3,10),""))</f>
        <v/>
      </c>
      <c r="AH869" s="27">
        <f>IF(AP869="","",AP869&amp;IF(D869="","  (guessed from PAN)",""))</f>
        <v/>
      </c>
      <c r="AI869" s="27">
        <f>IF(AN869="","",IFERROR(INDEX(Lists!$L$2:$L$38,MATCH(LEFT(AN869,2),Lists!$K$2:$K$38,0)),"Unknown code"))</f>
        <v/>
      </c>
      <c r="AJ869" s="27">
        <f>IF(AN869="","",IFERROR(IF(NOT(AND(LEN(AN869)=15,ISNUMBER(MATCH(LEFT(AN869,2),Lists!$K$2:$K$38,0)),SUMPRODUCT(--ISERROR(FIND(MID(MID(AN869,3,10),{1,2,3,4,5,10},1),"ABCDEFGHIJKLMNOPQRSTUVWXYZ")))=0,SUMPRODUCT(--ISERROR(FIND(MID(MID(AN869,3,10),{6,7,8,9},1),"0123456789")))=0,ISNUMBER(FIND(MID(AN869,13,1),"123456789ABCDEFGHIJKLMNOPQRSTUVWXYZ")),MID(AN869,14,1)="Z")),"Wrong format",IF(MID("0123456789ABCDEFGHIJKLMNOPQRSTUVWXYZ",MOD(36-MOD(SUMPRODUCT(INT((FIND(MID(AN869,{1,2,3,4,5,6,7,8,9,10,11,12,13,14},1),"0123456789ABCDEFGHIJKLMNOPQRSTUVWXYZ")-1)*{1,2,1,2,1,2,1,2,1,2,1,2,1,2}/36)+MOD((FIND(MID(AN869,{1,2,3,4,5,6,7,8,9,10,11,12,13,14},1),"0123456789ABCDEFGHIJKLMNOPQRSTUVWXYZ")-1)*{1,2,1,2,1,2,1,2,1,2,1,2,1,2},36)),36),36)+1,1)=MID(AN869,15,1),"OK","Typo? check digit wrong")),"Wrong format"))</f>
        <v/>
      </c>
      <c r="AK869" s="27">
        <f>IF(AO869="","",IF(AND(LEN(AO869)=10,SUMPRODUCT(--ISERROR(FIND(MID(AO869,{1,2,3,4,5,10},1),"ABCDEFGHIJKLMNOPQRSTUVWXYZ")))=0,SUMPRODUCT(--ISERROR(FIND(MID(AO869,{6,7,8,9},1),"0123456789")))=0),"OK","Wrong format"))</f>
        <v/>
      </c>
      <c r="AL869" s="27">
        <f>IF(TRIM(H869)="","",IF(AND(LEN(UPPER(TRIM(H869)))=10,SUMPRODUCT(--ISERROR(FIND(MID(UPPER(TRIM(H869)),{1,2,3,4,10},1),"ABCDEFGHIJKLMNOPQRSTUVWXYZ")))=0,SUMPRODUCT(--ISERROR(FIND(MID(UPPER(TRIM(H869)),{5,6,7,8,9},1),"0123456789")))=0),"OK","Wrong format"))</f>
        <v/>
      </c>
      <c r="AM869" s="28">
        <f>IF(NOT(COUNTA(A869:AE869)&gt;0),"",IF(AS869&lt;&gt;"","✖ "&amp;LEFT(AS869,LEN(AS869)-2),IF(AR869&gt;0,"✔ Ready — client + "&amp;AR869&amp;" service(s)","✔ Ready — client only")))</f>
        <v/>
      </c>
      <c r="AN869" s="29">
        <f>UPPER(SUBSTITUTE(TRIM(F869)," ",""))</f>
        <v/>
      </c>
      <c r="AO869" s="29">
        <f>UPPER(SUBSTITUTE(TRIM(E869)," ",""))</f>
        <v/>
      </c>
      <c r="AP869" s="29">
        <f>IF(D869&lt;&gt;"",D869,IFERROR(VLOOKUP(MID(AG869,4,1),Lists!$E$2:$F$8,2,FALSE),""))</f>
        <v/>
      </c>
      <c r="AQ869" s="29">
        <f>IFERROR(VLOOKUP(AP869,Lists!$A$2:$C$12,3,FALSE),"")</f>
        <v/>
      </c>
      <c r="AR869" s="29">
        <f>COUNTIF(W869:AC869,"Yes")</f>
        <v/>
      </c>
      <c r="AS869" s="29">
        <f>IF(TRIM(B869)="","Legal name missing; ","")&amp;IF(AND(AJ869&lt;&gt;"",AJ869&lt;&gt;"OK"),"GSTIN: "&amp;AJ869&amp;"; ","")&amp;IF(AND(AK869&lt;&gt;"",AK869&lt;&gt;"OK"),"PAN wrong format; ","")&amp;IF(AND(AO869&lt;&gt;"",LEN(AN869)=15,MID(AN869,3,10)&lt;&gt;AO869),"PAN does not match GSTIN; ","")&amp;IF(AND(AL869&lt;&gt;"",AL869&lt;&gt;"OK"),"TAN wrong format; ","")&amp;IF(AG869="","PAN missing; ","")&amp;IF(AP869="","Entity type missing; ","")&amp;IF(AND(AN869&lt;&gt;"",COUNTIF($AN$6:$AN$1005,AN869)&gt;1),"GSTIN repeated in this sheet; ","")&amp;IF(AND(AG869&lt;&gt;"",COUNTIF($AG$6:$AG$1005,AG869)&gt;1),"PAN repeated in this sheet (same client? put extra GSTINs in Other GSTINs); ","")&amp;IF(AND(AR869&gt;0,V869=""),"Financial year missing; ","")&amp;IF(AND(AR869=0,V869&lt;&gt;""),"Financial year given but no service is Yes; ","")&amp;IF(AND(W869="Yes",AN869=""),"GST needs a GSTIN; ","")&amp;IF(AND(W869="Yes",X869=""),"GST return frequency missing; ","")&amp;IF(AND(Y869="Yes",TRIM(H869)=""),"TDS needs a TAN; ","")&amp;IF(AND(AA869="Yes",AQ869&lt;&gt;"",AQ869&lt;&gt;"company",AQ869&lt;&gt;"llp"),"ROC is only for a company / LLP; ","")&amp;IF(AND(AA869="Yes",OR(AQ869="company",AQ869="llp"),TRIM(I869)=""),"ROC needs the CIN / LLPIN; ","")</f>
        <v/>
      </c>
    </row>
    <row r="870">
      <c r="A870" s="30" t="n"/>
      <c r="B870" s="31" t="n"/>
      <c r="C870" s="31" t="n"/>
      <c r="D870" s="31" t="n"/>
      <c r="E870" s="30" t="n"/>
      <c r="F870" s="30" t="n"/>
      <c r="G870" s="30" t="n"/>
      <c r="H870" s="30" t="n"/>
      <c r="I870" s="30" t="n"/>
      <c r="J870" s="32" t="n"/>
      <c r="K870" s="31" t="n"/>
      <c r="L870" s="30" t="n"/>
      <c r="M870" s="31" t="n"/>
      <c r="N870" s="31" t="n"/>
      <c r="O870" s="31" t="n"/>
      <c r="P870" s="30" t="n"/>
      <c r="Q870" s="31" t="n"/>
      <c r="R870" s="31" t="n"/>
      <c r="S870" s="31" t="n"/>
      <c r="T870" s="31" t="n"/>
      <c r="U870" s="30" t="n"/>
      <c r="V870" s="31" t="n"/>
      <c r="W870" s="31" t="n"/>
      <c r="X870" s="31" t="n"/>
      <c r="Y870" s="31" t="n"/>
      <c r="Z870" s="31" t="n"/>
      <c r="AA870" s="31" t="n"/>
      <c r="AB870" s="31" t="n"/>
      <c r="AC870" s="31" t="n"/>
      <c r="AD870" s="31" t="n"/>
      <c r="AE870" s="31" t="n"/>
      <c r="AF870" s="27">
        <f>IF(NOT(COUNTA(A870:AE870)&gt;0),"",IF(A870="","New client","Update"))</f>
        <v/>
      </c>
      <c r="AG870" s="27">
        <f>IF(AO870&lt;&gt;"",AO870,IF(LEN(AN870)=15,MID(AN870,3,10),""))</f>
        <v/>
      </c>
      <c r="AH870" s="27">
        <f>IF(AP870="","",AP870&amp;IF(D870="","  (guessed from PAN)",""))</f>
        <v/>
      </c>
      <c r="AI870" s="27">
        <f>IF(AN870="","",IFERROR(INDEX(Lists!$L$2:$L$38,MATCH(LEFT(AN870,2),Lists!$K$2:$K$38,0)),"Unknown code"))</f>
        <v/>
      </c>
      <c r="AJ870" s="27">
        <f>IF(AN870="","",IFERROR(IF(NOT(AND(LEN(AN870)=15,ISNUMBER(MATCH(LEFT(AN870,2),Lists!$K$2:$K$38,0)),SUMPRODUCT(--ISERROR(FIND(MID(MID(AN870,3,10),{1,2,3,4,5,10},1),"ABCDEFGHIJKLMNOPQRSTUVWXYZ")))=0,SUMPRODUCT(--ISERROR(FIND(MID(MID(AN870,3,10),{6,7,8,9},1),"0123456789")))=0,ISNUMBER(FIND(MID(AN870,13,1),"123456789ABCDEFGHIJKLMNOPQRSTUVWXYZ")),MID(AN870,14,1)="Z")),"Wrong format",IF(MID("0123456789ABCDEFGHIJKLMNOPQRSTUVWXYZ",MOD(36-MOD(SUMPRODUCT(INT((FIND(MID(AN870,{1,2,3,4,5,6,7,8,9,10,11,12,13,14},1),"0123456789ABCDEFGHIJKLMNOPQRSTUVWXYZ")-1)*{1,2,1,2,1,2,1,2,1,2,1,2,1,2}/36)+MOD((FIND(MID(AN870,{1,2,3,4,5,6,7,8,9,10,11,12,13,14},1),"0123456789ABCDEFGHIJKLMNOPQRSTUVWXYZ")-1)*{1,2,1,2,1,2,1,2,1,2,1,2,1,2},36)),36),36)+1,1)=MID(AN870,15,1),"OK","Typo? check digit wrong")),"Wrong format"))</f>
        <v/>
      </c>
      <c r="AK870" s="27">
        <f>IF(AO870="","",IF(AND(LEN(AO870)=10,SUMPRODUCT(--ISERROR(FIND(MID(AO870,{1,2,3,4,5,10},1),"ABCDEFGHIJKLMNOPQRSTUVWXYZ")))=0,SUMPRODUCT(--ISERROR(FIND(MID(AO870,{6,7,8,9},1),"0123456789")))=0),"OK","Wrong format"))</f>
        <v/>
      </c>
      <c r="AL870" s="27">
        <f>IF(TRIM(H870)="","",IF(AND(LEN(UPPER(TRIM(H870)))=10,SUMPRODUCT(--ISERROR(FIND(MID(UPPER(TRIM(H870)),{1,2,3,4,10},1),"ABCDEFGHIJKLMNOPQRSTUVWXYZ")))=0,SUMPRODUCT(--ISERROR(FIND(MID(UPPER(TRIM(H870)),{5,6,7,8,9},1),"0123456789")))=0),"OK","Wrong format"))</f>
        <v/>
      </c>
      <c r="AM870" s="28">
        <f>IF(NOT(COUNTA(A870:AE870)&gt;0),"",IF(AS870&lt;&gt;"","✖ "&amp;LEFT(AS870,LEN(AS870)-2),IF(AR870&gt;0,"✔ Ready — client + "&amp;AR870&amp;" service(s)","✔ Ready — client only")))</f>
        <v/>
      </c>
      <c r="AN870" s="29">
        <f>UPPER(SUBSTITUTE(TRIM(F870)," ",""))</f>
        <v/>
      </c>
      <c r="AO870" s="29">
        <f>UPPER(SUBSTITUTE(TRIM(E870)," ",""))</f>
        <v/>
      </c>
      <c r="AP870" s="29">
        <f>IF(D870&lt;&gt;"",D870,IFERROR(VLOOKUP(MID(AG870,4,1),Lists!$E$2:$F$8,2,FALSE),""))</f>
        <v/>
      </c>
      <c r="AQ870" s="29">
        <f>IFERROR(VLOOKUP(AP870,Lists!$A$2:$C$12,3,FALSE),"")</f>
        <v/>
      </c>
      <c r="AR870" s="29">
        <f>COUNTIF(W870:AC870,"Yes")</f>
        <v/>
      </c>
      <c r="AS870" s="29">
        <f>IF(TRIM(B870)="","Legal name missing; ","")&amp;IF(AND(AJ870&lt;&gt;"",AJ870&lt;&gt;"OK"),"GSTIN: "&amp;AJ870&amp;"; ","")&amp;IF(AND(AK870&lt;&gt;"",AK870&lt;&gt;"OK"),"PAN wrong format; ","")&amp;IF(AND(AO870&lt;&gt;"",LEN(AN870)=15,MID(AN870,3,10)&lt;&gt;AO870),"PAN does not match GSTIN; ","")&amp;IF(AND(AL870&lt;&gt;"",AL870&lt;&gt;"OK"),"TAN wrong format; ","")&amp;IF(AG870="","PAN missing; ","")&amp;IF(AP870="","Entity type missing; ","")&amp;IF(AND(AN870&lt;&gt;"",COUNTIF($AN$6:$AN$1005,AN870)&gt;1),"GSTIN repeated in this sheet; ","")&amp;IF(AND(AG870&lt;&gt;"",COUNTIF($AG$6:$AG$1005,AG870)&gt;1),"PAN repeated in this sheet (same client? put extra GSTINs in Other GSTINs); ","")&amp;IF(AND(AR870&gt;0,V870=""),"Financial year missing; ","")&amp;IF(AND(AR870=0,V870&lt;&gt;""),"Financial year given but no service is Yes; ","")&amp;IF(AND(W870="Yes",AN870=""),"GST needs a GSTIN; ","")&amp;IF(AND(W870="Yes",X870=""),"GST return frequency missing; ","")&amp;IF(AND(Y870="Yes",TRIM(H870)=""),"TDS needs a TAN; ","")&amp;IF(AND(AA870="Yes",AQ870&lt;&gt;"",AQ870&lt;&gt;"company",AQ870&lt;&gt;"llp"),"ROC is only for a company / LLP; ","")&amp;IF(AND(AA870="Yes",OR(AQ870="company",AQ870="llp"),TRIM(I870)=""),"ROC needs the CIN / LLPIN; ","")</f>
        <v/>
      </c>
    </row>
    <row r="871">
      <c r="A871" s="30" t="n"/>
      <c r="B871" s="31" t="n"/>
      <c r="C871" s="31" t="n"/>
      <c r="D871" s="31" t="n"/>
      <c r="E871" s="30" t="n"/>
      <c r="F871" s="30" t="n"/>
      <c r="G871" s="30" t="n"/>
      <c r="H871" s="30" t="n"/>
      <c r="I871" s="30" t="n"/>
      <c r="J871" s="32" t="n"/>
      <c r="K871" s="31" t="n"/>
      <c r="L871" s="30" t="n"/>
      <c r="M871" s="31" t="n"/>
      <c r="N871" s="31" t="n"/>
      <c r="O871" s="31" t="n"/>
      <c r="P871" s="30" t="n"/>
      <c r="Q871" s="31" t="n"/>
      <c r="R871" s="31" t="n"/>
      <c r="S871" s="31" t="n"/>
      <c r="T871" s="31" t="n"/>
      <c r="U871" s="30" t="n"/>
      <c r="V871" s="31" t="n"/>
      <c r="W871" s="31" t="n"/>
      <c r="X871" s="31" t="n"/>
      <c r="Y871" s="31" t="n"/>
      <c r="Z871" s="31" t="n"/>
      <c r="AA871" s="31" t="n"/>
      <c r="AB871" s="31" t="n"/>
      <c r="AC871" s="31" t="n"/>
      <c r="AD871" s="31" t="n"/>
      <c r="AE871" s="31" t="n"/>
      <c r="AF871" s="27">
        <f>IF(NOT(COUNTA(A871:AE871)&gt;0),"",IF(A871="","New client","Update"))</f>
        <v/>
      </c>
      <c r="AG871" s="27">
        <f>IF(AO871&lt;&gt;"",AO871,IF(LEN(AN871)=15,MID(AN871,3,10),""))</f>
        <v/>
      </c>
      <c r="AH871" s="27">
        <f>IF(AP871="","",AP871&amp;IF(D871="","  (guessed from PAN)",""))</f>
        <v/>
      </c>
      <c r="AI871" s="27">
        <f>IF(AN871="","",IFERROR(INDEX(Lists!$L$2:$L$38,MATCH(LEFT(AN871,2),Lists!$K$2:$K$38,0)),"Unknown code"))</f>
        <v/>
      </c>
      <c r="AJ871" s="27">
        <f>IF(AN871="","",IFERROR(IF(NOT(AND(LEN(AN871)=15,ISNUMBER(MATCH(LEFT(AN871,2),Lists!$K$2:$K$38,0)),SUMPRODUCT(--ISERROR(FIND(MID(MID(AN871,3,10),{1,2,3,4,5,10},1),"ABCDEFGHIJKLMNOPQRSTUVWXYZ")))=0,SUMPRODUCT(--ISERROR(FIND(MID(MID(AN871,3,10),{6,7,8,9},1),"0123456789")))=0,ISNUMBER(FIND(MID(AN871,13,1),"123456789ABCDEFGHIJKLMNOPQRSTUVWXYZ")),MID(AN871,14,1)="Z")),"Wrong format",IF(MID("0123456789ABCDEFGHIJKLMNOPQRSTUVWXYZ",MOD(36-MOD(SUMPRODUCT(INT((FIND(MID(AN871,{1,2,3,4,5,6,7,8,9,10,11,12,13,14},1),"0123456789ABCDEFGHIJKLMNOPQRSTUVWXYZ")-1)*{1,2,1,2,1,2,1,2,1,2,1,2,1,2}/36)+MOD((FIND(MID(AN871,{1,2,3,4,5,6,7,8,9,10,11,12,13,14},1),"0123456789ABCDEFGHIJKLMNOPQRSTUVWXYZ")-1)*{1,2,1,2,1,2,1,2,1,2,1,2,1,2},36)),36),36)+1,1)=MID(AN871,15,1),"OK","Typo? check digit wrong")),"Wrong format"))</f>
        <v/>
      </c>
      <c r="AK871" s="27">
        <f>IF(AO871="","",IF(AND(LEN(AO871)=10,SUMPRODUCT(--ISERROR(FIND(MID(AO871,{1,2,3,4,5,10},1),"ABCDEFGHIJKLMNOPQRSTUVWXYZ")))=0,SUMPRODUCT(--ISERROR(FIND(MID(AO871,{6,7,8,9},1),"0123456789")))=0),"OK","Wrong format"))</f>
        <v/>
      </c>
      <c r="AL871" s="27">
        <f>IF(TRIM(H871)="","",IF(AND(LEN(UPPER(TRIM(H871)))=10,SUMPRODUCT(--ISERROR(FIND(MID(UPPER(TRIM(H871)),{1,2,3,4,10},1),"ABCDEFGHIJKLMNOPQRSTUVWXYZ")))=0,SUMPRODUCT(--ISERROR(FIND(MID(UPPER(TRIM(H871)),{5,6,7,8,9},1),"0123456789")))=0),"OK","Wrong format"))</f>
        <v/>
      </c>
      <c r="AM871" s="28">
        <f>IF(NOT(COUNTA(A871:AE871)&gt;0),"",IF(AS871&lt;&gt;"","✖ "&amp;LEFT(AS871,LEN(AS871)-2),IF(AR871&gt;0,"✔ Ready — client + "&amp;AR871&amp;" service(s)","✔ Ready — client only")))</f>
        <v/>
      </c>
      <c r="AN871" s="29">
        <f>UPPER(SUBSTITUTE(TRIM(F871)," ",""))</f>
        <v/>
      </c>
      <c r="AO871" s="29">
        <f>UPPER(SUBSTITUTE(TRIM(E871)," ",""))</f>
        <v/>
      </c>
      <c r="AP871" s="29">
        <f>IF(D871&lt;&gt;"",D871,IFERROR(VLOOKUP(MID(AG871,4,1),Lists!$E$2:$F$8,2,FALSE),""))</f>
        <v/>
      </c>
      <c r="AQ871" s="29">
        <f>IFERROR(VLOOKUP(AP871,Lists!$A$2:$C$12,3,FALSE),"")</f>
        <v/>
      </c>
      <c r="AR871" s="29">
        <f>COUNTIF(W871:AC871,"Yes")</f>
        <v/>
      </c>
      <c r="AS871" s="29">
        <f>IF(TRIM(B871)="","Legal name missing; ","")&amp;IF(AND(AJ871&lt;&gt;"",AJ871&lt;&gt;"OK"),"GSTIN: "&amp;AJ871&amp;"; ","")&amp;IF(AND(AK871&lt;&gt;"",AK871&lt;&gt;"OK"),"PAN wrong format; ","")&amp;IF(AND(AO871&lt;&gt;"",LEN(AN871)=15,MID(AN871,3,10)&lt;&gt;AO871),"PAN does not match GSTIN; ","")&amp;IF(AND(AL871&lt;&gt;"",AL871&lt;&gt;"OK"),"TAN wrong format; ","")&amp;IF(AG871="","PAN missing; ","")&amp;IF(AP871="","Entity type missing; ","")&amp;IF(AND(AN871&lt;&gt;"",COUNTIF($AN$6:$AN$1005,AN871)&gt;1),"GSTIN repeated in this sheet; ","")&amp;IF(AND(AG871&lt;&gt;"",COUNTIF($AG$6:$AG$1005,AG871)&gt;1),"PAN repeated in this sheet (same client? put extra GSTINs in Other GSTINs); ","")&amp;IF(AND(AR871&gt;0,V871=""),"Financial year missing; ","")&amp;IF(AND(AR871=0,V871&lt;&gt;""),"Financial year given but no service is Yes; ","")&amp;IF(AND(W871="Yes",AN871=""),"GST needs a GSTIN; ","")&amp;IF(AND(W871="Yes",X871=""),"GST return frequency missing; ","")&amp;IF(AND(Y871="Yes",TRIM(H871)=""),"TDS needs a TAN; ","")&amp;IF(AND(AA871="Yes",AQ871&lt;&gt;"",AQ871&lt;&gt;"company",AQ871&lt;&gt;"llp"),"ROC is only for a company / LLP; ","")&amp;IF(AND(AA871="Yes",OR(AQ871="company",AQ871="llp"),TRIM(I871)=""),"ROC needs the CIN / LLPIN; ","")</f>
        <v/>
      </c>
    </row>
    <row r="872">
      <c r="A872" s="30" t="n"/>
      <c r="B872" s="31" t="n"/>
      <c r="C872" s="31" t="n"/>
      <c r="D872" s="31" t="n"/>
      <c r="E872" s="30" t="n"/>
      <c r="F872" s="30" t="n"/>
      <c r="G872" s="30" t="n"/>
      <c r="H872" s="30" t="n"/>
      <c r="I872" s="30" t="n"/>
      <c r="J872" s="32" t="n"/>
      <c r="K872" s="31" t="n"/>
      <c r="L872" s="30" t="n"/>
      <c r="M872" s="31" t="n"/>
      <c r="N872" s="31" t="n"/>
      <c r="O872" s="31" t="n"/>
      <c r="P872" s="30" t="n"/>
      <c r="Q872" s="31" t="n"/>
      <c r="R872" s="31" t="n"/>
      <c r="S872" s="31" t="n"/>
      <c r="T872" s="31" t="n"/>
      <c r="U872" s="30" t="n"/>
      <c r="V872" s="31" t="n"/>
      <c r="W872" s="31" t="n"/>
      <c r="X872" s="31" t="n"/>
      <c r="Y872" s="31" t="n"/>
      <c r="Z872" s="31" t="n"/>
      <c r="AA872" s="31" t="n"/>
      <c r="AB872" s="31" t="n"/>
      <c r="AC872" s="31" t="n"/>
      <c r="AD872" s="31" t="n"/>
      <c r="AE872" s="31" t="n"/>
      <c r="AF872" s="27">
        <f>IF(NOT(COUNTA(A872:AE872)&gt;0),"",IF(A872="","New client","Update"))</f>
        <v/>
      </c>
      <c r="AG872" s="27">
        <f>IF(AO872&lt;&gt;"",AO872,IF(LEN(AN872)=15,MID(AN872,3,10),""))</f>
        <v/>
      </c>
      <c r="AH872" s="27">
        <f>IF(AP872="","",AP872&amp;IF(D872="","  (guessed from PAN)",""))</f>
        <v/>
      </c>
      <c r="AI872" s="27">
        <f>IF(AN872="","",IFERROR(INDEX(Lists!$L$2:$L$38,MATCH(LEFT(AN872,2),Lists!$K$2:$K$38,0)),"Unknown code"))</f>
        <v/>
      </c>
      <c r="AJ872" s="27">
        <f>IF(AN872="","",IFERROR(IF(NOT(AND(LEN(AN872)=15,ISNUMBER(MATCH(LEFT(AN872,2),Lists!$K$2:$K$38,0)),SUMPRODUCT(--ISERROR(FIND(MID(MID(AN872,3,10),{1,2,3,4,5,10},1),"ABCDEFGHIJKLMNOPQRSTUVWXYZ")))=0,SUMPRODUCT(--ISERROR(FIND(MID(MID(AN872,3,10),{6,7,8,9},1),"0123456789")))=0,ISNUMBER(FIND(MID(AN872,13,1),"123456789ABCDEFGHIJKLMNOPQRSTUVWXYZ")),MID(AN872,14,1)="Z")),"Wrong format",IF(MID("0123456789ABCDEFGHIJKLMNOPQRSTUVWXYZ",MOD(36-MOD(SUMPRODUCT(INT((FIND(MID(AN872,{1,2,3,4,5,6,7,8,9,10,11,12,13,14},1),"0123456789ABCDEFGHIJKLMNOPQRSTUVWXYZ")-1)*{1,2,1,2,1,2,1,2,1,2,1,2,1,2}/36)+MOD((FIND(MID(AN872,{1,2,3,4,5,6,7,8,9,10,11,12,13,14},1),"0123456789ABCDEFGHIJKLMNOPQRSTUVWXYZ")-1)*{1,2,1,2,1,2,1,2,1,2,1,2,1,2},36)),36),36)+1,1)=MID(AN872,15,1),"OK","Typo? check digit wrong")),"Wrong format"))</f>
        <v/>
      </c>
      <c r="AK872" s="27">
        <f>IF(AO872="","",IF(AND(LEN(AO872)=10,SUMPRODUCT(--ISERROR(FIND(MID(AO872,{1,2,3,4,5,10},1),"ABCDEFGHIJKLMNOPQRSTUVWXYZ")))=0,SUMPRODUCT(--ISERROR(FIND(MID(AO872,{6,7,8,9},1),"0123456789")))=0),"OK","Wrong format"))</f>
        <v/>
      </c>
      <c r="AL872" s="27">
        <f>IF(TRIM(H872)="","",IF(AND(LEN(UPPER(TRIM(H872)))=10,SUMPRODUCT(--ISERROR(FIND(MID(UPPER(TRIM(H872)),{1,2,3,4,10},1),"ABCDEFGHIJKLMNOPQRSTUVWXYZ")))=0,SUMPRODUCT(--ISERROR(FIND(MID(UPPER(TRIM(H872)),{5,6,7,8,9},1),"0123456789")))=0),"OK","Wrong format"))</f>
        <v/>
      </c>
      <c r="AM872" s="28">
        <f>IF(NOT(COUNTA(A872:AE872)&gt;0),"",IF(AS872&lt;&gt;"","✖ "&amp;LEFT(AS872,LEN(AS872)-2),IF(AR872&gt;0,"✔ Ready — client + "&amp;AR872&amp;" service(s)","✔ Ready — client only")))</f>
        <v/>
      </c>
      <c r="AN872" s="29">
        <f>UPPER(SUBSTITUTE(TRIM(F872)," ",""))</f>
        <v/>
      </c>
      <c r="AO872" s="29">
        <f>UPPER(SUBSTITUTE(TRIM(E872)," ",""))</f>
        <v/>
      </c>
      <c r="AP872" s="29">
        <f>IF(D872&lt;&gt;"",D872,IFERROR(VLOOKUP(MID(AG872,4,1),Lists!$E$2:$F$8,2,FALSE),""))</f>
        <v/>
      </c>
      <c r="AQ872" s="29">
        <f>IFERROR(VLOOKUP(AP872,Lists!$A$2:$C$12,3,FALSE),"")</f>
        <v/>
      </c>
      <c r="AR872" s="29">
        <f>COUNTIF(W872:AC872,"Yes")</f>
        <v/>
      </c>
      <c r="AS872" s="29">
        <f>IF(TRIM(B872)="","Legal name missing; ","")&amp;IF(AND(AJ872&lt;&gt;"",AJ872&lt;&gt;"OK"),"GSTIN: "&amp;AJ872&amp;"; ","")&amp;IF(AND(AK872&lt;&gt;"",AK872&lt;&gt;"OK"),"PAN wrong format; ","")&amp;IF(AND(AO872&lt;&gt;"",LEN(AN872)=15,MID(AN872,3,10)&lt;&gt;AO872),"PAN does not match GSTIN; ","")&amp;IF(AND(AL872&lt;&gt;"",AL872&lt;&gt;"OK"),"TAN wrong format; ","")&amp;IF(AG872="","PAN missing; ","")&amp;IF(AP872="","Entity type missing; ","")&amp;IF(AND(AN872&lt;&gt;"",COUNTIF($AN$6:$AN$1005,AN872)&gt;1),"GSTIN repeated in this sheet; ","")&amp;IF(AND(AG872&lt;&gt;"",COUNTIF($AG$6:$AG$1005,AG872)&gt;1),"PAN repeated in this sheet (same client? put extra GSTINs in Other GSTINs); ","")&amp;IF(AND(AR872&gt;0,V872=""),"Financial year missing; ","")&amp;IF(AND(AR872=0,V872&lt;&gt;""),"Financial year given but no service is Yes; ","")&amp;IF(AND(W872="Yes",AN872=""),"GST needs a GSTIN; ","")&amp;IF(AND(W872="Yes",X872=""),"GST return frequency missing; ","")&amp;IF(AND(Y872="Yes",TRIM(H872)=""),"TDS needs a TAN; ","")&amp;IF(AND(AA872="Yes",AQ872&lt;&gt;"",AQ872&lt;&gt;"company",AQ872&lt;&gt;"llp"),"ROC is only for a company / LLP; ","")&amp;IF(AND(AA872="Yes",OR(AQ872="company",AQ872="llp"),TRIM(I872)=""),"ROC needs the CIN / LLPIN; ","")</f>
        <v/>
      </c>
    </row>
    <row r="873">
      <c r="A873" s="30" t="n"/>
      <c r="B873" s="31" t="n"/>
      <c r="C873" s="31" t="n"/>
      <c r="D873" s="31" t="n"/>
      <c r="E873" s="30" t="n"/>
      <c r="F873" s="30" t="n"/>
      <c r="G873" s="30" t="n"/>
      <c r="H873" s="30" t="n"/>
      <c r="I873" s="30" t="n"/>
      <c r="J873" s="32" t="n"/>
      <c r="K873" s="31" t="n"/>
      <c r="L873" s="30" t="n"/>
      <c r="M873" s="31" t="n"/>
      <c r="N873" s="31" t="n"/>
      <c r="O873" s="31" t="n"/>
      <c r="P873" s="30" t="n"/>
      <c r="Q873" s="31" t="n"/>
      <c r="R873" s="31" t="n"/>
      <c r="S873" s="31" t="n"/>
      <c r="T873" s="31" t="n"/>
      <c r="U873" s="30" t="n"/>
      <c r="V873" s="31" t="n"/>
      <c r="W873" s="31" t="n"/>
      <c r="X873" s="31" t="n"/>
      <c r="Y873" s="31" t="n"/>
      <c r="Z873" s="31" t="n"/>
      <c r="AA873" s="31" t="n"/>
      <c r="AB873" s="31" t="n"/>
      <c r="AC873" s="31" t="n"/>
      <c r="AD873" s="31" t="n"/>
      <c r="AE873" s="31" t="n"/>
      <c r="AF873" s="27">
        <f>IF(NOT(COUNTA(A873:AE873)&gt;0),"",IF(A873="","New client","Update"))</f>
        <v/>
      </c>
      <c r="AG873" s="27">
        <f>IF(AO873&lt;&gt;"",AO873,IF(LEN(AN873)=15,MID(AN873,3,10),""))</f>
        <v/>
      </c>
      <c r="AH873" s="27">
        <f>IF(AP873="","",AP873&amp;IF(D873="","  (guessed from PAN)",""))</f>
        <v/>
      </c>
      <c r="AI873" s="27">
        <f>IF(AN873="","",IFERROR(INDEX(Lists!$L$2:$L$38,MATCH(LEFT(AN873,2),Lists!$K$2:$K$38,0)),"Unknown code"))</f>
        <v/>
      </c>
      <c r="AJ873" s="27">
        <f>IF(AN873="","",IFERROR(IF(NOT(AND(LEN(AN873)=15,ISNUMBER(MATCH(LEFT(AN873,2),Lists!$K$2:$K$38,0)),SUMPRODUCT(--ISERROR(FIND(MID(MID(AN873,3,10),{1,2,3,4,5,10},1),"ABCDEFGHIJKLMNOPQRSTUVWXYZ")))=0,SUMPRODUCT(--ISERROR(FIND(MID(MID(AN873,3,10),{6,7,8,9},1),"0123456789")))=0,ISNUMBER(FIND(MID(AN873,13,1),"123456789ABCDEFGHIJKLMNOPQRSTUVWXYZ")),MID(AN873,14,1)="Z")),"Wrong format",IF(MID("0123456789ABCDEFGHIJKLMNOPQRSTUVWXYZ",MOD(36-MOD(SUMPRODUCT(INT((FIND(MID(AN873,{1,2,3,4,5,6,7,8,9,10,11,12,13,14},1),"0123456789ABCDEFGHIJKLMNOPQRSTUVWXYZ")-1)*{1,2,1,2,1,2,1,2,1,2,1,2,1,2}/36)+MOD((FIND(MID(AN873,{1,2,3,4,5,6,7,8,9,10,11,12,13,14},1),"0123456789ABCDEFGHIJKLMNOPQRSTUVWXYZ")-1)*{1,2,1,2,1,2,1,2,1,2,1,2,1,2},36)),36),36)+1,1)=MID(AN873,15,1),"OK","Typo? check digit wrong")),"Wrong format"))</f>
        <v/>
      </c>
      <c r="AK873" s="27">
        <f>IF(AO873="","",IF(AND(LEN(AO873)=10,SUMPRODUCT(--ISERROR(FIND(MID(AO873,{1,2,3,4,5,10},1),"ABCDEFGHIJKLMNOPQRSTUVWXYZ")))=0,SUMPRODUCT(--ISERROR(FIND(MID(AO873,{6,7,8,9},1),"0123456789")))=0),"OK","Wrong format"))</f>
        <v/>
      </c>
      <c r="AL873" s="27">
        <f>IF(TRIM(H873)="","",IF(AND(LEN(UPPER(TRIM(H873)))=10,SUMPRODUCT(--ISERROR(FIND(MID(UPPER(TRIM(H873)),{1,2,3,4,10},1),"ABCDEFGHIJKLMNOPQRSTUVWXYZ")))=0,SUMPRODUCT(--ISERROR(FIND(MID(UPPER(TRIM(H873)),{5,6,7,8,9},1),"0123456789")))=0),"OK","Wrong format"))</f>
        <v/>
      </c>
      <c r="AM873" s="28">
        <f>IF(NOT(COUNTA(A873:AE873)&gt;0),"",IF(AS873&lt;&gt;"","✖ "&amp;LEFT(AS873,LEN(AS873)-2),IF(AR873&gt;0,"✔ Ready — client + "&amp;AR873&amp;" service(s)","✔ Ready — client only")))</f>
        <v/>
      </c>
      <c r="AN873" s="29">
        <f>UPPER(SUBSTITUTE(TRIM(F873)," ",""))</f>
        <v/>
      </c>
      <c r="AO873" s="29">
        <f>UPPER(SUBSTITUTE(TRIM(E873)," ",""))</f>
        <v/>
      </c>
      <c r="AP873" s="29">
        <f>IF(D873&lt;&gt;"",D873,IFERROR(VLOOKUP(MID(AG873,4,1),Lists!$E$2:$F$8,2,FALSE),""))</f>
        <v/>
      </c>
      <c r="AQ873" s="29">
        <f>IFERROR(VLOOKUP(AP873,Lists!$A$2:$C$12,3,FALSE),"")</f>
        <v/>
      </c>
      <c r="AR873" s="29">
        <f>COUNTIF(W873:AC873,"Yes")</f>
        <v/>
      </c>
      <c r="AS873" s="29">
        <f>IF(TRIM(B873)="","Legal name missing; ","")&amp;IF(AND(AJ873&lt;&gt;"",AJ873&lt;&gt;"OK"),"GSTIN: "&amp;AJ873&amp;"; ","")&amp;IF(AND(AK873&lt;&gt;"",AK873&lt;&gt;"OK"),"PAN wrong format; ","")&amp;IF(AND(AO873&lt;&gt;"",LEN(AN873)=15,MID(AN873,3,10)&lt;&gt;AO873),"PAN does not match GSTIN; ","")&amp;IF(AND(AL873&lt;&gt;"",AL873&lt;&gt;"OK"),"TAN wrong format; ","")&amp;IF(AG873="","PAN missing; ","")&amp;IF(AP873="","Entity type missing; ","")&amp;IF(AND(AN873&lt;&gt;"",COUNTIF($AN$6:$AN$1005,AN873)&gt;1),"GSTIN repeated in this sheet; ","")&amp;IF(AND(AG873&lt;&gt;"",COUNTIF($AG$6:$AG$1005,AG873)&gt;1),"PAN repeated in this sheet (same client? put extra GSTINs in Other GSTINs); ","")&amp;IF(AND(AR873&gt;0,V873=""),"Financial year missing; ","")&amp;IF(AND(AR873=0,V873&lt;&gt;""),"Financial year given but no service is Yes; ","")&amp;IF(AND(W873="Yes",AN873=""),"GST needs a GSTIN; ","")&amp;IF(AND(W873="Yes",X873=""),"GST return frequency missing; ","")&amp;IF(AND(Y873="Yes",TRIM(H873)=""),"TDS needs a TAN; ","")&amp;IF(AND(AA873="Yes",AQ873&lt;&gt;"",AQ873&lt;&gt;"company",AQ873&lt;&gt;"llp"),"ROC is only for a company / LLP; ","")&amp;IF(AND(AA873="Yes",OR(AQ873="company",AQ873="llp"),TRIM(I873)=""),"ROC needs the CIN / LLPIN; ","")</f>
        <v/>
      </c>
    </row>
    <row r="874">
      <c r="A874" s="30" t="n"/>
      <c r="B874" s="31" t="n"/>
      <c r="C874" s="31" t="n"/>
      <c r="D874" s="31" t="n"/>
      <c r="E874" s="30" t="n"/>
      <c r="F874" s="30" t="n"/>
      <c r="G874" s="30" t="n"/>
      <c r="H874" s="30" t="n"/>
      <c r="I874" s="30" t="n"/>
      <c r="J874" s="32" t="n"/>
      <c r="K874" s="31" t="n"/>
      <c r="L874" s="30" t="n"/>
      <c r="M874" s="31" t="n"/>
      <c r="N874" s="31" t="n"/>
      <c r="O874" s="31" t="n"/>
      <c r="P874" s="30" t="n"/>
      <c r="Q874" s="31" t="n"/>
      <c r="R874" s="31" t="n"/>
      <c r="S874" s="31" t="n"/>
      <c r="T874" s="31" t="n"/>
      <c r="U874" s="30" t="n"/>
      <c r="V874" s="31" t="n"/>
      <c r="W874" s="31" t="n"/>
      <c r="X874" s="31" t="n"/>
      <c r="Y874" s="31" t="n"/>
      <c r="Z874" s="31" t="n"/>
      <c r="AA874" s="31" t="n"/>
      <c r="AB874" s="31" t="n"/>
      <c r="AC874" s="31" t="n"/>
      <c r="AD874" s="31" t="n"/>
      <c r="AE874" s="31" t="n"/>
      <c r="AF874" s="27">
        <f>IF(NOT(COUNTA(A874:AE874)&gt;0),"",IF(A874="","New client","Update"))</f>
        <v/>
      </c>
      <c r="AG874" s="27">
        <f>IF(AO874&lt;&gt;"",AO874,IF(LEN(AN874)=15,MID(AN874,3,10),""))</f>
        <v/>
      </c>
      <c r="AH874" s="27">
        <f>IF(AP874="","",AP874&amp;IF(D874="","  (guessed from PAN)",""))</f>
        <v/>
      </c>
      <c r="AI874" s="27">
        <f>IF(AN874="","",IFERROR(INDEX(Lists!$L$2:$L$38,MATCH(LEFT(AN874,2),Lists!$K$2:$K$38,0)),"Unknown code"))</f>
        <v/>
      </c>
      <c r="AJ874" s="27">
        <f>IF(AN874="","",IFERROR(IF(NOT(AND(LEN(AN874)=15,ISNUMBER(MATCH(LEFT(AN874,2),Lists!$K$2:$K$38,0)),SUMPRODUCT(--ISERROR(FIND(MID(MID(AN874,3,10),{1,2,3,4,5,10},1),"ABCDEFGHIJKLMNOPQRSTUVWXYZ")))=0,SUMPRODUCT(--ISERROR(FIND(MID(MID(AN874,3,10),{6,7,8,9},1),"0123456789")))=0,ISNUMBER(FIND(MID(AN874,13,1),"123456789ABCDEFGHIJKLMNOPQRSTUVWXYZ")),MID(AN874,14,1)="Z")),"Wrong format",IF(MID("0123456789ABCDEFGHIJKLMNOPQRSTUVWXYZ",MOD(36-MOD(SUMPRODUCT(INT((FIND(MID(AN874,{1,2,3,4,5,6,7,8,9,10,11,12,13,14},1),"0123456789ABCDEFGHIJKLMNOPQRSTUVWXYZ")-1)*{1,2,1,2,1,2,1,2,1,2,1,2,1,2}/36)+MOD((FIND(MID(AN874,{1,2,3,4,5,6,7,8,9,10,11,12,13,14},1),"0123456789ABCDEFGHIJKLMNOPQRSTUVWXYZ")-1)*{1,2,1,2,1,2,1,2,1,2,1,2,1,2},36)),36),36)+1,1)=MID(AN874,15,1),"OK","Typo? check digit wrong")),"Wrong format"))</f>
        <v/>
      </c>
      <c r="AK874" s="27">
        <f>IF(AO874="","",IF(AND(LEN(AO874)=10,SUMPRODUCT(--ISERROR(FIND(MID(AO874,{1,2,3,4,5,10},1),"ABCDEFGHIJKLMNOPQRSTUVWXYZ")))=0,SUMPRODUCT(--ISERROR(FIND(MID(AO874,{6,7,8,9},1),"0123456789")))=0),"OK","Wrong format"))</f>
        <v/>
      </c>
      <c r="AL874" s="27">
        <f>IF(TRIM(H874)="","",IF(AND(LEN(UPPER(TRIM(H874)))=10,SUMPRODUCT(--ISERROR(FIND(MID(UPPER(TRIM(H874)),{1,2,3,4,10},1),"ABCDEFGHIJKLMNOPQRSTUVWXYZ")))=0,SUMPRODUCT(--ISERROR(FIND(MID(UPPER(TRIM(H874)),{5,6,7,8,9},1),"0123456789")))=0),"OK","Wrong format"))</f>
        <v/>
      </c>
      <c r="AM874" s="28">
        <f>IF(NOT(COUNTA(A874:AE874)&gt;0),"",IF(AS874&lt;&gt;"","✖ "&amp;LEFT(AS874,LEN(AS874)-2),IF(AR874&gt;0,"✔ Ready — client + "&amp;AR874&amp;" service(s)","✔ Ready — client only")))</f>
        <v/>
      </c>
      <c r="AN874" s="29">
        <f>UPPER(SUBSTITUTE(TRIM(F874)," ",""))</f>
        <v/>
      </c>
      <c r="AO874" s="29">
        <f>UPPER(SUBSTITUTE(TRIM(E874)," ",""))</f>
        <v/>
      </c>
      <c r="AP874" s="29">
        <f>IF(D874&lt;&gt;"",D874,IFERROR(VLOOKUP(MID(AG874,4,1),Lists!$E$2:$F$8,2,FALSE),""))</f>
        <v/>
      </c>
      <c r="AQ874" s="29">
        <f>IFERROR(VLOOKUP(AP874,Lists!$A$2:$C$12,3,FALSE),"")</f>
        <v/>
      </c>
      <c r="AR874" s="29">
        <f>COUNTIF(W874:AC874,"Yes")</f>
        <v/>
      </c>
      <c r="AS874" s="29">
        <f>IF(TRIM(B874)="","Legal name missing; ","")&amp;IF(AND(AJ874&lt;&gt;"",AJ874&lt;&gt;"OK"),"GSTIN: "&amp;AJ874&amp;"; ","")&amp;IF(AND(AK874&lt;&gt;"",AK874&lt;&gt;"OK"),"PAN wrong format; ","")&amp;IF(AND(AO874&lt;&gt;"",LEN(AN874)=15,MID(AN874,3,10)&lt;&gt;AO874),"PAN does not match GSTIN; ","")&amp;IF(AND(AL874&lt;&gt;"",AL874&lt;&gt;"OK"),"TAN wrong format; ","")&amp;IF(AG874="","PAN missing; ","")&amp;IF(AP874="","Entity type missing; ","")&amp;IF(AND(AN874&lt;&gt;"",COUNTIF($AN$6:$AN$1005,AN874)&gt;1),"GSTIN repeated in this sheet; ","")&amp;IF(AND(AG874&lt;&gt;"",COUNTIF($AG$6:$AG$1005,AG874)&gt;1),"PAN repeated in this sheet (same client? put extra GSTINs in Other GSTINs); ","")&amp;IF(AND(AR874&gt;0,V874=""),"Financial year missing; ","")&amp;IF(AND(AR874=0,V874&lt;&gt;""),"Financial year given but no service is Yes; ","")&amp;IF(AND(W874="Yes",AN874=""),"GST needs a GSTIN; ","")&amp;IF(AND(W874="Yes",X874=""),"GST return frequency missing; ","")&amp;IF(AND(Y874="Yes",TRIM(H874)=""),"TDS needs a TAN; ","")&amp;IF(AND(AA874="Yes",AQ874&lt;&gt;"",AQ874&lt;&gt;"company",AQ874&lt;&gt;"llp"),"ROC is only for a company / LLP; ","")&amp;IF(AND(AA874="Yes",OR(AQ874="company",AQ874="llp"),TRIM(I874)=""),"ROC needs the CIN / LLPIN; ","")</f>
        <v/>
      </c>
    </row>
    <row r="875">
      <c r="A875" s="30" t="n"/>
      <c r="B875" s="31" t="n"/>
      <c r="C875" s="31" t="n"/>
      <c r="D875" s="31" t="n"/>
      <c r="E875" s="30" t="n"/>
      <c r="F875" s="30" t="n"/>
      <c r="G875" s="30" t="n"/>
      <c r="H875" s="30" t="n"/>
      <c r="I875" s="30" t="n"/>
      <c r="J875" s="32" t="n"/>
      <c r="K875" s="31" t="n"/>
      <c r="L875" s="30" t="n"/>
      <c r="M875" s="31" t="n"/>
      <c r="N875" s="31" t="n"/>
      <c r="O875" s="31" t="n"/>
      <c r="P875" s="30" t="n"/>
      <c r="Q875" s="31" t="n"/>
      <c r="R875" s="31" t="n"/>
      <c r="S875" s="31" t="n"/>
      <c r="T875" s="31" t="n"/>
      <c r="U875" s="30" t="n"/>
      <c r="V875" s="31" t="n"/>
      <c r="W875" s="31" t="n"/>
      <c r="X875" s="31" t="n"/>
      <c r="Y875" s="31" t="n"/>
      <c r="Z875" s="31" t="n"/>
      <c r="AA875" s="31" t="n"/>
      <c r="AB875" s="31" t="n"/>
      <c r="AC875" s="31" t="n"/>
      <c r="AD875" s="31" t="n"/>
      <c r="AE875" s="31" t="n"/>
      <c r="AF875" s="27">
        <f>IF(NOT(COUNTA(A875:AE875)&gt;0),"",IF(A875="","New client","Update"))</f>
        <v/>
      </c>
      <c r="AG875" s="27">
        <f>IF(AO875&lt;&gt;"",AO875,IF(LEN(AN875)=15,MID(AN875,3,10),""))</f>
        <v/>
      </c>
      <c r="AH875" s="27">
        <f>IF(AP875="","",AP875&amp;IF(D875="","  (guessed from PAN)",""))</f>
        <v/>
      </c>
      <c r="AI875" s="27">
        <f>IF(AN875="","",IFERROR(INDEX(Lists!$L$2:$L$38,MATCH(LEFT(AN875,2),Lists!$K$2:$K$38,0)),"Unknown code"))</f>
        <v/>
      </c>
      <c r="AJ875" s="27">
        <f>IF(AN875="","",IFERROR(IF(NOT(AND(LEN(AN875)=15,ISNUMBER(MATCH(LEFT(AN875,2),Lists!$K$2:$K$38,0)),SUMPRODUCT(--ISERROR(FIND(MID(MID(AN875,3,10),{1,2,3,4,5,10},1),"ABCDEFGHIJKLMNOPQRSTUVWXYZ")))=0,SUMPRODUCT(--ISERROR(FIND(MID(MID(AN875,3,10),{6,7,8,9},1),"0123456789")))=0,ISNUMBER(FIND(MID(AN875,13,1),"123456789ABCDEFGHIJKLMNOPQRSTUVWXYZ")),MID(AN875,14,1)="Z")),"Wrong format",IF(MID("0123456789ABCDEFGHIJKLMNOPQRSTUVWXYZ",MOD(36-MOD(SUMPRODUCT(INT((FIND(MID(AN875,{1,2,3,4,5,6,7,8,9,10,11,12,13,14},1),"0123456789ABCDEFGHIJKLMNOPQRSTUVWXYZ")-1)*{1,2,1,2,1,2,1,2,1,2,1,2,1,2}/36)+MOD((FIND(MID(AN875,{1,2,3,4,5,6,7,8,9,10,11,12,13,14},1),"0123456789ABCDEFGHIJKLMNOPQRSTUVWXYZ")-1)*{1,2,1,2,1,2,1,2,1,2,1,2,1,2},36)),36),36)+1,1)=MID(AN875,15,1),"OK","Typo? check digit wrong")),"Wrong format"))</f>
        <v/>
      </c>
      <c r="AK875" s="27">
        <f>IF(AO875="","",IF(AND(LEN(AO875)=10,SUMPRODUCT(--ISERROR(FIND(MID(AO875,{1,2,3,4,5,10},1),"ABCDEFGHIJKLMNOPQRSTUVWXYZ")))=0,SUMPRODUCT(--ISERROR(FIND(MID(AO875,{6,7,8,9},1),"0123456789")))=0),"OK","Wrong format"))</f>
        <v/>
      </c>
      <c r="AL875" s="27">
        <f>IF(TRIM(H875)="","",IF(AND(LEN(UPPER(TRIM(H875)))=10,SUMPRODUCT(--ISERROR(FIND(MID(UPPER(TRIM(H875)),{1,2,3,4,10},1),"ABCDEFGHIJKLMNOPQRSTUVWXYZ")))=0,SUMPRODUCT(--ISERROR(FIND(MID(UPPER(TRIM(H875)),{5,6,7,8,9},1),"0123456789")))=0),"OK","Wrong format"))</f>
        <v/>
      </c>
      <c r="AM875" s="28">
        <f>IF(NOT(COUNTA(A875:AE875)&gt;0),"",IF(AS875&lt;&gt;"","✖ "&amp;LEFT(AS875,LEN(AS875)-2),IF(AR875&gt;0,"✔ Ready — client + "&amp;AR875&amp;" service(s)","✔ Ready — client only")))</f>
        <v/>
      </c>
      <c r="AN875" s="29">
        <f>UPPER(SUBSTITUTE(TRIM(F875)," ",""))</f>
        <v/>
      </c>
      <c r="AO875" s="29">
        <f>UPPER(SUBSTITUTE(TRIM(E875)," ",""))</f>
        <v/>
      </c>
      <c r="AP875" s="29">
        <f>IF(D875&lt;&gt;"",D875,IFERROR(VLOOKUP(MID(AG875,4,1),Lists!$E$2:$F$8,2,FALSE),""))</f>
        <v/>
      </c>
      <c r="AQ875" s="29">
        <f>IFERROR(VLOOKUP(AP875,Lists!$A$2:$C$12,3,FALSE),"")</f>
        <v/>
      </c>
      <c r="AR875" s="29">
        <f>COUNTIF(W875:AC875,"Yes")</f>
        <v/>
      </c>
      <c r="AS875" s="29">
        <f>IF(TRIM(B875)="","Legal name missing; ","")&amp;IF(AND(AJ875&lt;&gt;"",AJ875&lt;&gt;"OK"),"GSTIN: "&amp;AJ875&amp;"; ","")&amp;IF(AND(AK875&lt;&gt;"",AK875&lt;&gt;"OK"),"PAN wrong format; ","")&amp;IF(AND(AO875&lt;&gt;"",LEN(AN875)=15,MID(AN875,3,10)&lt;&gt;AO875),"PAN does not match GSTIN; ","")&amp;IF(AND(AL875&lt;&gt;"",AL875&lt;&gt;"OK"),"TAN wrong format; ","")&amp;IF(AG875="","PAN missing; ","")&amp;IF(AP875="","Entity type missing; ","")&amp;IF(AND(AN875&lt;&gt;"",COUNTIF($AN$6:$AN$1005,AN875)&gt;1),"GSTIN repeated in this sheet; ","")&amp;IF(AND(AG875&lt;&gt;"",COUNTIF($AG$6:$AG$1005,AG875)&gt;1),"PAN repeated in this sheet (same client? put extra GSTINs in Other GSTINs); ","")&amp;IF(AND(AR875&gt;0,V875=""),"Financial year missing; ","")&amp;IF(AND(AR875=0,V875&lt;&gt;""),"Financial year given but no service is Yes; ","")&amp;IF(AND(W875="Yes",AN875=""),"GST needs a GSTIN; ","")&amp;IF(AND(W875="Yes",X875=""),"GST return frequency missing; ","")&amp;IF(AND(Y875="Yes",TRIM(H875)=""),"TDS needs a TAN; ","")&amp;IF(AND(AA875="Yes",AQ875&lt;&gt;"",AQ875&lt;&gt;"company",AQ875&lt;&gt;"llp"),"ROC is only for a company / LLP; ","")&amp;IF(AND(AA875="Yes",OR(AQ875="company",AQ875="llp"),TRIM(I875)=""),"ROC needs the CIN / LLPIN; ","")</f>
        <v/>
      </c>
    </row>
    <row r="876">
      <c r="A876" s="30" t="n"/>
      <c r="B876" s="31" t="n"/>
      <c r="C876" s="31" t="n"/>
      <c r="D876" s="31" t="n"/>
      <c r="E876" s="30" t="n"/>
      <c r="F876" s="30" t="n"/>
      <c r="G876" s="30" t="n"/>
      <c r="H876" s="30" t="n"/>
      <c r="I876" s="30" t="n"/>
      <c r="J876" s="32" t="n"/>
      <c r="K876" s="31" t="n"/>
      <c r="L876" s="30" t="n"/>
      <c r="M876" s="31" t="n"/>
      <c r="N876" s="31" t="n"/>
      <c r="O876" s="31" t="n"/>
      <c r="P876" s="30" t="n"/>
      <c r="Q876" s="31" t="n"/>
      <c r="R876" s="31" t="n"/>
      <c r="S876" s="31" t="n"/>
      <c r="T876" s="31" t="n"/>
      <c r="U876" s="30" t="n"/>
      <c r="V876" s="31" t="n"/>
      <c r="W876" s="31" t="n"/>
      <c r="X876" s="31" t="n"/>
      <c r="Y876" s="31" t="n"/>
      <c r="Z876" s="31" t="n"/>
      <c r="AA876" s="31" t="n"/>
      <c r="AB876" s="31" t="n"/>
      <c r="AC876" s="31" t="n"/>
      <c r="AD876" s="31" t="n"/>
      <c r="AE876" s="31" t="n"/>
      <c r="AF876" s="27">
        <f>IF(NOT(COUNTA(A876:AE876)&gt;0),"",IF(A876="","New client","Update"))</f>
        <v/>
      </c>
      <c r="AG876" s="27">
        <f>IF(AO876&lt;&gt;"",AO876,IF(LEN(AN876)=15,MID(AN876,3,10),""))</f>
        <v/>
      </c>
      <c r="AH876" s="27">
        <f>IF(AP876="","",AP876&amp;IF(D876="","  (guessed from PAN)",""))</f>
        <v/>
      </c>
      <c r="AI876" s="27">
        <f>IF(AN876="","",IFERROR(INDEX(Lists!$L$2:$L$38,MATCH(LEFT(AN876,2),Lists!$K$2:$K$38,0)),"Unknown code"))</f>
        <v/>
      </c>
      <c r="AJ876" s="27">
        <f>IF(AN876="","",IFERROR(IF(NOT(AND(LEN(AN876)=15,ISNUMBER(MATCH(LEFT(AN876,2),Lists!$K$2:$K$38,0)),SUMPRODUCT(--ISERROR(FIND(MID(MID(AN876,3,10),{1,2,3,4,5,10},1),"ABCDEFGHIJKLMNOPQRSTUVWXYZ")))=0,SUMPRODUCT(--ISERROR(FIND(MID(MID(AN876,3,10),{6,7,8,9},1),"0123456789")))=0,ISNUMBER(FIND(MID(AN876,13,1),"123456789ABCDEFGHIJKLMNOPQRSTUVWXYZ")),MID(AN876,14,1)="Z")),"Wrong format",IF(MID("0123456789ABCDEFGHIJKLMNOPQRSTUVWXYZ",MOD(36-MOD(SUMPRODUCT(INT((FIND(MID(AN876,{1,2,3,4,5,6,7,8,9,10,11,12,13,14},1),"0123456789ABCDEFGHIJKLMNOPQRSTUVWXYZ")-1)*{1,2,1,2,1,2,1,2,1,2,1,2,1,2}/36)+MOD((FIND(MID(AN876,{1,2,3,4,5,6,7,8,9,10,11,12,13,14},1),"0123456789ABCDEFGHIJKLMNOPQRSTUVWXYZ")-1)*{1,2,1,2,1,2,1,2,1,2,1,2,1,2},36)),36),36)+1,1)=MID(AN876,15,1),"OK","Typo? check digit wrong")),"Wrong format"))</f>
        <v/>
      </c>
      <c r="AK876" s="27">
        <f>IF(AO876="","",IF(AND(LEN(AO876)=10,SUMPRODUCT(--ISERROR(FIND(MID(AO876,{1,2,3,4,5,10},1),"ABCDEFGHIJKLMNOPQRSTUVWXYZ")))=0,SUMPRODUCT(--ISERROR(FIND(MID(AO876,{6,7,8,9},1),"0123456789")))=0),"OK","Wrong format"))</f>
        <v/>
      </c>
      <c r="AL876" s="27">
        <f>IF(TRIM(H876)="","",IF(AND(LEN(UPPER(TRIM(H876)))=10,SUMPRODUCT(--ISERROR(FIND(MID(UPPER(TRIM(H876)),{1,2,3,4,10},1),"ABCDEFGHIJKLMNOPQRSTUVWXYZ")))=0,SUMPRODUCT(--ISERROR(FIND(MID(UPPER(TRIM(H876)),{5,6,7,8,9},1),"0123456789")))=0),"OK","Wrong format"))</f>
        <v/>
      </c>
      <c r="AM876" s="28">
        <f>IF(NOT(COUNTA(A876:AE876)&gt;0),"",IF(AS876&lt;&gt;"","✖ "&amp;LEFT(AS876,LEN(AS876)-2),IF(AR876&gt;0,"✔ Ready — client + "&amp;AR876&amp;" service(s)","✔ Ready — client only")))</f>
        <v/>
      </c>
      <c r="AN876" s="29">
        <f>UPPER(SUBSTITUTE(TRIM(F876)," ",""))</f>
        <v/>
      </c>
      <c r="AO876" s="29">
        <f>UPPER(SUBSTITUTE(TRIM(E876)," ",""))</f>
        <v/>
      </c>
      <c r="AP876" s="29">
        <f>IF(D876&lt;&gt;"",D876,IFERROR(VLOOKUP(MID(AG876,4,1),Lists!$E$2:$F$8,2,FALSE),""))</f>
        <v/>
      </c>
      <c r="AQ876" s="29">
        <f>IFERROR(VLOOKUP(AP876,Lists!$A$2:$C$12,3,FALSE),"")</f>
        <v/>
      </c>
      <c r="AR876" s="29">
        <f>COUNTIF(W876:AC876,"Yes")</f>
        <v/>
      </c>
      <c r="AS876" s="29">
        <f>IF(TRIM(B876)="","Legal name missing; ","")&amp;IF(AND(AJ876&lt;&gt;"",AJ876&lt;&gt;"OK"),"GSTIN: "&amp;AJ876&amp;"; ","")&amp;IF(AND(AK876&lt;&gt;"",AK876&lt;&gt;"OK"),"PAN wrong format; ","")&amp;IF(AND(AO876&lt;&gt;"",LEN(AN876)=15,MID(AN876,3,10)&lt;&gt;AO876),"PAN does not match GSTIN; ","")&amp;IF(AND(AL876&lt;&gt;"",AL876&lt;&gt;"OK"),"TAN wrong format; ","")&amp;IF(AG876="","PAN missing; ","")&amp;IF(AP876="","Entity type missing; ","")&amp;IF(AND(AN876&lt;&gt;"",COUNTIF($AN$6:$AN$1005,AN876)&gt;1),"GSTIN repeated in this sheet; ","")&amp;IF(AND(AG876&lt;&gt;"",COUNTIF($AG$6:$AG$1005,AG876)&gt;1),"PAN repeated in this sheet (same client? put extra GSTINs in Other GSTINs); ","")&amp;IF(AND(AR876&gt;0,V876=""),"Financial year missing; ","")&amp;IF(AND(AR876=0,V876&lt;&gt;""),"Financial year given but no service is Yes; ","")&amp;IF(AND(W876="Yes",AN876=""),"GST needs a GSTIN; ","")&amp;IF(AND(W876="Yes",X876=""),"GST return frequency missing; ","")&amp;IF(AND(Y876="Yes",TRIM(H876)=""),"TDS needs a TAN; ","")&amp;IF(AND(AA876="Yes",AQ876&lt;&gt;"",AQ876&lt;&gt;"company",AQ876&lt;&gt;"llp"),"ROC is only for a company / LLP; ","")&amp;IF(AND(AA876="Yes",OR(AQ876="company",AQ876="llp"),TRIM(I876)=""),"ROC needs the CIN / LLPIN; ","")</f>
        <v/>
      </c>
    </row>
    <row r="877">
      <c r="A877" s="30" t="n"/>
      <c r="B877" s="31" t="n"/>
      <c r="C877" s="31" t="n"/>
      <c r="D877" s="31" t="n"/>
      <c r="E877" s="30" t="n"/>
      <c r="F877" s="30" t="n"/>
      <c r="G877" s="30" t="n"/>
      <c r="H877" s="30" t="n"/>
      <c r="I877" s="30" t="n"/>
      <c r="J877" s="32" t="n"/>
      <c r="K877" s="31" t="n"/>
      <c r="L877" s="30" t="n"/>
      <c r="M877" s="31" t="n"/>
      <c r="N877" s="31" t="n"/>
      <c r="O877" s="31" t="n"/>
      <c r="P877" s="30" t="n"/>
      <c r="Q877" s="31" t="n"/>
      <c r="R877" s="31" t="n"/>
      <c r="S877" s="31" t="n"/>
      <c r="T877" s="31" t="n"/>
      <c r="U877" s="30" t="n"/>
      <c r="V877" s="31" t="n"/>
      <c r="W877" s="31" t="n"/>
      <c r="X877" s="31" t="n"/>
      <c r="Y877" s="31" t="n"/>
      <c r="Z877" s="31" t="n"/>
      <c r="AA877" s="31" t="n"/>
      <c r="AB877" s="31" t="n"/>
      <c r="AC877" s="31" t="n"/>
      <c r="AD877" s="31" t="n"/>
      <c r="AE877" s="31" t="n"/>
      <c r="AF877" s="27">
        <f>IF(NOT(COUNTA(A877:AE877)&gt;0),"",IF(A877="","New client","Update"))</f>
        <v/>
      </c>
      <c r="AG877" s="27">
        <f>IF(AO877&lt;&gt;"",AO877,IF(LEN(AN877)=15,MID(AN877,3,10),""))</f>
        <v/>
      </c>
      <c r="AH877" s="27">
        <f>IF(AP877="","",AP877&amp;IF(D877="","  (guessed from PAN)",""))</f>
        <v/>
      </c>
      <c r="AI877" s="27">
        <f>IF(AN877="","",IFERROR(INDEX(Lists!$L$2:$L$38,MATCH(LEFT(AN877,2),Lists!$K$2:$K$38,0)),"Unknown code"))</f>
        <v/>
      </c>
      <c r="AJ877" s="27">
        <f>IF(AN877="","",IFERROR(IF(NOT(AND(LEN(AN877)=15,ISNUMBER(MATCH(LEFT(AN877,2),Lists!$K$2:$K$38,0)),SUMPRODUCT(--ISERROR(FIND(MID(MID(AN877,3,10),{1,2,3,4,5,10},1),"ABCDEFGHIJKLMNOPQRSTUVWXYZ")))=0,SUMPRODUCT(--ISERROR(FIND(MID(MID(AN877,3,10),{6,7,8,9},1),"0123456789")))=0,ISNUMBER(FIND(MID(AN877,13,1),"123456789ABCDEFGHIJKLMNOPQRSTUVWXYZ")),MID(AN877,14,1)="Z")),"Wrong format",IF(MID("0123456789ABCDEFGHIJKLMNOPQRSTUVWXYZ",MOD(36-MOD(SUMPRODUCT(INT((FIND(MID(AN877,{1,2,3,4,5,6,7,8,9,10,11,12,13,14},1),"0123456789ABCDEFGHIJKLMNOPQRSTUVWXYZ")-1)*{1,2,1,2,1,2,1,2,1,2,1,2,1,2}/36)+MOD((FIND(MID(AN877,{1,2,3,4,5,6,7,8,9,10,11,12,13,14},1),"0123456789ABCDEFGHIJKLMNOPQRSTUVWXYZ")-1)*{1,2,1,2,1,2,1,2,1,2,1,2,1,2},36)),36),36)+1,1)=MID(AN877,15,1),"OK","Typo? check digit wrong")),"Wrong format"))</f>
        <v/>
      </c>
      <c r="AK877" s="27">
        <f>IF(AO877="","",IF(AND(LEN(AO877)=10,SUMPRODUCT(--ISERROR(FIND(MID(AO877,{1,2,3,4,5,10},1),"ABCDEFGHIJKLMNOPQRSTUVWXYZ")))=0,SUMPRODUCT(--ISERROR(FIND(MID(AO877,{6,7,8,9},1),"0123456789")))=0),"OK","Wrong format"))</f>
        <v/>
      </c>
      <c r="AL877" s="27">
        <f>IF(TRIM(H877)="","",IF(AND(LEN(UPPER(TRIM(H877)))=10,SUMPRODUCT(--ISERROR(FIND(MID(UPPER(TRIM(H877)),{1,2,3,4,10},1),"ABCDEFGHIJKLMNOPQRSTUVWXYZ")))=0,SUMPRODUCT(--ISERROR(FIND(MID(UPPER(TRIM(H877)),{5,6,7,8,9},1),"0123456789")))=0),"OK","Wrong format"))</f>
        <v/>
      </c>
      <c r="AM877" s="28">
        <f>IF(NOT(COUNTA(A877:AE877)&gt;0),"",IF(AS877&lt;&gt;"","✖ "&amp;LEFT(AS877,LEN(AS877)-2),IF(AR877&gt;0,"✔ Ready — client + "&amp;AR877&amp;" service(s)","✔ Ready — client only")))</f>
        <v/>
      </c>
      <c r="AN877" s="29">
        <f>UPPER(SUBSTITUTE(TRIM(F877)," ",""))</f>
        <v/>
      </c>
      <c r="AO877" s="29">
        <f>UPPER(SUBSTITUTE(TRIM(E877)," ",""))</f>
        <v/>
      </c>
      <c r="AP877" s="29">
        <f>IF(D877&lt;&gt;"",D877,IFERROR(VLOOKUP(MID(AG877,4,1),Lists!$E$2:$F$8,2,FALSE),""))</f>
        <v/>
      </c>
      <c r="AQ877" s="29">
        <f>IFERROR(VLOOKUP(AP877,Lists!$A$2:$C$12,3,FALSE),"")</f>
        <v/>
      </c>
      <c r="AR877" s="29">
        <f>COUNTIF(W877:AC877,"Yes")</f>
        <v/>
      </c>
      <c r="AS877" s="29">
        <f>IF(TRIM(B877)="","Legal name missing; ","")&amp;IF(AND(AJ877&lt;&gt;"",AJ877&lt;&gt;"OK"),"GSTIN: "&amp;AJ877&amp;"; ","")&amp;IF(AND(AK877&lt;&gt;"",AK877&lt;&gt;"OK"),"PAN wrong format; ","")&amp;IF(AND(AO877&lt;&gt;"",LEN(AN877)=15,MID(AN877,3,10)&lt;&gt;AO877),"PAN does not match GSTIN; ","")&amp;IF(AND(AL877&lt;&gt;"",AL877&lt;&gt;"OK"),"TAN wrong format; ","")&amp;IF(AG877="","PAN missing; ","")&amp;IF(AP877="","Entity type missing; ","")&amp;IF(AND(AN877&lt;&gt;"",COUNTIF($AN$6:$AN$1005,AN877)&gt;1),"GSTIN repeated in this sheet; ","")&amp;IF(AND(AG877&lt;&gt;"",COUNTIF($AG$6:$AG$1005,AG877)&gt;1),"PAN repeated in this sheet (same client? put extra GSTINs in Other GSTINs); ","")&amp;IF(AND(AR877&gt;0,V877=""),"Financial year missing; ","")&amp;IF(AND(AR877=0,V877&lt;&gt;""),"Financial year given but no service is Yes; ","")&amp;IF(AND(W877="Yes",AN877=""),"GST needs a GSTIN; ","")&amp;IF(AND(W877="Yes",X877=""),"GST return frequency missing; ","")&amp;IF(AND(Y877="Yes",TRIM(H877)=""),"TDS needs a TAN; ","")&amp;IF(AND(AA877="Yes",AQ877&lt;&gt;"",AQ877&lt;&gt;"company",AQ877&lt;&gt;"llp"),"ROC is only for a company / LLP; ","")&amp;IF(AND(AA877="Yes",OR(AQ877="company",AQ877="llp"),TRIM(I877)=""),"ROC needs the CIN / LLPIN; ","")</f>
        <v/>
      </c>
    </row>
    <row r="878">
      <c r="A878" s="30" t="n"/>
      <c r="B878" s="31" t="n"/>
      <c r="C878" s="31" t="n"/>
      <c r="D878" s="31" t="n"/>
      <c r="E878" s="30" t="n"/>
      <c r="F878" s="30" t="n"/>
      <c r="G878" s="30" t="n"/>
      <c r="H878" s="30" t="n"/>
      <c r="I878" s="30" t="n"/>
      <c r="J878" s="32" t="n"/>
      <c r="K878" s="31" t="n"/>
      <c r="L878" s="30" t="n"/>
      <c r="M878" s="31" t="n"/>
      <c r="N878" s="31" t="n"/>
      <c r="O878" s="31" t="n"/>
      <c r="P878" s="30" t="n"/>
      <c r="Q878" s="31" t="n"/>
      <c r="R878" s="31" t="n"/>
      <c r="S878" s="31" t="n"/>
      <c r="T878" s="31" t="n"/>
      <c r="U878" s="30" t="n"/>
      <c r="V878" s="31" t="n"/>
      <c r="W878" s="31" t="n"/>
      <c r="X878" s="31" t="n"/>
      <c r="Y878" s="31" t="n"/>
      <c r="Z878" s="31" t="n"/>
      <c r="AA878" s="31" t="n"/>
      <c r="AB878" s="31" t="n"/>
      <c r="AC878" s="31" t="n"/>
      <c r="AD878" s="31" t="n"/>
      <c r="AE878" s="31" t="n"/>
      <c r="AF878" s="27">
        <f>IF(NOT(COUNTA(A878:AE878)&gt;0),"",IF(A878="","New client","Update"))</f>
        <v/>
      </c>
      <c r="AG878" s="27">
        <f>IF(AO878&lt;&gt;"",AO878,IF(LEN(AN878)=15,MID(AN878,3,10),""))</f>
        <v/>
      </c>
      <c r="AH878" s="27">
        <f>IF(AP878="","",AP878&amp;IF(D878="","  (guessed from PAN)",""))</f>
        <v/>
      </c>
      <c r="AI878" s="27">
        <f>IF(AN878="","",IFERROR(INDEX(Lists!$L$2:$L$38,MATCH(LEFT(AN878,2),Lists!$K$2:$K$38,0)),"Unknown code"))</f>
        <v/>
      </c>
      <c r="AJ878" s="27">
        <f>IF(AN878="","",IFERROR(IF(NOT(AND(LEN(AN878)=15,ISNUMBER(MATCH(LEFT(AN878,2),Lists!$K$2:$K$38,0)),SUMPRODUCT(--ISERROR(FIND(MID(MID(AN878,3,10),{1,2,3,4,5,10},1),"ABCDEFGHIJKLMNOPQRSTUVWXYZ")))=0,SUMPRODUCT(--ISERROR(FIND(MID(MID(AN878,3,10),{6,7,8,9},1),"0123456789")))=0,ISNUMBER(FIND(MID(AN878,13,1),"123456789ABCDEFGHIJKLMNOPQRSTUVWXYZ")),MID(AN878,14,1)="Z")),"Wrong format",IF(MID("0123456789ABCDEFGHIJKLMNOPQRSTUVWXYZ",MOD(36-MOD(SUMPRODUCT(INT((FIND(MID(AN878,{1,2,3,4,5,6,7,8,9,10,11,12,13,14},1),"0123456789ABCDEFGHIJKLMNOPQRSTUVWXYZ")-1)*{1,2,1,2,1,2,1,2,1,2,1,2,1,2}/36)+MOD((FIND(MID(AN878,{1,2,3,4,5,6,7,8,9,10,11,12,13,14},1),"0123456789ABCDEFGHIJKLMNOPQRSTUVWXYZ")-1)*{1,2,1,2,1,2,1,2,1,2,1,2,1,2},36)),36),36)+1,1)=MID(AN878,15,1),"OK","Typo? check digit wrong")),"Wrong format"))</f>
        <v/>
      </c>
      <c r="AK878" s="27">
        <f>IF(AO878="","",IF(AND(LEN(AO878)=10,SUMPRODUCT(--ISERROR(FIND(MID(AO878,{1,2,3,4,5,10},1),"ABCDEFGHIJKLMNOPQRSTUVWXYZ")))=0,SUMPRODUCT(--ISERROR(FIND(MID(AO878,{6,7,8,9},1),"0123456789")))=0),"OK","Wrong format"))</f>
        <v/>
      </c>
      <c r="AL878" s="27">
        <f>IF(TRIM(H878)="","",IF(AND(LEN(UPPER(TRIM(H878)))=10,SUMPRODUCT(--ISERROR(FIND(MID(UPPER(TRIM(H878)),{1,2,3,4,10},1),"ABCDEFGHIJKLMNOPQRSTUVWXYZ")))=0,SUMPRODUCT(--ISERROR(FIND(MID(UPPER(TRIM(H878)),{5,6,7,8,9},1),"0123456789")))=0),"OK","Wrong format"))</f>
        <v/>
      </c>
      <c r="AM878" s="28">
        <f>IF(NOT(COUNTA(A878:AE878)&gt;0),"",IF(AS878&lt;&gt;"","✖ "&amp;LEFT(AS878,LEN(AS878)-2),IF(AR878&gt;0,"✔ Ready — client + "&amp;AR878&amp;" service(s)","✔ Ready — client only")))</f>
        <v/>
      </c>
      <c r="AN878" s="29">
        <f>UPPER(SUBSTITUTE(TRIM(F878)," ",""))</f>
        <v/>
      </c>
      <c r="AO878" s="29">
        <f>UPPER(SUBSTITUTE(TRIM(E878)," ",""))</f>
        <v/>
      </c>
      <c r="AP878" s="29">
        <f>IF(D878&lt;&gt;"",D878,IFERROR(VLOOKUP(MID(AG878,4,1),Lists!$E$2:$F$8,2,FALSE),""))</f>
        <v/>
      </c>
      <c r="AQ878" s="29">
        <f>IFERROR(VLOOKUP(AP878,Lists!$A$2:$C$12,3,FALSE),"")</f>
        <v/>
      </c>
      <c r="AR878" s="29">
        <f>COUNTIF(W878:AC878,"Yes")</f>
        <v/>
      </c>
      <c r="AS878" s="29">
        <f>IF(TRIM(B878)="","Legal name missing; ","")&amp;IF(AND(AJ878&lt;&gt;"",AJ878&lt;&gt;"OK"),"GSTIN: "&amp;AJ878&amp;"; ","")&amp;IF(AND(AK878&lt;&gt;"",AK878&lt;&gt;"OK"),"PAN wrong format; ","")&amp;IF(AND(AO878&lt;&gt;"",LEN(AN878)=15,MID(AN878,3,10)&lt;&gt;AO878),"PAN does not match GSTIN; ","")&amp;IF(AND(AL878&lt;&gt;"",AL878&lt;&gt;"OK"),"TAN wrong format; ","")&amp;IF(AG878="","PAN missing; ","")&amp;IF(AP878="","Entity type missing; ","")&amp;IF(AND(AN878&lt;&gt;"",COUNTIF($AN$6:$AN$1005,AN878)&gt;1),"GSTIN repeated in this sheet; ","")&amp;IF(AND(AG878&lt;&gt;"",COUNTIF($AG$6:$AG$1005,AG878)&gt;1),"PAN repeated in this sheet (same client? put extra GSTINs in Other GSTINs); ","")&amp;IF(AND(AR878&gt;0,V878=""),"Financial year missing; ","")&amp;IF(AND(AR878=0,V878&lt;&gt;""),"Financial year given but no service is Yes; ","")&amp;IF(AND(W878="Yes",AN878=""),"GST needs a GSTIN; ","")&amp;IF(AND(W878="Yes",X878=""),"GST return frequency missing; ","")&amp;IF(AND(Y878="Yes",TRIM(H878)=""),"TDS needs a TAN; ","")&amp;IF(AND(AA878="Yes",AQ878&lt;&gt;"",AQ878&lt;&gt;"company",AQ878&lt;&gt;"llp"),"ROC is only for a company / LLP; ","")&amp;IF(AND(AA878="Yes",OR(AQ878="company",AQ878="llp"),TRIM(I878)=""),"ROC needs the CIN / LLPIN; ","")</f>
        <v/>
      </c>
    </row>
    <row r="879">
      <c r="A879" s="30" t="n"/>
      <c r="B879" s="31" t="n"/>
      <c r="C879" s="31" t="n"/>
      <c r="D879" s="31" t="n"/>
      <c r="E879" s="30" t="n"/>
      <c r="F879" s="30" t="n"/>
      <c r="G879" s="30" t="n"/>
      <c r="H879" s="30" t="n"/>
      <c r="I879" s="30" t="n"/>
      <c r="J879" s="32" t="n"/>
      <c r="K879" s="31" t="n"/>
      <c r="L879" s="30" t="n"/>
      <c r="M879" s="31" t="n"/>
      <c r="N879" s="31" t="n"/>
      <c r="O879" s="31" t="n"/>
      <c r="P879" s="30" t="n"/>
      <c r="Q879" s="31" t="n"/>
      <c r="R879" s="31" t="n"/>
      <c r="S879" s="31" t="n"/>
      <c r="T879" s="31" t="n"/>
      <c r="U879" s="30" t="n"/>
      <c r="V879" s="31" t="n"/>
      <c r="W879" s="31" t="n"/>
      <c r="X879" s="31" t="n"/>
      <c r="Y879" s="31" t="n"/>
      <c r="Z879" s="31" t="n"/>
      <c r="AA879" s="31" t="n"/>
      <c r="AB879" s="31" t="n"/>
      <c r="AC879" s="31" t="n"/>
      <c r="AD879" s="31" t="n"/>
      <c r="AE879" s="31" t="n"/>
      <c r="AF879" s="27">
        <f>IF(NOT(COUNTA(A879:AE879)&gt;0),"",IF(A879="","New client","Update"))</f>
        <v/>
      </c>
      <c r="AG879" s="27">
        <f>IF(AO879&lt;&gt;"",AO879,IF(LEN(AN879)=15,MID(AN879,3,10),""))</f>
        <v/>
      </c>
      <c r="AH879" s="27">
        <f>IF(AP879="","",AP879&amp;IF(D879="","  (guessed from PAN)",""))</f>
        <v/>
      </c>
      <c r="AI879" s="27">
        <f>IF(AN879="","",IFERROR(INDEX(Lists!$L$2:$L$38,MATCH(LEFT(AN879,2),Lists!$K$2:$K$38,0)),"Unknown code"))</f>
        <v/>
      </c>
      <c r="AJ879" s="27">
        <f>IF(AN879="","",IFERROR(IF(NOT(AND(LEN(AN879)=15,ISNUMBER(MATCH(LEFT(AN879,2),Lists!$K$2:$K$38,0)),SUMPRODUCT(--ISERROR(FIND(MID(MID(AN879,3,10),{1,2,3,4,5,10},1),"ABCDEFGHIJKLMNOPQRSTUVWXYZ")))=0,SUMPRODUCT(--ISERROR(FIND(MID(MID(AN879,3,10),{6,7,8,9},1),"0123456789")))=0,ISNUMBER(FIND(MID(AN879,13,1),"123456789ABCDEFGHIJKLMNOPQRSTUVWXYZ")),MID(AN879,14,1)="Z")),"Wrong format",IF(MID("0123456789ABCDEFGHIJKLMNOPQRSTUVWXYZ",MOD(36-MOD(SUMPRODUCT(INT((FIND(MID(AN879,{1,2,3,4,5,6,7,8,9,10,11,12,13,14},1),"0123456789ABCDEFGHIJKLMNOPQRSTUVWXYZ")-1)*{1,2,1,2,1,2,1,2,1,2,1,2,1,2}/36)+MOD((FIND(MID(AN879,{1,2,3,4,5,6,7,8,9,10,11,12,13,14},1),"0123456789ABCDEFGHIJKLMNOPQRSTUVWXYZ")-1)*{1,2,1,2,1,2,1,2,1,2,1,2,1,2},36)),36),36)+1,1)=MID(AN879,15,1),"OK","Typo? check digit wrong")),"Wrong format"))</f>
        <v/>
      </c>
      <c r="AK879" s="27">
        <f>IF(AO879="","",IF(AND(LEN(AO879)=10,SUMPRODUCT(--ISERROR(FIND(MID(AO879,{1,2,3,4,5,10},1),"ABCDEFGHIJKLMNOPQRSTUVWXYZ")))=0,SUMPRODUCT(--ISERROR(FIND(MID(AO879,{6,7,8,9},1),"0123456789")))=0),"OK","Wrong format"))</f>
        <v/>
      </c>
      <c r="AL879" s="27">
        <f>IF(TRIM(H879)="","",IF(AND(LEN(UPPER(TRIM(H879)))=10,SUMPRODUCT(--ISERROR(FIND(MID(UPPER(TRIM(H879)),{1,2,3,4,10},1),"ABCDEFGHIJKLMNOPQRSTUVWXYZ")))=0,SUMPRODUCT(--ISERROR(FIND(MID(UPPER(TRIM(H879)),{5,6,7,8,9},1),"0123456789")))=0),"OK","Wrong format"))</f>
        <v/>
      </c>
      <c r="AM879" s="28">
        <f>IF(NOT(COUNTA(A879:AE879)&gt;0),"",IF(AS879&lt;&gt;"","✖ "&amp;LEFT(AS879,LEN(AS879)-2),IF(AR879&gt;0,"✔ Ready — client + "&amp;AR879&amp;" service(s)","✔ Ready — client only")))</f>
        <v/>
      </c>
      <c r="AN879" s="29">
        <f>UPPER(SUBSTITUTE(TRIM(F879)," ",""))</f>
        <v/>
      </c>
      <c r="AO879" s="29">
        <f>UPPER(SUBSTITUTE(TRIM(E879)," ",""))</f>
        <v/>
      </c>
      <c r="AP879" s="29">
        <f>IF(D879&lt;&gt;"",D879,IFERROR(VLOOKUP(MID(AG879,4,1),Lists!$E$2:$F$8,2,FALSE),""))</f>
        <v/>
      </c>
      <c r="AQ879" s="29">
        <f>IFERROR(VLOOKUP(AP879,Lists!$A$2:$C$12,3,FALSE),"")</f>
        <v/>
      </c>
      <c r="AR879" s="29">
        <f>COUNTIF(W879:AC879,"Yes")</f>
        <v/>
      </c>
      <c r="AS879" s="29">
        <f>IF(TRIM(B879)="","Legal name missing; ","")&amp;IF(AND(AJ879&lt;&gt;"",AJ879&lt;&gt;"OK"),"GSTIN: "&amp;AJ879&amp;"; ","")&amp;IF(AND(AK879&lt;&gt;"",AK879&lt;&gt;"OK"),"PAN wrong format; ","")&amp;IF(AND(AO879&lt;&gt;"",LEN(AN879)=15,MID(AN879,3,10)&lt;&gt;AO879),"PAN does not match GSTIN; ","")&amp;IF(AND(AL879&lt;&gt;"",AL879&lt;&gt;"OK"),"TAN wrong format; ","")&amp;IF(AG879="","PAN missing; ","")&amp;IF(AP879="","Entity type missing; ","")&amp;IF(AND(AN879&lt;&gt;"",COUNTIF($AN$6:$AN$1005,AN879)&gt;1),"GSTIN repeated in this sheet; ","")&amp;IF(AND(AG879&lt;&gt;"",COUNTIF($AG$6:$AG$1005,AG879)&gt;1),"PAN repeated in this sheet (same client? put extra GSTINs in Other GSTINs); ","")&amp;IF(AND(AR879&gt;0,V879=""),"Financial year missing; ","")&amp;IF(AND(AR879=0,V879&lt;&gt;""),"Financial year given but no service is Yes; ","")&amp;IF(AND(W879="Yes",AN879=""),"GST needs a GSTIN; ","")&amp;IF(AND(W879="Yes",X879=""),"GST return frequency missing; ","")&amp;IF(AND(Y879="Yes",TRIM(H879)=""),"TDS needs a TAN; ","")&amp;IF(AND(AA879="Yes",AQ879&lt;&gt;"",AQ879&lt;&gt;"company",AQ879&lt;&gt;"llp"),"ROC is only for a company / LLP; ","")&amp;IF(AND(AA879="Yes",OR(AQ879="company",AQ879="llp"),TRIM(I879)=""),"ROC needs the CIN / LLPIN; ","")</f>
        <v/>
      </c>
    </row>
    <row r="880">
      <c r="A880" s="30" t="n"/>
      <c r="B880" s="31" t="n"/>
      <c r="C880" s="31" t="n"/>
      <c r="D880" s="31" t="n"/>
      <c r="E880" s="30" t="n"/>
      <c r="F880" s="30" t="n"/>
      <c r="G880" s="30" t="n"/>
      <c r="H880" s="30" t="n"/>
      <c r="I880" s="30" t="n"/>
      <c r="J880" s="32" t="n"/>
      <c r="K880" s="31" t="n"/>
      <c r="L880" s="30" t="n"/>
      <c r="M880" s="31" t="n"/>
      <c r="N880" s="31" t="n"/>
      <c r="O880" s="31" t="n"/>
      <c r="P880" s="30" t="n"/>
      <c r="Q880" s="31" t="n"/>
      <c r="R880" s="31" t="n"/>
      <c r="S880" s="31" t="n"/>
      <c r="T880" s="31" t="n"/>
      <c r="U880" s="30" t="n"/>
      <c r="V880" s="31" t="n"/>
      <c r="W880" s="31" t="n"/>
      <c r="X880" s="31" t="n"/>
      <c r="Y880" s="31" t="n"/>
      <c r="Z880" s="31" t="n"/>
      <c r="AA880" s="31" t="n"/>
      <c r="AB880" s="31" t="n"/>
      <c r="AC880" s="31" t="n"/>
      <c r="AD880" s="31" t="n"/>
      <c r="AE880" s="31" t="n"/>
      <c r="AF880" s="27">
        <f>IF(NOT(COUNTA(A880:AE880)&gt;0),"",IF(A880="","New client","Update"))</f>
        <v/>
      </c>
      <c r="AG880" s="27">
        <f>IF(AO880&lt;&gt;"",AO880,IF(LEN(AN880)=15,MID(AN880,3,10),""))</f>
        <v/>
      </c>
      <c r="AH880" s="27">
        <f>IF(AP880="","",AP880&amp;IF(D880="","  (guessed from PAN)",""))</f>
        <v/>
      </c>
      <c r="AI880" s="27">
        <f>IF(AN880="","",IFERROR(INDEX(Lists!$L$2:$L$38,MATCH(LEFT(AN880,2),Lists!$K$2:$K$38,0)),"Unknown code"))</f>
        <v/>
      </c>
      <c r="AJ880" s="27">
        <f>IF(AN880="","",IFERROR(IF(NOT(AND(LEN(AN880)=15,ISNUMBER(MATCH(LEFT(AN880,2),Lists!$K$2:$K$38,0)),SUMPRODUCT(--ISERROR(FIND(MID(MID(AN880,3,10),{1,2,3,4,5,10},1),"ABCDEFGHIJKLMNOPQRSTUVWXYZ")))=0,SUMPRODUCT(--ISERROR(FIND(MID(MID(AN880,3,10),{6,7,8,9},1),"0123456789")))=0,ISNUMBER(FIND(MID(AN880,13,1),"123456789ABCDEFGHIJKLMNOPQRSTUVWXYZ")),MID(AN880,14,1)="Z")),"Wrong format",IF(MID("0123456789ABCDEFGHIJKLMNOPQRSTUVWXYZ",MOD(36-MOD(SUMPRODUCT(INT((FIND(MID(AN880,{1,2,3,4,5,6,7,8,9,10,11,12,13,14},1),"0123456789ABCDEFGHIJKLMNOPQRSTUVWXYZ")-1)*{1,2,1,2,1,2,1,2,1,2,1,2,1,2}/36)+MOD((FIND(MID(AN880,{1,2,3,4,5,6,7,8,9,10,11,12,13,14},1),"0123456789ABCDEFGHIJKLMNOPQRSTUVWXYZ")-1)*{1,2,1,2,1,2,1,2,1,2,1,2,1,2},36)),36),36)+1,1)=MID(AN880,15,1),"OK","Typo? check digit wrong")),"Wrong format"))</f>
        <v/>
      </c>
      <c r="AK880" s="27">
        <f>IF(AO880="","",IF(AND(LEN(AO880)=10,SUMPRODUCT(--ISERROR(FIND(MID(AO880,{1,2,3,4,5,10},1),"ABCDEFGHIJKLMNOPQRSTUVWXYZ")))=0,SUMPRODUCT(--ISERROR(FIND(MID(AO880,{6,7,8,9},1),"0123456789")))=0),"OK","Wrong format"))</f>
        <v/>
      </c>
      <c r="AL880" s="27">
        <f>IF(TRIM(H880)="","",IF(AND(LEN(UPPER(TRIM(H880)))=10,SUMPRODUCT(--ISERROR(FIND(MID(UPPER(TRIM(H880)),{1,2,3,4,10},1),"ABCDEFGHIJKLMNOPQRSTUVWXYZ")))=0,SUMPRODUCT(--ISERROR(FIND(MID(UPPER(TRIM(H880)),{5,6,7,8,9},1),"0123456789")))=0),"OK","Wrong format"))</f>
        <v/>
      </c>
      <c r="AM880" s="28">
        <f>IF(NOT(COUNTA(A880:AE880)&gt;0),"",IF(AS880&lt;&gt;"","✖ "&amp;LEFT(AS880,LEN(AS880)-2),IF(AR880&gt;0,"✔ Ready — client + "&amp;AR880&amp;" service(s)","✔ Ready — client only")))</f>
        <v/>
      </c>
      <c r="AN880" s="29">
        <f>UPPER(SUBSTITUTE(TRIM(F880)," ",""))</f>
        <v/>
      </c>
      <c r="AO880" s="29">
        <f>UPPER(SUBSTITUTE(TRIM(E880)," ",""))</f>
        <v/>
      </c>
      <c r="AP880" s="29">
        <f>IF(D880&lt;&gt;"",D880,IFERROR(VLOOKUP(MID(AG880,4,1),Lists!$E$2:$F$8,2,FALSE),""))</f>
        <v/>
      </c>
      <c r="AQ880" s="29">
        <f>IFERROR(VLOOKUP(AP880,Lists!$A$2:$C$12,3,FALSE),"")</f>
        <v/>
      </c>
      <c r="AR880" s="29">
        <f>COUNTIF(W880:AC880,"Yes")</f>
        <v/>
      </c>
      <c r="AS880" s="29">
        <f>IF(TRIM(B880)="","Legal name missing; ","")&amp;IF(AND(AJ880&lt;&gt;"",AJ880&lt;&gt;"OK"),"GSTIN: "&amp;AJ880&amp;"; ","")&amp;IF(AND(AK880&lt;&gt;"",AK880&lt;&gt;"OK"),"PAN wrong format; ","")&amp;IF(AND(AO880&lt;&gt;"",LEN(AN880)=15,MID(AN880,3,10)&lt;&gt;AO880),"PAN does not match GSTIN; ","")&amp;IF(AND(AL880&lt;&gt;"",AL880&lt;&gt;"OK"),"TAN wrong format; ","")&amp;IF(AG880="","PAN missing; ","")&amp;IF(AP880="","Entity type missing; ","")&amp;IF(AND(AN880&lt;&gt;"",COUNTIF($AN$6:$AN$1005,AN880)&gt;1),"GSTIN repeated in this sheet; ","")&amp;IF(AND(AG880&lt;&gt;"",COUNTIF($AG$6:$AG$1005,AG880)&gt;1),"PAN repeated in this sheet (same client? put extra GSTINs in Other GSTINs); ","")&amp;IF(AND(AR880&gt;0,V880=""),"Financial year missing; ","")&amp;IF(AND(AR880=0,V880&lt;&gt;""),"Financial year given but no service is Yes; ","")&amp;IF(AND(W880="Yes",AN880=""),"GST needs a GSTIN; ","")&amp;IF(AND(W880="Yes",X880=""),"GST return frequency missing; ","")&amp;IF(AND(Y880="Yes",TRIM(H880)=""),"TDS needs a TAN; ","")&amp;IF(AND(AA880="Yes",AQ880&lt;&gt;"",AQ880&lt;&gt;"company",AQ880&lt;&gt;"llp"),"ROC is only for a company / LLP; ","")&amp;IF(AND(AA880="Yes",OR(AQ880="company",AQ880="llp"),TRIM(I880)=""),"ROC needs the CIN / LLPIN; ","")</f>
        <v/>
      </c>
    </row>
    <row r="881">
      <c r="A881" s="30" t="n"/>
      <c r="B881" s="31" t="n"/>
      <c r="C881" s="31" t="n"/>
      <c r="D881" s="31" t="n"/>
      <c r="E881" s="30" t="n"/>
      <c r="F881" s="30" t="n"/>
      <c r="G881" s="30" t="n"/>
      <c r="H881" s="30" t="n"/>
      <c r="I881" s="30" t="n"/>
      <c r="J881" s="32" t="n"/>
      <c r="K881" s="31" t="n"/>
      <c r="L881" s="30" t="n"/>
      <c r="M881" s="31" t="n"/>
      <c r="N881" s="31" t="n"/>
      <c r="O881" s="31" t="n"/>
      <c r="P881" s="30" t="n"/>
      <c r="Q881" s="31" t="n"/>
      <c r="R881" s="31" t="n"/>
      <c r="S881" s="31" t="n"/>
      <c r="T881" s="31" t="n"/>
      <c r="U881" s="30" t="n"/>
      <c r="V881" s="31" t="n"/>
      <c r="W881" s="31" t="n"/>
      <c r="X881" s="31" t="n"/>
      <c r="Y881" s="31" t="n"/>
      <c r="Z881" s="31" t="n"/>
      <c r="AA881" s="31" t="n"/>
      <c r="AB881" s="31" t="n"/>
      <c r="AC881" s="31" t="n"/>
      <c r="AD881" s="31" t="n"/>
      <c r="AE881" s="31" t="n"/>
      <c r="AF881" s="27">
        <f>IF(NOT(COUNTA(A881:AE881)&gt;0),"",IF(A881="","New client","Update"))</f>
        <v/>
      </c>
      <c r="AG881" s="27">
        <f>IF(AO881&lt;&gt;"",AO881,IF(LEN(AN881)=15,MID(AN881,3,10),""))</f>
        <v/>
      </c>
      <c r="AH881" s="27">
        <f>IF(AP881="","",AP881&amp;IF(D881="","  (guessed from PAN)",""))</f>
        <v/>
      </c>
      <c r="AI881" s="27">
        <f>IF(AN881="","",IFERROR(INDEX(Lists!$L$2:$L$38,MATCH(LEFT(AN881,2),Lists!$K$2:$K$38,0)),"Unknown code"))</f>
        <v/>
      </c>
      <c r="AJ881" s="27">
        <f>IF(AN881="","",IFERROR(IF(NOT(AND(LEN(AN881)=15,ISNUMBER(MATCH(LEFT(AN881,2),Lists!$K$2:$K$38,0)),SUMPRODUCT(--ISERROR(FIND(MID(MID(AN881,3,10),{1,2,3,4,5,10},1),"ABCDEFGHIJKLMNOPQRSTUVWXYZ")))=0,SUMPRODUCT(--ISERROR(FIND(MID(MID(AN881,3,10),{6,7,8,9},1),"0123456789")))=0,ISNUMBER(FIND(MID(AN881,13,1),"123456789ABCDEFGHIJKLMNOPQRSTUVWXYZ")),MID(AN881,14,1)="Z")),"Wrong format",IF(MID("0123456789ABCDEFGHIJKLMNOPQRSTUVWXYZ",MOD(36-MOD(SUMPRODUCT(INT((FIND(MID(AN881,{1,2,3,4,5,6,7,8,9,10,11,12,13,14},1),"0123456789ABCDEFGHIJKLMNOPQRSTUVWXYZ")-1)*{1,2,1,2,1,2,1,2,1,2,1,2,1,2}/36)+MOD((FIND(MID(AN881,{1,2,3,4,5,6,7,8,9,10,11,12,13,14},1),"0123456789ABCDEFGHIJKLMNOPQRSTUVWXYZ")-1)*{1,2,1,2,1,2,1,2,1,2,1,2,1,2},36)),36),36)+1,1)=MID(AN881,15,1),"OK","Typo? check digit wrong")),"Wrong format"))</f>
        <v/>
      </c>
      <c r="AK881" s="27">
        <f>IF(AO881="","",IF(AND(LEN(AO881)=10,SUMPRODUCT(--ISERROR(FIND(MID(AO881,{1,2,3,4,5,10},1),"ABCDEFGHIJKLMNOPQRSTUVWXYZ")))=0,SUMPRODUCT(--ISERROR(FIND(MID(AO881,{6,7,8,9},1),"0123456789")))=0),"OK","Wrong format"))</f>
        <v/>
      </c>
      <c r="AL881" s="27">
        <f>IF(TRIM(H881)="","",IF(AND(LEN(UPPER(TRIM(H881)))=10,SUMPRODUCT(--ISERROR(FIND(MID(UPPER(TRIM(H881)),{1,2,3,4,10},1),"ABCDEFGHIJKLMNOPQRSTUVWXYZ")))=0,SUMPRODUCT(--ISERROR(FIND(MID(UPPER(TRIM(H881)),{5,6,7,8,9},1),"0123456789")))=0),"OK","Wrong format"))</f>
        <v/>
      </c>
      <c r="AM881" s="28">
        <f>IF(NOT(COUNTA(A881:AE881)&gt;0),"",IF(AS881&lt;&gt;"","✖ "&amp;LEFT(AS881,LEN(AS881)-2),IF(AR881&gt;0,"✔ Ready — client + "&amp;AR881&amp;" service(s)","✔ Ready — client only")))</f>
        <v/>
      </c>
      <c r="AN881" s="29">
        <f>UPPER(SUBSTITUTE(TRIM(F881)," ",""))</f>
        <v/>
      </c>
      <c r="AO881" s="29">
        <f>UPPER(SUBSTITUTE(TRIM(E881)," ",""))</f>
        <v/>
      </c>
      <c r="AP881" s="29">
        <f>IF(D881&lt;&gt;"",D881,IFERROR(VLOOKUP(MID(AG881,4,1),Lists!$E$2:$F$8,2,FALSE),""))</f>
        <v/>
      </c>
      <c r="AQ881" s="29">
        <f>IFERROR(VLOOKUP(AP881,Lists!$A$2:$C$12,3,FALSE),"")</f>
        <v/>
      </c>
      <c r="AR881" s="29">
        <f>COUNTIF(W881:AC881,"Yes")</f>
        <v/>
      </c>
      <c r="AS881" s="29">
        <f>IF(TRIM(B881)="","Legal name missing; ","")&amp;IF(AND(AJ881&lt;&gt;"",AJ881&lt;&gt;"OK"),"GSTIN: "&amp;AJ881&amp;"; ","")&amp;IF(AND(AK881&lt;&gt;"",AK881&lt;&gt;"OK"),"PAN wrong format; ","")&amp;IF(AND(AO881&lt;&gt;"",LEN(AN881)=15,MID(AN881,3,10)&lt;&gt;AO881),"PAN does not match GSTIN; ","")&amp;IF(AND(AL881&lt;&gt;"",AL881&lt;&gt;"OK"),"TAN wrong format; ","")&amp;IF(AG881="","PAN missing; ","")&amp;IF(AP881="","Entity type missing; ","")&amp;IF(AND(AN881&lt;&gt;"",COUNTIF($AN$6:$AN$1005,AN881)&gt;1),"GSTIN repeated in this sheet; ","")&amp;IF(AND(AG881&lt;&gt;"",COUNTIF($AG$6:$AG$1005,AG881)&gt;1),"PAN repeated in this sheet (same client? put extra GSTINs in Other GSTINs); ","")&amp;IF(AND(AR881&gt;0,V881=""),"Financial year missing; ","")&amp;IF(AND(AR881=0,V881&lt;&gt;""),"Financial year given but no service is Yes; ","")&amp;IF(AND(W881="Yes",AN881=""),"GST needs a GSTIN; ","")&amp;IF(AND(W881="Yes",X881=""),"GST return frequency missing; ","")&amp;IF(AND(Y881="Yes",TRIM(H881)=""),"TDS needs a TAN; ","")&amp;IF(AND(AA881="Yes",AQ881&lt;&gt;"",AQ881&lt;&gt;"company",AQ881&lt;&gt;"llp"),"ROC is only for a company / LLP; ","")&amp;IF(AND(AA881="Yes",OR(AQ881="company",AQ881="llp"),TRIM(I881)=""),"ROC needs the CIN / LLPIN; ","")</f>
        <v/>
      </c>
    </row>
    <row r="882">
      <c r="A882" s="30" t="n"/>
      <c r="B882" s="31" t="n"/>
      <c r="C882" s="31" t="n"/>
      <c r="D882" s="31" t="n"/>
      <c r="E882" s="30" t="n"/>
      <c r="F882" s="30" t="n"/>
      <c r="G882" s="30" t="n"/>
      <c r="H882" s="30" t="n"/>
      <c r="I882" s="30" t="n"/>
      <c r="J882" s="32" t="n"/>
      <c r="K882" s="31" t="n"/>
      <c r="L882" s="30" t="n"/>
      <c r="M882" s="31" t="n"/>
      <c r="N882" s="31" t="n"/>
      <c r="O882" s="31" t="n"/>
      <c r="P882" s="30" t="n"/>
      <c r="Q882" s="31" t="n"/>
      <c r="R882" s="31" t="n"/>
      <c r="S882" s="31" t="n"/>
      <c r="T882" s="31" t="n"/>
      <c r="U882" s="30" t="n"/>
      <c r="V882" s="31" t="n"/>
      <c r="W882" s="31" t="n"/>
      <c r="X882" s="31" t="n"/>
      <c r="Y882" s="31" t="n"/>
      <c r="Z882" s="31" t="n"/>
      <c r="AA882" s="31" t="n"/>
      <c r="AB882" s="31" t="n"/>
      <c r="AC882" s="31" t="n"/>
      <c r="AD882" s="31" t="n"/>
      <c r="AE882" s="31" t="n"/>
      <c r="AF882" s="27">
        <f>IF(NOT(COUNTA(A882:AE882)&gt;0),"",IF(A882="","New client","Update"))</f>
        <v/>
      </c>
      <c r="AG882" s="27">
        <f>IF(AO882&lt;&gt;"",AO882,IF(LEN(AN882)=15,MID(AN882,3,10),""))</f>
        <v/>
      </c>
      <c r="AH882" s="27">
        <f>IF(AP882="","",AP882&amp;IF(D882="","  (guessed from PAN)",""))</f>
        <v/>
      </c>
      <c r="AI882" s="27">
        <f>IF(AN882="","",IFERROR(INDEX(Lists!$L$2:$L$38,MATCH(LEFT(AN882,2),Lists!$K$2:$K$38,0)),"Unknown code"))</f>
        <v/>
      </c>
      <c r="AJ882" s="27">
        <f>IF(AN882="","",IFERROR(IF(NOT(AND(LEN(AN882)=15,ISNUMBER(MATCH(LEFT(AN882,2),Lists!$K$2:$K$38,0)),SUMPRODUCT(--ISERROR(FIND(MID(MID(AN882,3,10),{1,2,3,4,5,10},1),"ABCDEFGHIJKLMNOPQRSTUVWXYZ")))=0,SUMPRODUCT(--ISERROR(FIND(MID(MID(AN882,3,10),{6,7,8,9},1),"0123456789")))=0,ISNUMBER(FIND(MID(AN882,13,1),"123456789ABCDEFGHIJKLMNOPQRSTUVWXYZ")),MID(AN882,14,1)="Z")),"Wrong format",IF(MID("0123456789ABCDEFGHIJKLMNOPQRSTUVWXYZ",MOD(36-MOD(SUMPRODUCT(INT((FIND(MID(AN882,{1,2,3,4,5,6,7,8,9,10,11,12,13,14},1),"0123456789ABCDEFGHIJKLMNOPQRSTUVWXYZ")-1)*{1,2,1,2,1,2,1,2,1,2,1,2,1,2}/36)+MOD((FIND(MID(AN882,{1,2,3,4,5,6,7,8,9,10,11,12,13,14},1),"0123456789ABCDEFGHIJKLMNOPQRSTUVWXYZ")-1)*{1,2,1,2,1,2,1,2,1,2,1,2,1,2},36)),36),36)+1,1)=MID(AN882,15,1),"OK","Typo? check digit wrong")),"Wrong format"))</f>
        <v/>
      </c>
      <c r="AK882" s="27">
        <f>IF(AO882="","",IF(AND(LEN(AO882)=10,SUMPRODUCT(--ISERROR(FIND(MID(AO882,{1,2,3,4,5,10},1),"ABCDEFGHIJKLMNOPQRSTUVWXYZ")))=0,SUMPRODUCT(--ISERROR(FIND(MID(AO882,{6,7,8,9},1),"0123456789")))=0),"OK","Wrong format"))</f>
        <v/>
      </c>
      <c r="AL882" s="27">
        <f>IF(TRIM(H882)="","",IF(AND(LEN(UPPER(TRIM(H882)))=10,SUMPRODUCT(--ISERROR(FIND(MID(UPPER(TRIM(H882)),{1,2,3,4,10},1),"ABCDEFGHIJKLMNOPQRSTUVWXYZ")))=0,SUMPRODUCT(--ISERROR(FIND(MID(UPPER(TRIM(H882)),{5,6,7,8,9},1),"0123456789")))=0),"OK","Wrong format"))</f>
        <v/>
      </c>
      <c r="AM882" s="28">
        <f>IF(NOT(COUNTA(A882:AE882)&gt;0),"",IF(AS882&lt;&gt;"","✖ "&amp;LEFT(AS882,LEN(AS882)-2),IF(AR882&gt;0,"✔ Ready — client + "&amp;AR882&amp;" service(s)","✔ Ready — client only")))</f>
        <v/>
      </c>
      <c r="AN882" s="29">
        <f>UPPER(SUBSTITUTE(TRIM(F882)," ",""))</f>
        <v/>
      </c>
      <c r="AO882" s="29">
        <f>UPPER(SUBSTITUTE(TRIM(E882)," ",""))</f>
        <v/>
      </c>
      <c r="AP882" s="29">
        <f>IF(D882&lt;&gt;"",D882,IFERROR(VLOOKUP(MID(AG882,4,1),Lists!$E$2:$F$8,2,FALSE),""))</f>
        <v/>
      </c>
      <c r="AQ882" s="29">
        <f>IFERROR(VLOOKUP(AP882,Lists!$A$2:$C$12,3,FALSE),"")</f>
        <v/>
      </c>
      <c r="AR882" s="29">
        <f>COUNTIF(W882:AC882,"Yes")</f>
        <v/>
      </c>
      <c r="AS882" s="29">
        <f>IF(TRIM(B882)="","Legal name missing; ","")&amp;IF(AND(AJ882&lt;&gt;"",AJ882&lt;&gt;"OK"),"GSTIN: "&amp;AJ882&amp;"; ","")&amp;IF(AND(AK882&lt;&gt;"",AK882&lt;&gt;"OK"),"PAN wrong format; ","")&amp;IF(AND(AO882&lt;&gt;"",LEN(AN882)=15,MID(AN882,3,10)&lt;&gt;AO882),"PAN does not match GSTIN; ","")&amp;IF(AND(AL882&lt;&gt;"",AL882&lt;&gt;"OK"),"TAN wrong format; ","")&amp;IF(AG882="","PAN missing; ","")&amp;IF(AP882="","Entity type missing; ","")&amp;IF(AND(AN882&lt;&gt;"",COUNTIF($AN$6:$AN$1005,AN882)&gt;1),"GSTIN repeated in this sheet; ","")&amp;IF(AND(AG882&lt;&gt;"",COUNTIF($AG$6:$AG$1005,AG882)&gt;1),"PAN repeated in this sheet (same client? put extra GSTINs in Other GSTINs); ","")&amp;IF(AND(AR882&gt;0,V882=""),"Financial year missing; ","")&amp;IF(AND(AR882=0,V882&lt;&gt;""),"Financial year given but no service is Yes; ","")&amp;IF(AND(W882="Yes",AN882=""),"GST needs a GSTIN; ","")&amp;IF(AND(W882="Yes",X882=""),"GST return frequency missing; ","")&amp;IF(AND(Y882="Yes",TRIM(H882)=""),"TDS needs a TAN; ","")&amp;IF(AND(AA882="Yes",AQ882&lt;&gt;"",AQ882&lt;&gt;"company",AQ882&lt;&gt;"llp"),"ROC is only for a company / LLP; ","")&amp;IF(AND(AA882="Yes",OR(AQ882="company",AQ882="llp"),TRIM(I882)=""),"ROC needs the CIN / LLPIN; ","")</f>
        <v/>
      </c>
    </row>
    <row r="883">
      <c r="A883" s="30" t="n"/>
      <c r="B883" s="31" t="n"/>
      <c r="C883" s="31" t="n"/>
      <c r="D883" s="31" t="n"/>
      <c r="E883" s="30" t="n"/>
      <c r="F883" s="30" t="n"/>
      <c r="G883" s="30" t="n"/>
      <c r="H883" s="30" t="n"/>
      <c r="I883" s="30" t="n"/>
      <c r="J883" s="32" t="n"/>
      <c r="K883" s="31" t="n"/>
      <c r="L883" s="30" t="n"/>
      <c r="M883" s="31" t="n"/>
      <c r="N883" s="31" t="n"/>
      <c r="O883" s="31" t="n"/>
      <c r="P883" s="30" t="n"/>
      <c r="Q883" s="31" t="n"/>
      <c r="R883" s="31" t="n"/>
      <c r="S883" s="31" t="n"/>
      <c r="T883" s="31" t="n"/>
      <c r="U883" s="30" t="n"/>
      <c r="V883" s="31" t="n"/>
      <c r="W883" s="31" t="n"/>
      <c r="X883" s="31" t="n"/>
      <c r="Y883" s="31" t="n"/>
      <c r="Z883" s="31" t="n"/>
      <c r="AA883" s="31" t="n"/>
      <c r="AB883" s="31" t="n"/>
      <c r="AC883" s="31" t="n"/>
      <c r="AD883" s="31" t="n"/>
      <c r="AE883" s="31" t="n"/>
      <c r="AF883" s="27">
        <f>IF(NOT(COUNTA(A883:AE883)&gt;0),"",IF(A883="","New client","Update"))</f>
        <v/>
      </c>
      <c r="AG883" s="27">
        <f>IF(AO883&lt;&gt;"",AO883,IF(LEN(AN883)=15,MID(AN883,3,10),""))</f>
        <v/>
      </c>
      <c r="AH883" s="27">
        <f>IF(AP883="","",AP883&amp;IF(D883="","  (guessed from PAN)",""))</f>
        <v/>
      </c>
      <c r="AI883" s="27">
        <f>IF(AN883="","",IFERROR(INDEX(Lists!$L$2:$L$38,MATCH(LEFT(AN883,2),Lists!$K$2:$K$38,0)),"Unknown code"))</f>
        <v/>
      </c>
      <c r="AJ883" s="27">
        <f>IF(AN883="","",IFERROR(IF(NOT(AND(LEN(AN883)=15,ISNUMBER(MATCH(LEFT(AN883,2),Lists!$K$2:$K$38,0)),SUMPRODUCT(--ISERROR(FIND(MID(MID(AN883,3,10),{1,2,3,4,5,10},1),"ABCDEFGHIJKLMNOPQRSTUVWXYZ")))=0,SUMPRODUCT(--ISERROR(FIND(MID(MID(AN883,3,10),{6,7,8,9},1),"0123456789")))=0,ISNUMBER(FIND(MID(AN883,13,1),"123456789ABCDEFGHIJKLMNOPQRSTUVWXYZ")),MID(AN883,14,1)="Z")),"Wrong format",IF(MID("0123456789ABCDEFGHIJKLMNOPQRSTUVWXYZ",MOD(36-MOD(SUMPRODUCT(INT((FIND(MID(AN883,{1,2,3,4,5,6,7,8,9,10,11,12,13,14},1),"0123456789ABCDEFGHIJKLMNOPQRSTUVWXYZ")-1)*{1,2,1,2,1,2,1,2,1,2,1,2,1,2}/36)+MOD((FIND(MID(AN883,{1,2,3,4,5,6,7,8,9,10,11,12,13,14},1),"0123456789ABCDEFGHIJKLMNOPQRSTUVWXYZ")-1)*{1,2,1,2,1,2,1,2,1,2,1,2,1,2},36)),36),36)+1,1)=MID(AN883,15,1),"OK","Typo? check digit wrong")),"Wrong format"))</f>
        <v/>
      </c>
      <c r="AK883" s="27">
        <f>IF(AO883="","",IF(AND(LEN(AO883)=10,SUMPRODUCT(--ISERROR(FIND(MID(AO883,{1,2,3,4,5,10},1),"ABCDEFGHIJKLMNOPQRSTUVWXYZ")))=0,SUMPRODUCT(--ISERROR(FIND(MID(AO883,{6,7,8,9},1),"0123456789")))=0),"OK","Wrong format"))</f>
        <v/>
      </c>
      <c r="AL883" s="27">
        <f>IF(TRIM(H883)="","",IF(AND(LEN(UPPER(TRIM(H883)))=10,SUMPRODUCT(--ISERROR(FIND(MID(UPPER(TRIM(H883)),{1,2,3,4,10},1),"ABCDEFGHIJKLMNOPQRSTUVWXYZ")))=0,SUMPRODUCT(--ISERROR(FIND(MID(UPPER(TRIM(H883)),{5,6,7,8,9},1),"0123456789")))=0),"OK","Wrong format"))</f>
        <v/>
      </c>
      <c r="AM883" s="28">
        <f>IF(NOT(COUNTA(A883:AE883)&gt;0),"",IF(AS883&lt;&gt;"","✖ "&amp;LEFT(AS883,LEN(AS883)-2),IF(AR883&gt;0,"✔ Ready — client + "&amp;AR883&amp;" service(s)","✔ Ready — client only")))</f>
        <v/>
      </c>
      <c r="AN883" s="29">
        <f>UPPER(SUBSTITUTE(TRIM(F883)," ",""))</f>
        <v/>
      </c>
      <c r="AO883" s="29">
        <f>UPPER(SUBSTITUTE(TRIM(E883)," ",""))</f>
        <v/>
      </c>
      <c r="AP883" s="29">
        <f>IF(D883&lt;&gt;"",D883,IFERROR(VLOOKUP(MID(AG883,4,1),Lists!$E$2:$F$8,2,FALSE),""))</f>
        <v/>
      </c>
      <c r="AQ883" s="29">
        <f>IFERROR(VLOOKUP(AP883,Lists!$A$2:$C$12,3,FALSE),"")</f>
        <v/>
      </c>
      <c r="AR883" s="29">
        <f>COUNTIF(W883:AC883,"Yes")</f>
        <v/>
      </c>
      <c r="AS883" s="29">
        <f>IF(TRIM(B883)="","Legal name missing; ","")&amp;IF(AND(AJ883&lt;&gt;"",AJ883&lt;&gt;"OK"),"GSTIN: "&amp;AJ883&amp;"; ","")&amp;IF(AND(AK883&lt;&gt;"",AK883&lt;&gt;"OK"),"PAN wrong format; ","")&amp;IF(AND(AO883&lt;&gt;"",LEN(AN883)=15,MID(AN883,3,10)&lt;&gt;AO883),"PAN does not match GSTIN; ","")&amp;IF(AND(AL883&lt;&gt;"",AL883&lt;&gt;"OK"),"TAN wrong format; ","")&amp;IF(AG883="","PAN missing; ","")&amp;IF(AP883="","Entity type missing; ","")&amp;IF(AND(AN883&lt;&gt;"",COUNTIF($AN$6:$AN$1005,AN883)&gt;1),"GSTIN repeated in this sheet; ","")&amp;IF(AND(AG883&lt;&gt;"",COUNTIF($AG$6:$AG$1005,AG883)&gt;1),"PAN repeated in this sheet (same client? put extra GSTINs in Other GSTINs); ","")&amp;IF(AND(AR883&gt;0,V883=""),"Financial year missing; ","")&amp;IF(AND(AR883=0,V883&lt;&gt;""),"Financial year given but no service is Yes; ","")&amp;IF(AND(W883="Yes",AN883=""),"GST needs a GSTIN; ","")&amp;IF(AND(W883="Yes",X883=""),"GST return frequency missing; ","")&amp;IF(AND(Y883="Yes",TRIM(H883)=""),"TDS needs a TAN; ","")&amp;IF(AND(AA883="Yes",AQ883&lt;&gt;"",AQ883&lt;&gt;"company",AQ883&lt;&gt;"llp"),"ROC is only for a company / LLP; ","")&amp;IF(AND(AA883="Yes",OR(AQ883="company",AQ883="llp"),TRIM(I883)=""),"ROC needs the CIN / LLPIN; ","")</f>
        <v/>
      </c>
    </row>
    <row r="884">
      <c r="A884" s="30" t="n"/>
      <c r="B884" s="31" t="n"/>
      <c r="C884" s="31" t="n"/>
      <c r="D884" s="31" t="n"/>
      <c r="E884" s="30" t="n"/>
      <c r="F884" s="30" t="n"/>
      <c r="G884" s="30" t="n"/>
      <c r="H884" s="30" t="n"/>
      <c r="I884" s="30" t="n"/>
      <c r="J884" s="32" t="n"/>
      <c r="K884" s="31" t="n"/>
      <c r="L884" s="30" t="n"/>
      <c r="M884" s="31" t="n"/>
      <c r="N884" s="31" t="n"/>
      <c r="O884" s="31" t="n"/>
      <c r="P884" s="30" t="n"/>
      <c r="Q884" s="31" t="n"/>
      <c r="R884" s="31" t="n"/>
      <c r="S884" s="31" t="n"/>
      <c r="T884" s="31" t="n"/>
      <c r="U884" s="30" t="n"/>
      <c r="V884" s="31" t="n"/>
      <c r="W884" s="31" t="n"/>
      <c r="X884" s="31" t="n"/>
      <c r="Y884" s="31" t="n"/>
      <c r="Z884" s="31" t="n"/>
      <c r="AA884" s="31" t="n"/>
      <c r="AB884" s="31" t="n"/>
      <c r="AC884" s="31" t="n"/>
      <c r="AD884" s="31" t="n"/>
      <c r="AE884" s="31" t="n"/>
      <c r="AF884" s="27">
        <f>IF(NOT(COUNTA(A884:AE884)&gt;0),"",IF(A884="","New client","Update"))</f>
        <v/>
      </c>
      <c r="AG884" s="27">
        <f>IF(AO884&lt;&gt;"",AO884,IF(LEN(AN884)=15,MID(AN884,3,10),""))</f>
        <v/>
      </c>
      <c r="AH884" s="27">
        <f>IF(AP884="","",AP884&amp;IF(D884="","  (guessed from PAN)",""))</f>
        <v/>
      </c>
      <c r="AI884" s="27">
        <f>IF(AN884="","",IFERROR(INDEX(Lists!$L$2:$L$38,MATCH(LEFT(AN884,2),Lists!$K$2:$K$38,0)),"Unknown code"))</f>
        <v/>
      </c>
      <c r="AJ884" s="27">
        <f>IF(AN884="","",IFERROR(IF(NOT(AND(LEN(AN884)=15,ISNUMBER(MATCH(LEFT(AN884,2),Lists!$K$2:$K$38,0)),SUMPRODUCT(--ISERROR(FIND(MID(MID(AN884,3,10),{1,2,3,4,5,10},1),"ABCDEFGHIJKLMNOPQRSTUVWXYZ")))=0,SUMPRODUCT(--ISERROR(FIND(MID(MID(AN884,3,10),{6,7,8,9},1),"0123456789")))=0,ISNUMBER(FIND(MID(AN884,13,1),"123456789ABCDEFGHIJKLMNOPQRSTUVWXYZ")),MID(AN884,14,1)="Z")),"Wrong format",IF(MID("0123456789ABCDEFGHIJKLMNOPQRSTUVWXYZ",MOD(36-MOD(SUMPRODUCT(INT((FIND(MID(AN884,{1,2,3,4,5,6,7,8,9,10,11,12,13,14},1),"0123456789ABCDEFGHIJKLMNOPQRSTUVWXYZ")-1)*{1,2,1,2,1,2,1,2,1,2,1,2,1,2}/36)+MOD((FIND(MID(AN884,{1,2,3,4,5,6,7,8,9,10,11,12,13,14},1),"0123456789ABCDEFGHIJKLMNOPQRSTUVWXYZ")-1)*{1,2,1,2,1,2,1,2,1,2,1,2,1,2},36)),36),36)+1,1)=MID(AN884,15,1),"OK","Typo? check digit wrong")),"Wrong format"))</f>
        <v/>
      </c>
      <c r="AK884" s="27">
        <f>IF(AO884="","",IF(AND(LEN(AO884)=10,SUMPRODUCT(--ISERROR(FIND(MID(AO884,{1,2,3,4,5,10},1),"ABCDEFGHIJKLMNOPQRSTUVWXYZ")))=0,SUMPRODUCT(--ISERROR(FIND(MID(AO884,{6,7,8,9},1),"0123456789")))=0),"OK","Wrong format"))</f>
        <v/>
      </c>
      <c r="AL884" s="27">
        <f>IF(TRIM(H884)="","",IF(AND(LEN(UPPER(TRIM(H884)))=10,SUMPRODUCT(--ISERROR(FIND(MID(UPPER(TRIM(H884)),{1,2,3,4,10},1),"ABCDEFGHIJKLMNOPQRSTUVWXYZ")))=0,SUMPRODUCT(--ISERROR(FIND(MID(UPPER(TRIM(H884)),{5,6,7,8,9},1),"0123456789")))=0),"OK","Wrong format"))</f>
        <v/>
      </c>
      <c r="AM884" s="28">
        <f>IF(NOT(COUNTA(A884:AE884)&gt;0),"",IF(AS884&lt;&gt;"","✖ "&amp;LEFT(AS884,LEN(AS884)-2),IF(AR884&gt;0,"✔ Ready — client + "&amp;AR884&amp;" service(s)","✔ Ready — client only")))</f>
        <v/>
      </c>
      <c r="AN884" s="29">
        <f>UPPER(SUBSTITUTE(TRIM(F884)," ",""))</f>
        <v/>
      </c>
      <c r="AO884" s="29">
        <f>UPPER(SUBSTITUTE(TRIM(E884)," ",""))</f>
        <v/>
      </c>
      <c r="AP884" s="29">
        <f>IF(D884&lt;&gt;"",D884,IFERROR(VLOOKUP(MID(AG884,4,1),Lists!$E$2:$F$8,2,FALSE),""))</f>
        <v/>
      </c>
      <c r="AQ884" s="29">
        <f>IFERROR(VLOOKUP(AP884,Lists!$A$2:$C$12,3,FALSE),"")</f>
        <v/>
      </c>
      <c r="AR884" s="29">
        <f>COUNTIF(W884:AC884,"Yes")</f>
        <v/>
      </c>
      <c r="AS884" s="29">
        <f>IF(TRIM(B884)="","Legal name missing; ","")&amp;IF(AND(AJ884&lt;&gt;"",AJ884&lt;&gt;"OK"),"GSTIN: "&amp;AJ884&amp;"; ","")&amp;IF(AND(AK884&lt;&gt;"",AK884&lt;&gt;"OK"),"PAN wrong format; ","")&amp;IF(AND(AO884&lt;&gt;"",LEN(AN884)=15,MID(AN884,3,10)&lt;&gt;AO884),"PAN does not match GSTIN; ","")&amp;IF(AND(AL884&lt;&gt;"",AL884&lt;&gt;"OK"),"TAN wrong format; ","")&amp;IF(AG884="","PAN missing; ","")&amp;IF(AP884="","Entity type missing; ","")&amp;IF(AND(AN884&lt;&gt;"",COUNTIF($AN$6:$AN$1005,AN884)&gt;1),"GSTIN repeated in this sheet; ","")&amp;IF(AND(AG884&lt;&gt;"",COUNTIF($AG$6:$AG$1005,AG884)&gt;1),"PAN repeated in this sheet (same client? put extra GSTINs in Other GSTINs); ","")&amp;IF(AND(AR884&gt;0,V884=""),"Financial year missing; ","")&amp;IF(AND(AR884=0,V884&lt;&gt;""),"Financial year given but no service is Yes; ","")&amp;IF(AND(W884="Yes",AN884=""),"GST needs a GSTIN; ","")&amp;IF(AND(W884="Yes",X884=""),"GST return frequency missing; ","")&amp;IF(AND(Y884="Yes",TRIM(H884)=""),"TDS needs a TAN; ","")&amp;IF(AND(AA884="Yes",AQ884&lt;&gt;"",AQ884&lt;&gt;"company",AQ884&lt;&gt;"llp"),"ROC is only for a company / LLP; ","")&amp;IF(AND(AA884="Yes",OR(AQ884="company",AQ884="llp"),TRIM(I884)=""),"ROC needs the CIN / LLPIN; ","")</f>
        <v/>
      </c>
    </row>
    <row r="885">
      <c r="A885" s="30" t="n"/>
      <c r="B885" s="31" t="n"/>
      <c r="C885" s="31" t="n"/>
      <c r="D885" s="31" t="n"/>
      <c r="E885" s="30" t="n"/>
      <c r="F885" s="30" t="n"/>
      <c r="G885" s="30" t="n"/>
      <c r="H885" s="30" t="n"/>
      <c r="I885" s="30" t="n"/>
      <c r="J885" s="32" t="n"/>
      <c r="K885" s="31" t="n"/>
      <c r="L885" s="30" t="n"/>
      <c r="M885" s="31" t="n"/>
      <c r="N885" s="31" t="n"/>
      <c r="O885" s="31" t="n"/>
      <c r="P885" s="30" t="n"/>
      <c r="Q885" s="31" t="n"/>
      <c r="R885" s="31" t="n"/>
      <c r="S885" s="31" t="n"/>
      <c r="T885" s="31" t="n"/>
      <c r="U885" s="30" t="n"/>
      <c r="V885" s="31" t="n"/>
      <c r="W885" s="31" t="n"/>
      <c r="X885" s="31" t="n"/>
      <c r="Y885" s="31" t="n"/>
      <c r="Z885" s="31" t="n"/>
      <c r="AA885" s="31" t="n"/>
      <c r="AB885" s="31" t="n"/>
      <c r="AC885" s="31" t="n"/>
      <c r="AD885" s="31" t="n"/>
      <c r="AE885" s="31" t="n"/>
      <c r="AF885" s="27">
        <f>IF(NOT(COUNTA(A885:AE885)&gt;0),"",IF(A885="","New client","Update"))</f>
        <v/>
      </c>
      <c r="AG885" s="27">
        <f>IF(AO885&lt;&gt;"",AO885,IF(LEN(AN885)=15,MID(AN885,3,10),""))</f>
        <v/>
      </c>
      <c r="AH885" s="27">
        <f>IF(AP885="","",AP885&amp;IF(D885="","  (guessed from PAN)",""))</f>
        <v/>
      </c>
      <c r="AI885" s="27">
        <f>IF(AN885="","",IFERROR(INDEX(Lists!$L$2:$L$38,MATCH(LEFT(AN885,2),Lists!$K$2:$K$38,0)),"Unknown code"))</f>
        <v/>
      </c>
      <c r="AJ885" s="27">
        <f>IF(AN885="","",IFERROR(IF(NOT(AND(LEN(AN885)=15,ISNUMBER(MATCH(LEFT(AN885,2),Lists!$K$2:$K$38,0)),SUMPRODUCT(--ISERROR(FIND(MID(MID(AN885,3,10),{1,2,3,4,5,10},1),"ABCDEFGHIJKLMNOPQRSTUVWXYZ")))=0,SUMPRODUCT(--ISERROR(FIND(MID(MID(AN885,3,10),{6,7,8,9},1),"0123456789")))=0,ISNUMBER(FIND(MID(AN885,13,1),"123456789ABCDEFGHIJKLMNOPQRSTUVWXYZ")),MID(AN885,14,1)="Z")),"Wrong format",IF(MID("0123456789ABCDEFGHIJKLMNOPQRSTUVWXYZ",MOD(36-MOD(SUMPRODUCT(INT((FIND(MID(AN885,{1,2,3,4,5,6,7,8,9,10,11,12,13,14},1),"0123456789ABCDEFGHIJKLMNOPQRSTUVWXYZ")-1)*{1,2,1,2,1,2,1,2,1,2,1,2,1,2}/36)+MOD((FIND(MID(AN885,{1,2,3,4,5,6,7,8,9,10,11,12,13,14},1),"0123456789ABCDEFGHIJKLMNOPQRSTUVWXYZ")-1)*{1,2,1,2,1,2,1,2,1,2,1,2,1,2},36)),36),36)+1,1)=MID(AN885,15,1),"OK","Typo? check digit wrong")),"Wrong format"))</f>
        <v/>
      </c>
      <c r="AK885" s="27">
        <f>IF(AO885="","",IF(AND(LEN(AO885)=10,SUMPRODUCT(--ISERROR(FIND(MID(AO885,{1,2,3,4,5,10},1),"ABCDEFGHIJKLMNOPQRSTUVWXYZ")))=0,SUMPRODUCT(--ISERROR(FIND(MID(AO885,{6,7,8,9},1),"0123456789")))=0),"OK","Wrong format"))</f>
        <v/>
      </c>
      <c r="AL885" s="27">
        <f>IF(TRIM(H885)="","",IF(AND(LEN(UPPER(TRIM(H885)))=10,SUMPRODUCT(--ISERROR(FIND(MID(UPPER(TRIM(H885)),{1,2,3,4,10},1),"ABCDEFGHIJKLMNOPQRSTUVWXYZ")))=0,SUMPRODUCT(--ISERROR(FIND(MID(UPPER(TRIM(H885)),{5,6,7,8,9},1),"0123456789")))=0),"OK","Wrong format"))</f>
        <v/>
      </c>
      <c r="AM885" s="28">
        <f>IF(NOT(COUNTA(A885:AE885)&gt;0),"",IF(AS885&lt;&gt;"","✖ "&amp;LEFT(AS885,LEN(AS885)-2),IF(AR885&gt;0,"✔ Ready — client + "&amp;AR885&amp;" service(s)","✔ Ready — client only")))</f>
        <v/>
      </c>
      <c r="AN885" s="29">
        <f>UPPER(SUBSTITUTE(TRIM(F885)," ",""))</f>
        <v/>
      </c>
      <c r="AO885" s="29">
        <f>UPPER(SUBSTITUTE(TRIM(E885)," ",""))</f>
        <v/>
      </c>
      <c r="AP885" s="29">
        <f>IF(D885&lt;&gt;"",D885,IFERROR(VLOOKUP(MID(AG885,4,1),Lists!$E$2:$F$8,2,FALSE),""))</f>
        <v/>
      </c>
      <c r="AQ885" s="29">
        <f>IFERROR(VLOOKUP(AP885,Lists!$A$2:$C$12,3,FALSE),"")</f>
        <v/>
      </c>
      <c r="AR885" s="29">
        <f>COUNTIF(W885:AC885,"Yes")</f>
        <v/>
      </c>
      <c r="AS885" s="29">
        <f>IF(TRIM(B885)="","Legal name missing; ","")&amp;IF(AND(AJ885&lt;&gt;"",AJ885&lt;&gt;"OK"),"GSTIN: "&amp;AJ885&amp;"; ","")&amp;IF(AND(AK885&lt;&gt;"",AK885&lt;&gt;"OK"),"PAN wrong format; ","")&amp;IF(AND(AO885&lt;&gt;"",LEN(AN885)=15,MID(AN885,3,10)&lt;&gt;AO885),"PAN does not match GSTIN; ","")&amp;IF(AND(AL885&lt;&gt;"",AL885&lt;&gt;"OK"),"TAN wrong format; ","")&amp;IF(AG885="","PAN missing; ","")&amp;IF(AP885="","Entity type missing; ","")&amp;IF(AND(AN885&lt;&gt;"",COUNTIF($AN$6:$AN$1005,AN885)&gt;1),"GSTIN repeated in this sheet; ","")&amp;IF(AND(AG885&lt;&gt;"",COUNTIF($AG$6:$AG$1005,AG885)&gt;1),"PAN repeated in this sheet (same client? put extra GSTINs in Other GSTINs); ","")&amp;IF(AND(AR885&gt;0,V885=""),"Financial year missing; ","")&amp;IF(AND(AR885=0,V885&lt;&gt;""),"Financial year given but no service is Yes; ","")&amp;IF(AND(W885="Yes",AN885=""),"GST needs a GSTIN; ","")&amp;IF(AND(W885="Yes",X885=""),"GST return frequency missing; ","")&amp;IF(AND(Y885="Yes",TRIM(H885)=""),"TDS needs a TAN; ","")&amp;IF(AND(AA885="Yes",AQ885&lt;&gt;"",AQ885&lt;&gt;"company",AQ885&lt;&gt;"llp"),"ROC is only for a company / LLP; ","")&amp;IF(AND(AA885="Yes",OR(AQ885="company",AQ885="llp"),TRIM(I885)=""),"ROC needs the CIN / LLPIN; ","")</f>
        <v/>
      </c>
    </row>
    <row r="886">
      <c r="A886" s="30" t="n"/>
      <c r="B886" s="31" t="n"/>
      <c r="C886" s="31" t="n"/>
      <c r="D886" s="31" t="n"/>
      <c r="E886" s="30" t="n"/>
      <c r="F886" s="30" t="n"/>
      <c r="G886" s="30" t="n"/>
      <c r="H886" s="30" t="n"/>
      <c r="I886" s="30" t="n"/>
      <c r="J886" s="32" t="n"/>
      <c r="K886" s="31" t="n"/>
      <c r="L886" s="30" t="n"/>
      <c r="M886" s="31" t="n"/>
      <c r="N886" s="31" t="n"/>
      <c r="O886" s="31" t="n"/>
      <c r="P886" s="30" t="n"/>
      <c r="Q886" s="31" t="n"/>
      <c r="R886" s="31" t="n"/>
      <c r="S886" s="31" t="n"/>
      <c r="T886" s="31" t="n"/>
      <c r="U886" s="30" t="n"/>
      <c r="V886" s="31" t="n"/>
      <c r="W886" s="31" t="n"/>
      <c r="X886" s="31" t="n"/>
      <c r="Y886" s="31" t="n"/>
      <c r="Z886" s="31" t="n"/>
      <c r="AA886" s="31" t="n"/>
      <c r="AB886" s="31" t="n"/>
      <c r="AC886" s="31" t="n"/>
      <c r="AD886" s="31" t="n"/>
      <c r="AE886" s="31" t="n"/>
      <c r="AF886" s="27">
        <f>IF(NOT(COUNTA(A886:AE886)&gt;0),"",IF(A886="","New client","Update"))</f>
        <v/>
      </c>
      <c r="AG886" s="27">
        <f>IF(AO886&lt;&gt;"",AO886,IF(LEN(AN886)=15,MID(AN886,3,10),""))</f>
        <v/>
      </c>
      <c r="AH886" s="27">
        <f>IF(AP886="","",AP886&amp;IF(D886="","  (guessed from PAN)",""))</f>
        <v/>
      </c>
      <c r="AI886" s="27">
        <f>IF(AN886="","",IFERROR(INDEX(Lists!$L$2:$L$38,MATCH(LEFT(AN886,2),Lists!$K$2:$K$38,0)),"Unknown code"))</f>
        <v/>
      </c>
      <c r="AJ886" s="27">
        <f>IF(AN886="","",IFERROR(IF(NOT(AND(LEN(AN886)=15,ISNUMBER(MATCH(LEFT(AN886,2),Lists!$K$2:$K$38,0)),SUMPRODUCT(--ISERROR(FIND(MID(MID(AN886,3,10),{1,2,3,4,5,10},1),"ABCDEFGHIJKLMNOPQRSTUVWXYZ")))=0,SUMPRODUCT(--ISERROR(FIND(MID(MID(AN886,3,10),{6,7,8,9},1),"0123456789")))=0,ISNUMBER(FIND(MID(AN886,13,1),"123456789ABCDEFGHIJKLMNOPQRSTUVWXYZ")),MID(AN886,14,1)="Z")),"Wrong format",IF(MID("0123456789ABCDEFGHIJKLMNOPQRSTUVWXYZ",MOD(36-MOD(SUMPRODUCT(INT((FIND(MID(AN886,{1,2,3,4,5,6,7,8,9,10,11,12,13,14},1),"0123456789ABCDEFGHIJKLMNOPQRSTUVWXYZ")-1)*{1,2,1,2,1,2,1,2,1,2,1,2,1,2}/36)+MOD((FIND(MID(AN886,{1,2,3,4,5,6,7,8,9,10,11,12,13,14},1),"0123456789ABCDEFGHIJKLMNOPQRSTUVWXYZ")-1)*{1,2,1,2,1,2,1,2,1,2,1,2,1,2},36)),36),36)+1,1)=MID(AN886,15,1),"OK","Typo? check digit wrong")),"Wrong format"))</f>
        <v/>
      </c>
      <c r="AK886" s="27">
        <f>IF(AO886="","",IF(AND(LEN(AO886)=10,SUMPRODUCT(--ISERROR(FIND(MID(AO886,{1,2,3,4,5,10},1),"ABCDEFGHIJKLMNOPQRSTUVWXYZ")))=0,SUMPRODUCT(--ISERROR(FIND(MID(AO886,{6,7,8,9},1),"0123456789")))=0),"OK","Wrong format"))</f>
        <v/>
      </c>
      <c r="AL886" s="27">
        <f>IF(TRIM(H886)="","",IF(AND(LEN(UPPER(TRIM(H886)))=10,SUMPRODUCT(--ISERROR(FIND(MID(UPPER(TRIM(H886)),{1,2,3,4,10},1),"ABCDEFGHIJKLMNOPQRSTUVWXYZ")))=0,SUMPRODUCT(--ISERROR(FIND(MID(UPPER(TRIM(H886)),{5,6,7,8,9},1),"0123456789")))=0),"OK","Wrong format"))</f>
        <v/>
      </c>
      <c r="AM886" s="28">
        <f>IF(NOT(COUNTA(A886:AE886)&gt;0),"",IF(AS886&lt;&gt;"","✖ "&amp;LEFT(AS886,LEN(AS886)-2),IF(AR886&gt;0,"✔ Ready — client + "&amp;AR886&amp;" service(s)","✔ Ready — client only")))</f>
        <v/>
      </c>
      <c r="AN886" s="29">
        <f>UPPER(SUBSTITUTE(TRIM(F886)," ",""))</f>
        <v/>
      </c>
      <c r="AO886" s="29">
        <f>UPPER(SUBSTITUTE(TRIM(E886)," ",""))</f>
        <v/>
      </c>
      <c r="AP886" s="29">
        <f>IF(D886&lt;&gt;"",D886,IFERROR(VLOOKUP(MID(AG886,4,1),Lists!$E$2:$F$8,2,FALSE),""))</f>
        <v/>
      </c>
      <c r="AQ886" s="29">
        <f>IFERROR(VLOOKUP(AP886,Lists!$A$2:$C$12,3,FALSE),"")</f>
        <v/>
      </c>
      <c r="AR886" s="29">
        <f>COUNTIF(W886:AC886,"Yes")</f>
        <v/>
      </c>
      <c r="AS886" s="29">
        <f>IF(TRIM(B886)="","Legal name missing; ","")&amp;IF(AND(AJ886&lt;&gt;"",AJ886&lt;&gt;"OK"),"GSTIN: "&amp;AJ886&amp;"; ","")&amp;IF(AND(AK886&lt;&gt;"",AK886&lt;&gt;"OK"),"PAN wrong format; ","")&amp;IF(AND(AO886&lt;&gt;"",LEN(AN886)=15,MID(AN886,3,10)&lt;&gt;AO886),"PAN does not match GSTIN; ","")&amp;IF(AND(AL886&lt;&gt;"",AL886&lt;&gt;"OK"),"TAN wrong format; ","")&amp;IF(AG886="","PAN missing; ","")&amp;IF(AP886="","Entity type missing; ","")&amp;IF(AND(AN886&lt;&gt;"",COUNTIF($AN$6:$AN$1005,AN886)&gt;1),"GSTIN repeated in this sheet; ","")&amp;IF(AND(AG886&lt;&gt;"",COUNTIF($AG$6:$AG$1005,AG886)&gt;1),"PAN repeated in this sheet (same client? put extra GSTINs in Other GSTINs); ","")&amp;IF(AND(AR886&gt;0,V886=""),"Financial year missing; ","")&amp;IF(AND(AR886=0,V886&lt;&gt;""),"Financial year given but no service is Yes; ","")&amp;IF(AND(W886="Yes",AN886=""),"GST needs a GSTIN; ","")&amp;IF(AND(W886="Yes",X886=""),"GST return frequency missing; ","")&amp;IF(AND(Y886="Yes",TRIM(H886)=""),"TDS needs a TAN; ","")&amp;IF(AND(AA886="Yes",AQ886&lt;&gt;"",AQ886&lt;&gt;"company",AQ886&lt;&gt;"llp"),"ROC is only for a company / LLP; ","")&amp;IF(AND(AA886="Yes",OR(AQ886="company",AQ886="llp"),TRIM(I886)=""),"ROC needs the CIN / LLPIN; ","")</f>
        <v/>
      </c>
    </row>
    <row r="887">
      <c r="A887" s="30" t="n"/>
      <c r="B887" s="31" t="n"/>
      <c r="C887" s="31" t="n"/>
      <c r="D887" s="31" t="n"/>
      <c r="E887" s="30" t="n"/>
      <c r="F887" s="30" t="n"/>
      <c r="G887" s="30" t="n"/>
      <c r="H887" s="30" t="n"/>
      <c r="I887" s="30" t="n"/>
      <c r="J887" s="32" t="n"/>
      <c r="K887" s="31" t="n"/>
      <c r="L887" s="30" t="n"/>
      <c r="M887" s="31" t="n"/>
      <c r="N887" s="31" t="n"/>
      <c r="O887" s="31" t="n"/>
      <c r="P887" s="30" t="n"/>
      <c r="Q887" s="31" t="n"/>
      <c r="R887" s="31" t="n"/>
      <c r="S887" s="31" t="n"/>
      <c r="T887" s="31" t="n"/>
      <c r="U887" s="30" t="n"/>
      <c r="V887" s="31" t="n"/>
      <c r="W887" s="31" t="n"/>
      <c r="X887" s="31" t="n"/>
      <c r="Y887" s="31" t="n"/>
      <c r="Z887" s="31" t="n"/>
      <c r="AA887" s="31" t="n"/>
      <c r="AB887" s="31" t="n"/>
      <c r="AC887" s="31" t="n"/>
      <c r="AD887" s="31" t="n"/>
      <c r="AE887" s="31" t="n"/>
      <c r="AF887" s="27">
        <f>IF(NOT(COUNTA(A887:AE887)&gt;0),"",IF(A887="","New client","Update"))</f>
        <v/>
      </c>
      <c r="AG887" s="27">
        <f>IF(AO887&lt;&gt;"",AO887,IF(LEN(AN887)=15,MID(AN887,3,10),""))</f>
        <v/>
      </c>
      <c r="AH887" s="27">
        <f>IF(AP887="","",AP887&amp;IF(D887="","  (guessed from PAN)",""))</f>
        <v/>
      </c>
      <c r="AI887" s="27">
        <f>IF(AN887="","",IFERROR(INDEX(Lists!$L$2:$L$38,MATCH(LEFT(AN887,2),Lists!$K$2:$K$38,0)),"Unknown code"))</f>
        <v/>
      </c>
      <c r="AJ887" s="27">
        <f>IF(AN887="","",IFERROR(IF(NOT(AND(LEN(AN887)=15,ISNUMBER(MATCH(LEFT(AN887,2),Lists!$K$2:$K$38,0)),SUMPRODUCT(--ISERROR(FIND(MID(MID(AN887,3,10),{1,2,3,4,5,10},1),"ABCDEFGHIJKLMNOPQRSTUVWXYZ")))=0,SUMPRODUCT(--ISERROR(FIND(MID(MID(AN887,3,10),{6,7,8,9},1),"0123456789")))=0,ISNUMBER(FIND(MID(AN887,13,1),"123456789ABCDEFGHIJKLMNOPQRSTUVWXYZ")),MID(AN887,14,1)="Z")),"Wrong format",IF(MID("0123456789ABCDEFGHIJKLMNOPQRSTUVWXYZ",MOD(36-MOD(SUMPRODUCT(INT((FIND(MID(AN887,{1,2,3,4,5,6,7,8,9,10,11,12,13,14},1),"0123456789ABCDEFGHIJKLMNOPQRSTUVWXYZ")-1)*{1,2,1,2,1,2,1,2,1,2,1,2,1,2}/36)+MOD((FIND(MID(AN887,{1,2,3,4,5,6,7,8,9,10,11,12,13,14},1),"0123456789ABCDEFGHIJKLMNOPQRSTUVWXYZ")-1)*{1,2,1,2,1,2,1,2,1,2,1,2,1,2},36)),36),36)+1,1)=MID(AN887,15,1),"OK","Typo? check digit wrong")),"Wrong format"))</f>
        <v/>
      </c>
      <c r="AK887" s="27">
        <f>IF(AO887="","",IF(AND(LEN(AO887)=10,SUMPRODUCT(--ISERROR(FIND(MID(AO887,{1,2,3,4,5,10},1),"ABCDEFGHIJKLMNOPQRSTUVWXYZ")))=0,SUMPRODUCT(--ISERROR(FIND(MID(AO887,{6,7,8,9},1),"0123456789")))=0),"OK","Wrong format"))</f>
        <v/>
      </c>
      <c r="AL887" s="27">
        <f>IF(TRIM(H887)="","",IF(AND(LEN(UPPER(TRIM(H887)))=10,SUMPRODUCT(--ISERROR(FIND(MID(UPPER(TRIM(H887)),{1,2,3,4,10},1),"ABCDEFGHIJKLMNOPQRSTUVWXYZ")))=0,SUMPRODUCT(--ISERROR(FIND(MID(UPPER(TRIM(H887)),{5,6,7,8,9},1),"0123456789")))=0),"OK","Wrong format"))</f>
        <v/>
      </c>
      <c r="AM887" s="28">
        <f>IF(NOT(COUNTA(A887:AE887)&gt;0),"",IF(AS887&lt;&gt;"","✖ "&amp;LEFT(AS887,LEN(AS887)-2),IF(AR887&gt;0,"✔ Ready — client + "&amp;AR887&amp;" service(s)","✔ Ready — client only")))</f>
        <v/>
      </c>
      <c r="AN887" s="29">
        <f>UPPER(SUBSTITUTE(TRIM(F887)," ",""))</f>
        <v/>
      </c>
      <c r="AO887" s="29">
        <f>UPPER(SUBSTITUTE(TRIM(E887)," ",""))</f>
        <v/>
      </c>
      <c r="AP887" s="29">
        <f>IF(D887&lt;&gt;"",D887,IFERROR(VLOOKUP(MID(AG887,4,1),Lists!$E$2:$F$8,2,FALSE),""))</f>
        <v/>
      </c>
      <c r="AQ887" s="29">
        <f>IFERROR(VLOOKUP(AP887,Lists!$A$2:$C$12,3,FALSE),"")</f>
        <v/>
      </c>
      <c r="AR887" s="29">
        <f>COUNTIF(W887:AC887,"Yes")</f>
        <v/>
      </c>
      <c r="AS887" s="29">
        <f>IF(TRIM(B887)="","Legal name missing; ","")&amp;IF(AND(AJ887&lt;&gt;"",AJ887&lt;&gt;"OK"),"GSTIN: "&amp;AJ887&amp;"; ","")&amp;IF(AND(AK887&lt;&gt;"",AK887&lt;&gt;"OK"),"PAN wrong format; ","")&amp;IF(AND(AO887&lt;&gt;"",LEN(AN887)=15,MID(AN887,3,10)&lt;&gt;AO887),"PAN does not match GSTIN; ","")&amp;IF(AND(AL887&lt;&gt;"",AL887&lt;&gt;"OK"),"TAN wrong format; ","")&amp;IF(AG887="","PAN missing; ","")&amp;IF(AP887="","Entity type missing; ","")&amp;IF(AND(AN887&lt;&gt;"",COUNTIF($AN$6:$AN$1005,AN887)&gt;1),"GSTIN repeated in this sheet; ","")&amp;IF(AND(AG887&lt;&gt;"",COUNTIF($AG$6:$AG$1005,AG887)&gt;1),"PAN repeated in this sheet (same client? put extra GSTINs in Other GSTINs); ","")&amp;IF(AND(AR887&gt;0,V887=""),"Financial year missing; ","")&amp;IF(AND(AR887=0,V887&lt;&gt;""),"Financial year given but no service is Yes; ","")&amp;IF(AND(W887="Yes",AN887=""),"GST needs a GSTIN; ","")&amp;IF(AND(W887="Yes",X887=""),"GST return frequency missing; ","")&amp;IF(AND(Y887="Yes",TRIM(H887)=""),"TDS needs a TAN; ","")&amp;IF(AND(AA887="Yes",AQ887&lt;&gt;"",AQ887&lt;&gt;"company",AQ887&lt;&gt;"llp"),"ROC is only for a company / LLP; ","")&amp;IF(AND(AA887="Yes",OR(AQ887="company",AQ887="llp"),TRIM(I887)=""),"ROC needs the CIN / LLPIN; ","")</f>
        <v/>
      </c>
    </row>
    <row r="888">
      <c r="A888" s="30" t="n"/>
      <c r="B888" s="31" t="n"/>
      <c r="C888" s="31" t="n"/>
      <c r="D888" s="31" t="n"/>
      <c r="E888" s="30" t="n"/>
      <c r="F888" s="30" t="n"/>
      <c r="G888" s="30" t="n"/>
      <c r="H888" s="30" t="n"/>
      <c r="I888" s="30" t="n"/>
      <c r="J888" s="32" t="n"/>
      <c r="K888" s="31" t="n"/>
      <c r="L888" s="30" t="n"/>
      <c r="M888" s="31" t="n"/>
      <c r="N888" s="31" t="n"/>
      <c r="O888" s="31" t="n"/>
      <c r="P888" s="30" t="n"/>
      <c r="Q888" s="31" t="n"/>
      <c r="R888" s="31" t="n"/>
      <c r="S888" s="31" t="n"/>
      <c r="T888" s="31" t="n"/>
      <c r="U888" s="30" t="n"/>
      <c r="V888" s="31" t="n"/>
      <c r="W888" s="31" t="n"/>
      <c r="X888" s="31" t="n"/>
      <c r="Y888" s="31" t="n"/>
      <c r="Z888" s="31" t="n"/>
      <c r="AA888" s="31" t="n"/>
      <c r="AB888" s="31" t="n"/>
      <c r="AC888" s="31" t="n"/>
      <c r="AD888" s="31" t="n"/>
      <c r="AE888" s="31" t="n"/>
      <c r="AF888" s="27">
        <f>IF(NOT(COUNTA(A888:AE888)&gt;0),"",IF(A888="","New client","Update"))</f>
        <v/>
      </c>
      <c r="AG888" s="27">
        <f>IF(AO888&lt;&gt;"",AO888,IF(LEN(AN888)=15,MID(AN888,3,10),""))</f>
        <v/>
      </c>
      <c r="AH888" s="27">
        <f>IF(AP888="","",AP888&amp;IF(D888="","  (guessed from PAN)",""))</f>
        <v/>
      </c>
      <c r="AI888" s="27">
        <f>IF(AN888="","",IFERROR(INDEX(Lists!$L$2:$L$38,MATCH(LEFT(AN888,2),Lists!$K$2:$K$38,0)),"Unknown code"))</f>
        <v/>
      </c>
      <c r="AJ888" s="27">
        <f>IF(AN888="","",IFERROR(IF(NOT(AND(LEN(AN888)=15,ISNUMBER(MATCH(LEFT(AN888,2),Lists!$K$2:$K$38,0)),SUMPRODUCT(--ISERROR(FIND(MID(MID(AN888,3,10),{1,2,3,4,5,10},1),"ABCDEFGHIJKLMNOPQRSTUVWXYZ")))=0,SUMPRODUCT(--ISERROR(FIND(MID(MID(AN888,3,10),{6,7,8,9},1),"0123456789")))=0,ISNUMBER(FIND(MID(AN888,13,1),"123456789ABCDEFGHIJKLMNOPQRSTUVWXYZ")),MID(AN888,14,1)="Z")),"Wrong format",IF(MID("0123456789ABCDEFGHIJKLMNOPQRSTUVWXYZ",MOD(36-MOD(SUMPRODUCT(INT((FIND(MID(AN888,{1,2,3,4,5,6,7,8,9,10,11,12,13,14},1),"0123456789ABCDEFGHIJKLMNOPQRSTUVWXYZ")-1)*{1,2,1,2,1,2,1,2,1,2,1,2,1,2}/36)+MOD((FIND(MID(AN888,{1,2,3,4,5,6,7,8,9,10,11,12,13,14},1),"0123456789ABCDEFGHIJKLMNOPQRSTUVWXYZ")-1)*{1,2,1,2,1,2,1,2,1,2,1,2,1,2},36)),36),36)+1,1)=MID(AN888,15,1),"OK","Typo? check digit wrong")),"Wrong format"))</f>
        <v/>
      </c>
      <c r="AK888" s="27">
        <f>IF(AO888="","",IF(AND(LEN(AO888)=10,SUMPRODUCT(--ISERROR(FIND(MID(AO888,{1,2,3,4,5,10},1),"ABCDEFGHIJKLMNOPQRSTUVWXYZ")))=0,SUMPRODUCT(--ISERROR(FIND(MID(AO888,{6,7,8,9},1),"0123456789")))=0),"OK","Wrong format"))</f>
        <v/>
      </c>
      <c r="AL888" s="27">
        <f>IF(TRIM(H888)="","",IF(AND(LEN(UPPER(TRIM(H888)))=10,SUMPRODUCT(--ISERROR(FIND(MID(UPPER(TRIM(H888)),{1,2,3,4,10},1),"ABCDEFGHIJKLMNOPQRSTUVWXYZ")))=0,SUMPRODUCT(--ISERROR(FIND(MID(UPPER(TRIM(H888)),{5,6,7,8,9},1),"0123456789")))=0),"OK","Wrong format"))</f>
        <v/>
      </c>
      <c r="AM888" s="28">
        <f>IF(NOT(COUNTA(A888:AE888)&gt;0),"",IF(AS888&lt;&gt;"","✖ "&amp;LEFT(AS888,LEN(AS888)-2),IF(AR888&gt;0,"✔ Ready — client + "&amp;AR888&amp;" service(s)","✔ Ready — client only")))</f>
        <v/>
      </c>
      <c r="AN888" s="29">
        <f>UPPER(SUBSTITUTE(TRIM(F888)," ",""))</f>
        <v/>
      </c>
      <c r="AO888" s="29">
        <f>UPPER(SUBSTITUTE(TRIM(E888)," ",""))</f>
        <v/>
      </c>
      <c r="AP888" s="29">
        <f>IF(D888&lt;&gt;"",D888,IFERROR(VLOOKUP(MID(AG888,4,1),Lists!$E$2:$F$8,2,FALSE),""))</f>
        <v/>
      </c>
      <c r="AQ888" s="29">
        <f>IFERROR(VLOOKUP(AP888,Lists!$A$2:$C$12,3,FALSE),"")</f>
        <v/>
      </c>
      <c r="AR888" s="29">
        <f>COUNTIF(W888:AC888,"Yes")</f>
        <v/>
      </c>
      <c r="AS888" s="29">
        <f>IF(TRIM(B888)="","Legal name missing; ","")&amp;IF(AND(AJ888&lt;&gt;"",AJ888&lt;&gt;"OK"),"GSTIN: "&amp;AJ888&amp;"; ","")&amp;IF(AND(AK888&lt;&gt;"",AK888&lt;&gt;"OK"),"PAN wrong format; ","")&amp;IF(AND(AO888&lt;&gt;"",LEN(AN888)=15,MID(AN888,3,10)&lt;&gt;AO888),"PAN does not match GSTIN; ","")&amp;IF(AND(AL888&lt;&gt;"",AL888&lt;&gt;"OK"),"TAN wrong format; ","")&amp;IF(AG888="","PAN missing; ","")&amp;IF(AP888="","Entity type missing; ","")&amp;IF(AND(AN888&lt;&gt;"",COUNTIF($AN$6:$AN$1005,AN888)&gt;1),"GSTIN repeated in this sheet; ","")&amp;IF(AND(AG888&lt;&gt;"",COUNTIF($AG$6:$AG$1005,AG888)&gt;1),"PAN repeated in this sheet (same client? put extra GSTINs in Other GSTINs); ","")&amp;IF(AND(AR888&gt;0,V888=""),"Financial year missing; ","")&amp;IF(AND(AR888=0,V888&lt;&gt;""),"Financial year given but no service is Yes; ","")&amp;IF(AND(W888="Yes",AN888=""),"GST needs a GSTIN; ","")&amp;IF(AND(W888="Yes",X888=""),"GST return frequency missing; ","")&amp;IF(AND(Y888="Yes",TRIM(H888)=""),"TDS needs a TAN; ","")&amp;IF(AND(AA888="Yes",AQ888&lt;&gt;"",AQ888&lt;&gt;"company",AQ888&lt;&gt;"llp"),"ROC is only for a company / LLP; ","")&amp;IF(AND(AA888="Yes",OR(AQ888="company",AQ888="llp"),TRIM(I888)=""),"ROC needs the CIN / LLPIN; ","")</f>
        <v/>
      </c>
    </row>
    <row r="889">
      <c r="A889" s="30" t="n"/>
      <c r="B889" s="31" t="n"/>
      <c r="C889" s="31" t="n"/>
      <c r="D889" s="31" t="n"/>
      <c r="E889" s="30" t="n"/>
      <c r="F889" s="30" t="n"/>
      <c r="G889" s="30" t="n"/>
      <c r="H889" s="30" t="n"/>
      <c r="I889" s="30" t="n"/>
      <c r="J889" s="32" t="n"/>
      <c r="K889" s="31" t="n"/>
      <c r="L889" s="30" t="n"/>
      <c r="M889" s="31" t="n"/>
      <c r="N889" s="31" t="n"/>
      <c r="O889" s="31" t="n"/>
      <c r="P889" s="30" t="n"/>
      <c r="Q889" s="31" t="n"/>
      <c r="R889" s="31" t="n"/>
      <c r="S889" s="31" t="n"/>
      <c r="T889" s="31" t="n"/>
      <c r="U889" s="30" t="n"/>
      <c r="V889" s="31" t="n"/>
      <c r="W889" s="31" t="n"/>
      <c r="X889" s="31" t="n"/>
      <c r="Y889" s="31" t="n"/>
      <c r="Z889" s="31" t="n"/>
      <c r="AA889" s="31" t="n"/>
      <c r="AB889" s="31" t="n"/>
      <c r="AC889" s="31" t="n"/>
      <c r="AD889" s="31" t="n"/>
      <c r="AE889" s="31" t="n"/>
      <c r="AF889" s="27">
        <f>IF(NOT(COUNTA(A889:AE889)&gt;0),"",IF(A889="","New client","Update"))</f>
        <v/>
      </c>
      <c r="AG889" s="27">
        <f>IF(AO889&lt;&gt;"",AO889,IF(LEN(AN889)=15,MID(AN889,3,10),""))</f>
        <v/>
      </c>
      <c r="AH889" s="27">
        <f>IF(AP889="","",AP889&amp;IF(D889="","  (guessed from PAN)",""))</f>
        <v/>
      </c>
      <c r="AI889" s="27">
        <f>IF(AN889="","",IFERROR(INDEX(Lists!$L$2:$L$38,MATCH(LEFT(AN889,2),Lists!$K$2:$K$38,0)),"Unknown code"))</f>
        <v/>
      </c>
      <c r="AJ889" s="27">
        <f>IF(AN889="","",IFERROR(IF(NOT(AND(LEN(AN889)=15,ISNUMBER(MATCH(LEFT(AN889,2),Lists!$K$2:$K$38,0)),SUMPRODUCT(--ISERROR(FIND(MID(MID(AN889,3,10),{1,2,3,4,5,10},1),"ABCDEFGHIJKLMNOPQRSTUVWXYZ")))=0,SUMPRODUCT(--ISERROR(FIND(MID(MID(AN889,3,10),{6,7,8,9},1),"0123456789")))=0,ISNUMBER(FIND(MID(AN889,13,1),"123456789ABCDEFGHIJKLMNOPQRSTUVWXYZ")),MID(AN889,14,1)="Z")),"Wrong format",IF(MID("0123456789ABCDEFGHIJKLMNOPQRSTUVWXYZ",MOD(36-MOD(SUMPRODUCT(INT((FIND(MID(AN889,{1,2,3,4,5,6,7,8,9,10,11,12,13,14},1),"0123456789ABCDEFGHIJKLMNOPQRSTUVWXYZ")-1)*{1,2,1,2,1,2,1,2,1,2,1,2,1,2}/36)+MOD((FIND(MID(AN889,{1,2,3,4,5,6,7,8,9,10,11,12,13,14},1),"0123456789ABCDEFGHIJKLMNOPQRSTUVWXYZ")-1)*{1,2,1,2,1,2,1,2,1,2,1,2,1,2},36)),36),36)+1,1)=MID(AN889,15,1),"OK","Typo? check digit wrong")),"Wrong format"))</f>
        <v/>
      </c>
      <c r="AK889" s="27">
        <f>IF(AO889="","",IF(AND(LEN(AO889)=10,SUMPRODUCT(--ISERROR(FIND(MID(AO889,{1,2,3,4,5,10},1),"ABCDEFGHIJKLMNOPQRSTUVWXYZ")))=0,SUMPRODUCT(--ISERROR(FIND(MID(AO889,{6,7,8,9},1),"0123456789")))=0),"OK","Wrong format"))</f>
        <v/>
      </c>
      <c r="AL889" s="27">
        <f>IF(TRIM(H889)="","",IF(AND(LEN(UPPER(TRIM(H889)))=10,SUMPRODUCT(--ISERROR(FIND(MID(UPPER(TRIM(H889)),{1,2,3,4,10},1),"ABCDEFGHIJKLMNOPQRSTUVWXYZ")))=0,SUMPRODUCT(--ISERROR(FIND(MID(UPPER(TRIM(H889)),{5,6,7,8,9},1),"0123456789")))=0),"OK","Wrong format"))</f>
        <v/>
      </c>
      <c r="AM889" s="28">
        <f>IF(NOT(COUNTA(A889:AE889)&gt;0),"",IF(AS889&lt;&gt;"","✖ "&amp;LEFT(AS889,LEN(AS889)-2),IF(AR889&gt;0,"✔ Ready — client + "&amp;AR889&amp;" service(s)","✔ Ready — client only")))</f>
        <v/>
      </c>
      <c r="AN889" s="29">
        <f>UPPER(SUBSTITUTE(TRIM(F889)," ",""))</f>
        <v/>
      </c>
      <c r="AO889" s="29">
        <f>UPPER(SUBSTITUTE(TRIM(E889)," ",""))</f>
        <v/>
      </c>
      <c r="AP889" s="29">
        <f>IF(D889&lt;&gt;"",D889,IFERROR(VLOOKUP(MID(AG889,4,1),Lists!$E$2:$F$8,2,FALSE),""))</f>
        <v/>
      </c>
      <c r="AQ889" s="29">
        <f>IFERROR(VLOOKUP(AP889,Lists!$A$2:$C$12,3,FALSE),"")</f>
        <v/>
      </c>
      <c r="AR889" s="29">
        <f>COUNTIF(W889:AC889,"Yes")</f>
        <v/>
      </c>
      <c r="AS889" s="29">
        <f>IF(TRIM(B889)="","Legal name missing; ","")&amp;IF(AND(AJ889&lt;&gt;"",AJ889&lt;&gt;"OK"),"GSTIN: "&amp;AJ889&amp;"; ","")&amp;IF(AND(AK889&lt;&gt;"",AK889&lt;&gt;"OK"),"PAN wrong format; ","")&amp;IF(AND(AO889&lt;&gt;"",LEN(AN889)=15,MID(AN889,3,10)&lt;&gt;AO889),"PAN does not match GSTIN; ","")&amp;IF(AND(AL889&lt;&gt;"",AL889&lt;&gt;"OK"),"TAN wrong format; ","")&amp;IF(AG889="","PAN missing; ","")&amp;IF(AP889="","Entity type missing; ","")&amp;IF(AND(AN889&lt;&gt;"",COUNTIF($AN$6:$AN$1005,AN889)&gt;1),"GSTIN repeated in this sheet; ","")&amp;IF(AND(AG889&lt;&gt;"",COUNTIF($AG$6:$AG$1005,AG889)&gt;1),"PAN repeated in this sheet (same client? put extra GSTINs in Other GSTINs); ","")&amp;IF(AND(AR889&gt;0,V889=""),"Financial year missing; ","")&amp;IF(AND(AR889=0,V889&lt;&gt;""),"Financial year given but no service is Yes; ","")&amp;IF(AND(W889="Yes",AN889=""),"GST needs a GSTIN; ","")&amp;IF(AND(W889="Yes",X889=""),"GST return frequency missing; ","")&amp;IF(AND(Y889="Yes",TRIM(H889)=""),"TDS needs a TAN; ","")&amp;IF(AND(AA889="Yes",AQ889&lt;&gt;"",AQ889&lt;&gt;"company",AQ889&lt;&gt;"llp"),"ROC is only for a company / LLP; ","")&amp;IF(AND(AA889="Yes",OR(AQ889="company",AQ889="llp"),TRIM(I889)=""),"ROC needs the CIN / LLPIN; ","")</f>
        <v/>
      </c>
    </row>
    <row r="890">
      <c r="A890" s="30" t="n"/>
      <c r="B890" s="31" t="n"/>
      <c r="C890" s="31" t="n"/>
      <c r="D890" s="31" t="n"/>
      <c r="E890" s="30" t="n"/>
      <c r="F890" s="30" t="n"/>
      <c r="G890" s="30" t="n"/>
      <c r="H890" s="30" t="n"/>
      <c r="I890" s="30" t="n"/>
      <c r="J890" s="32" t="n"/>
      <c r="K890" s="31" t="n"/>
      <c r="L890" s="30" t="n"/>
      <c r="M890" s="31" t="n"/>
      <c r="N890" s="31" t="n"/>
      <c r="O890" s="31" t="n"/>
      <c r="P890" s="30" t="n"/>
      <c r="Q890" s="31" t="n"/>
      <c r="R890" s="31" t="n"/>
      <c r="S890" s="31" t="n"/>
      <c r="T890" s="31" t="n"/>
      <c r="U890" s="30" t="n"/>
      <c r="V890" s="31" t="n"/>
      <c r="W890" s="31" t="n"/>
      <c r="X890" s="31" t="n"/>
      <c r="Y890" s="31" t="n"/>
      <c r="Z890" s="31" t="n"/>
      <c r="AA890" s="31" t="n"/>
      <c r="AB890" s="31" t="n"/>
      <c r="AC890" s="31" t="n"/>
      <c r="AD890" s="31" t="n"/>
      <c r="AE890" s="31" t="n"/>
      <c r="AF890" s="27">
        <f>IF(NOT(COUNTA(A890:AE890)&gt;0),"",IF(A890="","New client","Update"))</f>
        <v/>
      </c>
      <c r="AG890" s="27">
        <f>IF(AO890&lt;&gt;"",AO890,IF(LEN(AN890)=15,MID(AN890,3,10),""))</f>
        <v/>
      </c>
      <c r="AH890" s="27">
        <f>IF(AP890="","",AP890&amp;IF(D890="","  (guessed from PAN)",""))</f>
        <v/>
      </c>
      <c r="AI890" s="27">
        <f>IF(AN890="","",IFERROR(INDEX(Lists!$L$2:$L$38,MATCH(LEFT(AN890,2),Lists!$K$2:$K$38,0)),"Unknown code"))</f>
        <v/>
      </c>
      <c r="AJ890" s="27">
        <f>IF(AN890="","",IFERROR(IF(NOT(AND(LEN(AN890)=15,ISNUMBER(MATCH(LEFT(AN890,2),Lists!$K$2:$K$38,0)),SUMPRODUCT(--ISERROR(FIND(MID(MID(AN890,3,10),{1,2,3,4,5,10},1),"ABCDEFGHIJKLMNOPQRSTUVWXYZ")))=0,SUMPRODUCT(--ISERROR(FIND(MID(MID(AN890,3,10),{6,7,8,9},1),"0123456789")))=0,ISNUMBER(FIND(MID(AN890,13,1),"123456789ABCDEFGHIJKLMNOPQRSTUVWXYZ")),MID(AN890,14,1)="Z")),"Wrong format",IF(MID("0123456789ABCDEFGHIJKLMNOPQRSTUVWXYZ",MOD(36-MOD(SUMPRODUCT(INT((FIND(MID(AN890,{1,2,3,4,5,6,7,8,9,10,11,12,13,14},1),"0123456789ABCDEFGHIJKLMNOPQRSTUVWXYZ")-1)*{1,2,1,2,1,2,1,2,1,2,1,2,1,2}/36)+MOD((FIND(MID(AN890,{1,2,3,4,5,6,7,8,9,10,11,12,13,14},1),"0123456789ABCDEFGHIJKLMNOPQRSTUVWXYZ")-1)*{1,2,1,2,1,2,1,2,1,2,1,2,1,2},36)),36),36)+1,1)=MID(AN890,15,1),"OK","Typo? check digit wrong")),"Wrong format"))</f>
        <v/>
      </c>
      <c r="AK890" s="27">
        <f>IF(AO890="","",IF(AND(LEN(AO890)=10,SUMPRODUCT(--ISERROR(FIND(MID(AO890,{1,2,3,4,5,10},1),"ABCDEFGHIJKLMNOPQRSTUVWXYZ")))=0,SUMPRODUCT(--ISERROR(FIND(MID(AO890,{6,7,8,9},1),"0123456789")))=0),"OK","Wrong format"))</f>
        <v/>
      </c>
      <c r="AL890" s="27">
        <f>IF(TRIM(H890)="","",IF(AND(LEN(UPPER(TRIM(H890)))=10,SUMPRODUCT(--ISERROR(FIND(MID(UPPER(TRIM(H890)),{1,2,3,4,10},1),"ABCDEFGHIJKLMNOPQRSTUVWXYZ")))=0,SUMPRODUCT(--ISERROR(FIND(MID(UPPER(TRIM(H890)),{5,6,7,8,9},1),"0123456789")))=0),"OK","Wrong format"))</f>
        <v/>
      </c>
      <c r="AM890" s="28">
        <f>IF(NOT(COUNTA(A890:AE890)&gt;0),"",IF(AS890&lt;&gt;"","✖ "&amp;LEFT(AS890,LEN(AS890)-2),IF(AR890&gt;0,"✔ Ready — client + "&amp;AR890&amp;" service(s)","✔ Ready — client only")))</f>
        <v/>
      </c>
      <c r="AN890" s="29">
        <f>UPPER(SUBSTITUTE(TRIM(F890)," ",""))</f>
        <v/>
      </c>
      <c r="AO890" s="29">
        <f>UPPER(SUBSTITUTE(TRIM(E890)," ",""))</f>
        <v/>
      </c>
      <c r="AP890" s="29">
        <f>IF(D890&lt;&gt;"",D890,IFERROR(VLOOKUP(MID(AG890,4,1),Lists!$E$2:$F$8,2,FALSE),""))</f>
        <v/>
      </c>
      <c r="AQ890" s="29">
        <f>IFERROR(VLOOKUP(AP890,Lists!$A$2:$C$12,3,FALSE),"")</f>
        <v/>
      </c>
      <c r="AR890" s="29">
        <f>COUNTIF(W890:AC890,"Yes")</f>
        <v/>
      </c>
      <c r="AS890" s="29">
        <f>IF(TRIM(B890)="","Legal name missing; ","")&amp;IF(AND(AJ890&lt;&gt;"",AJ890&lt;&gt;"OK"),"GSTIN: "&amp;AJ890&amp;"; ","")&amp;IF(AND(AK890&lt;&gt;"",AK890&lt;&gt;"OK"),"PAN wrong format; ","")&amp;IF(AND(AO890&lt;&gt;"",LEN(AN890)=15,MID(AN890,3,10)&lt;&gt;AO890),"PAN does not match GSTIN; ","")&amp;IF(AND(AL890&lt;&gt;"",AL890&lt;&gt;"OK"),"TAN wrong format; ","")&amp;IF(AG890="","PAN missing; ","")&amp;IF(AP890="","Entity type missing; ","")&amp;IF(AND(AN890&lt;&gt;"",COUNTIF($AN$6:$AN$1005,AN890)&gt;1),"GSTIN repeated in this sheet; ","")&amp;IF(AND(AG890&lt;&gt;"",COUNTIF($AG$6:$AG$1005,AG890)&gt;1),"PAN repeated in this sheet (same client? put extra GSTINs in Other GSTINs); ","")&amp;IF(AND(AR890&gt;0,V890=""),"Financial year missing; ","")&amp;IF(AND(AR890=0,V890&lt;&gt;""),"Financial year given but no service is Yes; ","")&amp;IF(AND(W890="Yes",AN890=""),"GST needs a GSTIN; ","")&amp;IF(AND(W890="Yes",X890=""),"GST return frequency missing; ","")&amp;IF(AND(Y890="Yes",TRIM(H890)=""),"TDS needs a TAN; ","")&amp;IF(AND(AA890="Yes",AQ890&lt;&gt;"",AQ890&lt;&gt;"company",AQ890&lt;&gt;"llp"),"ROC is only for a company / LLP; ","")&amp;IF(AND(AA890="Yes",OR(AQ890="company",AQ890="llp"),TRIM(I890)=""),"ROC needs the CIN / LLPIN; ","")</f>
        <v/>
      </c>
    </row>
    <row r="891">
      <c r="A891" s="30" t="n"/>
      <c r="B891" s="31" t="n"/>
      <c r="C891" s="31" t="n"/>
      <c r="D891" s="31" t="n"/>
      <c r="E891" s="30" t="n"/>
      <c r="F891" s="30" t="n"/>
      <c r="G891" s="30" t="n"/>
      <c r="H891" s="30" t="n"/>
      <c r="I891" s="30" t="n"/>
      <c r="J891" s="32" t="n"/>
      <c r="K891" s="31" t="n"/>
      <c r="L891" s="30" t="n"/>
      <c r="M891" s="31" t="n"/>
      <c r="N891" s="31" t="n"/>
      <c r="O891" s="31" t="n"/>
      <c r="P891" s="30" t="n"/>
      <c r="Q891" s="31" t="n"/>
      <c r="R891" s="31" t="n"/>
      <c r="S891" s="31" t="n"/>
      <c r="T891" s="31" t="n"/>
      <c r="U891" s="30" t="n"/>
      <c r="V891" s="31" t="n"/>
      <c r="W891" s="31" t="n"/>
      <c r="X891" s="31" t="n"/>
      <c r="Y891" s="31" t="n"/>
      <c r="Z891" s="31" t="n"/>
      <c r="AA891" s="31" t="n"/>
      <c r="AB891" s="31" t="n"/>
      <c r="AC891" s="31" t="n"/>
      <c r="AD891" s="31" t="n"/>
      <c r="AE891" s="31" t="n"/>
      <c r="AF891" s="27">
        <f>IF(NOT(COUNTA(A891:AE891)&gt;0),"",IF(A891="","New client","Update"))</f>
        <v/>
      </c>
      <c r="AG891" s="27">
        <f>IF(AO891&lt;&gt;"",AO891,IF(LEN(AN891)=15,MID(AN891,3,10),""))</f>
        <v/>
      </c>
      <c r="AH891" s="27">
        <f>IF(AP891="","",AP891&amp;IF(D891="","  (guessed from PAN)",""))</f>
        <v/>
      </c>
      <c r="AI891" s="27">
        <f>IF(AN891="","",IFERROR(INDEX(Lists!$L$2:$L$38,MATCH(LEFT(AN891,2),Lists!$K$2:$K$38,0)),"Unknown code"))</f>
        <v/>
      </c>
      <c r="AJ891" s="27">
        <f>IF(AN891="","",IFERROR(IF(NOT(AND(LEN(AN891)=15,ISNUMBER(MATCH(LEFT(AN891,2),Lists!$K$2:$K$38,0)),SUMPRODUCT(--ISERROR(FIND(MID(MID(AN891,3,10),{1,2,3,4,5,10},1),"ABCDEFGHIJKLMNOPQRSTUVWXYZ")))=0,SUMPRODUCT(--ISERROR(FIND(MID(MID(AN891,3,10),{6,7,8,9},1),"0123456789")))=0,ISNUMBER(FIND(MID(AN891,13,1),"123456789ABCDEFGHIJKLMNOPQRSTUVWXYZ")),MID(AN891,14,1)="Z")),"Wrong format",IF(MID("0123456789ABCDEFGHIJKLMNOPQRSTUVWXYZ",MOD(36-MOD(SUMPRODUCT(INT((FIND(MID(AN891,{1,2,3,4,5,6,7,8,9,10,11,12,13,14},1),"0123456789ABCDEFGHIJKLMNOPQRSTUVWXYZ")-1)*{1,2,1,2,1,2,1,2,1,2,1,2,1,2}/36)+MOD((FIND(MID(AN891,{1,2,3,4,5,6,7,8,9,10,11,12,13,14},1),"0123456789ABCDEFGHIJKLMNOPQRSTUVWXYZ")-1)*{1,2,1,2,1,2,1,2,1,2,1,2,1,2},36)),36),36)+1,1)=MID(AN891,15,1),"OK","Typo? check digit wrong")),"Wrong format"))</f>
        <v/>
      </c>
      <c r="AK891" s="27">
        <f>IF(AO891="","",IF(AND(LEN(AO891)=10,SUMPRODUCT(--ISERROR(FIND(MID(AO891,{1,2,3,4,5,10},1),"ABCDEFGHIJKLMNOPQRSTUVWXYZ")))=0,SUMPRODUCT(--ISERROR(FIND(MID(AO891,{6,7,8,9},1),"0123456789")))=0),"OK","Wrong format"))</f>
        <v/>
      </c>
      <c r="AL891" s="27">
        <f>IF(TRIM(H891)="","",IF(AND(LEN(UPPER(TRIM(H891)))=10,SUMPRODUCT(--ISERROR(FIND(MID(UPPER(TRIM(H891)),{1,2,3,4,10},1),"ABCDEFGHIJKLMNOPQRSTUVWXYZ")))=0,SUMPRODUCT(--ISERROR(FIND(MID(UPPER(TRIM(H891)),{5,6,7,8,9},1),"0123456789")))=0),"OK","Wrong format"))</f>
        <v/>
      </c>
      <c r="AM891" s="28">
        <f>IF(NOT(COUNTA(A891:AE891)&gt;0),"",IF(AS891&lt;&gt;"","✖ "&amp;LEFT(AS891,LEN(AS891)-2),IF(AR891&gt;0,"✔ Ready — client + "&amp;AR891&amp;" service(s)","✔ Ready — client only")))</f>
        <v/>
      </c>
      <c r="AN891" s="29">
        <f>UPPER(SUBSTITUTE(TRIM(F891)," ",""))</f>
        <v/>
      </c>
      <c r="AO891" s="29">
        <f>UPPER(SUBSTITUTE(TRIM(E891)," ",""))</f>
        <v/>
      </c>
      <c r="AP891" s="29">
        <f>IF(D891&lt;&gt;"",D891,IFERROR(VLOOKUP(MID(AG891,4,1),Lists!$E$2:$F$8,2,FALSE),""))</f>
        <v/>
      </c>
      <c r="AQ891" s="29">
        <f>IFERROR(VLOOKUP(AP891,Lists!$A$2:$C$12,3,FALSE),"")</f>
        <v/>
      </c>
      <c r="AR891" s="29">
        <f>COUNTIF(W891:AC891,"Yes")</f>
        <v/>
      </c>
      <c r="AS891" s="29">
        <f>IF(TRIM(B891)="","Legal name missing; ","")&amp;IF(AND(AJ891&lt;&gt;"",AJ891&lt;&gt;"OK"),"GSTIN: "&amp;AJ891&amp;"; ","")&amp;IF(AND(AK891&lt;&gt;"",AK891&lt;&gt;"OK"),"PAN wrong format; ","")&amp;IF(AND(AO891&lt;&gt;"",LEN(AN891)=15,MID(AN891,3,10)&lt;&gt;AO891),"PAN does not match GSTIN; ","")&amp;IF(AND(AL891&lt;&gt;"",AL891&lt;&gt;"OK"),"TAN wrong format; ","")&amp;IF(AG891="","PAN missing; ","")&amp;IF(AP891="","Entity type missing; ","")&amp;IF(AND(AN891&lt;&gt;"",COUNTIF($AN$6:$AN$1005,AN891)&gt;1),"GSTIN repeated in this sheet; ","")&amp;IF(AND(AG891&lt;&gt;"",COUNTIF($AG$6:$AG$1005,AG891)&gt;1),"PAN repeated in this sheet (same client? put extra GSTINs in Other GSTINs); ","")&amp;IF(AND(AR891&gt;0,V891=""),"Financial year missing; ","")&amp;IF(AND(AR891=0,V891&lt;&gt;""),"Financial year given but no service is Yes; ","")&amp;IF(AND(W891="Yes",AN891=""),"GST needs a GSTIN; ","")&amp;IF(AND(W891="Yes",X891=""),"GST return frequency missing; ","")&amp;IF(AND(Y891="Yes",TRIM(H891)=""),"TDS needs a TAN; ","")&amp;IF(AND(AA891="Yes",AQ891&lt;&gt;"",AQ891&lt;&gt;"company",AQ891&lt;&gt;"llp"),"ROC is only for a company / LLP; ","")&amp;IF(AND(AA891="Yes",OR(AQ891="company",AQ891="llp"),TRIM(I891)=""),"ROC needs the CIN / LLPIN; ","")</f>
        <v/>
      </c>
    </row>
    <row r="892">
      <c r="A892" s="30" t="n"/>
      <c r="B892" s="31" t="n"/>
      <c r="C892" s="31" t="n"/>
      <c r="D892" s="31" t="n"/>
      <c r="E892" s="30" t="n"/>
      <c r="F892" s="30" t="n"/>
      <c r="G892" s="30" t="n"/>
      <c r="H892" s="30" t="n"/>
      <c r="I892" s="30" t="n"/>
      <c r="J892" s="32" t="n"/>
      <c r="K892" s="31" t="n"/>
      <c r="L892" s="30" t="n"/>
      <c r="M892" s="31" t="n"/>
      <c r="N892" s="31" t="n"/>
      <c r="O892" s="31" t="n"/>
      <c r="P892" s="30" t="n"/>
      <c r="Q892" s="31" t="n"/>
      <c r="R892" s="31" t="n"/>
      <c r="S892" s="31" t="n"/>
      <c r="T892" s="31" t="n"/>
      <c r="U892" s="30" t="n"/>
      <c r="V892" s="31" t="n"/>
      <c r="W892" s="31" t="n"/>
      <c r="X892" s="31" t="n"/>
      <c r="Y892" s="31" t="n"/>
      <c r="Z892" s="31" t="n"/>
      <c r="AA892" s="31" t="n"/>
      <c r="AB892" s="31" t="n"/>
      <c r="AC892" s="31" t="n"/>
      <c r="AD892" s="31" t="n"/>
      <c r="AE892" s="31" t="n"/>
      <c r="AF892" s="27">
        <f>IF(NOT(COUNTA(A892:AE892)&gt;0),"",IF(A892="","New client","Update"))</f>
        <v/>
      </c>
      <c r="AG892" s="27">
        <f>IF(AO892&lt;&gt;"",AO892,IF(LEN(AN892)=15,MID(AN892,3,10),""))</f>
        <v/>
      </c>
      <c r="AH892" s="27">
        <f>IF(AP892="","",AP892&amp;IF(D892="","  (guessed from PAN)",""))</f>
        <v/>
      </c>
      <c r="AI892" s="27">
        <f>IF(AN892="","",IFERROR(INDEX(Lists!$L$2:$L$38,MATCH(LEFT(AN892,2),Lists!$K$2:$K$38,0)),"Unknown code"))</f>
        <v/>
      </c>
      <c r="AJ892" s="27">
        <f>IF(AN892="","",IFERROR(IF(NOT(AND(LEN(AN892)=15,ISNUMBER(MATCH(LEFT(AN892,2),Lists!$K$2:$K$38,0)),SUMPRODUCT(--ISERROR(FIND(MID(MID(AN892,3,10),{1,2,3,4,5,10},1),"ABCDEFGHIJKLMNOPQRSTUVWXYZ")))=0,SUMPRODUCT(--ISERROR(FIND(MID(MID(AN892,3,10),{6,7,8,9},1),"0123456789")))=0,ISNUMBER(FIND(MID(AN892,13,1),"123456789ABCDEFGHIJKLMNOPQRSTUVWXYZ")),MID(AN892,14,1)="Z")),"Wrong format",IF(MID("0123456789ABCDEFGHIJKLMNOPQRSTUVWXYZ",MOD(36-MOD(SUMPRODUCT(INT((FIND(MID(AN892,{1,2,3,4,5,6,7,8,9,10,11,12,13,14},1),"0123456789ABCDEFGHIJKLMNOPQRSTUVWXYZ")-1)*{1,2,1,2,1,2,1,2,1,2,1,2,1,2}/36)+MOD((FIND(MID(AN892,{1,2,3,4,5,6,7,8,9,10,11,12,13,14},1),"0123456789ABCDEFGHIJKLMNOPQRSTUVWXYZ")-1)*{1,2,1,2,1,2,1,2,1,2,1,2,1,2},36)),36),36)+1,1)=MID(AN892,15,1),"OK","Typo? check digit wrong")),"Wrong format"))</f>
        <v/>
      </c>
      <c r="AK892" s="27">
        <f>IF(AO892="","",IF(AND(LEN(AO892)=10,SUMPRODUCT(--ISERROR(FIND(MID(AO892,{1,2,3,4,5,10},1),"ABCDEFGHIJKLMNOPQRSTUVWXYZ")))=0,SUMPRODUCT(--ISERROR(FIND(MID(AO892,{6,7,8,9},1),"0123456789")))=0),"OK","Wrong format"))</f>
        <v/>
      </c>
      <c r="AL892" s="27">
        <f>IF(TRIM(H892)="","",IF(AND(LEN(UPPER(TRIM(H892)))=10,SUMPRODUCT(--ISERROR(FIND(MID(UPPER(TRIM(H892)),{1,2,3,4,10},1),"ABCDEFGHIJKLMNOPQRSTUVWXYZ")))=0,SUMPRODUCT(--ISERROR(FIND(MID(UPPER(TRIM(H892)),{5,6,7,8,9},1),"0123456789")))=0),"OK","Wrong format"))</f>
        <v/>
      </c>
      <c r="AM892" s="28">
        <f>IF(NOT(COUNTA(A892:AE892)&gt;0),"",IF(AS892&lt;&gt;"","✖ "&amp;LEFT(AS892,LEN(AS892)-2),IF(AR892&gt;0,"✔ Ready — client + "&amp;AR892&amp;" service(s)","✔ Ready — client only")))</f>
        <v/>
      </c>
      <c r="AN892" s="29">
        <f>UPPER(SUBSTITUTE(TRIM(F892)," ",""))</f>
        <v/>
      </c>
      <c r="AO892" s="29">
        <f>UPPER(SUBSTITUTE(TRIM(E892)," ",""))</f>
        <v/>
      </c>
      <c r="AP892" s="29">
        <f>IF(D892&lt;&gt;"",D892,IFERROR(VLOOKUP(MID(AG892,4,1),Lists!$E$2:$F$8,2,FALSE),""))</f>
        <v/>
      </c>
      <c r="AQ892" s="29">
        <f>IFERROR(VLOOKUP(AP892,Lists!$A$2:$C$12,3,FALSE),"")</f>
        <v/>
      </c>
      <c r="AR892" s="29">
        <f>COUNTIF(W892:AC892,"Yes")</f>
        <v/>
      </c>
      <c r="AS892" s="29">
        <f>IF(TRIM(B892)="","Legal name missing; ","")&amp;IF(AND(AJ892&lt;&gt;"",AJ892&lt;&gt;"OK"),"GSTIN: "&amp;AJ892&amp;"; ","")&amp;IF(AND(AK892&lt;&gt;"",AK892&lt;&gt;"OK"),"PAN wrong format; ","")&amp;IF(AND(AO892&lt;&gt;"",LEN(AN892)=15,MID(AN892,3,10)&lt;&gt;AO892),"PAN does not match GSTIN; ","")&amp;IF(AND(AL892&lt;&gt;"",AL892&lt;&gt;"OK"),"TAN wrong format; ","")&amp;IF(AG892="","PAN missing; ","")&amp;IF(AP892="","Entity type missing; ","")&amp;IF(AND(AN892&lt;&gt;"",COUNTIF($AN$6:$AN$1005,AN892)&gt;1),"GSTIN repeated in this sheet; ","")&amp;IF(AND(AG892&lt;&gt;"",COUNTIF($AG$6:$AG$1005,AG892)&gt;1),"PAN repeated in this sheet (same client? put extra GSTINs in Other GSTINs); ","")&amp;IF(AND(AR892&gt;0,V892=""),"Financial year missing; ","")&amp;IF(AND(AR892=0,V892&lt;&gt;""),"Financial year given but no service is Yes; ","")&amp;IF(AND(W892="Yes",AN892=""),"GST needs a GSTIN; ","")&amp;IF(AND(W892="Yes",X892=""),"GST return frequency missing; ","")&amp;IF(AND(Y892="Yes",TRIM(H892)=""),"TDS needs a TAN; ","")&amp;IF(AND(AA892="Yes",AQ892&lt;&gt;"",AQ892&lt;&gt;"company",AQ892&lt;&gt;"llp"),"ROC is only for a company / LLP; ","")&amp;IF(AND(AA892="Yes",OR(AQ892="company",AQ892="llp"),TRIM(I892)=""),"ROC needs the CIN / LLPIN; ","")</f>
        <v/>
      </c>
    </row>
    <row r="893">
      <c r="A893" s="30" t="n"/>
      <c r="B893" s="31" t="n"/>
      <c r="C893" s="31" t="n"/>
      <c r="D893" s="31" t="n"/>
      <c r="E893" s="30" t="n"/>
      <c r="F893" s="30" t="n"/>
      <c r="G893" s="30" t="n"/>
      <c r="H893" s="30" t="n"/>
      <c r="I893" s="30" t="n"/>
      <c r="J893" s="32" t="n"/>
      <c r="K893" s="31" t="n"/>
      <c r="L893" s="30" t="n"/>
      <c r="M893" s="31" t="n"/>
      <c r="N893" s="31" t="n"/>
      <c r="O893" s="31" t="n"/>
      <c r="P893" s="30" t="n"/>
      <c r="Q893" s="31" t="n"/>
      <c r="R893" s="31" t="n"/>
      <c r="S893" s="31" t="n"/>
      <c r="T893" s="31" t="n"/>
      <c r="U893" s="30" t="n"/>
      <c r="V893" s="31" t="n"/>
      <c r="W893" s="31" t="n"/>
      <c r="X893" s="31" t="n"/>
      <c r="Y893" s="31" t="n"/>
      <c r="Z893" s="31" t="n"/>
      <c r="AA893" s="31" t="n"/>
      <c r="AB893" s="31" t="n"/>
      <c r="AC893" s="31" t="n"/>
      <c r="AD893" s="31" t="n"/>
      <c r="AE893" s="31" t="n"/>
      <c r="AF893" s="27">
        <f>IF(NOT(COUNTA(A893:AE893)&gt;0),"",IF(A893="","New client","Update"))</f>
        <v/>
      </c>
      <c r="AG893" s="27">
        <f>IF(AO893&lt;&gt;"",AO893,IF(LEN(AN893)=15,MID(AN893,3,10),""))</f>
        <v/>
      </c>
      <c r="AH893" s="27">
        <f>IF(AP893="","",AP893&amp;IF(D893="","  (guessed from PAN)",""))</f>
        <v/>
      </c>
      <c r="AI893" s="27">
        <f>IF(AN893="","",IFERROR(INDEX(Lists!$L$2:$L$38,MATCH(LEFT(AN893,2),Lists!$K$2:$K$38,0)),"Unknown code"))</f>
        <v/>
      </c>
      <c r="AJ893" s="27">
        <f>IF(AN893="","",IFERROR(IF(NOT(AND(LEN(AN893)=15,ISNUMBER(MATCH(LEFT(AN893,2),Lists!$K$2:$K$38,0)),SUMPRODUCT(--ISERROR(FIND(MID(MID(AN893,3,10),{1,2,3,4,5,10},1),"ABCDEFGHIJKLMNOPQRSTUVWXYZ")))=0,SUMPRODUCT(--ISERROR(FIND(MID(MID(AN893,3,10),{6,7,8,9},1),"0123456789")))=0,ISNUMBER(FIND(MID(AN893,13,1),"123456789ABCDEFGHIJKLMNOPQRSTUVWXYZ")),MID(AN893,14,1)="Z")),"Wrong format",IF(MID("0123456789ABCDEFGHIJKLMNOPQRSTUVWXYZ",MOD(36-MOD(SUMPRODUCT(INT((FIND(MID(AN893,{1,2,3,4,5,6,7,8,9,10,11,12,13,14},1),"0123456789ABCDEFGHIJKLMNOPQRSTUVWXYZ")-1)*{1,2,1,2,1,2,1,2,1,2,1,2,1,2}/36)+MOD((FIND(MID(AN893,{1,2,3,4,5,6,7,8,9,10,11,12,13,14},1),"0123456789ABCDEFGHIJKLMNOPQRSTUVWXYZ")-1)*{1,2,1,2,1,2,1,2,1,2,1,2,1,2},36)),36),36)+1,1)=MID(AN893,15,1),"OK","Typo? check digit wrong")),"Wrong format"))</f>
        <v/>
      </c>
      <c r="AK893" s="27">
        <f>IF(AO893="","",IF(AND(LEN(AO893)=10,SUMPRODUCT(--ISERROR(FIND(MID(AO893,{1,2,3,4,5,10},1),"ABCDEFGHIJKLMNOPQRSTUVWXYZ")))=0,SUMPRODUCT(--ISERROR(FIND(MID(AO893,{6,7,8,9},1),"0123456789")))=0),"OK","Wrong format"))</f>
        <v/>
      </c>
      <c r="AL893" s="27">
        <f>IF(TRIM(H893)="","",IF(AND(LEN(UPPER(TRIM(H893)))=10,SUMPRODUCT(--ISERROR(FIND(MID(UPPER(TRIM(H893)),{1,2,3,4,10},1),"ABCDEFGHIJKLMNOPQRSTUVWXYZ")))=0,SUMPRODUCT(--ISERROR(FIND(MID(UPPER(TRIM(H893)),{5,6,7,8,9},1),"0123456789")))=0),"OK","Wrong format"))</f>
        <v/>
      </c>
      <c r="AM893" s="28">
        <f>IF(NOT(COUNTA(A893:AE893)&gt;0),"",IF(AS893&lt;&gt;"","✖ "&amp;LEFT(AS893,LEN(AS893)-2),IF(AR893&gt;0,"✔ Ready — client + "&amp;AR893&amp;" service(s)","✔ Ready — client only")))</f>
        <v/>
      </c>
      <c r="AN893" s="29">
        <f>UPPER(SUBSTITUTE(TRIM(F893)," ",""))</f>
        <v/>
      </c>
      <c r="AO893" s="29">
        <f>UPPER(SUBSTITUTE(TRIM(E893)," ",""))</f>
        <v/>
      </c>
      <c r="AP893" s="29">
        <f>IF(D893&lt;&gt;"",D893,IFERROR(VLOOKUP(MID(AG893,4,1),Lists!$E$2:$F$8,2,FALSE),""))</f>
        <v/>
      </c>
      <c r="AQ893" s="29">
        <f>IFERROR(VLOOKUP(AP893,Lists!$A$2:$C$12,3,FALSE),"")</f>
        <v/>
      </c>
      <c r="AR893" s="29">
        <f>COUNTIF(W893:AC893,"Yes")</f>
        <v/>
      </c>
      <c r="AS893" s="29">
        <f>IF(TRIM(B893)="","Legal name missing; ","")&amp;IF(AND(AJ893&lt;&gt;"",AJ893&lt;&gt;"OK"),"GSTIN: "&amp;AJ893&amp;"; ","")&amp;IF(AND(AK893&lt;&gt;"",AK893&lt;&gt;"OK"),"PAN wrong format; ","")&amp;IF(AND(AO893&lt;&gt;"",LEN(AN893)=15,MID(AN893,3,10)&lt;&gt;AO893),"PAN does not match GSTIN; ","")&amp;IF(AND(AL893&lt;&gt;"",AL893&lt;&gt;"OK"),"TAN wrong format; ","")&amp;IF(AG893="","PAN missing; ","")&amp;IF(AP893="","Entity type missing; ","")&amp;IF(AND(AN893&lt;&gt;"",COUNTIF($AN$6:$AN$1005,AN893)&gt;1),"GSTIN repeated in this sheet; ","")&amp;IF(AND(AG893&lt;&gt;"",COUNTIF($AG$6:$AG$1005,AG893)&gt;1),"PAN repeated in this sheet (same client? put extra GSTINs in Other GSTINs); ","")&amp;IF(AND(AR893&gt;0,V893=""),"Financial year missing; ","")&amp;IF(AND(AR893=0,V893&lt;&gt;""),"Financial year given but no service is Yes; ","")&amp;IF(AND(W893="Yes",AN893=""),"GST needs a GSTIN; ","")&amp;IF(AND(W893="Yes",X893=""),"GST return frequency missing; ","")&amp;IF(AND(Y893="Yes",TRIM(H893)=""),"TDS needs a TAN; ","")&amp;IF(AND(AA893="Yes",AQ893&lt;&gt;"",AQ893&lt;&gt;"company",AQ893&lt;&gt;"llp"),"ROC is only for a company / LLP; ","")&amp;IF(AND(AA893="Yes",OR(AQ893="company",AQ893="llp"),TRIM(I893)=""),"ROC needs the CIN / LLPIN; ","")</f>
        <v/>
      </c>
    </row>
    <row r="894">
      <c r="A894" s="30" t="n"/>
      <c r="B894" s="31" t="n"/>
      <c r="C894" s="31" t="n"/>
      <c r="D894" s="31" t="n"/>
      <c r="E894" s="30" t="n"/>
      <c r="F894" s="30" t="n"/>
      <c r="G894" s="30" t="n"/>
      <c r="H894" s="30" t="n"/>
      <c r="I894" s="30" t="n"/>
      <c r="J894" s="32" t="n"/>
      <c r="K894" s="31" t="n"/>
      <c r="L894" s="30" t="n"/>
      <c r="M894" s="31" t="n"/>
      <c r="N894" s="31" t="n"/>
      <c r="O894" s="31" t="n"/>
      <c r="P894" s="30" t="n"/>
      <c r="Q894" s="31" t="n"/>
      <c r="R894" s="31" t="n"/>
      <c r="S894" s="31" t="n"/>
      <c r="T894" s="31" t="n"/>
      <c r="U894" s="30" t="n"/>
      <c r="V894" s="31" t="n"/>
      <c r="W894" s="31" t="n"/>
      <c r="X894" s="31" t="n"/>
      <c r="Y894" s="31" t="n"/>
      <c r="Z894" s="31" t="n"/>
      <c r="AA894" s="31" t="n"/>
      <c r="AB894" s="31" t="n"/>
      <c r="AC894" s="31" t="n"/>
      <c r="AD894" s="31" t="n"/>
      <c r="AE894" s="31" t="n"/>
      <c r="AF894" s="27">
        <f>IF(NOT(COUNTA(A894:AE894)&gt;0),"",IF(A894="","New client","Update"))</f>
        <v/>
      </c>
      <c r="AG894" s="27">
        <f>IF(AO894&lt;&gt;"",AO894,IF(LEN(AN894)=15,MID(AN894,3,10),""))</f>
        <v/>
      </c>
      <c r="AH894" s="27">
        <f>IF(AP894="","",AP894&amp;IF(D894="","  (guessed from PAN)",""))</f>
        <v/>
      </c>
      <c r="AI894" s="27">
        <f>IF(AN894="","",IFERROR(INDEX(Lists!$L$2:$L$38,MATCH(LEFT(AN894,2),Lists!$K$2:$K$38,0)),"Unknown code"))</f>
        <v/>
      </c>
      <c r="AJ894" s="27">
        <f>IF(AN894="","",IFERROR(IF(NOT(AND(LEN(AN894)=15,ISNUMBER(MATCH(LEFT(AN894,2),Lists!$K$2:$K$38,0)),SUMPRODUCT(--ISERROR(FIND(MID(MID(AN894,3,10),{1,2,3,4,5,10},1),"ABCDEFGHIJKLMNOPQRSTUVWXYZ")))=0,SUMPRODUCT(--ISERROR(FIND(MID(MID(AN894,3,10),{6,7,8,9},1),"0123456789")))=0,ISNUMBER(FIND(MID(AN894,13,1),"123456789ABCDEFGHIJKLMNOPQRSTUVWXYZ")),MID(AN894,14,1)="Z")),"Wrong format",IF(MID("0123456789ABCDEFGHIJKLMNOPQRSTUVWXYZ",MOD(36-MOD(SUMPRODUCT(INT((FIND(MID(AN894,{1,2,3,4,5,6,7,8,9,10,11,12,13,14},1),"0123456789ABCDEFGHIJKLMNOPQRSTUVWXYZ")-1)*{1,2,1,2,1,2,1,2,1,2,1,2,1,2}/36)+MOD((FIND(MID(AN894,{1,2,3,4,5,6,7,8,9,10,11,12,13,14},1),"0123456789ABCDEFGHIJKLMNOPQRSTUVWXYZ")-1)*{1,2,1,2,1,2,1,2,1,2,1,2,1,2},36)),36),36)+1,1)=MID(AN894,15,1),"OK","Typo? check digit wrong")),"Wrong format"))</f>
        <v/>
      </c>
      <c r="AK894" s="27">
        <f>IF(AO894="","",IF(AND(LEN(AO894)=10,SUMPRODUCT(--ISERROR(FIND(MID(AO894,{1,2,3,4,5,10},1),"ABCDEFGHIJKLMNOPQRSTUVWXYZ")))=0,SUMPRODUCT(--ISERROR(FIND(MID(AO894,{6,7,8,9},1),"0123456789")))=0),"OK","Wrong format"))</f>
        <v/>
      </c>
      <c r="AL894" s="27">
        <f>IF(TRIM(H894)="","",IF(AND(LEN(UPPER(TRIM(H894)))=10,SUMPRODUCT(--ISERROR(FIND(MID(UPPER(TRIM(H894)),{1,2,3,4,10},1),"ABCDEFGHIJKLMNOPQRSTUVWXYZ")))=0,SUMPRODUCT(--ISERROR(FIND(MID(UPPER(TRIM(H894)),{5,6,7,8,9},1),"0123456789")))=0),"OK","Wrong format"))</f>
        <v/>
      </c>
      <c r="AM894" s="28">
        <f>IF(NOT(COUNTA(A894:AE894)&gt;0),"",IF(AS894&lt;&gt;"","✖ "&amp;LEFT(AS894,LEN(AS894)-2),IF(AR894&gt;0,"✔ Ready — client + "&amp;AR894&amp;" service(s)","✔ Ready — client only")))</f>
        <v/>
      </c>
      <c r="AN894" s="29">
        <f>UPPER(SUBSTITUTE(TRIM(F894)," ",""))</f>
        <v/>
      </c>
      <c r="AO894" s="29">
        <f>UPPER(SUBSTITUTE(TRIM(E894)," ",""))</f>
        <v/>
      </c>
      <c r="AP894" s="29">
        <f>IF(D894&lt;&gt;"",D894,IFERROR(VLOOKUP(MID(AG894,4,1),Lists!$E$2:$F$8,2,FALSE),""))</f>
        <v/>
      </c>
      <c r="AQ894" s="29">
        <f>IFERROR(VLOOKUP(AP894,Lists!$A$2:$C$12,3,FALSE),"")</f>
        <v/>
      </c>
      <c r="AR894" s="29">
        <f>COUNTIF(W894:AC894,"Yes")</f>
        <v/>
      </c>
      <c r="AS894" s="29">
        <f>IF(TRIM(B894)="","Legal name missing; ","")&amp;IF(AND(AJ894&lt;&gt;"",AJ894&lt;&gt;"OK"),"GSTIN: "&amp;AJ894&amp;"; ","")&amp;IF(AND(AK894&lt;&gt;"",AK894&lt;&gt;"OK"),"PAN wrong format; ","")&amp;IF(AND(AO894&lt;&gt;"",LEN(AN894)=15,MID(AN894,3,10)&lt;&gt;AO894),"PAN does not match GSTIN; ","")&amp;IF(AND(AL894&lt;&gt;"",AL894&lt;&gt;"OK"),"TAN wrong format; ","")&amp;IF(AG894="","PAN missing; ","")&amp;IF(AP894="","Entity type missing; ","")&amp;IF(AND(AN894&lt;&gt;"",COUNTIF($AN$6:$AN$1005,AN894)&gt;1),"GSTIN repeated in this sheet; ","")&amp;IF(AND(AG894&lt;&gt;"",COUNTIF($AG$6:$AG$1005,AG894)&gt;1),"PAN repeated in this sheet (same client? put extra GSTINs in Other GSTINs); ","")&amp;IF(AND(AR894&gt;0,V894=""),"Financial year missing; ","")&amp;IF(AND(AR894=0,V894&lt;&gt;""),"Financial year given but no service is Yes; ","")&amp;IF(AND(W894="Yes",AN894=""),"GST needs a GSTIN; ","")&amp;IF(AND(W894="Yes",X894=""),"GST return frequency missing; ","")&amp;IF(AND(Y894="Yes",TRIM(H894)=""),"TDS needs a TAN; ","")&amp;IF(AND(AA894="Yes",AQ894&lt;&gt;"",AQ894&lt;&gt;"company",AQ894&lt;&gt;"llp"),"ROC is only for a company / LLP; ","")&amp;IF(AND(AA894="Yes",OR(AQ894="company",AQ894="llp"),TRIM(I894)=""),"ROC needs the CIN / LLPIN; ","")</f>
        <v/>
      </c>
    </row>
    <row r="895">
      <c r="A895" s="30" t="n"/>
      <c r="B895" s="31" t="n"/>
      <c r="C895" s="31" t="n"/>
      <c r="D895" s="31" t="n"/>
      <c r="E895" s="30" t="n"/>
      <c r="F895" s="30" t="n"/>
      <c r="G895" s="30" t="n"/>
      <c r="H895" s="30" t="n"/>
      <c r="I895" s="30" t="n"/>
      <c r="J895" s="32" t="n"/>
      <c r="K895" s="31" t="n"/>
      <c r="L895" s="30" t="n"/>
      <c r="M895" s="31" t="n"/>
      <c r="N895" s="31" t="n"/>
      <c r="O895" s="31" t="n"/>
      <c r="P895" s="30" t="n"/>
      <c r="Q895" s="31" t="n"/>
      <c r="R895" s="31" t="n"/>
      <c r="S895" s="31" t="n"/>
      <c r="T895" s="31" t="n"/>
      <c r="U895" s="30" t="n"/>
      <c r="V895" s="31" t="n"/>
      <c r="W895" s="31" t="n"/>
      <c r="X895" s="31" t="n"/>
      <c r="Y895" s="31" t="n"/>
      <c r="Z895" s="31" t="n"/>
      <c r="AA895" s="31" t="n"/>
      <c r="AB895" s="31" t="n"/>
      <c r="AC895" s="31" t="n"/>
      <c r="AD895" s="31" t="n"/>
      <c r="AE895" s="31" t="n"/>
      <c r="AF895" s="27">
        <f>IF(NOT(COUNTA(A895:AE895)&gt;0),"",IF(A895="","New client","Update"))</f>
        <v/>
      </c>
      <c r="AG895" s="27">
        <f>IF(AO895&lt;&gt;"",AO895,IF(LEN(AN895)=15,MID(AN895,3,10),""))</f>
        <v/>
      </c>
      <c r="AH895" s="27">
        <f>IF(AP895="","",AP895&amp;IF(D895="","  (guessed from PAN)",""))</f>
        <v/>
      </c>
      <c r="AI895" s="27">
        <f>IF(AN895="","",IFERROR(INDEX(Lists!$L$2:$L$38,MATCH(LEFT(AN895,2),Lists!$K$2:$K$38,0)),"Unknown code"))</f>
        <v/>
      </c>
      <c r="AJ895" s="27">
        <f>IF(AN895="","",IFERROR(IF(NOT(AND(LEN(AN895)=15,ISNUMBER(MATCH(LEFT(AN895,2),Lists!$K$2:$K$38,0)),SUMPRODUCT(--ISERROR(FIND(MID(MID(AN895,3,10),{1,2,3,4,5,10},1),"ABCDEFGHIJKLMNOPQRSTUVWXYZ")))=0,SUMPRODUCT(--ISERROR(FIND(MID(MID(AN895,3,10),{6,7,8,9},1),"0123456789")))=0,ISNUMBER(FIND(MID(AN895,13,1),"123456789ABCDEFGHIJKLMNOPQRSTUVWXYZ")),MID(AN895,14,1)="Z")),"Wrong format",IF(MID("0123456789ABCDEFGHIJKLMNOPQRSTUVWXYZ",MOD(36-MOD(SUMPRODUCT(INT((FIND(MID(AN895,{1,2,3,4,5,6,7,8,9,10,11,12,13,14},1),"0123456789ABCDEFGHIJKLMNOPQRSTUVWXYZ")-1)*{1,2,1,2,1,2,1,2,1,2,1,2,1,2}/36)+MOD((FIND(MID(AN895,{1,2,3,4,5,6,7,8,9,10,11,12,13,14},1),"0123456789ABCDEFGHIJKLMNOPQRSTUVWXYZ")-1)*{1,2,1,2,1,2,1,2,1,2,1,2,1,2},36)),36),36)+1,1)=MID(AN895,15,1),"OK","Typo? check digit wrong")),"Wrong format"))</f>
        <v/>
      </c>
      <c r="AK895" s="27">
        <f>IF(AO895="","",IF(AND(LEN(AO895)=10,SUMPRODUCT(--ISERROR(FIND(MID(AO895,{1,2,3,4,5,10},1),"ABCDEFGHIJKLMNOPQRSTUVWXYZ")))=0,SUMPRODUCT(--ISERROR(FIND(MID(AO895,{6,7,8,9},1),"0123456789")))=0),"OK","Wrong format"))</f>
        <v/>
      </c>
      <c r="AL895" s="27">
        <f>IF(TRIM(H895)="","",IF(AND(LEN(UPPER(TRIM(H895)))=10,SUMPRODUCT(--ISERROR(FIND(MID(UPPER(TRIM(H895)),{1,2,3,4,10},1),"ABCDEFGHIJKLMNOPQRSTUVWXYZ")))=0,SUMPRODUCT(--ISERROR(FIND(MID(UPPER(TRIM(H895)),{5,6,7,8,9},1),"0123456789")))=0),"OK","Wrong format"))</f>
        <v/>
      </c>
      <c r="AM895" s="28">
        <f>IF(NOT(COUNTA(A895:AE895)&gt;0),"",IF(AS895&lt;&gt;"","✖ "&amp;LEFT(AS895,LEN(AS895)-2),IF(AR895&gt;0,"✔ Ready — client + "&amp;AR895&amp;" service(s)","✔ Ready — client only")))</f>
        <v/>
      </c>
      <c r="AN895" s="29">
        <f>UPPER(SUBSTITUTE(TRIM(F895)," ",""))</f>
        <v/>
      </c>
      <c r="AO895" s="29">
        <f>UPPER(SUBSTITUTE(TRIM(E895)," ",""))</f>
        <v/>
      </c>
      <c r="AP895" s="29">
        <f>IF(D895&lt;&gt;"",D895,IFERROR(VLOOKUP(MID(AG895,4,1),Lists!$E$2:$F$8,2,FALSE),""))</f>
        <v/>
      </c>
      <c r="AQ895" s="29">
        <f>IFERROR(VLOOKUP(AP895,Lists!$A$2:$C$12,3,FALSE),"")</f>
        <v/>
      </c>
      <c r="AR895" s="29">
        <f>COUNTIF(W895:AC895,"Yes")</f>
        <v/>
      </c>
      <c r="AS895" s="29">
        <f>IF(TRIM(B895)="","Legal name missing; ","")&amp;IF(AND(AJ895&lt;&gt;"",AJ895&lt;&gt;"OK"),"GSTIN: "&amp;AJ895&amp;"; ","")&amp;IF(AND(AK895&lt;&gt;"",AK895&lt;&gt;"OK"),"PAN wrong format; ","")&amp;IF(AND(AO895&lt;&gt;"",LEN(AN895)=15,MID(AN895,3,10)&lt;&gt;AO895),"PAN does not match GSTIN; ","")&amp;IF(AND(AL895&lt;&gt;"",AL895&lt;&gt;"OK"),"TAN wrong format; ","")&amp;IF(AG895="","PAN missing; ","")&amp;IF(AP895="","Entity type missing; ","")&amp;IF(AND(AN895&lt;&gt;"",COUNTIF($AN$6:$AN$1005,AN895)&gt;1),"GSTIN repeated in this sheet; ","")&amp;IF(AND(AG895&lt;&gt;"",COUNTIF($AG$6:$AG$1005,AG895)&gt;1),"PAN repeated in this sheet (same client? put extra GSTINs in Other GSTINs); ","")&amp;IF(AND(AR895&gt;0,V895=""),"Financial year missing; ","")&amp;IF(AND(AR895=0,V895&lt;&gt;""),"Financial year given but no service is Yes; ","")&amp;IF(AND(W895="Yes",AN895=""),"GST needs a GSTIN; ","")&amp;IF(AND(W895="Yes",X895=""),"GST return frequency missing; ","")&amp;IF(AND(Y895="Yes",TRIM(H895)=""),"TDS needs a TAN; ","")&amp;IF(AND(AA895="Yes",AQ895&lt;&gt;"",AQ895&lt;&gt;"company",AQ895&lt;&gt;"llp"),"ROC is only for a company / LLP; ","")&amp;IF(AND(AA895="Yes",OR(AQ895="company",AQ895="llp"),TRIM(I895)=""),"ROC needs the CIN / LLPIN; ","")</f>
        <v/>
      </c>
    </row>
    <row r="896">
      <c r="A896" s="30" t="n"/>
      <c r="B896" s="31" t="n"/>
      <c r="C896" s="31" t="n"/>
      <c r="D896" s="31" t="n"/>
      <c r="E896" s="30" t="n"/>
      <c r="F896" s="30" t="n"/>
      <c r="G896" s="30" t="n"/>
      <c r="H896" s="30" t="n"/>
      <c r="I896" s="30" t="n"/>
      <c r="J896" s="32" t="n"/>
      <c r="K896" s="31" t="n"/>
      <c r="L896" s="30" t="n"/>
      <c r="M896" s="31" t="n"/>
      <c r="N896" s="31" t="n"/>
      <c r="O896" s="31" t="n"/>
      <c r="P896" s="30" t="n"/>
      <c r="Q896" s="31" t="n"/>
      <c r="R896" s="31" t="n"/>
      <c r="S896" s="31" t="n"/>
      <c r="T896" s="31" t="n"/>
      <c r="U896" s="30" t="n"/>
      <c r="V896" s="31" t="n"/>
      <c r="W896" s="31" t="n"/>
      <c r="X896" s="31" t="n"/>
      <c r="Y896" s="31" t="n"/>
      <c r="Z896" s="31" t="n"/>
      <c r="AA896" s="31" t="n"/>
      <c r="AB896" s="31" t="n"/>
      <c r="AC896" s="31" t="n"/>
      <c r="AD896" s="31" t="n"/>
      <c r="AE896" s="31" t="n"/>
      <c r="AF896" s="27">
        <f>IF(NOT(COUNTA(A896:AE896)&gt;0),"",IF(A896="","New client","Update"))</f>
        <v/>
      </c>
      <c r="AG896" s="27">
        <f>IF(AO896&lt;&gt;"",AO896,IF(LEN(AN896)=15,MID(AN896,3,10),""))</f>
        <v/>
      </c>
      <c r="AH896" s="27">
        <f>IF(AP896="","",AP896&amp;IF(D896="","  (guessed from PAN)",""))</f>
        <v/>
      </c>
      <c r="AI896" s="27">
        <f>IF(AN896="","",IFERROR(INDEX(Lists!$L$2:$L$38,MATCH(LEFT(AN896,2),Lists!$K$2:$K$38,0)),"Unknown code"))</f>
        <v/>
      </c>
      <c r="AJ896" s="27">
        <f>IF(AN896="","",IFERROR(IF(NOT(AND(LEN(AN896)=15,ISNUMBER(MATCH(LEFT(AN896,2),Lists!$K$2:$K$38,0)),SUMPRODUCT(--ISERROR(FIND(MID(MID(AN896,3,10),{1,2,3,4,5,10},1),"ABCDEFGHIJKLMNOPQRSTUVWXYZ")))=0,SUMPRODUCT(--ISERROR(FIND(MID(MID(AN896,3,10),{6,7,8,9},1),"0123456789")))=0,ISNUMBER(FIND(MID(AN896,13,1),"123456789ABCDEFGHIJKLMNOPQRSTUVWXYZ")),MID(AN896,14,1)="Z")),"Wrong format",IF(MID("0123456789ABCDEFGHIJKLMNOPQRSTUVWXYZ",MOD(36-MOD(SUMPRODUCT(INT((FIND(MID(AN896,{1,2,3,4,5,6,7,8,9,10,11,12,13,14},1),"0123456789ABCDEFGHIJKLMNOPQRSTUVWXYZ")-1)*{1,2,1,2,1,2,1,2,1,2,1,2,1,2}/36)+MOD((FIND(MID(AN896,{1,2,3,4,5,6,7,8,9,10,11,12,13,14},1),"0123456789ABCDEFGHIJKLMNOPQRSTUVWXYZ")-1)*{1,2,1,2,1,2,1,2,1,2,1,2,1,2},36)),36),36)+1,1)=MID(AN896,15,1),"OK","Typo? check digit wrong")),"Wrong format"))</f>
        <v/>
      </c>
      <c r="AK896" s="27">
        <f>IF(AO896="","",IF(AND(LEN(AO896)=10,SUMPRODUCT(--ISERROR(FIND(MID(AO896,{1,2,3,4,5,10},1),"ABCDEFGHIJKLMNOPQRSTUVWXYZ")))=0,SUMPRODUCT(--ISERROR(FIND(MID(AO896,{6,7,8,9},1),"0123456789")))=0),"OK","Wrong format"))</f>
        <v/>
      </c>
      <c r="AL896" s="27">
        <f>IF(TRIM(H896)="","",IF(AND(LEN(UPPER(TRIM(H896)))=10,SUMPRODUCT(--ISERROR(FIND(MID(UPPER(TRIM(H896)),{1,2,3,4,10},1),"ABCDEFGHIJKLMNOPQRSTUVWXYZ")))=0,SUMPRODUCT(--ISERROR(FIND(MID(UPPER(TRIM(H896)),{5,6,7,8,9},1),"0123456789")))=0),"OK","Wrong format"))</f>
        <v/>
      </c>
      <c r="AM896" s="28">
        <f>IF(NOT(COUNTA(A896:AE896)&gt;0),"",IF(AS896&lt;&gt;"","✖ "&amp;LEFT(AS896,LEN(AS896)-2),IF(AR896&gt;0,"✔ Ready — client + "&amp;AR896&amp;" service(s)","✔ Ready — client only")))</f>
        <v/>
      </c>
      <c r="AN896" s="29">
        <f>UPPER(SUBSTITUTE(TRIM(F896)," ",""))</f>
        <v/>
      </c>
      <c r="AO896" s="29">
        <f>UPPER(SUBSTITUTE(TRIM(E896)," ",""))</f>
        <v/>
      </c>
      <c r="AP896" s="29">
        <f>IF(D896&lt;&gt;"",D896,IFERROR(VLOOKUP(MID(AG896,4,1),Lists!$E$2:$F$8,2,FALSE),""))</f>
        <v/>
      </c>
      <c r="AQ896" s="29">
        <f>IFERROR(VLOOKUP(AP896,Lists!$A$2:$C$12,3,FALSE),"")</f>
        <v/>
      </c>
      <c r="AR896" s="29">
        <f>COUNTIF(W896:AC896,"Yes")</f>
        <v/>
      </c>
      <c r="AS896" s="29">
        <f>IF(TRIM(B896)="","Legal name missing; ","")&amp;IF(AND(AJ896&lt;&gt;"",AJ896&lt;&gt;"OK"),"GSTIN: "&amp;AJ896&amp;"; ","")&amp;IF(AND(AK896&lt;&gt;"",AK896&lt;&gt;"OK"),"PAN wrong format; ","")&amp;IF(AND(AO896&lt;&gt;"",LEN(AN896)=15,MID(AN896,3,10)&lt;&gt;AO896),"PAN does not match GSTIN; ","")&amp;IF(AND(AL896&lt;&gt;"",AL896&lt;&gt;"OK"),"TAN wrong format; ","")&amp;IF(AG896="","PAN missing; ","")&amp;IF(AP896="","Entity type missing; ","")&amp;IF(AND(AN896&lt;&gt;"",COUNTIF($AN$6:$AN$1005,AN896)&gt;1),"GSTIN repeated in this sheet; ","")&amp;IF(AND(AG896&lt;&gt;"",COUNTIF($AG$6:$AG$1005,AG896)&gt;1),"PAN repeated in this sheet (same client? put extra GSTINs in Other GSTINs); ","")&amp;IF(AND(AR896&gt;0,V896=""),"Financial year missing; ","")&amp;IF(AND(AR896=0,V896&lt;&gt;""),"Financial year given but no service is Yes; ","")&amp;IF(AND(W896="Yes",AN896=""),"GST needs a GSTIN; ","")&amp;IF(AND(W896="Yes",X896=""),"GST return frequency missing; ","")&amp;IF(AND(Y896="Yes",TRIM(H896)=""),"TDS needs a TAN; ","")&amp;IF(AND(AA896="Yes",AQ896&lt;&gt;"",AQ896&lt;&gt;"company",AQ896&lt;&gt;"llp"),"ROC is only for a company / LLP; ","")&amp;IF(AND(AA896="Yes",OR(AQ896="company",AQ896="llp"),TRIM(I896)=""),"ROC needs the CIN / LLPIN; ","")</f>
        <v/>
      </c>
    </row>
    <row r="897">
      <c r="A897" s="30" t="n"/>
      <c r="B897" s="31" t="n"/>
      <c r="C897" s="31" t="n"/>
      <c r="D897" s="31" t="n"/>
      <c r="E897" s="30" t="n"/>
      <c r="F897" s="30" t="n"/>
      <c r="G897" s="30" t="n"/>
      <c r="H897" s="30" t="n"/>
      <c r="I897" s="30" t="n"/>
      <c r="J897" s="32" t="n"/>
      <c r="K897" s="31" t="n"/>
      <c r="L897" s="30" t="n"/>
      <c r="M897" s="31" t="n"/>
      <c r="N897" s="31" t="n"/>
      <c r="O897" s="31" t="n"/>
      <c r="P897" s="30" t="n"/>
      <c r="Q897" s="31" t="n"/>
      <c r="R897" s="31" t="n"/>
      <c r="S897" s="31" t="n"/>
      <c r="T897" s="31" t="n"/>
      <c r="U897" s="30" t="n"/>
      <c r="V897" s="31" t="n"/>
      <c r="W897" s="31" t="n"/>
      <c r="X897" s="31" t="n"/>
      <c r="Y897" s="31" t="n"/>
      <c r="Z897" s="31" t="n"/>
      <c r="AA897" s="31" t="n"/>
      <c r="AB897" s="31" t="n"/>
      <c r="AC897" s="31" t="n"/>
      <c r="AD897" s="31" t="n"/>
      <c r="AE897" s="31" t="n"/>
      <c r="AF897" s="27">
        <f>IF(NOT(COUNTA(A897:AE897)&gt;0),"",IF(A897="","New client","Update"))</f>
        <v/>
      </c>
      <c r="AG897" s="27">
        <f>IF(AO897&lt;&gt;"",AO897,IF(LEN(AN897)=15,MID(AN897,3,10),""))</f>
        <v/>
      </c>
      <c r="AH897" s="27">
        <f>IF(AP897="","",AP897&amp;IF(D897="","  (guessed from PAN)",""))</f>
        <v/>
      </c>
      <c r="AI897" s="27">
        <f>IF(AN897="","",IFERROR(INDEX(Lists!$L$2:$L$38,MATCH(LEFT(AN897,2),Lists!$K$2:$K$38,0)),"Unknown code"))</f>
        <v/>
      </c>
      <c r="AJ897" s="27">
        <f>IF(AN897="","",IFERROR(IF(NOT(AND(LEN(AN897)=15,ISNUMBER(MATCH(LEFT(AN897,2),Lists!$K$2:$K$38,0)),SUMPRODUCT(--ISERROR(FIND(MID(MID(AN897,3,10),{1,2,3,4,5,10},1),"ABCDEFGHIJKLMNOPQRSTUVWXYZ")))=0,SUMPRODUCT(--ISERROR(FIND(MID(MID(AN897,3,10),{6,7,8,9},1),"0123456789")))=0,ISNUMBER(FIND(MID(AN897,13,1),"123456789ABCDEFGHIJKLMNOPQRSTUVWXYZ")),MID(AN897,14,1)="Z")),"Wrong format",IF(MID("0123456789ABCDEFGHIJKLMNOPQRSTUVWXYZ",MOD(36-MOD(SUMPRODUCT(INT((FIND(MID(AN897,{1,2,3,4,5,6,7,8,9,10,11,12,13,14},1),"0123456789ABCDEFGHIJKLMNOPQRSTUVWXYZ")-1)*{1,2,1,2,1,2,1,2,1,2,1,2,1,2}/36)+MOD((FIND(MID(AN897,{1,2,3,4,5,6,7,8,9,10,11,12,13,14},1),"0123456789ABCDEFGHIJKLMNOPQRSTUVWXYZ")-1)*{1,2,1,2,1,2,1,2,1,2,1,2,1,2},36)),36),36)+1,1)=MID(AN897,15,1),"OK","Typo? check digit wrong")),"Wrong format"))</f>
        <v/>
      </c>
      <c r="AK897" s="27">
        <f>IF(AO897="","",IF(AND(LEN(AO897)=10,SUMPRODUCT(--ISERROR(FIND(MID(AO897,{1,2,3,4,5,10},1),"ABCDEFGHIJKLMNOPQRSTUVWXYZ")))=0,SUMPRODUCT(--ISERROR(FIND(MID(AO897,{6,7,8,9},1),"0123456789")))=0),"OK","Wrong format"))</f>
        <v/>
      </c>
      <c r="AL897" s="27">
        <f>IF(TRIM(H897)="","",IF(AND(LEN(UPPER(TRIM(H897)))=10,SUMPRODUCT(--ISERROR(FIND(MID(UPPER(TRIM(H897)),{1,2,3,4,10},1),"ABCDEFGHIJKLMNOPQRSTUVWXYZ")))=0,SUMPRODUCT(--ISERROR(FIND(MID(UPPER(TRIM(H897)),{5,6,7,8,9},1),"0123456789")))=0),"OK","Wrong format"))</f>
        <v/>
      </c>
      <c r="AM897" s="28">
        <f>IF(NOT(COUNTA(A897:AE897)&gt;0),"",IF(AS897&lt;&gt;"","✖ "&amp;LEFT(AS897,LEN(AS897)-2),IF(AR897&gt;0,"✔ Ready — client + "&amp;AR897&amp;" service(s)","✔ Ready — client only")))</f>
        <v/>
      </c>
      <c r="AN897" s="29">
        <f>UPPER(SUBSTITUTE(TRIM(F897)," ",""))</f>
        <v/>
      </c>
      <c r="AO897" s="29">
        <f>UPPER(SUBSTITUTE(TRIM(E897)," ",""))</f>
        <v/>
      </c>
      <c r="AP897" s="29">
        <f>IF(D897&lt;&gt;"",D897,IFERROR(VLOOKUP(MID(AG897,4,1),Lists!$E$2:$F$8,2,FALSE),""))</f>
        <v/>
      </c>
      <c r="AQ897" s="29">
        <f>IFERROR(VLOOKUP(AP897,Lists!$A$2:$C$12,3,FALSE),"")</f>
        <v/>
      </c>
      <c r="AR897" s="29">
        <f>COUNTIF(W897:AC897,"Yes")</f>
        <v/>
      </c>
      <c r="AS897" s="29">
        <f>IF(TRIM(B897)="","Legal name missing; ","")&amp;IF(AND(AJ897&lt;&gt;"",AJ897&lt;&gt;"OK"),"GSTIN: "&amp;AJ897&amp;"; ","")&amp;IF(AND(AK897&lt;&gt;"",AK897&lt;&gt;"OK"),"PAN wrong format; ","")&amp;IF(AND(AO897&lt;&gt;"",LEN(AN897)=15,MID(AN897,3,10)&lt;&gt;AO897),"PAN does not match GSTIN; ","")&amp;IF(AND(AL897&lt;&gt;"",AL897&lt;&gt;"OK"),"TAN wrong format; ","")&amp;IF(AG897="","PAN missing; ","")&amp;IF(AP897="","Entity type missing; ","")&amp;IF(AND(AN897&lt;&gt;"",COUNTIF($AN$6:$AN$1005,AN897)&gt;1),"GSTIN repeated in this sheet; ","")&amp;IF(AND(AG897&lt;&gt;"",COUNTIF($AG$6:$AG$1005,AG897)&gt;1),"PAN repeated in this sheet (same client? put extra GSTINs in Other GSTINs); ","")&amp;IF(AND(AR897&gt;0,V897=""),"Financial year missing; ","")&amp;IF(AND(AR897=0,V897&lt;&gt;""),"Financial year given but no service is Yes; ","")&amp;IF(AND(W897="Yes",AN897=""),"GST needs a GSTIN; ","")&amp;IF(AND(W897="Yes",X897=""),"GST return frequency missing; ","")&amp;IF(AND(Y897="Yes",TRIM(H897)=""),"TDS needs a TAN; ","")&amp;IF(AND(AA897="Yes",AQ897&lt;&gt;"",AQ897&lt;&gt;"company",AQ897&lt;&gt;"llp"),"ROC is only for a company / LLP; ","")&amp;IF(AND(AA897="Yes",OR(AQ897="company",AQ897="llp"),TRIM(I897)=""),"ROC needs the CIN / LLPIN; ","")</f>
        <v/>
      </c>
    </row>
    <row r="898">
      <c r="A898" s="30" t="n"/>
      <c r="B898" s="31" t="n"/>
      <c r="C898" s="31" t="n"/>
      <c r="D898" s="31" t="n"/>
      <c r="E898" s="30" t="n"/>
      <c r="F898" s="30" t="n"/>
      <c r="G898" s="30" t="n"/>
      <c r="H898" s="30" t="n"/>
      <c r="I898" s="30" t="n"/>
      <c r="J898" s="32" t="n"/>
      <c r="K898" s="31" t="n"/>
      <c r="L898" s="30" t="n"/>
      <c r="M898" s="31" t="n"/>
      <c r="N898" s="31" t="n"/>
      <c r="O898" s="31" t="n"/>
      <c r="P898" s="30" t="n"/>
      <c r="Q898" s="31" t="n"/>
      <c r="R898" s="31" t="n"/>
      <c r="S898" s="31" t="n"/>
      <c r="T898" s="31" t="n"/>
      <c r="U898" s="30" t="n"/>
      <c r="V898" s="31" t="n"/>
      <c r="W898" s="31" t="n"/>
      <c r="X898" s="31" t="n"/>
      <c r="Y898" s="31" t="n"/>
      <c r="Z898" s="31" t="n"/>
      <c r="AA898" s="31" t="n"/>
      <c r="AB898" s="31" t="n"/>
      <c r="AC898" s="31" t="n"/>
      <c r="AD898" s="31" t="n"/>
      <c r="AE898" s="31" t="n"/>
      <c r="AF898" s="27">
        <f>IF(NOT(COUNTA(A898:AE898)&gt;0),"",IF(A898="","New client","Update"))</f>
        <v/>
      </c>
      <c r="AG898" s="27">
        <f>IF(AO898&lt;&gt;"",AO898,IF(LEN(AN898)=15,MID(AN898,3,10),""))</f>
        <v/>
      </c>
      <c r="AH898" s="27">
        <f>IF(AP898="","",AP898&amp;IF(D898="","  (guessed from PAN)",""))</f>
        <v/>
      </c>
      <c r="AI898" s="27">
        <f>IF(AN898="","",IFERROR(INDEX(Lists!$L$2:$L$38,MATCH(LEFT(AN898,2),Lists!$K$2:$K$38,0)),"Unknown code"))</f>
        <v/>
      </c>
      <c r="AJ898" s="27">
        <f>IF(AN898="","",IFERROR(IF(NOT(AND(LEN(AN898)=15,ISNUMBER(MATCH(LEFT(AN898,2),Lists!$K$2:$K$38,0)),SUMPRODUCT(--ISERROR(FIND(MID(MID(AN898,3,10),{1,2,3,4,5,10},1),"ABCDEFGHIJKLMNOPQRSTUVWXYZ")))=0,SUMPRODUCT(--ISERROR(FIND(MID(MID(AN898,3,10),{6,7,8,9},1),"0123456789")))=0,ISNUMBER(FIND(MID(AN898,13,1),"123456789ABCDEFGHIJKLMNOPQRSTUVWXYZ")),MID(AN898,14,1)="Z")),"Wrong format",IF(MID("0123456789ABCDEFGHIJKLMNOPQRSTUVWXYZ",MOD(36-MOD(SUMPRODUCT(INT((FIND(MID(AN898,{1,2,3,4,5,6,7,8,9,10,11,12,13,14},1),"0123456789ABCDEFGHIJKLMNOPQRSTUVWXYZ")-1)*{1,2,1,2,1,2,1,2,1,2,1,2,1,2}/36)+MOD((FIND(MID(AN898,{1,2,3,4,5,6,7,8,9,10,11,12,13,14},1),"0123456789ABCDEFGHIJKLMNOPQRSTUVWXYZ")-1)*{1,2,1,2,1,2,1,2,1,2,1,2,1,2},36)),36),36)+1,1)=MID(AN898,15,1),"OK","Typo? check digit wrong")),"Wrong format"))</f>
        <v/>
      </c>
      <c r="AK898" s="27">
        <f>IF(AO898="","",IF(AND(LEN(AO898)=10,SUMPRODUCT(--ISERROR(FIND(MID(AO898,{1,2,3,4,5,10},1),"ABCDEFGHIJKLMNOPQRSTUVWXYZ")))=0,SUMPRODUCT(--ISERROR(FIND(MID(AO898,{6,7,8,9},1),"0123456789")))=0),"OK","Wrong format"))</f>
        <v/>
      </c>
      <c r="AL898" s="27">
        <f>IF(TRIM(H898)="","",IF(AND(LEN(UPPER(TRIM(H898)))=10,SUMPRODUCT(--ISERROR(FIND(MID(UPPER(TRIM(H898)),{1,2,3,4,10},1),"ABCDEFGHIJKLMNOPQRSTUVWXYZ")))=0,SUMPRODUCT(--ISERROR(FIND(MID(UPPER(TRIM(H898)),{5,6,7,8,9},1),"0123456789")))=0),"OK","Wrong format"))</f>
        <v/>
      </c>
      <c r="AM898" s="28">
        <f>IF(NOT(COUNTA(A898:AE898)&gt;0),"",IF(AS898&lt;&gt;"","✖ "&amp;LEFT(AS898,LEN(AS898)-2),IF(AR898&gt;0,"✔ Ready — client + "&amp;AR898&amp;" service(s)","✔ Ready — client only")))</f>
        <v/>
      </c>
      <c r="AN898" s="29">
        <f>UPPER(SUBSTITUTE(TRIM(F898)," ",""))</f>
        <v/>
      </c>
      <c r="AO898" s="29">
        <f>UPPER(SUBSTITUTE(TRIM(E898)," ",""))</f>
        <v/>
      </c>
      <c r="AP898" s="29">
        <f>IF(D898&lt;&gt;"",D898,IFERROR(VLOOKUP(MID(AG898,4,1),Lists!$E$2:$F$8,2,FALSE),""))</f>
        <v/>
      </c>
      <c r="AQ898" s="29">
        <f>IFERROR(VLOOKUP(AP898,Lists!$A$2:$C$12,3,FALSE),"")</f>
        <v/>
      </c>
      <c r="AR898" s="29">
        <f>COUNTIF(W898:AC898,"Yes")</f>
        <v/>
      </c>
      <c r="AS898" s="29">
        <f>IF(TRIM(B898)="","Legal name missing; ","")&amp;IF(AND(AJ898&lt;&gt;"",AJ898&lt;&gt;"OK"),"GSTIN: "&amp;AJ898&amp;"; ","")&amp;IF(AND(AK898&lt;&gt;"",AK898&lt;&gt;"OK"),"PAN wrong format; ","")&amp;IF(AND(AO898&lt;&gt;"",LEN(AN898)=15,MID(AN898,3,10)&lt;&gt;AO898),"PAN does not match GSTIN; ","")&amp;IF(AND(AL898&lt;&gt;"",AL898&lt;&gt;"OK"),"TAN wrong format; ","")&amp;IF(AG898="","PAN missing; ","")&amp;IF(AP898="","Entity type missing; ","")&amp;IF(AND(AN898&lt;&gt;"",COUNTIF($AN$6:$AN$1005,AN898)&gt;1),"GSTIN repeated in this sheet; ","")&amp;IF(AND(AG898&lt;&gt;"",COUNTIF($AG$6:$AG$1005,AG898)&gt;1),"PAN repeated in this sheet (same client? put extra GSTINs in Other GSTINs); ","")&amp;IF(AND(AR898&gt;0,V898=""),"Financial year missing; ","")&amp;IF(AND(AR898=0,V898&lt;&gt;""),"Financial year given but no service is Yes; ","")&amp;IF(AND(W898="Yes",AN898=""),"GST needs a GSTIN; ","")&amp;IF(AND(W898="Yes",X898=""),"GST return frequency missing; ","")&amp;IF(AND(Y898="Yes",TRIM(H898)=""),"TDS needs a TAN; ","")&amp;IF(AND(AA898="Yes",AQ898&lt;&gt;"",AQ898&lt;&gt;"company",AQ898&lt;&gt;"llp"),"ROC is only for a company / LLP; ","")&amp;IF(AND(AA898="Yes",OR(AQ898="company",AQ898="llp"),TRIM(I898)=""),"ROC needs the CIN / LLPIN; ","")</f>
        <v/>
      </c>
    </row>
    <row r="899">
      <c r="A899" s="30" t="n"/>
      <c r="B899" s="31" t="n"/>
      <c r="C899" s="31" t="n"/>
      <c r="D899" s="31" t="n"/>
      <c r="E899" s="30" t="n"/>
      <c r="F899" s="30" t="n"/>
      <c r="G899" s="30" t="n"/>
      <c r="H899" s="30" t="n"/>
      <c r="I899" s="30" t="n"/>
      <c r="J899" s="32" t="n"/>
      <c r="K899" s="31" t="n"/>
      <c r="L899" s="30" t="n"/>
      <c r="M899" s="31" t="n"/>
      <c r="N899" s="31" t="n"/>
      <c r="O899" s="31" t="n"/>
      <c r="P899" s="30" t="n"/>
      <c r="Q899" s="31" t="n"/>
      <c r="R899" s="31" t="n"/>
      <c r="S899" s="31" t="n"/>
      <c r="T899" s="31" t="n"/>
      <c r="U899" s="30" t="n"/>
      <c r="V899" s="31" t="n"/>
      <c r="W899" s="31" t="n"/>
      <c r="X899" s="31" t="n"/>
      <c r="Y899" s="31" t="n"/>
      <c r="Z899" s="31" t="n"/>
      <c r="AA899" s="31" t="n"/>
      <c r="AB899" s="31" t="n"/>
      <c r="AC899" s="31" t="n"/>
      <c r="AD899" s="31" t="n"/>
      <c r="AE899" s="31" t="n"/>
      <c r="AF899" s="27">
        <f>IF(NOT(COUNTA(A899:AE899)&gt;0),"",IF(A899="","New client","Update"))</f>
        <v/>
      </c>
      <c r="AG899" s="27">
        <f>IF(AO899&lt;&gt;"",AO899,IF(LEN(AN899)=15,MID(AN899,3,10),""))</f>
        <v/>
      </c>
      <c r="AH899" s="27">
        <f>IF(AP899="","",AP899&amp;IF(D899="","  (guessed from PAN)",""))</f>
        <v/>
      </c>
      <c r="AI899" s="27">
        <f>IF(AN899="","",IFERROR(INDEX(Lists!$L$2:$L$38,MATCH(LEFT(AN899,2),Lists!$K$2:$K$38,0)),"Unknown code"))</f>
        <v/>
      </c>
      <c r="AJ899" s="27">
        <f>IF(AN899="","",IFERROR(IF(NOT(AND(LEN(AN899)=15,ISNUMBER(MATCH(LEFT(AN899,2),Lists!$K$2:$K$38,0)),SUMPRODUCT(--ISERROR(FIND(MID(MID(AN899,3,10),{1,2,3,4,5,10},1),"ABCDEFGHIJKLMNOPQRSTUVWXYZ")))=0,SUMPRODUCT(--ISERROR(FIND(MID(MID(AN899,3,10),{6,7,8,9},1),"0123456789")))=0,ISNUMBER(FIND(MID(AN899,13,1),"123456789ABCDEFGHIJKLMNOPQRSTUVWXYZ")),MID(AN899,14,1)="Z")),"Wrong format",IF(MID("0123456789ABCDEFGHIJKLMNOPQRSTUVWXYZ",MOD(36-MOD(SUMPRODUCT(INT((FIND(MID(AN899,{1,2,3,4,5,6,7,8,9,10,11,12,13,14},1),"0123456789ABCDEFGHIJKLMNOPQRSTUVWXYZ")-1)*{1,2,1,2,1,2,1,2,1,2,1,2,1,2}/36)+MOD((FIND(MID(AN899,{1,2,3,4,5,6,7,8,9,10,11,12,13,14},1),"0123456789ABCDEFGHIJKLMNOPQRSTUVWXYZ")-1)*{1,2,1,2,1,2,1,2,1,2,1,2,1,2},36)),36),36)+1,1)=MID(AN899,15,1),"OK","Typo? check digit wrong")),"Wrong format"))</f>
        <v/>
      </c>
      <c r="AK899" s="27">
        <f>IF(AO899="","",IF(AND(LEN(AO899)=10,SUMPRODUCT(--ISERROR(FIND(MID(AO899,{1,2,3,4,5,10},1),"ABCDEFGHIJKLMNOPQRSTUVWXYZ")))=0,SUMPRODUCT(--ISERROR(FIND(MID(AO899,{6,7,8,9},1),"0123456789")))=0),"OK","Wrong format"))</f>
        <v/>
      </c>
      <c r="AL899" s="27">
        <f>IF(TRIM(H899)="","",IF(AND(LEN(UPPER(TRIM(H899)))=10,SUMPRODUCT(--ISERROR(FIND(MID(UPPER(TRIM(H899)),{1,2,3,4,10},1),"ABCDEFGHIJKLMNOPQRSTUVWXYZ")))=0,SUMPRODUCT(--ISERROR(FIND(MID(UPPER(TRIM(H899)),{5,6,7,8,9},1),"0123456789")))=0),"OK","Wrong format"))</f>
        <v/>
      </c>
      <c r="AM899" s="28">
        <f>IF(NOT(COUNTA(A899:AE899)&gt;0),"",IF(AS899&lt;&gt;"","✖ "&amp;LEFT(AS899,LEN(AS899)-2),IF(AR899&gt;0,"✔ Ready — client + "&amp;AR899&amp;" service(s)","✔ Ready — client only")))</f>
        <v/>
      </c>
      <c r="AN899" s="29">
        <f>UPPER(SUBSTITUTE(TRIM(F899)," ",""))</f>
        <v/>
      </c>
      <c r="AO899" s="29">
        <f>UPPER(SUBSTITUTE(TRIM(E899)," ",""))</f>
        <v/>
      </c>
      <c r="AP899" s="29">
        <f>IF(D899&lt;&gt;"",D899,IFERROR(VLOOKUP(MID(AG899,4,1),Lists!$E$2:$F$8,2,FALSE),""))</f>
        <v/>
      </c>
      <c r="AQ899" s="29">
        <f>IFERROR(VLOOKUP(AP899,Lists!$A$2:$C$12,3,FALSE),"")</f>
        <v/>
      </c>
      <c r="AR899" s="29">
        <f>COUNTIF(W899:AC899,"Yes")</f>
        <v/>
      </c>
      <c r="AS899" s="29">
        <f>IF(TRIM(B899)="","Legal name missing; ","")&amp;IF(AND(AJ899&lt;&gt;"",AJ899&lt;&gt;"OK"),"GSTIN: "&amp;AJ899&amp;"; ","")&amp;IF(AND(AK899&lt;&gt;"",AK899&lt;&gt;"OK"),"PAN wrong format; ","")&amp;IF(AND(AO899&lt;&gt;"",LEN(AN899)=15,MID(AN899,3,10)&lt;&gt;AO899),"PAN does not match GSTIN; ","")&amp;IF(AND(AL899&lt;&gt;"",AL899&lt;&gt;"OK"),"TAN wrong format; ","")&amp;IF(AG899="","PAN missing; ","")&amp;IF(AP899="","Entity type missing; ","")&amp;IF(AND(AN899&lt;&gt;"",COUNTIF($AN$6:$AN$1005,AN899)&gt;1),"GSTIN repeated in this sheet; ","")&amp;IF(AND(AG899&lt;&gt;"",COUNTIF($AG$6:$AG$1005,AG899)&gt;1),"PAN repeated in this sheet (same client? put extra GSTINs in Other GSTINs); ","")&amp;IF(AND(AR899&gt;0,V899=""),"Financial year missing; ","")&amp;IF(AND(AR899=0,V899&lt;&gt;""),"Financial year given but no service is Yes; ","")&amp;IF(AND(W899="Yes",AN899=""),"GST needs a GSTIN; ","")&amp;IF(AND(W899="Yes",X899=""),"GST return frequency missing; ","")&amp;IF(AND(Y899="Yes",TRIM(H899)=""),"TDS needs a TAN; ","")&amp;IF(AND(AA899="Yes",AQ899&lt;&gt;"",AQ899&lt;&gt;"company",AQ899&lt;&gt;"llp"),"ROC is only for a company / LLP; ","")&amp;IF(AND(AA899="Yes",OR(AQ899="company",AQ899="llp"),TRIM(I899)=""),"ROC needs the CIN / LLPIN; ","")</f>
        <v/>
      </c>
    </row>
    <row r="900">
      <c r="A900" s="30" t="n"/>
      <c r="B900" s="31" t="n"/>
      <c r="C900" s="31" t="n"/>
      <c r="D900" s="31" t="n"/>
      <c r="E900" s="30" t="n"/>
      <c r="F900" s="30" t="n"/>
      <c r="G900" s="30" t="n"/>
      <c r="H900" s="30" t="n"/>
      <c r="I900" s="30" t="n"/>
      <c r="J900" s="32" t="n"/>
      <c r="K900" s="31" t="n"/>
      <c r="L900" s="30" t="n"/>
      <c r="M900" s="31" t="n"/>
      <c r="N900" s="31" t="n"/>
      <c r="O900" s="31" t="n"/>
      <c r="P900" s="30" t="n"/>
      <c r="Q900" s="31" t="n"/>
      <c r="R900" s="31" t="n"/>
      <c r="S900" s="31" t="n"/>
      <c r="T900" s="31" t="n"/>
      <c r="U900" s="30" t="n"/>
      <c r="V900" s="31" t="n"/>
      <c r="W900" s="31" t="n"/>
      <c r="X900" s="31" t="n"/>
      <c r="Y900" s="31" t="n"/>
      <c r="Z900" s="31" t="n"/>
      <c r="AA900" s="31" t="n"/>
      <c r="AB900" s="31" t="n"/>
      <c r="AC900" s="31" t="n"/>
      <c r="AD900" s="31" t="n"/>
      <c r="AE900" s="31" t="n"/>
      <c r="AF900" s="27">
        <f>IF(NOT(COUNTA(A900:AE900)&gt;0),"",IF(A900="","New client","Update"))</f>
        <v/>
      </c>
      <c r="AG900" s="27">
        <f>IF(AO900&lt;&gt;"",AO900,IF(LEN(AN900)=15,MID(AN900,3,10),""))</f>
        <v/>
      </c>
      <c r="AH900" s="27">
        <f>IF(AP900="","",AP900&amp;IF(D900="","  (guessed from PAN)",""))</f>
        <v/>
      </c>
      <c r="AI900" s="27">
        <f>IF(AN900="","",IFERROR(INDEX(Lists!$L$2:$L$38,MATCH(LEFT(AN900,2),Lists!$K$2:$K$38,0)),"Unknown code"))</f>
        <v/>
      </c>
      <c r="AJ900" s="27">
        <f>IF(AN900="","",IFERROR(IF(NOT(AND(LEN(AN900)=15,ISNUMBER(MATCH(LEFT(AN900,2),Lists!$K$2:$K$38,0)),SUMPRODUCT(--ISERROR(FIND(MID(MID(AN900,3,10),{1,2,3,4,5,10},1),"ABCDEFGHIJKLMNOPQRSTUVWXYZ")))=0,SUMPRODUCT(--ISERROR(FIND(MID(MID(AN900,3,10),{6,7,8,9},1),"0123456789")))=0,ISNUMBER(FIND(MID(AN900,13,1),"123456789ABCDEFGHIJKLMNOPQRSTUVWXYZ")),MID(AN900,14,1)="Z")),"Wrong format",IF(MID("0123456789ABCDEFGHIJKLMNOPQRSTUVWXYZ",MOD(36-MOD(SUMPRODUCT(INT((FIND(MID(AN900,{1,2,3,4,5,6,7,8,9,10,11,12,13,14},1),"0123456789ABCDEFGHIJKLMNOPQRSTUVWXYZ")-1)*{1,2,1,2,1,2,1,2,1,2,1,2,1,2}/36)+MOD((FIND(MID(AN900,{1,2,3,4,5,6,7,8,9,10,11,12,13,14},1),"0123456789ABCDEFGHIJKLMNOPQRSTUVWXYZ")-1)*{1,2,1,2,1,2,1,2,1,2,1,2,1,2},36)),36),36)+1,1)=MID(AN900,15,1),"OK","Typo? check digit wrong")),"Wrong format"))</f>
        <v/>
      </c>
      <c r="AK900" s="27">
        <f>IF(AO900="","",IF(AND(LEN(AO900)=10,SUMPRODUCT(--ISERROR(FIND(MID(AO900,{1,2,3,4,5,10},1),"ABCDEFGHIJKLMNOPQRSTUVWXYZ")))=0,SUMPRODUCT(--ISERROR(FIND(MID(AO900,{6,7,8,9},1),"0123456789")))=0),"OK","Wrong format"))</f>
        <v/>
      </c>
      <c r="AL900" s="27">
        <f>IF(TRIM(H900)="","",IF(AND(LEN(UPPER(TRIM(H900)))=10,SUMPRODUCT(--ISERROR(FIND(MID(UPPER(TRIM(H900)),{1,2,3,4,10},1),"ABCDEFGHIJKLMNOPQRSTUVWXYZ")))=0,SUMPRODUCT(--ISERROR(FIND(MID(UPPER(TRIM(H900)),{5,6,7,8,9},1),"0123456789")))=0),"OK","Wrong format"))</f>
        <v/>
      </c>
      <c r="AM900" s="28">
        <f>IF(NOT(COUNTA(A900:AE900)&gt;0),"",IF(AS900&lt;&gt;"","✖ "&amp;LEFT(AS900,LEN(AS900)-2),IF(AR900&gt;0,"✔ Ready — client + "&amp;AR900&amp;" service(s)","✔ Ready — client only")))</f>
        <v/>
      </c>
      <c r="AN900" s="29">
        <f>UPPER(SUBSTITUTE(TRIM(F900)," ",""))</f>
        <v/>
      </c>
      <c r="AO900" s="29">
        <f>UPPER(SUBSTITUTE(TRIM(E900)," ",""))</f>
        <v/>
      </c>
      <c r="AP900" s="29">
        <f>IF(D900&lt;&gt;"",D900,IFERROR(VLOOKUP(MID(AG900,4,1),Lists!$E$2:$F$8,2,FALSE),""))</f>
        <v/>
      </c>
      <c r="AQ900" s="29">
        <f>IFERROR(VLOOKUP(AP900,Lists!$A$2:$C$12,3,FALSE),"")</f>
        <v/>
      </c>
      <c r="AR900" s="29">
        <f>COUNTIF(W900:AC900,"Yes")</f>
        <v/>
      </c>
      <c r="AS900" s="29">
        <f>IF(TRIM(B900)="","Legal name missing; ","")&amp;IF(AND(AJ900&lt;&gt;"",AJ900&lt;&gt;"OK"),"GSTIN: "&amp;AJ900&amp;"; ","")&amp;IF(AND(AK900&lt;&gt;"",AK900&lt;&gt;"OK"),"PAN wrong format; ","")&amp;IF(AND(AO900&lt;&gt;"",LEN(AN900)=15,MID(AN900,3,10)&lt;&gt;AO900),"PAN does not match GSTIN; ","")&amp;IF(AND(AL900&lt;&gt;"",AL900&lt;&gt;"OK"),"TAN wrong format; ","")&amp;IF(AG900="","PAN missing; ","")&amp;IF(AP900="","Entity type missing; ","")&amp;IF(AND(AN900&lt;&gt;"",COUNTIF($AN$6:$AN$1005,AN900)&gt;1),"GSTIN repeated in this sheet; ","")&amp;IF(AND(AG900&lt;&gt;"",COUNTIF($AG$6:$AG$1005,AG900)&gt;1),"PAN repeated in this sheet (same client? put extra GSTINs in Other GSTINs); ","")&amp;IF(AND(AR900&gt;0,V900=""),"Financial year missing; ","")&amp;IF(AND(AR900=0,V900&lt;&gt;""),"Financial year given but no service is Yes; ","")&amp;IF(AND(W900="Yes",AN900=""),"GST needs a GSTIN; ","")&amp;IF(AND(W900="Yes",X900=""),"GST return frequency missing; ","")&amp;IF(AND(Y900="Yes",TRIM(H900)=""),"TDS needs a TAN; ","")&amp;IF(AND(AA900="Yes",AQ900&lt;&gt;"",AQ900&lt;&gt;"company",AQ900&lt;&gt;"llp"),"ROC is only for a company / LLP; ","")&amp;IF(AND(AA900="Yes",OR(AQ900="company",AQ900="llp"),TRIM(I900)=""),"ROC needs the CIN / LLPIN; ","")</f>
        <v/>
      </c>
    </row>
    <row r="901">
      <c r="A901" s="30" t="n"/>
      <c r="B901" s="31" t="n"/>
      <c r="C901" s="31" t="n"/>
      <c r="D901" s="31" t="n"/>
      <c r="E901" s="30" t="n"/>
      <c r="F901" s="30" t="n"/>
      <c r="G901" s="30" t="n"/>
      <c r="H901" s="30" t="n"/>
      <c r="I901" s="30" t="n"/>
      <c r="J901" s="32" t="n"/>
      <c r="K901" s="31" t="n"/>
      <c r="L901" s="30" t="n"/>
      <c r="M901" s="31" t="n"/>
      <c r="N901" s="31" t="n"/>
      <c r="O901" s="31" t="n"/>
      <c r="P901" s="30" t="n"/>
      <c r="Q901" s="31" t="n"/>
      <c r="R901" s="31" t="n"/>
      <c r="S901" s="31" t="n"/>
      <c r="T901" s="31" t="n"/>
      <c r="U901" s="30" t="n"/>
      <c r="V901" s="31" t="n"/>
      <c r="W901" s="31" t="n"/>
      <c r="X901" s="31" t="n"/>
      <c r="Y901" s="31" t="n"/>
      <c r="Z901" s="31" t="n"/>
      <c r="AA901" s="31" t="n"/>
      <c r="AB901" s="31" t="n"/>
      <c r="AC901" s="31" t="n"/>
      <c r="AD901" s="31" t="n"/>
      <c r="AE901" s="31" t="n"/>
      <c r="AF901" s="27">
        <f>IF(NOT(COUNTA(A901:AE901)&gt;0),"",IF(A901="","New client","Update"))</f>
        <v/>
      </c>
      <c r="AG901" s="27">
        <f>IF(AO901&lt;&gt;"",AO901,IF(LEN(AN901)=15,MID(AN901,3,10),""))</f>
        <v/>
      </c>
      <c r="AH901" s="27">
        <f>IF(AP901="","",AP901&amp;IF(D901="","  (guessed from PAN)",""))</f>
        <v/>
      </c>
      <c r="AI901" s="27">
        <f>IF(AN901="","",IFERROR(INDEX(Lists!$L$2:$L$38,MATCH(LEFT(AN901,2),Lists!$K$2:$K$38,0)),"Unknown code"))</f>
        <v/>
      </c>
      <c r="AJ901" s="27">
        <f>IF(AN901="","",IFERROR(IF(NOT(AND(LEN(AN901)=15,ISNUMBER(MATCH(LEFT(AN901,2),Lists!$K$2:$K$38,0)),SUMPRODUCT(--ISERROR(FIND(MID(MID(AN901,3,10),{1,2,3,4,5,10},1),"ABCDEFGHIJKLMNOPQRSTUVWXYZ")))=0,SUMPRODUCT(--ISERROR(FIND(MID(MID(AN901,3,10),{6,7,8,9},1),"0123456789")))=0,ISNUMBER(FIND(MID(AN901,13,1),"123456789ABCDEFGHIJKLMNOPQRSTUVWXYZ")),MID(AN901,14,1)="Z")),"Wrong format",IF(MID("0123456789ABCDEFGHIJKLMNOPQRSTUVWXYZ",MOD(36-MOD(SUMPRODUCT(INT((FIND(MID(AN901,{1,2,3,4,5,6,7,8,9,10,11,12,13,14},1),"0123456789ABCDEFGHIJKLMNOPQRSTUVWXYZ")-1)*{1,2,1,2,1,2,1,2,1,2,1,2,1,2}/36)+MOD((FIND(MID(AN901,{1,2,3,4,5,6,7,8,9,10,11,12,13,14},1),"0123456789ABCDEFGHIJKLMNOPQRSTUVWXYZ")-1)*{1,2,1,2,1,2,1,2,1,2,1,2,1,2},36)),36),36)+1,1)=MID(AN901,15,1),"OK","Typo? check digit wrong")),"Wrong format"))</f>
        <v/>
      </c>
      <c r="AK901" s="27">
        <f>IF(AO901="","",IF(AND(LEN(AO901)=10,SUMPRODUCT(--ISERROR(FIND(MID(AO901,{1,2,3,4,5,10},1),"ABCDEFGHIJKLMNOPQRSTUVWXYZ")))=0,SUMPRODUCT(--ISERROR(FIND(MID(AO901,{6,7,8,9},1),"0123456789")))=0),"OK","Wrong format"))</f>
        <v/>
      </c>
      <c r="AL901" s="27">
        <f>IF(TRIM(H901)="","",IF(AND(LEN(UPPER(TRIM(H901)))=10,SUMPRODUCT(--ISERROR(FIND(MID(UPPER(TRIM(H901)),{1,2,3,4,10},1),"ABCDEFGHIJKLMNOPQRSTUVWXYZ")))=0,SUMPRODUCT(--ISERROR(FIND(MID(UPPER(TRIM(H901)),{5,6,7,8,9},1),"0123456789")))=0),"OK","Wrong format"))</f>
        <v/>
      </c>
      <c r="AM901" s="28">
        <f>IF(NOT(COUNTA(A901:AE901)&gt;0),"",IF(AS901&lt;&gt;"","✖ "&amp;LEFT(AS901,LEN(AS901)-2),IF(AR901&gt;0,"✔ Ready — client + "&amp;AR901&amp;" service(s)","✔ Ready — client only")))</f>
        <v/>
      </c>
      <c r="AN901" s="29">
        <f>UPPER(SUBSTITUTE(TRIM(F901)," ",""))</f>
        <v/>
      </c>
      <c r="AO901" s="29">
        <f>UPPER(SUBSTITUTE(TRIM(E901)," ",""))</f>
        <v/>
      </c>
      <c r="AP901" s="29">
        <f>IF(D901&lt;&gt;"",D901,IFERROR(VLOOKUP(MID(AG901,4,1),Lists!$E$2:$F$8,2,FALSE),""))</f>
        <v/>
      </c>
      <c r="AQ901" s="29">
        <f>IFERROR(VLOOKUP(AP901,Lists!$A$2:$C$12,3,FALSE),"")</f>
        <v/>
      </c>
      <c r="AR901" s="29">
        <f>COUNTIF(W901:AC901,"Yes")</f>
        <v/>
      </c>
      <c r="AS901" s="29">
        <f>IF(TRIM(B901)="","Legal name missing; ","")&amp;IF(AND(AJ901&lt;&gt;"",AJ901&lt;&gt;"OK"),"GSTIN: "&amp;AJ901&amp;"; ","")&amp;IF(AND(AK901&lt;&gt;"",AK901&lt;&gt;"OK"),"PAN wrong format; ","")&amp;IF(AND(AO901&lt;&gt;"",LEN(AN901)=15,MID(AN901,3,10)&lt;&gt;AO901),"PAN does not match GSTIN; ","")&amp;IF(AND(AL901&lt;&gt;"",AL901&lt;&gt;"OK"),"TAN wrong format; ","")&amp;IF(AG901="","PAN missing; ","")&amp;IF(AP901="","Entity type missing; ","")&amp;IF(AND(AN901&lt;&gt;"",COUNTIF($AN$6:$AN$1005,AN901)&gt;1),"GSTIN repeated in this sheet; ","")&amp;IF(AND(AG901&lt;&gt;"",COUNTIF($AG$6:$AG$1005,AG901)&gt;1),"PAN repeated in this sheet (same client? put extra GSTINs in Other GSTINs); ","")&amp;IF(AND(AR901&gt;0,V901=""),"Financial year missing; ","")&amp;IF(AND(AR901=0,V901&lt;&gt;""),"Financial year given but no service is Yes; ","")&amp;IF(AND(W901="Yes",AN901=""),"GST needs a GSTIN; ","")&amp;IF(AND(W901="Yes",X901=""),"GST return frequency missing; ","")&amp;IF(AND(Y901="Yes",TRIM(H901)=""),"TDS needs a TAN; ","")&amp;IF(AND(AA901="Yes",AQ901&lt;&gt;"",AQ901&lt;&gt;"company",AQ901&lt;&gt;"llp"),"ROC is only for a company / LLP; ","")&amp;IF(AND(AA901="Yes",OR(AQ901="company",AQ901="llp"),TRIM(I901)=""),"ROC needs the CIN / LLPIN; ","")</f>
        <v/>
      </c>
    </row>
    <row r="902">
      <c r="A902" s="30" t="n"/>
      <c r="B902" s="31" t="n"/>
      <c r="C902" s="31" t="n"/>
      <c r="D902" s="31" t="n"/>
      <c r="E902" s="30" t="n"/>
      <c r="F902" s="30" t="n"/>
      <c r="G902" s="30" t="n"/>
      <c r="H902" s="30" t="n"/>
      <c r="I902" s="30" t="n"/>
      <c r="J902" s="32" t="n"/>
      <c r="K902" s="31" t="n"/>
      <c r="L902" s="30" t="n"/>
      <c r="M902" s="31" t="n"/>
      <c r="N902" s="31" t="n"/>
      <c r="O902" s="31" t="n"/>
      <c r="P902" s="30" t="n"/>
      <c r="Q902" s="31" t="n"/>
      <c r="R902" s="31" t="n"/>
      <c r="S902" s="31" t="n"/>
      <c r="T902" s="31" t="n"/>
      <c r="U902" s="30" t="n"/>
      <c r="V902" s="31" t="n"/>
      <c r="W902" s="31" t="n"/>
      <c r="X902" s="31" t="n"/>
      <c r="Y902" s="31" t="n"/>
      <c r="Z902" s="31" t="n"/>
      <c r="AA902" s="31" t="n"/>
      <c r="AB902" s="31" t="n"/>
      <c r="AC902" s="31" t="n"/>
      <c r="AD902" s="31" t="n"/>
      <c r="AE902" s="31" t="n"/>
      <c r="AF902" s="27">
        <f>IF(NOT(COUNTA(A902:AE902)&gt;0),"",IF(A902="","New client","Update"))</f>
        <v/>
      </c>
      <c r="AG902" s="27">
        <f>IF(AO902&lt;&gt;"",AO902,IF(LEN(AN902)=15,MID(AN902,3,10),""))</f>
        <v/>
      </c>
      <c r="AH902" s="27">
        <f>IF(AP902="","",AP902&amp;IF(D902="","  (guessed from PAN)",""))</f>
        <v/>
      </c>
      <c r="AI902" s="27">
        <f>IF(AN902="","",IFERROR(INDEX(Lists!$L$2:$L$38,MATCH(LEFT(AN902,2),Lists!$K$2:$K$38,0)),"Unknown code"))</f>
        <v/>
      </c>
      <c r="AJ902" s="27">
        <f>IF(AN902="","",IFERROR(IF(NOT(AND(LEN(AN902)=15,ISNUMBER(MATCH(LEFT(AN902,2),Lists!$K$2:$K$38,0)),SUMPRODUCT(--ISERROR(FIND(MID(MID(AN902,3,10),{1,2,3,4,5,10},1),"ABCDEFGHIJKLMNOPQRSTUVWXYZ")))=0,SUMPRODUCT(--ISERROR(FIND(MID(MID(AN902,3,10),{6,7,8,9},1),"0123456789")))=0,ISNUMBER(FIND(MID(AN902,13,1),"123456789ABCDEFGHIJKLMNOPQRSTUVWXYZ")),MID(AN902,14,1)="Z")),"Wrong format",IF(MID("0123456789ABCDEFGHIJKLMNOPQRSTUVWXYZ",MOD(36-MOD(SUMPRODUCT(INT((FIND(MID(AN902,{1,2,3,4,5,6,7,8,9,10,11,12,13,14},1),"0123456789ABCDEFGHIJKLMNOPQRSTUVWXYZ")-1)*{1,2,1,2,1,2,1,2,1,2,1,2,1,2}/36)+MOD((FIND(MID(AN902,{1,2,3,4,5,6,7,8,9,10,11,12,13,14},1),"0123456789ABCDEFGHIJKLMNOPQRSTUVWXYZ")-1)*{1,2,1,2,1,2,1,2,1,2,1,2,1,2},36)),36),36)+1,1)=MID(AN902,15,1),"OK","Typo? check digit wrong")),"Wrong format"))</f>
        <v/>
      </c>
      <c r="AK902" s="27">
        <f>IF(AO902="","",IF(AND(LEN(AO902)=10,SUMPRODUCT(--ISERROR(FIND(MID(AO902,{1,2,3,4,5,10},1),"ABCDEFGHIJKLMNOPQRSTUVWXYZ")))=0,SUMPRODUCT(--ISERROR(FIND(MID(AO902,{6,7,8,9},1),"0123456789")))=0),"OK","Wrong format"))</f>
        <v/>
      </c>
      <c r="AL902" s="27">
        <f>IF(TRIM(H902)="","",IF(AND(LEN(UPPER(TRIM(H902)))=10,SUMPRODUCT(--ISERROR(FIND(MID(UPPER(TRIM(H902)),{1,2,3,4,10},1),"ABCDEFGHIJKLMNOPQRSTUVWXYZ")))=0,SUMPRODUCT(--ISERROR(FIND(MID(UPPER(TRIM(H902)),{5,6,7,8,9},1),"0123456789")))=0),"OK","Wrong format"))</f>
        <v/>
      </c>
      <c r="AM902" s="28">
        <f>IF(NOT(COUNTA(A902:AE902)&gt;0),"",IF(AS902&lt;&gt;"","✖ "&amp;LEFT(AS902,LEN(AS902)-2),IF(AR902&gt;0,"✔ Ready — client + "&amp;AR902&amp;" service(s)","✔ Ready — client only")))</f>
        <v/>
      </c>
      <c r="AN902" s="29">
        <f>UPPER(SUBSTITUTE(TRIM(F902)," ",""))</f>
        <v/>
      </c>
      <c r="AO902" s="29">
        <f>UPPER(SUBSTITUTE(TRIM(E902)," ",""))</f>
        <v/>
      </c>
      <c r="AP902" s="29">
        <f>IF(D902&lt;&gt;"",D902,IFERROR(VLOOKUP(MID(AG902,4,1),Lists!$E$2:$F$8,2,FALSE),""))</f>
        <v/>
      </c>
      <c r="AQ902" s="29">
        <f>IFERROR(VLOOKUP(AP902,Lists!$A$2:$C$12,3,FALSE),"")</f>
        <v/>
      </c>
      <c r="AR902" s="29">
        <f>COUNTIF(W902:AC902,"Yes")</f>
        <v/>
      </c>
      <c r="AS902" s="29">
        <f>IF(TRIM(B902)="","Legal name missing; ","")&amp;IF(AND(AJ902&lt;&gt;"",AJ902&lt;&gt;"OK"),"GSTIN: "&amp;AJ902&amp;"; ","")&amp;IF(AND(AK902&lt;&gt;"",AK902&lt;&gt;"OK"),"PAN wrong format; ","")&amp;IF(AND(AO902&lt;&gt;"",LEN(AN902)=15,MID(AN902,3,10)&lt;&gt;AO902),"PAN does not match GSTIN; ","")&amp;IF(AND(AL902&lt;&gt;"",AL902&lt;&gt;"OK"),"TAN wrong format; ","")&amp;IF(AG902="","PAN missing; ","")&amp;IF(AP902="","Entity type missing; ","")&amp;IF(AND(AN902&lt;&gt;"",COUNTIF($AN$6:$AN$1005,AN902)&gt;1),"GSTIN repeated in this sheet; ","")&amp;IF(AND(AG902&lt;&gt;"",COUNTIF($AG$6:$AG$1005,AG902)&gt;1),"PAN repeated in this sheet (same client? put extra GSTINs in Other GSTINs); ","")&amp;IF(AND(AR902&gt;0,V902=""),"Financial year missing; ","")&amp;IF(AND(AR902=0,V902&lt;&gt;""),"Financial year given but no service is Yes; ","")&amp;IF(AND(W902="Yes",AN902=""),"GST needs a GSTIN; ","")&amp;IF(AND(W902="Yes",X902=""),"GST return frequency missing; ","")&amp;IF(AND(Y902="Yes",TRIM(H902)=""),"TDS needs a TAN; ","")&amp;IF(AND(AA902="Yes",AQ902&lt;&gt;"",AQ902&lt;&gt;"company",AQ902&lt;&gt;"llp"),"ROC is only for a company / LLP; ","")&amp;IF(AND(AA902="Yes",OR(AQ902="company",AQ902="llp"),TRIM(I902)=""),"ROC needs the CIN / LLPIN; ","")</f>
        <v/>
      </c>
    </row>
    <row r="903">
      <c r="A903" s="30" t="n"/>
      <c r="B903" s="31" t="n"/>
      <c r="C903" s="31" t="n"/>
      <c r="D903" s="31" t="n"/>
      <c r="E903" s="30" t="n"/>
      <c r="F903" s="30" t="n"/>
      <c r="G903" s="30" t="n"/>
      <c r="H903" s="30" t="n"/>
      <c r="I903" s="30" t="n"/>
      <c r="J903" s="32" t="n"/>
      <c r="K903" s="31" t="n"/>
      <c r="L903" s="30" t="n"/>
      <c r="M903" s="31" t="n"/>
      <c r="N903" s="31" t="n"/>
      <c r="O903" s="31" t="n"/>
      <c r="P903" s="30" t="n"/>
      <c r="Q903" s="31" t="n"/>
      <c r="R903" s="31" t="n"/>
      <c r="S903" s="31" t="n"/>
      <c r="T903" s="31" t="n"/>
      <c r="U903" s="30" t="n"/>
      <c r="V903" s="31" t="n"/>
      <c r="W903" s="31" t="n"/>
      <c r="X903" s="31" t="n"/>
      <c r="Y903" s="31" t="n"/>
      <c r="Z903" s="31" t="n"/>
      <c r="AA903" s="31" t="n"/>
      <c r="AB903" s="31" t="n"/>
      <c r="AC903" s="31" t="n"/>
      <c r="AD903" s="31" t="n"/>
      <c r="AE903" s="31" t="n"/>
      <c r="AF903" s="27">
        <f>IF(NOT(COUNTA(A903:AE903)&gt;0),"",IF(A903="","New client","Update"))</f>
        <v/>
      </c>
      <c r="AG903" s="27">
        <f>IF(AO903&lt;&gt;"",AO903,IF(LEN(AN903)=15,MID(AN903,3,10),""))</f>
        <v/>
      </c>
      <c r="AH903" s="27">
        <f>IF(AP903="","",AP903&amp;IF(D903="","  (guessed from PAN)",""))</f>
        <v/>
      </c>
      <c r="AI903" s="27">
        <f>IF(AN903="","",IFERROR(INDEX(Lists!$L$2:$L$38,MATCH(LEFT(AN903,2),Lists!$K$2:$K$38,0)),"Unknown code"))</f>
        <v/>
      </c>
      <c r="AJ903" s="27">
        <f>IF(AN903="","",IFERROR(IF(NOT(AND(LEN(AN903)=15,ISNUMBER(MATCH(LEFT(AN903,2),Lists!$K$2:$K$38,0)),SUMPRODUCT(--ISERROR(FIND(MID(MID(AN903,3,10),{1,2,3,4,5,10},1),"ABCDEFGHIJKLMNOPQRSTUVWXYZ")))=0,SUMPRODUCT(--ISERROR(FIND(MID(MID(AN903,3,10),{6,7,8,9},1),"0123456789")))=0,ISNUMBER(FIND(MID(AN903,13,1),"123456789ABCDEFGHIJKLMNOPQRSTUVWXYZ")),MID(AN903,14,1)="Z")),"Wrong format",IF(MID("0123456789ABCDEFGHIJKLMNOPQRSTUVWXYZ",MOD(36-MOD(SUMPRODUCT(INT((FIND(MID(AN903,{1,2,3,4,5,6,7,8,9,10,11,12,13,14},1),"0123456789ABCDEFGHIJKLMNOPQRSTUVWXYZ")-1)*{1,2,1,2,1,2,1,2,1,2,1,2,1,2}/36)+MOD((FIND(MID(AN903,{1,2,3,4,5,6,7,8,9,10,11,12,13,14},1),"0123456789ABCDEFGHIJKLMNOPQRSTUVWXYZ")-1)*{1,2,1,2,1,2,1,2,1,2,1,2,1,2},36)),36),36)+1,1)=MID(AN903,15,1),"OK","Typo? check digit wrong")),"Wrong format"))</f>
        <v/>
      </c>
      <c r="AK903" s="27">
        <f>IF(AO903="","",IF(AND(LEN(AO903)=10,SUMPRODUCT(--ISERROR(FIND(MID(AO903,{1,2,3,4,5,10},1),"ABCDEFGHIJKLMNOPQRSTUVWXYZ")))=0,SUMPRODUCT(--ISERROR(FIND(MID(AO903,{6,7,8,9},1),"0123456789")))=0),"OK","Wrong format"))</f>
        <v/>
      </c>
      <c r="AL903" s="27">
        <f>IF(TRIM(H903)="","",IF(AND(LEN(UPPER(TRIM(H903)))=10,SUMPRODUCT(--ISERROR(FIND(MID(UPPER(TRIM(H903)),{1,2,3,4,10},1),"ABCDEFGHIJKLMNOPQRSTUVWXYZ")))=0,SUMPRODUCT(--ISERROR(FIND(MID(UPPER(TRIM(H903)),{5,6,7,8,9},1),"0123456789")))=0),"OK","Wrong format"))</f>
        <v/>
      </c>
      <c r="AM903" s="28">
        <f>IF(NOT(COUNTA(A903:AE903)&gt;0),"",IF(AS903&lt;&gt;"","✖ "&amp;LEFT(AS903,LEN(AS903)-2),IF(AR903&gt;0,"✔ Ready — client + "&amp;AR903&amp;" service(s)","✔ Ready — client only")))</f>
        <v/>
      </c>
      <c r="AN903" s="29">
        <f>UPPER(SUBSTITUTE(TRIM(F903)," ",""))</f>
        <v/>
      </c>
      <c r="AO903" s="29">
        <f>UPPER(SUBSTITUTE(TRIM(E903)," ",""))</f>
        <v/>
      </c>
      <c r="AP903" s="29">
        <f>IF(D903&lt;&gt;"",D903,IFERROR(VLOOKUP(MID(AG903,4,1),Lists!$E$2:$F$8,2,FALSE),""))</f>
        <v/>
      </c>
      <c r="AQ903" s="29">
        <f>IFERROR(VLOOKUP(AP903,Lists!$A$2:$C$12,3,FALSE),"")</f>
        <v/>
      </c>
      <c r="AR903" s="29">
        <f>COUNTIF(W903:AC903,"Yes")</f>
        <v/>
      </c>
      <c r="AS903" s="29">
        <f>IF(TRIM(B903)="","Legal name missing; ","")&amp;IF(AND(AJ903&lt;&gt;"",AJ903&lt;&gt;"OK"),"GSTIN: "&amp;AJ903&amp;"; ","")&amp;IF(AND(AK903&lt;&gt;"",AK903&lt;&gt;"OK"),"PAN wrong format; ","")&amp;IF(AND(AO903&lt;&gt;"",LEN(AN903)=15,MID(AN903,3,10)&lt;&gt;AO903),"PAN does not match GSTIN; ","")&amp;IF(AND(AL903&lt;&gt;"",AL903&lt;&gt;"OK"),"TAN wrong format; ","")&amp;IF(AG903="","PAN missing; ","")&amp;IF(AP903="","Entity type missing; ","")&amp;IF(AND(AN903&lt;&gt;"",COUNTIF($AN$6:$AN$1005,AN903)&gt;1),"GSTIN repeated in this sheet; ","")&amp;IF(AND(AG903&lt;&gt;"",COUNTIF($AG$6:$AG$1005,AG903)&gt;1),"PAN repeated in this sheet (same client? put extra GSTINs in Other GSTINs); ","")&amp;IF(AND(AR903&gt;0,V903=""),"Financial year missing; ","")&amp;IF(AND(AR903=0,V903&lt;&gt;""),"Financial year given but no service is Yes; ","")&amp;IF(AND(W903="Yes",AN903=""),"GST needs a GSTIN; ","")&amp;IF(AND(W903="Yes",X903=""),"GST return frequency missing; ","")&amp;IF(AND(Y903="Yes",TRIM(H903)=""),"TDS needs a TAN; ","")&amp;IF(AND(AA903="Yes",AQ903&lt;&gt;"",AQ903&lt;&gt;"company",AQ903&lt;&gt;"llp"),"ROC is only for a company / LLP; ","")&amp;IF(AND(AA903="Yes",OR(AQ903="company",AQ903="llp"),TRIM(I903)=""),"ROC needs the CIN / LLPIN; ","")</f>
        <v/>
      </c>
    </row>
    <row r="904">
      <c r="A904" s="30" t="n"/>
      <c r="B904" s="31" t="n"/>
      <c r="C904" s="31" t="n"/>
      <c r="D904" s="31" t="n"/>
      <c r="E904" s="30" t="n"/>
      <c r="F904" s="30" t="n"/>
      <c r="G904" s="30" t="n"/>
      <c r="H904" s="30" t="n"/>
      <c r="I904" s="30" t="n"/>
      <c r="J904" s="32" t="n"/>
      <c r="K904" s="31" t="n"/>
      <c r="L904" s="30" t="n"/>
      <c r="M904" s="31" t="n"/>
      <c r="N904" s="31" t="n"/>
      <c r="O904" s="31" t="n"/>
      <c r="P904" s="30" t="n"/>
      <c r="Q904" s="31" t="n"/>
      <c r="R904" s="31" t="n"/>
      <c r="S904" s="31" t="n"/>
      <c r="T904" s="31" t="n"/>
      <c r="U904" s="30" t="n"/>
      <c r="V904" s="31" t="n"/>
      <c r="W904" s="31" t="n"/>
      <c r="X904" s="31" t="n"/>
      <c r="Y904" s="31" t="n"/>
      <c r="Z904" s="31" t="n"/>
      <c r="AA904" s="31" t="n"/>
      <c r="AB904" s="31" t="n"/>
      <c r="AC904" s="31" t="n"/>
      <c r="AD904" s="31" t="n"/>
      <c r="AE904" s="31" t="n"/>
      <c r="AF904" s="27">
        <f>IF(NOT(COUNTA(A904:AE904)&gt;0),"",IF(A904="","New client","Update"))</f>
        <v/>
      </c>
      <c r="AG904" s="27">
        <f>IF(AO904&lt;&gt;"",AO904,IF(LEN(AN904)=15,MID(AN904,3,10),""))</f>
        <v/>
      </c>
      <c r="AH904" s="27">
        <f>IF(AP904="","",AP904&amp;IF(D904="","  (guessed from PAN)",""))</f>
        <v/>
      </c>
      <c r="AI904" s="27">
        <f>IF(AN904="","",IFERROR(INDEX(Lists!$L$2:$L$38,MATCH(LEFT(AN904,2),Lists!$K$2:$K$38,0)),"Unknown code"))</f>
        <v/>
      </c>
      <c r="AJ904" s="27">
        <f>IF(AN904="","",IFERROR(IF(NOT(AND(LEN(AN904)=15,ISNUMBER(MATCH(LEFT(AN904,2),Lists!$K$2:$K$38,0)),SUMPRODUCT(--ISERROR(FIND(MID(MID(AN904,3,10),{1,2,3,4,5,10},1),"ABCDEFGHIJKLMNOPQRSTUVWXYZ")))=0,SUMPRODUCT(--ISERROR(FIND(MID(MID(AN904,3,10),{6,7,8,9},1),"0123456789")))=0,ISNUMBER(FIND(MID(AN904,13,1),"123456789ABCDEFGHIJKLMNOPQRSTUVWXYZ")),MID(AN904,14,1)="Z")),"Wrong format",IF(MID("0123456789ABCDEFGHIJKLMNOPQRSTUVWXYZ",MOD(36-MOD(SUMPRODUCT(INT((FIND(MID(AN904,{1,2,3,4,5,6,7,8,9,10,11,12,13,14},1),"0123456789ABCDEFGHIJKLMNOPQRSTUVWXYZ")-1)*{1,2,1,2,1,2,1,2,1,2,1,2,1,2}/36)+MOD((FIND(MID(AN904,{1,2,3,4,5,6,7,8,9,10,11,12,13,14},1),"0123456789ABCDEFGHIJKLMNOPQRSTUVWXYZ")-1)*{1,2,1,2,1,2,1,2,1,2,1,2,1,2},36)),36),36)+1,1)=MID(AN904,15,1),"OK","Typo? check digit wrong")),"Wrong format"))</f>
        <v/>
      </c>
      <c r="AK904" s="27">
        <f>IF(AO904="","",IF(AND(LEN(AO904)=10,SUMPRODUCT(--ISERROR(FIND(MID(AO904,{1,2,3,4,5,10},1),"ABCDEFGHIJKLMNOPQRSTUVWXYZ")))=0,SUMPRODUCT(--ISERROR(FIND(MID(AO904,{6,7,8,9},1),"0123456789")))=0),"OK","Wrong format"))</f>
        <v/>
      </c>
      <c r="AL904" s="27">
        <f>IF(TRIM(H904)="","",IF(AND(LEN(UPPER(TRIM(H904)))=10,SUMPRODUCT(--ISERROR(FIND(MID(UPPER(TRIM(H904)),{1,2,3,4,10},1),"ABCDEFGHIJKLMNOPQRSTUVWXYZ")))=0,SUMPRODUCT(--ISERROR(FIND(MID(UPPER(TRIM(H904)),{5,6,7,8,9},1),"0123456789")))=0),"OK","Wrong format"))</f>
        <v/>
      </c>
      <c r="AM904" s="28">
        <f>IF(NOT(COUNTA(A904:AE904)&gt;0),"",IF(AS904&lt;&gt;"","✖ "&amp;LEFT(AS904,LEN(AS904)-2),IF(AR904&gt;0,"✔ Ready — client + "&amp;AR904&amp;" service(s)","✔ Ready — client only")))</f>
        <v/>
      </c>
      <c r="AN904" s="29">
        <f>UPPER(SUBSTITUTE(TRIM(F904)," ",""))</f>
        <v/>
      </c>
      <c r="AO904" s="29">
        <f>UPPER(SUBSTITUTE(TRIM(E904)," ",""))</f>
        <v/>
      </c>
      <c r="AP904" s="29">
        <f>IF(D904&lt;&gt;"",D904,IFERROR(VLOOKUP(MID(AG904,4,1),Lists!$E$2:$F$8,2,FALSE),""))</f>
        <v/>
      </c>
      <c r="AQ904" s="29">
        <f>IFERROR(VLOOKUP(AP904,Lists!$A$2:$C$12,3,FALSE),"")</f>
        <v/>
      </c>
      <c r="AR904" s="29">
        <f>COUNTIF(W904:AC904,"Yes")</f>
        <v/>
      </c>
      <c r="AS904" s="29">
        <f>IF(TRIM(B904)="","Legal name missing; ","")&amp;IF(AND(AJ904&lt;&gt;"",AJ904&lt;&gt;"OK"),"GSTIN: "&amp;AJ904&amp;"; ","")&amp;IF(AND(AK904&lt;&gt;"",AK904&lt;&gt;"OK"),"PAN wrong format; ","")&amp;IF(AND(AO904&lt;&gt;"",LEN(AN904)=15,MID(AN904,3,10)&lt;&gt;AO904),"PAN does not match GSTIN; ","")&amp;IF(AND(AL904&lt;&gt;"",AL904&lt;&gt;"OK"),"TAN wrong format; ","")&amp;IF(AG904="","PAN missing; ","")&amp;IF(AP904="","Entity type missing; ","")&amp;IF(AND(AN904&lt;&gt;"",COUNTIF($AN$6:$AN$1005,AN904)&gt;1),"GSTIN repeated in this sheet; ","")&amp;IF(AND(AG904&lt;&gt;"",COUNTIF($AG$6:$AG$1005,AG904)&gt;1),"PAN repeated in this sheet (same client? put extra GSTINs in Other GSTINs); ","")&amp;IF(AND(AR904&gt;0,V904=""),"Financial year missing; ","")&amp;IF(AND(AR904=0,V904&lt;&gt;""),"Financial year given but no service is Yes; ","")&amp;IF(AND(W904="Yes",AN904=""),"GST needs a GSTIN; ","")&amp;IF(AND(W904="Yes",X904=""),"GST return frequency missing; ","")&amp;IF(AND(Y904="Yes",TRIM(H904)=""),"TDS needs a TAN; ","")&amp;IF(AND(AA904="Yes",AQ904&lt;&gt;"",AQ904&lt;&gt;"company",AQ904&lt;&gt;"llp"),"ROC is only for a company / LLP; ","")&amp;IF(AND(AA904="Yes",OR(AQ904="company",AQ904="llp"),TRIM(I904)=""),"ROC needs the CIN / LLPIN; ","")</f>
        <v/>
      </c>
    </row>
    <row r="905">
      <c r="A905" s="30" t="n"/>
      <c r="B905" s="31" t="n"/>
      <c r="C905" s="31" t="n"/>
      <c r="D905" s="31" t="n"/>
      <c r="E905" s="30" t="n"/>
      <c r="F905" s="30" t="n"/>
      <c r="G905" s="30" t="n"/>
      <c r="H905" s="30" t="n"/>
      <c r="I905" s="30" t="n"/>
      <c r="J905" s="32" t="n"/>
      <c r="K905" s="31" t="n"/>
      <c r="L905" s="30" t="n"/>
      <c r="M905" s="31" t="n"/>
      <c r="N905" s="31" t="n"/>
      <c r="O905" s="31" t="n"/>
      <c r="P905" s="30" t="n"/>
      <c r="Q905" s="31" t="n"/>
      <c r="R905" s="31" t="n"/>
      <c r="S905" s="31" t="n"/>
      <c r="T905" s="31" t="n"/>
      <c r="U905" s="30" t="n"/>
      <c r="V905" s="31" t="n"/>
      <c r="W905" s="31" t="n"/>
      <c r="X905" s="31" t="n"/>
      <c r="Y905" s="31" t="n"/>
      <c r="Z905" s="31" t="n"/>
      <c r="AA905" s="31" t="n"/>
      <c r="AB905" s="31" t="n"/>
      <c r="AC905" s="31" t="n"/>
      <c r="AD905" s="31" t="n"/>
      <c r="AE905" s="31" t="n"/>
      <c r="AF905" s="27">
        <f>IF(NOT(COUNTA(A905:AE905)&gt;0),"",IF(A905="","New client","Update"))</f>
        <v/>
      </c>
      <c r="AG905" s="27">
        <f>IF(AO905&lt;&gt;"",AO905,IF(LEN(AN905)=15,MID(AN905,3,10),""))</f>
        <v/>
      </c>
      <c r="AH905" s="27">
        <f>IF(AP905="","",AP905&amp;IF(D905="","  (guessed from PAN)",""))</f>
        <v/>
      </c>
      <c r="AI905" s="27">
        <f>IF(AN905="","",IFERROR(INDEX(Lists!$L$2:$L$38,MATCH(LEFT(AN905,2),Lists!$K$2:$K$38,0)),"Unknown code"))</f>
        <v/>
      </c>
      <c r="AJ905" s="27">
        <f>IF(AN905="","",IFERROR(IF(NOT(AND(LEN(AN905)=15,ISNUMBER(MATCH(LEFT(AN905,2),Lists!$K$2:$K$38,0)),SUMPRODUCT(--ISERROR(FIND(MID(MID(AN905,3,10),{1,2,3,4,5,10},1),"ABCDEFGHIJKLMNOPQRSTUVWXYZ")))=0,SUMPRODUCT(--ISERROR(FIND(MID(MID(AN905,3,10),{6,7,8,9},1),"0123456789")))=0,ISNUMBER(FIND(MID(AN905,13,1),"123456789ABCDEFGHIJKLMNOPQRSTUVWXYZ")),MID(AN905,14,1)="Z")),"Wrong format",IF(MID("0123456789ABCDEFGHIJKLMNOPQRSTUVWXYZ",MOD(36-MOD(SUMPRODUCT(INT((FIND(MID(AN905,{1,2,3,4,5,6,7,8,9,10,11,12,13,14},1),"0123456789ABCDEFGHIJKLMNOPQRSTUVWXYZ")-1)*{1,2,1,2,1,2,1,2,1,2,1,2,1,2}/36)+MOD((FIND(MID(AN905,{1,2,3,4,5,6,7,8,9,10,11,12,13,14},1),"0123456789ABCDEFGHIJKLMNOPQRSTUVWXYZ")-1)*{1,2,1,2,1,2,1,2,1,2,1,2,1,2},36)),36),36)+1,1)=MID(AN905,15,1),"OK","Typo? check digit wrong")),"Wrong format"))</f>
        <v/>
      </c>
      <c r="AK905" s="27">
        <f>IF(AO905="","",IF(AND(LEN(AO905)=10,SUMPRODUCT(--ISERROR(FIND(MID(AO905,{1,2,3,4,5,10},1),"ABCDEFGHIJKLMNOPQRSTUVWXYZ")))=0,SUMPRODUCT(--ISERROR(FIND(MID(AO905,{6,7,8,9},1),"0123456789")))=0),"OK","Wrong format"))</f>
        <v/>
      </c>
      <c r="AL905" s="27">
        <f>IF(TRIM(H905)="","",IF(AND(LEN(UPPER(TRIM(H905)))=10,SUMPRODUCT(--ISERROR(FIND(MID(UPPER(TRIM(H905)),{1,2,3,4,10},1),"ABCDEFGHIJKLMNOPQRSTUVWXYZ")))=0,SUMPRODUCT(--ISERROR(FIND(MID(UPPER(TRIM(H905)),{5,6,7,8,9},1),"0123456789")))=0),"OK","Wrong format"))</f>
        <v/>
      </c>
      <c r="AM905" s="28">
        <f>IF(NOT(COUNTA(A905:AE905)&gt;0),"",IF(AS905&lt;&gt;"","✖ "&amp;LEFT(AS905,LEN(AS905)-2),IF(AR905&gt;0,"✔ Ready — client + "&amp;AR905&amp;" service(s)","✔ Ready — client only")))</f>
        <v/>
      </c>
      <c r="AN905" s="29">
        <f>UPPER(SUBSTITUTE(TRIM(F905)," ",""))</f>
        <v/>
      </c>
      <c r="AO905" s="29">
        <f>UPPER(SUBSTITUTE(TRIM(E905)," ",""))</f>
        <v/>
      </c>
      <c r="AP905" s="29">
        <f>IF(D905&lt;&gt;"",D905,IFERROR(VLOOKUP(MID(AG905,4,1),Lists!$E$2:$F$8,2,FALSE),""))</f>
        <v/>
      </c>
      <c r="AQ905" s="29">
        <f>IFERROR(VLOOKUP(AP905,Lists!$A$2:$C$12,3,FALSE),"")</f>
        <v/>
      </c>
      <c r="AR905" s="29">
        <f>COUNTIF(W905:AC905,"Yes")</f>
        <v/>
      </c>
      <c r="AS905" s="29">
        <f>IF(TRIM(B905)="","Legal name missing; ","")&amp;IF(AND(AJ905&lt;&gt;"",AJ905&lt;&gt;"OK"),"GSTIN: "&amp;AJ905&amp;"; ","")&amp;IF(AND(AK905&lt;&gt;"",AK905&lt;&gt;"OK"),"PAN wrong format; ","")&amp;IF(AND(AO905&lt;&gt;"",LEN(AN905)=15,MID(AN905,3,10)&lt;&gt;AO905),"PAN does not match GSTIN; ","")&amp;IF(AND(AL905&lt;&gt;"",AL905&lt;&gt;"OK"),"TAN wrong format; ","")&amp;IF(AG905="","PAN missing; ","")&amp;IF(AP905="","Entity type missing; ","")&amp;IF(AND(AN905&lt;&gt;"",COUNTIF($AN$6:$AN$1005,AN905)&gt;1),"GSTIN repeated in this sheet; ","")&amp;IF(AND(AG905&lt;&gt;"",COUNTIF($AG$6:$AG$1005,AG905)&gt;1),"PAN repeated in this sheet (same client? put extra GSTINs in Other GSTINs); ","")&amp;IF(AND(AR905&gt;0,V905=""),"Financial year missing; ","")&amp;IF(AND(AR905=0,V905&lt;&gt;""),"Financial year given but no service is Yes; ","")&amp;IF(AND(W905="Yes",AN905=""),"GST needs a GSTIN; ","")&amp;IF(AND(W905="Yes",X905=""),"GST return frequency missing; ","")&amp;IF(AND(Y905="Yes",TRIM(H905)=""),"TDS needs a TAN; ","")&amp;IF(AND(AA905="Yes",AQ905&lt;&gt;"",AQ905&lt;&gt;"company",AQ905&lt;&gt;"llp"),"ROC is only for a company / LLP; ","")&amp;IF(AND(AA905="Yes",OR(AQ905="company",AQ905="llp"),TRIM(I905)=""),"ROC needs the CIN / LLPIN; ","")</f>
        <v/>
      </c>
    </row>
    <row r="906">
      <c r="A906" s="30" t="n"/>
      <c r="B906" s="31" t="n"/>
      <c r="C906" s="31" t="n"/>
      <c r="D906" s="31" t="n"/>
      <c r="E906" s="30" t="n"/>
      <c r="F906" s="30" t="n"/>
      <c r="G906" s="30" t="n"/>
      <c r="H906" s="30" t="n"/>
      <c r="I906" s="30" t="n"/>
      <c r="J906" s="32" t="n"/>
      <c r="K906" s="31" t="n"/>
      <c r="L906" s="30" t="n"/>
      <c r="M906" s="31" t="n"/>
      <c r="N906" s="31" t="n"/>
      <c r="O906" s="31" t="n"/>
      <c r="P906" s="30" t="n"/>
      <c r="Q906" s="31" t="n"/>
      <c r="R906" s="31" t="n"/>
      <c r="S906" s="31" t="n"/>
      <c r="T906" s="31" t="n"/>
      <c r="U906" s="30" t="n"/>
      <c r="V906" s="31" t="n"/>
      <c r="W906" s="31" t="n"/>
      <c r="X906" s="31" t="n"/>
      <c r="Y906" s="31" t="n"/>
      <c r="Z906" s="31" t="n"/>
      <c r="AA906" s="31" t="n"/>
      <c r="AB906" s="31" t="n"/>
      <c r="AC906" s="31" t="n"/>
      <c r="AD906" s="31" t="n"/>
      <c r="AE906" s="31" t="n"/>
      <c r="AF906" s="27">
        <f>IF(NOT(COUNTA(A906:AE906)&gt;0),"",IF(A906="","New client","Update"))</f>
        <v/>
      </c>
      <c r="AG906" s="27">
        <f>IF(AO906&lt;&gt;"",AO906,IF(LEN(AN906)=15,MID(AN906,3,10),""))</f>
        <v/>
      </c>
      <c r="AH906" s="27">
        <f>IF(AP906="","",AP906&amp;IF(D906="","  (guessed from PAN)",""))</f>
        <v/>
      </c>
      <c r="AI906" s="27">
        <f>IF(AN906="","",IFERROR(INDEX(Lists!$L$2:$L$38,MATCH(LEFT(AN906,2),Lists!$K$2:$K$38,0)),"Unknown code"))</f>
        <v/>
      </c>
      <c r="AJ906" s="27">
        <f>IF(AN906="","",IFERROR(IF(NOT(AND(LEN(AN906)=15,ISNUMBER(MATCH(LEFT(AN906,2),Lists!$K$2:$K$38,0)),SUMPRODUCT(--ISERROR(FIND(MID(MID(AN906,3,10),{1,2,3,4,5,10},1),"ABCDEFGHIJKLMNOPQRSTUVWXYZ")))=0,SUMPRODUCT(--ISERROR(FIND(MID(MID(AN906,3,10),{6,7,8,9},1),"0123456789")))=0,ISNUMBER(FIND(MID(AN906,13,1),"123456789ABCDEFGHIJKLMNOPQRSTUVWXYZ")),MID(AN906,14,1)="Z")),"Wrong format",IF(MID("0123456789ABCDEFGHIJKLMNOPQRSTUVWXYZ",MOD(36-MOD(SUMPRODUCT(INT((FIND(MID(AN906,{1,2,3,4,5,6,7,8,9,10,11,12,13,14},1),"0123456789ABCDEFGHIJKLMNOPQRSTUVWXYZ")-1)*{1,2,1,2,1,2,1,2,1,2,1,2,1,2}/36)+MOD((FIND(MID(AN906,{1,2,3,4,5,6,7,8,9,10,11,12,13,14},1),"0123456789ABCDEFGHIJKLMNOPQRSTUVWXYZ")-1)*{1,2,1,2,1,2,1,2,1,2,1,2,1,2},36)),36),36)+1,1)=MID(AN906,15,1),"OK","Typo? check digit wrong")),"Wrong format"))</f>
        <v/>
      </c>
      <c r="AK906" s="27">
        <f>IF(AO906="","",IF(AND(LEN(AO906)=10,SUMPRODUCT(--ISERROR(FIND(MID(AO906,{1,2,3,4,5,10},1),"ABCDEFGHIJKLMNOPQRSTUVWXYZ")))=0,SUMPRODUCT(--ISERROR(FIND(MID(AO906,{6,7,8,9},1),"0123456789")))=0),"OK","Wrong format"))</f>
        <v/>
      </c>
      <c r="AL906" s="27">
        <f>IF(TRIM(H906)="","",IF(AND(LEN(UPPER(TRIM(H906)))=10,SUMPRODUCT(--ISERROR(FIND(MID(UPPER(TRIM(H906)),{1,2,3,4,10},1),"ABCDEFGHIJKLMNOPQRSTUVWXYZ")))=0,SUMPRODUCT(--ISERROR(FIND(MID(UPPER(TRIM(H906)),{5,6,7,8,9},1),"0123456789")))=0),"OK","Wrong format"))</f>
        <v/>
      </c>
      <c r="AM906" s="28">
        <f>IF(NOT(COUNTA(A906:AE906)&gt;0),"",IF(AS906&lt;&gt;"","✖ "&amp;LEFT(AS906,LEN(AS906)-2),IF(AR906&gt;0,"✔ Ready — client + "&amp;AR906&amp;" service(s)","✔ Ready — client only")))</f>
        <v/>
      </c>
      <c r="AN906" s="29">
        <f>UPPER(SUBSTITUTE(TRIM(F906)," ",""))</f>
        <v/>
      </c>
      <c r="AO906" s="29">
        <f>UPPER(SUBSTITUTE(TRIM(E906)," ",""))</f>
        <v/>
      </c>
      <c r="AP906" s="29">
        <f>IF(D906&lt;&gt;"",D906,IFERROR(VLOOKUP(MID(AG906,4,1),Lists!$E$2:$F$8,2,FALSE),""))</f>
        <v/>
      </c>
      <c r="AQ906" s="29">
        <f>IFERROR(VLOOKUP(AP906,Lists!$A$2:$C$12,3,FALSE),"")</f>
        <v/>
      </c>
      <c r="AR906" s="29">
        <f>COUNTIF(W906:AC906,"Yes")</f>
        <v/>
      </c>
      <c r="AS906" s="29">
        <f>IF(TRIM(B906)="","Legal name missing; ","")&amp;IF(AND(AJ906&lt;&gt;"",AJ906&lt;&gt;"OK"),"GSTIN: "&amp;AJ906&amp;"; ","")&amp;IF(AND(AK906&lt;&gt;"",AK906&lt;&gt;"OK"),"PAN wrong format; ","")&amp;IF(AND(AO906&lt;&gt;"",LEN(AN906)=15,MID(AN906,3,10)&lt;&gt;AO906),"PAN does not match GSTIN; ","")&amp;IF(AND(AL906&lt;&gt;"",AL906&lt;&gt;"OK"),"TAN wrong format; ","")&amp;IF(AG906="","PAN missing; ","")&amp;IF(AP906="","Entity type missing; ","")&amp;IF(AND(AN906&lt;&gt;"",COUNTIF($AN$6:$AN$1005,AN906)&gt;1),"GSTIN repeated in this sheet; ","")&amp;IF(AND(AG906&lt;&gt;"",COUNTIF($AG$6:$AG$1005,AG906)&gt;1),"PAN repeated in this sheet (same client? put extra GSTINs in Other GSTINs); ","")&amp;IF(AND(AR906&gt;0,V906=""),"Financial year missing; ","")&amp;IF(AND(AR906=0,V906&lt;&gt;""),"Financial year given but no service is Yes; ","")&amp;IF(AND(W906="Yes",AN906=""),"GST needs a GSTIN; ","")&amp;IF(AND(W906="Yes",X906=""),"GST return frequency missing; ","")&amp;IF(AND(Y906="Yes",TRIM(H906)=""),"TDS needs a TAN; ","")&amp;IF(AND(AA906="Yes",AQ906&lt;&gt;"",AQ906&lt;&gt;"company",AQ906&lt;&gt;"llp"),"ROC is only for a company / LLP; ","")&amp;IF(AND(AA906="Yes",OR(AQ906="company",AQ906="llp"),TRIM(I906)=""),"ROC needs the CIN / LLPIN; ","")</f>
        <v/>
      </c>
    </row>
    <row r="907">
      <c r="A907" s="30" t="n"/>
      <c r="B907" s="31" t="n"/>
      <c r="C907" s="31" t="n"/>
      <c r="D907" s="31" t="n"/>
      <c r="E907" s="30" t="n"/>
      <c r="F907" s="30" t="n"/>
      <c r="G907" s="30" t="n"/>
      <c r="H907" s="30" t="n"/>
      <c r="I907" s="30" t="n"/>
      <c r="J907" s="32" t="n"/>
      <c r="K907" s="31" t="n"/>
      <c r="L907" s="30" t="n"/>
      <c r="M907" s="31" t="n"/>
      <c r="N907" s="31" t="n"/>
      <c r="O907" s="31" t="n"/>
      <c r="P907" s="30" t="n"/>
      <c r="Q907" s="31" t="n"/>
      <c r="R907" s="31" t="n"/>
      <c r="S907" s="31" t="n"/>
      <c r="T907" s="31" t="n"/>
      <c r="U907" s="30" t="n"/>
      <c r="V907" s="31" t="n"/>
      <c r="W907" s="31" t="n"/>
      <c r="X907" s="31" t="n"/>
      <c r="Y907" s="31" t="n"/>
      <c r="Z907" s="31" t="n"/>
      <c r="AA907" s="31" t="n"/>
      <c r="AB907" s="31" t="n"/>
      <c r="AC907" s="31" t="n"/>
      <c r="AD907" s="31" t="n"/>
      <c r="AE907" s="31" t="n"/>
      <c r="AF907" s="27">
        <f>IF(NOT(COUNTA(A907:AE907)&gt;0),"",IF(A907="","New client","Update"))</f>
        <v/>
      </c>
      <c r="AG907" s="27">
        <f>IF(AO907&lt;&gt;"",AO907,IF(LEN(AN907)=15,MID(AN907,3,10),""))</f>
        <v/>
      </c>
      <c r="AH907" s="27">
        <f>IF(AP907="","",AP907&amp;IF(D907="","  (guessed from PAN)",""))</f>
        <v/>
      </c>
      <c r="AI907" s="27">
        <f>IF(AN907="","",IFERROR(INDEX(Lists!$L$2:$L$38,MATCH(LEFT(AN907,2),Lists!$K$2:$K$38,0)),"Unknown code"))</f>
        <v/>
      </c>
      <c r="AJ907" s="27">
        <f>IF(AN907="","",IFERROR(IF(NOT(AND(LEN(AN907)=15,ISNUMBER(MATCH(LEFT(AN907,2),Lists!$K$2:$K$38,0)),SUMPRODUCT(--ISERROR(FIND(MID(MID(AN907,3,10),{1,2,3,4,5,10},1),"ABCDEFGHIJKLMNOPQRSTUVWXYZ")))=0,SUMPRODUCT(--ISERROR(FIND(MID(MID(AN907,3,10),{6,7,8,9},1),"0123456789")))=0,ISNUMBER(FIND(MID(AN907,13,1),"123456789ABCDEFGHIJKLMNOPQRSTUVWXYZ")),MID(AN907,14,1)="Z")),"Wrong format",IF(MID("0123456789ABCDEFGHIJKLMNOPQRSTUVWXYZ",MOD(36-MOD(SUMPRODUCT(INT((FIND(MID(AN907,{1,2,3,4,5,6,7,8,9,10,11,12,13,14},1),"0123456789ABCDEFGHIJKLMNOPQRSTUVWXYZ")-1)*{1,2,1,2,1,2,1,2,1,2,1,2,1,2}/36)+MOD((FIND(MID(AN907,{1,2,3,4,5,6,7,8,9,10,11,12,13,14},1),"0123456789ABCDEFGHIJKLMNOPQRSTUVWXYZ")-1)*{1,2,1,2,1,2,1,2,1,2,1,2,1,2},36)),36),36)+1,1)=MID(AN907,15,1),"OK","Typo? check digit wrong")),"Wrong format"))</f>
        <v/>
      </c>
      <c r="AK907" s="27">
        <f>IF(AO907="","",IF(AND(LEN(AO907)=10,SUMPRODUCT(--ISERROR(FIND(MID(AO907,{1,2,3,4,5,10},1),"ABCDEFGHIJKLMNOPQRSTUVWXYZ")))=0,SUMPRODUCT(--ISERROR(FIND(MID(AO907,{6,7,8,9},1),"0123456789")))=0),"OK","Wrong format"))</f>
        <v/>
      </c>
      <c r="AL907" s="27">
        <f>IF(TRIM(H907)="","",IF(AND(LEN(UPPER(TRIM(H907)))=10,SUMPRODUCT(--ISERROR(FIND(MID(UPPER(TRIM(H907)),{1,2,3,4,10},1),"ABCDEFGHIJKLMNOPQRSTUVWXYZ")))=0,SUMPRODUCT(--ISERROR(FIND(MID(UPPER(TRIM(H907)),{5,6,7,8,9},1),"0123456789")))=0),"OK","Wrong format"))</f>
        <v/>
      </c>
      <c r="AM907" s="28">
        <f>IF(NOT(COUNTA(A907:AE907)&gt;0),"",IF(AS907&lt;&gt;"","✖ "&amp;LEFT(AS907,LEN(AS907)-2),IF(AR907&gt;0,"✔ Ready — client + "&amp;AR907&amp;" service(s)","✔ Ready — client only")))</f>
        <v/>
      </c>
      <c r="AN907" s="29">
        <f>UPPER(SUBSTITUTE(TRIM(F907)," ",""))</f>
        <v/>
      </c>
      <c r="AO907" s="29">
        <f>UPPER(SUBSTITUTE(TRIM(E907)," ",""))</f>
        <v/>
      </c>
      <c r="AP907" s="29">
        <f>IF(D907&lt;&gt;"",D907,IFERROR(VLOOKUP(MID(AG907,4,1),Lists!$E$2:$F$8,2,FALSE),""))</f>
        <v/>
      </c>
      <c r="AQ907" s="29">
        <f>IFERROR(VLOOKUP(AP907,Lists!$A$2:$C$12,3,FALSE),"")</f>
        <v/>
      </c>
      <c r="AR907" s="29">
        <f>COUNTIF(W907:AC907,"Yes")</f>
        <v/>
      </c>
      <c r="AS907" s="29">
        <f>IF(TRIM(B907)="","Legal name missing; ","")&amp;IF(AND(AJ907&lt;&gt;"",AJ907&lt;&gt;"OK"),"GSTIN: "&amp;AJ907&amp;"; ","")&amp;IF(AND(AK907&lt;&gt;"",AK907&lt;&gt;"OK"),"PAN wrong format; ","")&amp;IF(AND(AO907&lt;&gt;"",LEN(AN907)=15,MID(AN907,3,10)&lt;&gt;AO907),"PAN does not match GSTIN; ","")&amp;IF(AND(AL907&lt;&gt;"",AL907&lt;&gt;"OK"),"TAN wrong format; ","")&amp;IF(AG907="","PAN missing; ","")&amp;IF(AP907="","Entity type missing; ","")&amp;IF(AND(AN907&lt;&gt;"",COUNTIF($AN$6:$AN$1005,AN907)&gt;1),"GSTIN repeated in this sheet; ","")&amp;IF(AND(AG907&lt;&gt;"",COUNTIF($AG$6:$AG$1005,AG907)&gt;1),"PAN repeated in this sheet (same client? put extra GSTINs in Other GSTINs); ","")&amp;IF(AND(AR907&gt;0,V907=""),"Financial year missing; ","")&amp;IF(AND(AR907=0,V907&lt;&gt;""),"Financial year given but no service is Yes; ","")&amp;IF(AND(W907="Yes",AN907=""),"GST needs a GSTIN; ","")&amp;IF(AND(W907="Yes",X907=""),"GST return frequency missing; ","")&amp;IF(AND(Y907="Yes",TRIM(H907)=""),"TDS needs a TAN; ","")&amp;IF(AND(AA907="Yes",AQ907&lt;&gt;"",AQ907&lt;&gt;"company",AQ907&lt;&gt;"llp"),"ROC is only for a company / LLP; ","")&amp;IF(AND(AA907="Yes",OR(AQ907="company",AQ907="llp"),TRIM(I907)=""),"ROC needs the CIN / LLPIN; ","")</f>
        <v/>
      </c>
    </row>
    <row r="908">
      <c r="A908" s="30" t="n"/>
      <c r="B908" s="31" t="n"/>
      <c r="C908" s="31" t="n"/>
      <c r="D908" s="31" t="n"/>
      <c r="E908" s="30" t="n"/>
      <c r="F908" s="30" t="n"/>
      <c r="G908" s="30" t="n"/>
      <c r="H908" s="30" t="n"/>
      <c r="I908" s="30" t="n"/>
      <c r="J908" s="32" t="n"/>
      <c r="K908" s="31" t="n"/>
      <c r="L908" s="30" t="n"/>
      <c r="M908" s="31" t="n"/>
      <c r="N908" s="31" t="n"/>
      <c r="O908" s="31" t="n"/>
      <c r="P908" s="30" t="n"/>
      <c r="Q908" s="31" t="n"/>
      <c r="R908" s="31" t="n"/>
      <c r="S908" s="31" t="n"/>
      <c r="T908" s="31" t="n"/>
      <c r="U908" s="30" t="n"/>
      <c r="V908" s="31" t="n"/>
      <c r="W908" s="31" t="n"/>
      <c r="X908" s="31" t="n"/>
      <c r="Y908" s="31" t="n"/>
      <c r="Z908" s="31" t="n"/>
      <c r="AA908" s="31" t="n"/>
      <c r="AB908" s="31" t="n"/>
      <c r="AC908" s="31" t="n"/>
      <c r="AD908" s="31" t="n"/>
      <c r="AE908" s="31" t="n"/>
      <c r="AF908" s="27">
        <f>IF(NOT(COUNTA(A908:AE908)&gt;0),"",IF(A908="","New client","Update"))</f>
        <v/>
      </c>
      <c r="AG908" s="27">
        <f>IF(AO908&lt;&gt;"",AO908,IF(LEN(AN908)=15,MID(AN908,3,10),""))</f>
        <v/>
      </c>
      <c r="AH908" s="27">
        <f>IF(AP908="","",AP908&amp;IF(D908="","  (guessed from PAN)",""))</f>
        <v/>
      </c>
      <c r="AI908" s="27">
        <f>IF(AN908="","",IFERROR(INDEX(Lists!$L$2:$L$38,MATCH(LEFT(AN908,2),Lists!$K$2:$K$38,0)),"Unknown code"))</f>
        <v/>
      </c>
      <c r="AJ908" s="27">
        <f>IF(AN908="","",IFERROR(IF(NOT(AND(LEN(AN908)=15,ISNUMBER(MATCH(LEFT(AN908,2),Lists!$K$2:$K$38,0)),SUMPRODUCT(--ISERROR(FIND(MID(MID(AN908,3,10),{1,2,3,4,5,10},1),"ABCDEFGHIJKLMNOPQRSTUVWXYZ")))=0,SUMPRODUCT(--ISERROR(FIND(MID(MID(AN908,3,10),{6,7,8,9},1),"0123456789")))=0,ISNUMBER(FIND(MID(AN908,13,1),"123456789ABCDEFGHIJKLMNOPQRSTUVWXYZ")),MID(AN908,14,1)="Z")),"Wrong format",IF(MID("0123456789ABCDEFGHIJKLMNOPQRSTUVWXYZ",MOD(36-MOD(SUMPRODUCT(INT((FIND(MID(AN908,{1,2,3,4,5,6,7,8,9,10,11,12,13,14},1),"0123456789ABCDEFGHIJKLMNOPQRSTUVWXYZ")-1)*{1,2,1,2,1,2,1,2,1,2,1,2,1,2}/36)+MOD((FIND(MID(AN908,{1,2,3,4,5,6,7,8,9,10,11,12,13,14},1),"0123456789ABCDEFGHIJKLMNOPQRSTUVWXYZ")-1)*{1,2,1,2,1,2,1,2,1,2,1,2,1,2},36)),36),36)+1,1)=MID(AN908,15,1),"OK","Typo? check digit wrong")),"Wrong format"))</f>
        <v/>
      </c>
      <c r="AK908" s="27">
        <f>IF(AO908="","",IF(AND(LEN(AO908)=10,SUMPRODUCT(--ISERROR(FIND(MID(AO908,{1,2,3,4,5,10},1),"ABCDEFGHIJKLMNOPQRSTUVWXYZ")))=0,SUMPRODUCT(--ISERROR(FIND(MID(AO908,{6,7,8,9},1),"0123456789")))=0),"OK","Wrong format"))</f>
        <v/>
      </c>
      <c r="AL908" s="27">
        <f>IF(TRIM(H908)="","",IF(AND(LEN(UPPER(TRIM(H908)))=10,SUMPRODUCT(--ISERROR(FIND(MID(UPPER(TRIM(H908)),{1,2,3,4,10},1),"ABCDEFGHIJKLMNOPQRSTUVWXYZ")))=0,SUMPRODUCT(--ISERROR(FIND(MID(UPPER(TRIM(H908)),{5,6,7,8,9},1),"0123456789")))=0),"OK","Wrong format"))</f>
        <v/>
      </c>
      <c r="AM908" s="28">
        <f>IF(NOT(COUNTA(A908:AE908)&gt;0),"",IF(AS908&lt;&gt;"","✖ "&amp;LEFT(AS908,LEN(AS908)-2),IF(AR908&gt;0,"✔ Ready — client + "&amp;AR908&amp;" service(s)","✔ Ready — client only")))</f>
        <v/>
      </c>
      <c r="AN908" s="29">
        <f>UPPER(SUBSTITUTE(TRIM(F908)," ",""))</f>
        <v/>
      </c>
      <c r="AO908" s="29">
        <f>UPPER(SUBSTITUTE(TRIM(E908)," ",""))</f>
        <v/>
      </c>
      <c r="AP908" s="29">
        <f>IF(D908&lt;&gt;"",D908,IFERROR(VLOOKUP(MID(AG908,4,1),Lists!$E$2:$F$8,2,FALSE),""))</f>
        <v/>
      </c>
      <c r="AQ908" s="29">
        <f>IFERROR(VLOOKUP(AP908,Lists!$A$2:$C$12,3,FALSE),"")</f>
        <v/>
      </c>
      <c r="AR908" s="29">
        <f>COUNTIF(W908:AC908,"Yes")</f>
        <v/>
      </c>
      <c r="AS908" s="29">
        <f>IF(TRIM(B908)="","Legal name missing; ","")&amp;IF(AND(AJ908&lt;&gt;"",AJ908&lt;&gt;"OK"),"GSTIN: "&amp;AJ908&amp;"; ","")&amp;IF(AND(AK908&lt;&gt;"",AK908&lt;&gt;"OK"),"PAN wrong format; ","")&amp;IF(AND(AO908&lt;&gt;"",LEN(AN908)=15,MID(AN908,3,10)&lt;&gt;AO908),"PAN does not match GSTIN; ","")&amp;IF(AND(AL908&lt;&gt;"",AL908&lt;&gt;"OK"),"TAN wrong format; ","")&amp;IF(AG908="","PAN missing; ","")&amp;IF(AP908="","Entity type missing; ","")&amp;IF(AND(AN908&lt;&gt;"",COUNTIF($AN$6:$AN$1005,AN908)&gt;1),"GSTIN repeated in this sheet; ","")&amp;IF(AND(AG908&lt;&gt;"",COUNTIF($AG$6:$AG$1005,AG908)&gt;1),"PAN repeated in this sheet (same client? put extra GSTINs in Other GSTINs); ","")&amp;IF(AND(AR908&gt;0,V908=""),"Financial year missing; ","")&amp;IF(AND(AR908=0,V908&lt;&gt;""),"Financial year given but no service is Yes; ","")&amp;IF(AND(W908="Yes",AN908=""),"GST needs a GSTIN; ","")&amp;IF(AND(W908="Yes",X908=""),"GST return frequency missing; ","")&amp;IF(AND(Y908="Yes",TRIM(H908)=""),"TDS needs a TAN; ","")&amp;IF(AND(AA908="Yes",AQ908&lt;&gt;"",AQ908&lt;&gt;"company",AQ908&lt;&gt;"llp"),"ROC is only for a company / LLP; ","")&amp;IF(AND(AA908="Yes",OR(AQ908="company",AQ908="llp"),TRIM(I908)=""),"ROC needs the CIN / LLPIN; ","")</f>
        <v/>
      </c>
    </row>
    <row r="909">
      <c r="A909" s="30" t="n"/>
      <c r="B909" s="31" t="n"/>
      <c r="C909" s="31" t="n"/>
      <c r="D909" s="31" t="n"/>
      <c r="E909" s="30" t="n"/>
      <c r="F909" s="30" t="n"/>
      <c r="G909" s="30" t="n"/>
      <c r="H909" s="30" t="n"/>
      <c r="I909" s="30" t="n"/>
      <c r="J909" s="32" t="n"/>
      <c r="K909" s="31" t="n"/>
      <c r="L909" s="30" t="n"/>
      <c r="M909" s="31" t="n"/>
      <c r="N909" s="31" t="n"/>
      <c r="O909" s="31" t="n"/>
      <c r="P909" s="30" t="n"/>
      <c r="Q909" s="31" t="n"/>
      <c r="R909" s="31" t="n"/>
      <c r="S909" s="31" t="n"/>
      <c r="T909" s="31" t="n"/>
      <c r="U909" s="30" t="n"/>
      <c r="V909" s="31" t="n"/>
      <c r="W909" s="31" t="n"/>
      <c r="X909" s="31" t="n"/>
      <c r="Y909" s="31" t="n"/>
      <c r="Z909" s="31" t="n"/>
      <c r="AA909" s="31" t="n"/>
      <c r="AB909" s="31" t="n"/>
      <c r="AC909" s="31" t="n"/>
      <c r="AD909" s="31" t="n"/>
      <c r="AE909" s="31" t="n"/>
      <c r="AF909" s="27">
        <f>IF(NOT(COUNTA(A909:AE909)&gt;0),"",IF(A909="","New client","Update"))</f>
        <v/>
      </c>
      <c r="AG909" s="27">
        <f>IF(AO909&lt;&gt;"",AO909,IF(LEN(AN909)=15,MID(AN909,3,10),""))</f>
        <v/>
      </c>
      <c r="AH909" s="27">
        <f>IF(AP909="","",AP909&amp;IF(D909="","  (guessed from PAN)",""))</f>
        <v/>
      </c>
      <c r="AI909" s="27">
        <f>IF(AN909="","",IFERROR(INDEX(Lists!$L$2:$L$38,MATCH(LEFT(AN909,2),Lists!$K$2:$K$38,0)),"Unknown code"))</f>
        <v/>
      </c>
      <c r="AJ909" s="27">
        <f>IF(AN909="","",IFERROR(IF(NOT(AND(LEN(AN909)=15,ISNUMBER(MATCH(LEFT(AN909,2),Lists!$K$2:$K$38,0)),SUMPRODUCT(--ISERROR(FIND(MID(MID(AN909,3,10),{1,2,3,4,5,10},1),"ABCDEFGHIJKLMNOPQRSTUVWXYZ")))=0,SUMPRODUCT(--ISERROR(FIND(MID(MID(AN909,3,10),{6,7,8,9},1),"0123456789")))=0,ISNUMBER(FIND(MID(AN909,13,1),"123456789ABCDEFGHIJKLMNOPQRSTUVWXYZ")),MID(AN909,14,1)="Z")),"Wrong format",IF(MID("0123456789ABCDEFGHIJKLMNOPQRSTUVWXYZ",MOD(36-MOD(SUMPRODUCT(INT((FIND(MID(AN909,{1,2,3,4,5,6,7,8,9,10,11,12,13,14},1),"0123456789ABCDEFGHIJKLMNOPQRSTUVWXYZ")-1)*{1,2,1,2,1,2,1,2,1,2,1,2,1,2}/36)+MOD((FIND(MID(AN909,{1,2,3,4,5,6,7,8,9,10,11,12,13,14},1),"0123456789ABCDEFGHIJKLMNOPQRSTUVWXYZ")-1)*{1,2,1,2,1,2,1,2,1,2,1,2,1,2},36)),36),36)+1,1)=MID(AN909,15,1),"OK","Typo? check digit wrong")),"Wrong format"))</f>
        <v/>
      </c>
      <c r="AK909" s="27">
        <f>IF(AO909="","",IF(AND(LEN(AO909)=10,SUMPRODUCT(--ISERROR(FIND(MID(AO909,{1,2,3,4,5,10},1),"ABCDEFGHIJKLMNOPQRSTUVWXYZ")))=0,SUMPRODUCT(--ISERROR(FIND(MID(AO909,{6,7,8,9},1),"0123456789")))=0),"OK","Wrong format"))</f>
        <v/>
      </c>
      <c r="AL909" s="27">
        <f>IF(TRIM(H909)="","",IF(AND(LEN(UPPER(TRIM(H909)))=10,SUMPRODUCT(--ISERROR(FIND(MID(UPPER(TRIM(H909)),{1,2,3,4,10},1),"ABCDEFGHIJKLMNOPQRSTUVWXYZ")))=0,SUMPRODUCT(--ISERROR(FIND(MID(UPPER(TRIM(H909)),{5,6,7,8,9},1),"0123456789")))=0),"OK","Wrong format"))</f>
        <v/>
      </c>
      <c r="AM909" s="28">
        <f>IF(NOT(COUNTA(A909:AE909)&gt;0),"",IF(AS909&lt;&gt;"","✖ "&amp;LEFT(AS909,LEN(AS909)-2),IF(AR909&gt;0,"✔ Ready — client + "&amp;AR909&amp;" service(s)","✔ Ready — client only")))</f>
        <v/>
      </c>
      <c r="AN909" s="29">
        <f>UPPER(SUBSTITUTE(TRIM(F909)," ",""))</f>
        <v/>
      </c>
      <c r="AO909" s="29">
        <f>UPPER(SUBSTITUTE(TRIM(E909)," ",""))</f>
        <v/>
      </c>
      <c r="AP909" s="29">
        <f>IF(D909&lt;&gt;"",D909,IFERROR(VLOOKUP(MID(AG909,4,1),Lists!$E$2:$F$8,2,FALSE),""))</f>
        <v/>
      </c>
      <c r="AQ909" s="29">
        <f>IFERROR(VLOOKUP(AP909,Lists!$A$2:$C$12,3,FALSE),"")</f>
        <v/>
      </c>
      <c r="AR909" s="29">
        <f>COUNTIF(W909:AC909,"Yes")</f>
        <v/>
      </c>
      <c r="AS909" s="29">
        <f>IF(TRIM(B909)="","Legal name missing; ","")&amp;IF(AND(AJ909&lt;&gt;"",AJ909&lt;&gt;"OK"),"GSTIN: "&amp;AJ909&amp;"; ","")&amp;IF(AND(AK909&lt;&gt;"",AK909&lt;&gt;"OK"),"PAN wrong format; ","")&amp;IF(AND(AO909&lt;&gt;"",LEN(AN909)=15,MID(AN909,3,10)&lt;&gt;AO909),"PAN does not match GSTIN; ","")&amp;IF(AND(AL909&lt;&gt;"",AL909&lt;&gt;"OK"),"TAN wrong format; ","")&amp;IF(AG909="","PAN missing; ","")&amp;IF(AP909="","Entity type missing; ","")&amp;IF(AND(AN909&lt;&gt;"",COUNTIF($AN$6:$AN$1005,AN909)&gt;1),"GSTIN repeated in this sheet; ","")&amp;IF(AND(AG909&lt;&gt;"",COUNTIF($AG$6:$AG$1005,AG909)&gt;1),"PAN repeated in this sheet (same client? put extra GSTINs in Other GSTINs); ","")&amp;IF(AND(AR909&gt;0,V909=""),"Financial year missing; ","")&amp;IF(AND(AR909=0,V909&lt;&gt;""),"Financial year given but no service is Yes; ","")&amp;IF(AND(W909="Yes",AN909=""),"GST needs a GSTIN; ","")&amp;IF(AND(W909="Yes",X909=""),"GST return frequency missing; ","")&amp;IF(AND(Y909="Yes",TRIM(H909)=""),"TDS needs a TAN; ","")&amp;IF(AND(AA909="Yes",AQ909&lt;&gt;"",AQ909&lt;&gt;"company",AQ909&lt;&gt;"llp"),"ROC is only for a company / LLP; ","")&amp;IF(AND(AA909="Yes",OR(AQ909="company",AQ909="llp"),TRIM(I909)=""),"ROC needs the CIN / LLPIN; ","")</f>
        <v/>
      </c>
    </row>
    <row r="910">
      <c r="A910" s="30" t="n"/>
      <c r="B910" s="31" t="n"/>
      <c r="C910" s="31" t="n"/>
      <c r="D910" s="31" t="n"/>
      <c r="E910" s="30" t="n"/>
      <c r="F910" s="30" t="n"/>
      <c r="G910" s="30" t="n"/>
      <c r="H910" s="30" t="n"/>
      <c r="I910" s="30" t="n"/>
      <c r="J910" s="32" t="n"/>
      <c r="K910" s="31" t="n"/>
      <c r="L910" s="30" t="n"/>
      <c r="M910" s="31" t="n"/>
      <c r="N910" s="31" t="n"/>
      <c r="O910" s="31" t="n"/>
      <c r="P910" s="30" t="n"/>
      <c r="Q910" s="31" t="n"/>
      <c r="R910" s="31" t="n"/>
      <c r="S910" s="31" t="n"/>
      <c r="T910" s="31" t="n"/>
      <c r="U910" s="30" t="n"/>
      <c r="V910" s="31" t="n"/>
      <c r="W910" s="31" t="n"/>
      <c r="X910" s="31" t="n"/>
      <c r="Y910" s="31" t="n"/>
      <c r="Z910" s="31" t="n"/>
      <c r="AA910" s="31" t="n"/>
      <c r="AB910" s="31" t="n"/>
      <c r="AC910" s="31" t="n"/>
      <c r="AD910" s="31" t="n"/>
      <c r="AE910" s="31" t="n"/>
      <c r="AF910" s="27">
        <f>IF(NOT(COUNTA(A910:AE910)&gt;0),"",IF(A910="","New client","Update"))</f>
        <v/>
      </c>
      <c r="AG910" s="27">
        <f>IF(AO910&lt;&gt;"",AO910,IF(LEN(AN910)=15,MID(AN910,3,10),""))</f>
        <v/>
      </c>
      <c r="AH910" s="27">
        <f>IF(AP910="","",AP910&amp;IF(D910="","  (guessed from PAN)",""))</f>
        <v/>
      </c>
      <c r="AI910" s="27">
        <f>IF(AN910="","",IFERROR(INDEX(Lists!$L$2:$L$38,MATCH(LEFT(AN910,2),Lists!$K$2:$K$38,0)),"Unknown code"))</f>
        <v/>
      </c>
      <c r="AJ910" s="27">
        <f>IF(AN910="","",IFERROR(IF(NOT(AND(LEN(AN910)=15,ISNUMBER(MATCH(LEFT(AN910,2),Lists!$K$2:$K$38,0)),SUMPRODUCT(--ISERROR(FIND(MID(MID(AN910,3,10),{1,2,3,4,5,10},1),"ABCDEFGHIJKLMNOPQRSTUVWXYZ")))=0,SUMPRODUCT(--ISERROR(FIND(MID(MID(AN910,3,10),{6,7,8,9},1),"0123456789")))=0,ISNUMBER(FIND(MID(AN910,13,1),"123456789ABCDEFGHIJKLMNOPQRSTUVWXYZ")),MID(AN910,14,1)="Z")),"Wrong format",IF(MID("0123456789ABCDEFGHIJKLMNOPQRSTUVWXYZ",MOD(36-MOD(SUMPRODUCT(INT((FIND(MID(AN910,{1,2,3,4,5,6,7,8,9,10,11,12,13,14},1),"0123456789ABCDEFGHIJKLMNOPQRSTUVWXYZ")-1)*{1,2,1,2,1,2,1,2,1,2,1,2,1,2}/36)+MOD((FIND(MID(AN910,{1,2,3,4,5,6,7,8,9,10,11,12,13,14},1),"0123456789ABCDEFGHIJKLMNOPQRSTUVWXYZ")-1)*{1,2,1,2,1,2,1,2,1,2,1,2,1,2},36)),36),36)+1,1)=MID(AN910,15,1),"OK","Typo? check digit wrong")),"Wrong format"))</f>
        <v/>
      </c>
      <c r="AK910" s="27">
        <f>IF(AO910="","",IF(AND(LEN(AO910)=10,SUMPRODUCT(--ISERROR(FIND(MID(AO910,{1,2,3,4,5,10},1),"ABCDEFGHIJKLMNOPQRSTUVWXYZ")))=0,SUMPRODUCT(--ISERROR(FIND(MID(AO910,{6,7,8,9},1),"0123456789")))=0),"OK","Wrong format"))</f>
        <v/>
      </c>
      <c r="AL910" s="27">
        <f>IF(TRIM(H910)="","",IF(AND(LEN(UPPER(TRIM(H910)))=10,SUMPRODUCT(--ISERROR(FIND(MID(UPPER(TRIM(H910)),{1,2,3,4,10},1),"ABCDEFGHIJKLMNOPQRSTUVWXYZ")))=0,SUMPRODUCT(--ISERROR(FIND(MID(UPPER(TRIM(H910)),{5,6,7,8,9},1),"0123456789")))=0),"OK","Wrong format"))</f>
        <v/>
      </c>
      <c r="AM910" s="28">
        <f>IF(NOT(COUNTA(A910:AE910)&gt;0),"",IF(AS910&lt;&gt;"","✖ "&amp;LEFT(AS910,LEN(AS910)-2),IF(AR910&gt;0,"✔ Ready — client + "&amp;AR910&amp;" service(s)","✔ Ready — client only")))</f>
        <v/>
      </c>
      <c r="AN910" s="29">
        <f>UPPER(SUBSTITUTE(TRIM(F910)," ",""))</f>
        <v/>
      </c>
      <c r="AO910" s="29">
        <f>UPPER(SUBSTITUTE(TRIM(E910)," ",""))</f>
        <v/>
      </c>
      <c r="AP910" s="29">
        <f>IF(D910&lt;&gt;"",D910,IFERROR(VLOOKUP(MID(AG910,4,1),Lists!$E$2:$F$8,2,FALSE),""))</f>
        <v/>
      </c>
      <c r="AQ910" s="29">
        <f>IFERROR(VLOOKUP(AP910,Lists!$A$2:$C$12,3,FALSE),"")</f>
        <v/>
      </c>
      <c r="AR910" s="29">
        <f>COUNTIF(W910:AC910,"Yes")</f>
        <v/>
      </c>
      <c r="AS910" s="29">
        <f>IF(TRIM(B910)="","Legal name missing; ","")&amp;IF(AND(AJ910&lt;&gt;"",AJ910&lt;&gt;"OK"),"GSTIN: "&amp;AJ910&amp;"; ","")&amp;IF(AND(AK910&lt;&gt;"",AK910&lt;&gt;"OK"),"PAN wrong format; ","")&amp;IF(AND(AO910&lt;&gt;"",LEN(AN910)=15,MID(AN910,3,10)&lt;&gt;AO910),"PAN does not match GSTIN; ","")&amp;IF(AND(AL910&lt;&gt;"",AL910&lt;&gt;"OK"),"TAN wrong format; ","")&amp;IF(AG910="","PAN missing; ","")&amp;IF(AP910="","Entity type missing; ","")&amp;IF(AND(AN910&lt;&gt;"",COUNTIF($AN$6:$AN$1005,AN910)&gt;1),"GSTIN repeated in this sheet; ","")&amp;IF(AND(AG910&lt;&gt;"",COUNTIF($AG$6:$AG$1005,AG910)&gt;1),"PAN repeated in this sheet (same client? put extra GSTINs in Other GSTINs); ","")&amp;IF(AND(AR910&gt;0,V910=""),"Financial year missing; ","")&amp;IF(AND(AR910=0,V910&lt;&gt;""),"Financial year given but no service is Yes; ","")&amp;IF(AND(W910="Yes",AN910=""),"GST needs a GSTIN; ","")&amp;IF(AND(W910="Yes",X910=""),"GST return frequency missing; ","")&amp;IF(AND(Y910="Yes",TRIM(H910)=""),"TDS needs a TAN; ","")&amp;IF(AND(AA910="Yes",AQ910&lt;&gt;"",AQ910&lt;&gt;"company",AQ910&lt;&gt;"llp"),"ROC is only for a company / LLP; ","")&amp;IF(AND(AA910="Yes",OR(AQ910="company",AQ910="llp"),TRIM(I910)=""),"ROC needs the CIN / LLPIN; ","")</f>
        <v/>
      </c>
    </row>
    <row r="911">
      <c r="A911" s="30" t="n"/>
      <c r="B911" s="31" t="n"/>
      <c r="C911" s="31" t="n"/>
      <c r="D911" s="31" t="n"/>
      <c r="E911" s="30" t="n"/>
      <c r="F911" s="30" t="n"/>
      <c r="G911" s="30" t="n"/>
      <c r="H911" s="30" t="n"/>
      <c r="I911" s="30" t="n"/>
      <c r="J911" s="32" t="n"/>
      <c r="K911" s="31" t="n"/>
      <c r="L911" s="30" t="n"/>
      <c r="M911" s="31" t="n"/>
      <c r="N911" s="31" t="n"/>
      <c r="O911" s="31" t="n"/>
      <c r="P911" s="30" t="n"/>
      <c r="Q911" s="31" t="n"/>
      <c r="R911" s="31" t="n"/>
      <c r="S911" s="31" t="n"/>
      <c r="T911" s="31" t="n"/>
      <c r="U911" s="30" t="n"/>
      <c r="V911" s="31" t="n"/>
      <c r="W911" s="31" t="n"/>
      <c r="X911" s="31" t="n"/>
      <c r="Y911" s="31" t="n"/>
      <c r="Z911" s="31" t="n"/>
      <c r="AA911" s="31" t="n"/>
      <c r="AB911" s="31" t="n"/>
      <c r="AC911" s="31" t="n"/>
      <c r="AD911" s="31" t="n"/>
      <c r="AE911" s="31" t="n"/>
      <c r="AF911" s="27">
        <f>IF(NOT(COUNTA(A911:AE911)&gt;0),"",IF(A911="","New client","Update"))</f>
        <v/>
      </c>
      <c r="AG911" s="27">
        <f>IF(AO911&lt;&gt;"",AO911,IF(LEN(AN911)=15,MID(AN911,3,10),""))</f>
        <v/>
      </c>
      <c r="AH911" s="27">
        <f>IF(AP911="","",AP911&amp;IF(D911="","  (guessed from PAN)",""))</f>
        <v/>
      </c>
      <c r="AI911" s="27">
        <f>IF(AN911="","",IFERROR(INDEX(Lists!$L$2:$L$38,MATCH(LEFT(AN911,2),Lists!$K$2:$K$38,0)),"Unknown code"))</f>
        <v/>
      </c>
      <c r="AJ911" s="27">
        <f>IF(AN911="","",IFERROR(IF(NOT(AND(LEN(AN911)=15,ISNUMBER(MATCH(LEFT(AN911,2),Lists!$K$2:$K$38,0)),SUMPRODUCT(--ISERROR(FIND(MID(MID(AN911,3,10),{1,2,3,4,5,10},1),"ABCDEFGHIJKLMNOPQRSTUVWXYZ")))=0,SUMPRODUCT(--ISERROR(FIND(MID(MID(AN911,3,10),{6,7,8,9},1),"0123456789")))=0,ISNUMBER(FIND(MID(AN911,13,1),"123456789ABCDEFGHIJKLMNOPQRSTUVWXYZ")),MID(AN911,14,1)="Z")),"Wrong format",IF(MID("0123456789ABCDEFGHIJKLMNOPQRSTUVWXYZ",MOD(36-MOD(SUMPRODUCT(INT((FIND(MID(AN911,{1,2,3,4,5,6,7,8,9,10,11,12,13,14},1),"0123456789ABCDEFGHIJKLMNOPQRSTUVWXYZ")-1)*{1,2,1,2,1,2,1,2,1,2,1,2,1,2}/36)+MOD((FIND(MID(AN911,{1,2,3,4,5,6,7,8,9,10,11,12,13,14},1),"0123456789ABCDEFGHIJKLMNOPQRSTUVWXYZ")-1)*{1,2,1,2,1,2,1,2,1,2,1,2,1,2},36)),36),36)+1,1)=MID(AN911,15,1),"OK","Typo? check digit wrong")),"Wrong format"))</f>
        <v/>
      </c>
      <c r="AK911" s="27">
        <f>IF(AO911="","",IF(AND(LEN(AO911)=10,SUMPRODUCT(--ISERROR(FIND(MID(AO911,{1,2,3,4,5,10},1),"ABCDEFGHIJKLMNOPQRSTUVWXYZ")))=0,SUMPRODUCT(--ISERROR(FIND(MID(AO911,{6,7,8,9},1),"0123456789")))=0),"OK","Wrong format"))</f>
        <v/>
      </c>
      <c r="AL911" s="27">
        <f>IF(TRIM(H911)="","",IF(AND(LEN(UPPER(TRIM(H911)))=10,SUMPRODUCT(--ISERROR(FIND(MID(UPPER(TRIM(H911)),{1,2,3,4,10},1),"ABCDEFGHIJKLMNOPQRSTUVWXYZ")))=0,SUMPRODUCT(--ISERROR(FIND(MID(UPPER(TRIM(H911)),{5,6,7,8,9},1),"0123456789")))=0),"OK","Wrong format"))</f>
        <v/>
      </c>
      <c r="AM911" s="28">
        <f>IF(NOT(COUNTA(A911:AE911)&gt;0),"",IF(AS911&lt;&gt;"","✖ "&amp;LEFT(AS911,LEN(AS911)-2),IF(AR911&gt;0,"✔ Ready — client + "&amp;AR911&amp;" service(s)","✔ Ready — client only")))</f>
        <v/>
      </c>
      <c r="AN911" s="29">
        <f>UPPER(SUBSTITUTE(TRIM(F911)," ",""))</f>
        <v/>
      </c>
      <c r="AO911" s="29">
        <f>UPPER(SUBSTITUTE(TRIM(E911)," ",""))</f>
        <v/>
      </c>
      <c r="AP911" s="29">
        <f>IF(D911&lt;&gt;"",D911,IFERROR(VLOOKUP(MID(AG911,4,1),Lists!$E$2:$F$8,2,FALSE),""))</f>
        <v/>
      </c>
      <c r="AQ911" s="29">
        <f>IFERROR(VLOOKUP(AP911,Lists!$A$2:$C$12,3,FALSE),"")</f>
        <v/>
      </c>
      <c r="AR911" s="29">
        <f>COUNTIF(W911:AC911,"Yes")</f>
        <v/>
      </c>
      <c r="AS911" s="29">
        <f>IF(TRIM(B911)="","Legal name missing; ","")&amp;IF(AND(AJ911&lt;&gt;"",AJ911&lt;&gt;"OK"),"GSTIN: "&amp;AJ911&amp;"; ","")&amp;IF(AND(AK911&lt;&gt;"",AK911&lt;&gt;"OK"),"PAN wrong format; ","")&amp;IF(AND(AO911&lt;&gt;"",LEN(AN911)=15,MID(AN911,3,10)&lt;&gt;AO911),"PAN does not match GSTIN; ","")&amp;IF(AND(AL911&lt;&gt;"",AL911&lt;&gt;"OK"),"TAN wrong format; ","")&amp;IF(AG911="","PAN missing; ","")&amp;IF(AP911="","Entity type missing; ","")&amp;IF(AND(AN911&lt;&gt;"",COUNTIF($AN$6:$AN$1005,AN911)&gt;1),"GSTIN repeated in this sheet; ","")&amp;IF(AND(AG911&lt;&gt;"",COUNTIF($AG$6:$AG$1005,AG911)&gt;1),"PAN repeated in this sheet (same client? put extra GSTINs in Other GSTINs); ","")&amp;IF(AND(AR911&gt;0,V911=""),"Financial year missing; ","")&amp;IF(AND(AR911=0,V911&lt;&gt;""),"Financial year given but no service is Yes; ","")&amp;IF(AND(W911="Yes",AN911=""),"GST needs a GSTIN; ","")&amp;IF(AND(W911="Yes",X911=""),"GST return frequency missing; ","")&amp;IF(AND(Y911="Yes",TRIM(H911)=""),"TDS needs a TAN; ","")&amp;IF(AND(AA911="Yes",AQ911&lt;&gt;"",AQ911&lt;&gt;"company",AQ911&lt;&gt;"llp"),"ROC is only for a company / LLP; ","")&amp;IF(AND(AA911="Yes",OR(AQ911="company",AQ911="llp"),TRIM(I911)=""),"ROC needs the CIN / LLPIN; ","")</f>
        <v/>
      </c>
    </row>
    <row r="912">
      <c r="A912" s="30" t="n"/>
      <c r="B912" s="31" t="n"/>
      <c r="C912" s="31" t="n"/>
      <c r="D912" s="31" t="n"/>
      <c r="E912" s="30" t="n"/>
      <c r="F912" s="30" t="n"/>
      <c r="G912" s="30" t="n"/>
      <c r="H912" s="30" t="n"/>
      <c r="I912" s="30" t="n"/>
      <c r="J912" s="32" t="n"/>
      <c r="K912" s="31" t="n"/>
      <c r="L912" s="30" t="n"/>
      <c r="M912" s="31" t="n"/>
      <c r="N912" s="31" t="n"/>
      <c r="O912" s="31" t="n"/>
      <c r="P912" s="30" t="n"/>
      <c r="Q912" s="31" t="n"/>
      <c r="R912" s="31" t="n"/>
      <c r="S912" s="31" t="n"/>
      <c r="T912" s="31" t="n"/>
      <c r="U912" s="30" t="n"/>
      <c r="V912" s="31" t="n"/>
      <c r="W912" s="31" t="n"/>
      <c r="X912" s="31" t="n"/>
      <c r="Y912" s="31" t="n"/>
      <c r="Z912" s="31" t="n"/>
      <c r="AA912" s="31" t="n"/>
      <c r="AB912" s="31" t="n"/>
      <c r="AC912" s="31" t="n"/>
      <c r="AD912" s="31" t="n"/>
      <c r="AE912" s="31" t="n"/>
      <c r="AF912" s="27">
        <f>IF(NOT(COUNTA(A912:AE912)&gt;0),"",IF(A912="","New client","Update"))</f>
        <v/>
      </c>
      <c r="AG912" s="27">
        <f>IF(AO912&lt;&gt;"",AO912,IF(LEN(AN912)=15,MID(AN912,3,10),""))</f>
        <v/>
      </c>
      <c r="AH912" s="27">
        <f>IF(AP912="","",AP912&amp;IF(D912="","  (guessed from PAN)",""))</f>
        <v/>
      </c>
      <c r="AI912" s="27">
        <f>IF(AN912="","",IFERROR(INDEX(Lists!$L$2:$L$38,MATCH(LEFT(AN912,2),Lists!$K$2:$K$38,0)),"Unknown code"))</f>
        <v/>
      </c>
      <c r="AJ912" s="27">
        <f>IF(AN912="","",IFERROR(IF(NOT(AND(LEN(AN912)=15,ISNUMBER(MATCH(LEFT(AN912,2),Lists!$K$2:$K$38,0)),SUMPRODUCT(--ISERROR(FIND(MID(MID(AN912,3,10),{1,2,3,4,5,10},1),"ABCDEFGHIJKLMNOPQRSTUVWXYZ")))=0,SUMPRODUCT(--ISERROR(FIND(MID(MID(AN912,3,10),{6,7,8,9},1),"0123456789")))=0,ISNUMBER(FIND(MID(AN912,13,1),"123456789ABCDEFGHIJKLMNOPQRSTUVWXYZ")),MID(AN912,14,1)="Z")),"Wrong format",IF(MID("0123456789ABCDEFGHIJKLMNOPQRSTUVWXYZ",MOD(36-MOD(SUMPRODUCT(INT((FIND(MID(AN912,{1,2,3,4,5,6,7,8,9,10,11,12,13,14},1),"0123456789ABCDEFGHIJKLMNOPQRSTUVWXYZ")-1)*{1,2,1,2,1,2,1,2,1,2,1,2,1,2}/36)+MOD((FIND(MID(AN912,{1,2,3,4,5,6,7,8,9,10,11,12,13,14},1),"0123456789ABCDEFGHIJKLMNOPQRSTUVWXYZ")-1)*{1,2,1,2,1,2,1,2,1,2,1,2,1,2},36)),36),36)+1,1)=MID(AN912,15,1),"OK","Typo? check digit wrong")),"Wrong format"))</f>
        <v/>
      </c>
      <c r="AK912" s="27">
        <f>IF(AO912="","",IF(AND(LEN(AO912)=10,SUMPRODUCT(--ISERROR(FIND(MID(AO912,{1,2,3,4,5,10},1),"ABCDEFGHIJKLMNOPQRSTUVWXYZ")))=0,SUMPRODUCT(--ISERROR(FIND(MID(AO912,{6,7,8,9},1),"0123456789")))=0),"OK","Wrong format"))</f>
        <v/>
      </c>
      <c r="AL912" s="27">
        <f>IF(TRIM(H912)="","",IF(AND(LEN(UPPER(TRIM(H912)))=10,SUMPRODUCT(--ISERROR(FIND(MID(UPPER(TRIM(H912)),{1,2,3,4,10},1),"ABCDEFGHIJKLMNOPQRSTUVWXYZ")))=0,SUMPRODUCT(--ISERROR(FIND(MID(UPPER(TRIM(H912)),{5,6,7,8,9},1),"0123456789")))=0),"OK","Wrong format"))</f>
        <v/>
      </c>
      <c r="AM912" s="28">
        <f>IF(NOT(COUNTA(A912:AE912)&gt;0),"",IF(AS912&lt;&gt;"","✖ "&amp;LEFT(AS912,LEN(AS912)-2),IF(AR912&gt;0,"✔ Ready — client + "&amp;AR912&amp;" service(s)","✔ Ready — client only")))</f>
        <v/>
      </c>
      <c r="AN912" s="29">
        <f>UPPER(SUBSTITUTE(TRIM(F912)," ",""))</f>
        <v/>
      </c>
      <c r="AO912" s="29">
        <f>UPPER(SUBSTITUTE(TRIM(E912)," ",""))</f>
        <v/>
      </c>
      <c r="AP912" s="29">
        <f>IF(D912&lt;&gt;"",D912,IFERROR(VLOOKUP(MID(AG912,4,1),Lists!$E$2:$F$8,2,FALSE),""))</f>
        <v/>
      </c>
      <c r="AQ912" s="29">
        <f>IFERROR(VLOOKUP(AP912,Lists!$A$2:$C$12,3,FALSE),"")</f>
        <v/>
      </c>
      <c r="AR912" s="29">
        <f>COUNTIF(W912:AC912,"Yes")</f>
        <v/>
      </c>
      <c r="AS912" s="29">
        <f>IF(TRIM(B912)="","Legal name missing; ","")&amp;IF(AND(AJ912&lt;&gt;"",AJ912&lt;&gt;"OK"),"GSTIN: "&amp;AJ912&amp;"; ","")&amp;IF(AND(AK912&lt;&gt;"",AK912&lt;&gt;"OK"),"PAN wrong format; ","")&amp;IF(AND(AO912&lt;&gt;"",LEN(AN912)=15,MID(AN912,3,10)&lt;&gt;AO912),"PAN does not match GSTIN; ","")&amp;IF(AND(AL912&lt;&gt;"",AL912&lt;&gt;"OK"),"TAN wrong format; ","")&amp;IF(AG912="","PAN missing; ","")&amp;IF(AP912="","Entity type missing; ","")&amp;IF(AND(AN912&lt;&gt;"",COUNTIF($AN$6:$AN$1005,AN912)&gt;1),"GSTIN repeated in this sheet; ","")&amp;IF(AND(AG912&lt;&gt;"",COUNTIF($AG$6:$AG$1005,AG912)&gt;1),"PAN repeated in this sheet (same client? put extra GSTINs in Other GSTINs); ","")&amp;IF(AND(AR912&gt;0,V912=""),"Financial year missing; ","")&amp;IF(AND(AR912=0,V912&lt;&gt;""),"Financial year given but no service is Yes; ","")&amp;IF(AND(W912="Yes",AN912=""),"GST needs a GSTIN; ","")&amp;IF(AND(W912="Yes",X912=""),"GST return frequency missing; ","")&amp;IF(AND(Y912="Yes",TRIM(H912)=""),"TDS needs a TAN; ","")&amp;IF(AND(AA912="Yes",AQ912&lt;&gt;"",AQ912&lt;&gt;"company",AQ912&lt;&gt;"llp"),"ROC is only for a company / LLP; ","")&amp;IF(AND(AA912="Yes",OR(AQ912="company",AQ912="llp"),TRIM(I912)=""),"ROC needs the CIN / LLPIN; ","")</f>
        <v/>
      </c>
    </row>
    <row r="913">
      <c r="A913" s="30" t="n"/>
      <c r="B913" s="31" t="n"/>
      <c r="C913" s="31" t="n"/>
      <c r="D913" s="31" t="n"/>
      <c r="E913" s="30" t="n"/>
      <c r="F913" s="30" t="n"/>
      <c r="G913" s="30" t="n"/>
      <c r="H913" s="30" t="n"/>
      <c r="I913" s="30" t="n"/>
      <c r="J913" s="32" t="n"/>
      <c r="K913" s="31" t="n"/>
      <c r="L913" s="30" t="n"/>
      <c r="M913" s="31" t="n"/>
      <c r="N913" s="31" t="n"/>
      <c r="O913" s="31" t="n"/>
      <c r="P913" s="30" t="n"/>
      <c r="Q913" s="31" t="n"/>
      <c r="R913" s="31" t="n"/>
      <c r="S913" s="31" t="n"/>
      <c r="T913" s="31" t="n"/>
      <c r="U913" s="30" t="n"/>
      <c r="V913" s="31" t="n"/>
      <c r="W913" s="31" t="n"/>
      <c r="X913" s="31" t="n"/>
      <c r="Y913" s="31" t="n"/>
      <c r="Z913" s="31" t="n"/>
      <c r="AA913" s="31" t="n"/>
      <c r="AB913" s="31" t="n"/>
      <c r="AC913" s="31" t="n"/>
      <c r="AD913" s="31" t="n"/>
      <c r="AE913" s="31" t="n"/>
      <c r="AF913" s="27">
        <f>IF(NOT(COUNTA(A913:AE913)&gt;0),"",IF(A913="","New client","Update"))</f>
        <v/>
      </c>
      <c r="AG913" s="27">
        <f>IF(AO913&lt;&gt;"",AO913,IF(LEN(AN913)=15,MID(AN913,3,10),""))</f>
        <v/>
      </c>
      <c r="AH913" s="27">
        <f>IF(AP913="","",AP913&amp;IF(D913="","  (guessed from PAN)",""))</f>
        <v/>
      </c>
      <c r="AI913" s="27">
        <f>IF(AN913="","",IFERROR(INDEX(Lists!$L$2:$L$38,MATCH(LEFT(AN913,2),Lists!$K$2:$K$38,0)),"Unknown code"))</f>
        <v/>
      </c>
      <c r="AJ913" s="27">
        <f>IF(AN913="","",IFERROR(IF(NOT(AND(LEN(AN913)=15,ISNUMBER(MATCH(LEFT(AN913,2),Lists!$K$2:$K$38,0)),SUMPRODUCT(--ISERROR(FIND(MID(MID(AN913,3,10),{1,2,3,4,5,10},1),"ABCDEFGHIJKLMNOPQRSTUVWXYZ")))=0,SUMPRODUCT(--ISERROR(FIND(MID(MID(AN913,3,10),{6,7,8,9},1),"0123456789")))=0,ISNUMBER(FIND(MID(AN913,13,1),"123456789ABCDEFGHIJKLMNOPQRSTUVWXYZ")),MID(AN913,14,1)="Z")),"Wrong format",IF(MID("0123456789ABCDEFGHIJKLMNOPQRSTUVWXYZ",MOD(36-MOD(SUMPRODUCT(INT((FIND(MID(AN913,{1,2,3,4,5,6,7,8,9,10,11,12,13,14},1),"0123456789ABCDEFGHIJKLMNOPQRSTUVWXYZ")-1)*{1,2,1,2,1,2,1,2,1,2,1,2,1,2}/36)+MOD((FIND(MID(AN913,{1,2,3,4,5,6,7,8,9,10,11,12,13,14},1),"0123456789ABCDEFGHIJKLMNOPQRSTUVWXYZ")-1)*{1,2,1,2,1,2,1,2,1,2,1,2,1,2},36)),36),36)+1,1)=MID(AN913,15,1),"OK","Typo? check digit wrong")),"Wrong format"))</f>
        <v/>
      </c>
      <c r="AK913" s="27">
        <f>IF(AO913="","",IF(AND(LEN(AO913)=10,SUMPRODUCT(--ISERROR(FIND(MID(AO913,{1,2,3,4,5,10},1),"ABCDEFGHIJKLMNOPQRSTUVWXYZ")))=0,SUMPRODUCT(--ISERROR(FIND(MID(AO913,{6,7,8,9},1),"0123456789")))=0),"OK","Wrong format"))</f>
        <v/>
      </c>
      <c r="AL913" s="27">
        <f>IF(TRIM(H913)="","",IF(AND(LEN(UPPER(TRIM(H913)))=10,SUMPRODUCT(--ISERROR(FIND(MID(UPPER(TRIM(H913)),{1,2,3,4,10},1),"ABCDEFGHIJKLMNOPQRSTUVWXYZ")))=0,SUMPRODUCT(--ISERROR(FIND(MID(UPPER(TRIM(H913)),{5,6,7,8,9},1),"0123456789")))=0),"OK","Wrong format"))</f>
        <v/>
      </c>
      <c r="AM913" s="28">
        <f>IF(NOT(COUNTA(A913:AE913)&gt;0),"",IF(AS913&lt;&gt;"","✖ "&amp;LEFT(AS913,LEN(AS913)-2),IF(AR913&gt;0,"✔ Ready — client + "&amp;AR913&amp;" service(s)","✔ Ready — client only")))</f>
        <v/>
      </c>
      <c r="AN913" s="29">
        <f>UPPER(SUBSTITUTE(TRIM(F913)," ",""))</f>
        <v/>
      </c>
      <c r="AO913" s="29">
        <f>UPPER(SUBSTITUTE(TRIM(E913)," ",""))</f>
        <v/>
      </c>
      <c r="AP913" s="29">
        <f>IF(D913&lt;&gt;"",D913,IFERROR(VLOOKUP(MID(AG913,4,1),Lists!$E$2:$F$8,2,FALSE),""))</f>
        <v/>
      </c>
      <c r="AQ913" s="29">
        <f>IFERROR(VLOOKUP(AP913,Lists!$A$2:$C$12,3,FALSE),"")</f>
        <v/>
      </c>
      <c r="AR913" s="29">
        <f>COUNTIF(W913:AC913,"Yes")</f>
        <v/>
      </c>
      <c r="AS913" s="29">
        <f>IF(TRIM(B913)="","Legal name missing; ","")&amp;IF(AND(AJ913&lt;&gt;"",AJ913&lt;&gt;"OK"),"GSTIN: "&amp;AJ913&amp;"; ","")&amp;IF(AND(AK913&lt;&gt;"",AK913&lt;&gt;"OK"),"PAN wrong format; ","")&amp;IF(AND(AO913&lt;&gt;"",LEN(AN913)=15,MID(AN913,3,10)&lt;&gt;AO913),"PAN does not match GSTIN; ","")&amp;IF(AND(AL913&lt;&gt;"",AL913&lt;&gt;"OK"),"TAN wrong format; ","")&amp;IF(AG913="","PAN missing; ","")&amp;IF(AP913="","Entity type missing; ","")&amp;IF(AND(AN913&lt;&gt;"",COUNTIF($AN$6:$AN$1005,AN913)&gt;1),"GSTIN repeated in this sheet; ","")&amp;IF(AND(AG913&lt;&gt;"",COUNTIF($AG$6:$AG$1005,AG913)&gt;1),"PAN repeated in this sheet (same client? put extra GSTINs in Other GSTINs); ","")&amp;IF(AND(AR913&gt;0,V913=""),"Financial year missing; ","")&amp;IF(AND(AR913=0,V913&lt;&gt;""),"Financial year given but no service is Yes; ","")&amp;IF(AND(W913="Yes",AN913=""),"GST needs a GSTIN; ","")&amp;IF(AND(W913="Yes",X913=""),"GST return frequency missing; ","")&amp;IF(AND(Y913="Yes",TRIM(H913)=""),"TDS needs a TAN; ","")&amp;IF(AND(AA913="Yes",AQ913&lt;&gt;"",AQ913&lt;&gt;"company",AQ913&lt;&gt;"llp"),"ROC is only for a company / LLP; ","")&amp;IF(AND(AA913="Yes",OR(AQ913="company",AQ913="llp"),TRIM(I913)=""),"ROC needs the CIN / LLPIN; ","")</f>
        <v/>
      </c>
    </row>
    <row r="914">
      <c r="A914" s="30" t="n"/>
      <c r="B914" s="31" t="n"/>
      <c r="C914" s="31" t="n"/>
      <c r="D914" s="31" t="n"/>
      <c r="E914" s="30" t="n"/>
      <c r="F914" s="30" t="n"/>
      <c r="G914" s="30" t="n"/>
      <c r="H914" s="30" t="n"/>
      <c r="I914" s="30" t="n"/>
      <c r="J914" s="32" t="n"/>
      <c r="K914" s="31" t="n"/>
      <c r="L914" s="30" t="n"/>
      <c r="M914" s="31" t="n"/>
      <c r="N914" s="31" t="n"/>
      <c r="O914" s="31" t="n"/>
      <c r="P914" s="30" t="n"/>
      <c r="Q914" s="31" t="n"/>
      <c r="R914" s="31" t="n"/>
      <c r="S914" s="31" t="n"/>
      <c r="T914" s="31" t="n"/>
      <c r="U914" s="30" t="n"/>
      <c r="V914" s="31" t="n"/>
      <c r="W914" s="31" t="n"/>
      <c r="X914" s="31" t="n"/>
      <c r="Y914" s="31" t="n"/>
      <c r="Z914" s="31" t="n"/>
      <c r="AA914" s="31" t="n"/>
      <c r="AB914" s="31" t="n"/>
      <c r="AC914" s="31" t="n"/>
      <c r="AD914" s="31" t="n"/>
      <c r="AE914" s="31" t="n"/>
      <c r="AF914" s="27">
        <f>IF(NOT(COUNTA(A914:AE914)&gt;0),"",IF(A914="","New client","Update"))</f>
        <v/>
      </c>
      <c r="AG914" s="27">
        <f>IF(AO914&lt;&gt;"",AO914,IF(LEN(AN914)=15,MID(AN914,3,10),""))</f>
        <v/>
      </c>
      <c r="AH914" s="27">
        <f>IF(AP914="","",AP914&amp;IF(D914="","  (guessed from PAN)",""))</f>
        <v/>
      </c>
      <c r="AI914" s="27">
        <f>IF(AN914="","",IFERROR(INDEX(Lists!$L$2:$L$38,MATCH(LEFT(AN914,2),Lists!$K$2:$K$38,0)),"Unknown code"))</f>
        <v/>
      </c>
      <c r="AJ914" s="27">
        <f>IF(AN914="","",IFERROR(IF(NOT(AND(LEN(AN914)=15,ISNUMBER(MATCH(LEFT(AN914,2),Lists!$K$2:$K$38,0)),SUMPRODUCT(--ISERROR(FIND(MID(MID(AN914,3,10),{1,2,3,4,5,10},1),"ABCDEFGHIJKLMNOPQRSTUVWXYZ")))=0,SUMPRODUCT(--ISERROR(FIND(MID(MID(AN914,3,10),{6,7,8,9},1),"0123456789")))=0,ISNUMBER(FIND(MID(AN914,13,1),"123456789ABCDEFGHIJKLMNOPQRSTUVWXYZ")),MID(AN914,14,1)="Z")),"Wrong format",IF(MID("0123456789ABCDEFGHIJKLMNOPQRSTUVWXYZ",MOD(36-MOD(SUMPRODUCT(INT((FIND(MID(AN914,{1,2,3,4,5,6,7,8,9,10,11,12,13,14},1),"0123456789ABCDEFGHIJKLMNOPQRSTUVWXYZ")-1)*{1,2,1,2,1,2,1,2,1,2,1,2,1,2}/36)+MOD((FIND(MID(AN914,{1,2,3,4,5,6,7,8,9,10,11,12,13,14},1),"0123456789ABCDEFGHIJKLMNOPQRSTUVWXYZ")-1)*{1,2,1,2,1,2,1,2,1,2,1,2,1,2},36)),36),36)+1,1)=MID(AN914,15,1),"OK","Typo? check digit wrong")),"Wrong format"))</f>
        <v/>
      </c>
      <c r="AK914" s="27">
        <f>IF(AO914="","",IF(AND(LEN(AO914)=10,SUMPRODUCT(--ISERROR(FIND(MID(AO914,{1,2,3,4,5,10},1),"ABCDEFGHIJKLMNOPQRSTUVWXYZ")))=0,SUMPRODUCT(--ISERROR(FIND(MID(AO914,{6,7,8,9},1),"0123456789")))=0),"OK","Wrong format"))</f>
        <v/>
      </c>
      <c r="AL914" s="27">
        <f>IF(TRIM(H914)="","",IF(AND(LEN(UPPER(TRIM(H914)))=10,SUMPRODUCT(--ISERROR(FIND(MID(UPPER(TRIM(H914)),{1,2,3,4,10},1),"ABCDEFGHIJKLMNOPQRSTUVWXYZ")))=0,SUMPRODUCT(--ISERROR(FIND(MID(UPPER(TRIM(H914)),{5,6,7,8,9},1),"0123456789")))=0),"OK","Wrong format"))</f>
        <v/>
      </c>
      <c r="AM914" s="28">
        <f>IF(NOT(COUNTA(A914:AE914)&gt;0),"",IF(AS914&lt;&gt;"","✖ "&amp;LEFT(AS914,LEN(AS914)-2),IF(AR914&gt;0,"✔ Ready — client + "&amp;AR914&amp;" service(s)","✔ Ready — client only")))</f>
        <v/>
      </c>
      <c r="AN914" s="29">
        <f>UPPER(SUBSTITUTE(TRIM(F914)," ",""))</f>
        <v/>
      </c>
      <c r="AO914" s="29">
        <f>UPPER(SUBSTITUTE(TRIM(E914)," ",""))</f>
        <v/>
      </c>
      <c r="AP914" s="29">
        <f>IF(D914&lt;&gt;"",D914,IFERROR(VLOOKUP(MID(AG914,4,1),Lists!$E$2:$F$8,2,FALSE),""))</f>
        <v/>
      </c>
      <c r="AQ914" s="29">
        <f>IFERROR(VLOOKUP(AP914,Lists!$A$2:$C$12,3,FALSE),"")</f>
        <v/>
      </c>
      <c r="AR914" s="29">
        <f>COUNTIF(W914:AC914,"Yes")</f>
        <v/>
      </c>
      <c r="AS914" s="29">
        <f>IF(TRIM(B914)="","Legal name missing; ","")&amp;IF(AND(AJ914&lt;&gt;"",AJ914&lt;&gt;"OK"),"GSTIN: "&amp;AJ914&amp;"; ","")&amp;IF(AND(AK914&lt;&gt;"",AK914&lt;&gt;"OK"),"PAN wrong format; ","")&amp;IF(AND(AO914&lt;&gt;"",LEN(AN914)=15,MID(AN914,3,10)&lt;&gt;AO914),"PAN does not match GSTIN; ","")&amp;IF(AND(AL914&lt;&gt;"",AL914&lt;&gt;"OK"),"TAN wrong format; ","")&amp;IF(AG914="","PAN missing; ","")&amp;IF(AP914="","Entity type missing; ","")&amp;IF(AND(AN914&lt;&gt;"",COUNTIF($AN$6:$AN$1005,AN914)&gt;1),"GSTIN repeated in this sheet; ","")&amp;IF(AND(AG914&lt;&gt;"",COUNTIF($AG$6:$AG$1005,AG914)&gt;1),"PAN repeated in this sheet (same client? put extra GSTINs in Other GSTINs); ","")&amp;IF(AND(AR914&gt;0,V914=""),"Financial year missing; ","")&amp;IF(AND(AR914=0,V914&lt;&gt;""),"Financial year given but no service is Yes; ","")&amp;IF(AND(W914="Yes",AN914=""),"GST needs a GSTIN; ","")&amp;IF(AND(W914="Yes",X914=""),"GST return frequency missing; ","")&amp;IF(AND(Y914="Yes",TRIM(H914)=""),"TDS needs a TAN; ","")&amp;IF(AND(AA914="Yes",AQ914&lt;&gt;"",AQ914&lt;&gt;"company",AQ914&lt;&gt;"llp"),"ROC is only for a company / LLP; ","")&amp;IF(AND(AA914="Yes",OR(AQ914="company",AQ914="llp"),TRIM(I914)=""),"ROC needs the CIN / LLPIN; ","")</f>
        <v/>
      </c>
    </row>
    <row r="915">
      <c r="A915" s="30" t="n"/>
      <c r="B915" s="31" t="n"/>
      <c r="C915" s="31" t="n"/>
      <c r="D915" s="31" t="n"/>
      <c r="E915" s="30" t="n"/>
      <c r="F915" s="30" t="n"/>
      <c r="G915" s="30" t="n"/>
      <c r="H915" s="30" t="n"/>
      <c r="I915" s="30" t="n"/>
      <c r="J915" s="32" t="n"/>
      <c r="K915" s="31" t="n"/>
      <c r="L915" s="30" t="n"/>
      <c r="M915" s="31" t="n"/>
      <c r="N915" s="31" t="n"/>
      <c r="O915" s="31" t="n"/>
      <c r="P915" s="30" t="n"/>
      <c r="Q915" s="31" t="n"/>
      <c r="R915" s="31" t="n"/>
      <c r="S915" s="31" t="n"/>
      <c r="T915" s="31" t="n"/>
      <c r="U915" s="30" t="n"/>
      <c r="V915" s="31" t="n"/>
      <c r="W915" s="31" t="n"/>
      <c r="X915" s="31" t="n"/>
      <c r="Y915" s="31" t="n"/>
      <c r="Z915" s="31" t="n"/>
      <c r="AA915" s="31" t="n"/>
      <c r="AB915" s="31" t="n"/>
      <c r="AC915" s="31" t="n"/>
      <c r="AD915" s="31" t="n"/>
      <c r="AE915" s="31" t="n"/>
      <c r="AF915" s="27">
        <f>IF(NOT(COUNTA(A915:AE915)&gt;0),"",IF(A915="","New client","Update"))</f>
        <v/>
      </c>
      <c r="AG915" s="27">
        <f>IF(AO915&lt;&gt;"",AO915,IF(LEN(AN915)=15,MID(AN915,3,10),""))</f>
        <v/>
      </c>
      <c r="AH915" s="27">
        <f>IF(AP915="","",AP915&amp;IF(D915="","  (guessed from PAN)",""))</f>
        <v/>
      </c>
      <c r="AI915" s="27">
        <f>IF(AN915="","",IFERROR(INDEX(Lists!$L$2:$L$38,MATCH(LEFT(AN915,2),Lists!$K$2:$K$38,0)),"Unknown code"))</f>
        <v/>
      </c>
      <c r="AJ915" s="27">
        <f>IF(AN915="","",IFERROR(IF(NOT(AND(LEN(AN915)=15,ISNUMBER(MATCH(LEFT(AN915,2),Lists!$K$2:$K$38,0)),SUMPRODUCT(--ISERROR(FIND(MID(MID(AN915,3,10),{1,2,3,4,5,10},1),"ABCDEFGHIJKLMNOPQRSTUVWXYZ")))=0,SUMPRODUCT(--ISERROR(FIND(MID(MID(AN915,3,10),{6,7,8,9},1),"0123456789")))=0,ISNUMBER(FIND(MID(AN915,13,1),"123456789ABCDEFGHIJKLMNOPQRSTUVWXYZ")),MID(AN915,14,1)="Z")),"Wrong format",IF(MID("0123456789ABCDEFGHIJKLMNOPQRSTUVWXYZ",MOD(36-MOD(SUMPRODUCT(INT((FIND(MID(AN915,{1,2,3,4,5,6,7,8,9,10,11,12,13,14},1),"0123456789ABCDEFGHIJKLMNOPQRSTUVWXYZ")-1)*{1,2,1,2,1,2,1,2,1,2,1,2,1,2}/36)+MOD((FIND(MID(AN915,{1,2,3,4,5,6,7,8,9,10,11,12,13,14},1),"0123456789ABCDEFGHIJKLMNOPQRSTUVWXYZ")-1)*{1,2,1,2,1,2,1,2,1,2,1,2,1,2},36)),36),36)+1,1)=MID(AN915,15,1),"OK","Typo? check digit wrong")),"Wrong format"))</f>
        <v/>
      </c>
      <c r="AK915" s="27">
        <f>IF(AO915="","",IF(AND(LEN(AO915)=10,SUMPRODUCT(--ISERROR(FIND(MID(AO915,{1,2,3,4,5,10},1),"ABCDEFGHIJKLMNOPQRSTUVWXYZ")))=0,SUMPRODUCT(--ISERROR(FIND(MID(AO915,{6,7,8,9},1),"0123456789")))=0),"OK","Wrong format"))</f>
        <v/>
      </c>
      <c r="AL915" s="27">
        <f>IF(TRIM(H915)="","",IF(AND(LEN(UPPER(TRIM(H915)))=10,SUMPRODUCT(--ISERROR(FIND(MID(UPPER(TRIM(H915)),{1,2,3,4,10},1),"ABCDEFGHIJKLMNOPQRSTUVWXYZ")))=0,SUMPRODUCT(--ISERROR(FIND(MID(UPPER(TRIM(H915)),{5,6,7,8,9},1),"0123456789")))=0),"OK","Wrong format"))</f>
        <v/>
      </c>
      <c r="AM915" s="28">
        <f>IF(NOT(COUNTA(A915:AE915)&gt;0),"",IF(AS915&lt;&gt;"","✖ "&amp;LEFT(AS915,LEN(AS915)-2),IF(AR915&gt;0,"✔ Ready — client + "&amp;AR915&amp;" service(s)","✔ Ready — client only")))</f>
        <v/>
      </c>
      <c r="AN915" s="29">
        <f>UPPER(SUBSTITUTE(TRIM(F915)," ",""))</f>
        <v/>
      </c>
      <c r="AO915" s="29">
        <f>UPPER(SUBSTITUTE(TRIM(E915)," ",""))</f>
        <v/>
      </c>
      <c r="AP915" s="29">
        <f>IF(D915&lt;&gt;"",D915,IFERROR(VLOOKUP(MID(AG915,4,1),Lists!$E$2:$F$8,2,FALSE),""))</f>
        <v/>
      </c>
      <c r="AQ915" s="29">
        <f>IFERROR(VLOOKUP(AP915,Lists!$A$2:$C$12,3,FALSE),"")</f>
        <v/>
      </c>
      <c r="AR915" s="29">
        <f>COUNTIF(W915:AC915,"Yes")</f>
        <v/>
      </c>
      <c r="AS915" s="29">
        <f>IF(TRIM(B915)="","Legal name missing; ","")&amp;IF(AND(AJ915&lt;&gt;"",AJ915&lt;&gt;"OK"),"GSTIN: "&amp;AJ915&amp;"; ","")&amp;IF(AND(AK915&lt;&gt;"",AK915&lt;&gt;"OK"),"PAN wrong format; ","")&amp;IF(AND(AO915&lt;&gt;"",LEN(AN915)=15,MID(AN915,3,10)&lt;&gt;AO915),"PAN does not match GSTIN; ","")&amp;IF(AND(AL915&lt;&gt;"",AL915&lt;&gt;"OK"),"TAN wrong format; ","")&amp;IF(AG915="","PAN missing; ","")&amp;IF(AP915="","Entity type missing; ","")&amp;IF(AND(AN915&lt;&gt;"",COUNTIF($AN$6:$AN$1005,AN915)&gt;1),"GSTIN repeated in this sheet; ","")&amp;IF(AND(AG915&lt;&gt;"",COUNTIF($AG$6:$AG$1005,AG915)&gt;1),"PAN repeated in this sheet (same client? put extra GSTINs in Other GSTINs); ","")&amp;IF(AND(AR915&gt;0,V915=""),"Financial year missing; ","")&amp;IF(AND(AR915=0,V915&lt;&gt;""),"Financial year given but no service is Yes; ","")&amp;IF(AND(W915="Yes",AN915=""),"GST needs a GSTIN; ","")&amp;IF(AND(W915="Yes",X915=""),"GST return frequency missing; ","")&amp;IF(AND(Y915="Yes",TRIM(H915)=""),"TDS needs a TAN; ","")&amp;IF(AND(AA915="Yes",AQ915&lt;&gt;"",AQ915&lt;&gt;"company",AQ915&lt;&gt;"llp"),"ROC is only for a company / LLP; ","")&amp;IF(AND(AA915="Yes",OR(AQ915="company",AQ915="llp"),TRIM(I915)=""),"ROC needs the CIN / LLPIN; ","")</f>
        <v/>
      </c>
    </row>
    <row r="916">
      <c r="A916" s="30" t="n"/>
      <c r="B916" s="31" t="n"/>
      <c r="C916" s="31" t="n"/>
      <c r="D916" s="31" t="n"/>
      <c r="E916" s="30" t="n"/>
      <c r="F916" s="30" t="n"/>
      <c r="G916" s="30" t="n"/>
      <c r="H916" s="30" t="n"/>
      <c r="I916" s="30" t="n"/>
      <c r="J916" s="32" t="n"/>
      <c r="K916" s="31" t="n"/>
      <c r="L916" s="30" t="n"/>
      <c r="M916" s="31" t="n"/>
      <c r="N916" s="31" t="n"/>
      <c r="O916" s="31" t="n"/>
      <c r="P916" s="30" t="n"/>
      <c r="Q916" s="31" t="n"/>
      <c r="R916" s="31" t="n"/>
      <c r="S916" s="31" t="n"/>
      <c r="T916" s="31" t="n"/>
      <c r="U916" s="30" t="n"/>
      <c r="V916" s="31" t="n"/>
      <c r="W916" s="31" t="n"/>
      <c r="X916" s="31" t="n"/>
      <c r="Y916" s="31" t="n"/>
      <c r="Z916" s="31" t="n"/>
      <c r="AA916" s="31" t="n"/>
      <c r="AB916" s="31" t="n"/>
      <c r="AC916" s="31" t="n"/>
      <c r="AD916" s="31" t="n"/>
      <c r="AE916" s="31" t="n"/>
      <c r="AF916" s="27">
        <f>IF(NOT(COUNTA(A916:AE916)&gt;0),"",IF(A916="","New client","Update"))</f>
        <v/>
      </c>
      <c r="AG916" s="27">
        <f>IF(AO916&lt;&gt;"",AO916,IF(LEN(AN916)=15,MID(AN916,3,10),""))</f>
        <v/>
      </c>
      <c r="AH916" s="27">
        <f>IF(AP916="","",AP916&amp;IF(D916="","  (guessed from PAN)",""))</f>
        <v/>
      </c>
      <c r="AI916" s="27">
        <f>IF(AN916="","",IFERROR(INDEX(Lists!$L$2:$L$38,MATCH(LEFT(AN916,2),Lists!$K$2:$K$38,0)),"Unknown code"))</f>
        <v/>
      </c>
      <c r="AJ916" s="27">
        <f>IF(AN916="","",IFERROR(IF(NOT(AND(LEN(AN916)=15,ISNUMBER(MATCH(LEFT(AN916,2),Lists!$K$2:$K$38,0)),SUMPRODUCT(--ISERROR(FIND(MID(MID(AN916,3,10),{1,2,3,4,5,10},1),"ABCDEFGHIJKLMNOPQRSTUVWXYZ")))=0,SUMPRODUCT(--ISERROR(FIND(MID(MID(AN916,3,10),{6,7,8,9},1),"0123456789")))=0,ISNUMBER(FIND(MID(AN916,13,1),"123456789ABCDEFGHIJKLMNOPQRSTUVWXYZ")),MID(AN916,14,1)="Z")),"Wrong format",IF(MID("0123456789ABCDEFGHIJKLMNOPQRSTUVWXYZ",MOD(36-MOD(SUMPRODUCT(INT((FIND(MID(AN916,{1,2,3,4,5,6,7,8,9,10,11,12,13,14},1),"0123456789ABCDEFGHIJKLMNOPQRSTUVWXYZ")-1)*{1,2,1,2,1,2,1,2,1,2,1,2,1,2}/36)+MOD((FIND(MID(AN916,{1,2,3,4,5,6,7,8,9,10,11,12,13,14},1),"0123456789ABCDEFGHIJKLMNOPQRSTUVWXYZ")-1)*{1,2,1,2,1,2,1,2,1,2,1,2,1,2},36)),36),36)+1,1)=MID(AN916,15,1),"OK","Typo? check digit wrong")),"Wrong format"))</f>
        <v/>
      </c>
      <c r="AK916" s="27">
        <f>IF(AO916="","",IF(AND(LEN(AO916)=10,SUMPRODUCT(--ISERROR(FIND(MID(AO916,{1,2,3,4,5,10},1),"ABCDEFGHIJKLMNOPQRSTUVWXYZ")))=0,SUMPRODUCT(--ISERROR(FIND(MID(AO916,{6,7,8,9},1),"0123456789")))=0),"OK","Wrong format"))</f>
        <v/>
      </c>
      <c r="AL916" s="27">
        <f>IF(TRIM(H916)="","",IF(AND(LEN(UPPER(TRIM(H916)))=10,SUMPRODUCT(--ISERROR(FIND(MID(UPPER(TRIM(H916)),{1,2,3,4,10},1),"ABCDEFGHIJKLMNOPQRSTUVWXYZ")))=0,SUMPRODUCT(--ISERROR(FIND(MID(UPPER(TRIM(H916)),{5,6,7,8,9},1),"0123456789")))=0),"OK","Wrong format"))</f>
        <v/>
      </c>
      <c r="AM916" s="28">
        <f>IF(NOT(COUNTA(A916:AE916)&gt;0),"",IF(AS916&lt;&gt;"","✖ "&amp;LEFT(AS916,LEN(AS916)-2),IF(AR916&gt;0,"✔ Ready — client + "&amp;AR916&amp;" service(s)","✔ Ready — client only")))</f>
        <v/>
      </c>
      <c r="AN916" s="29">
        <f>UPPER(SUBSTITUTE(TRIM(F916)," ",""))</f>
        <v/>
      </c>
      <c r="AO916" s="29">
        <f>UPPER(SUBSTITUTE(TRIM(E916)," ",""))</f>
        <v/>
      </c>
      <c r="AP916" s="29">
        <f>IF(D916&lt;&gt;"",D916,IFERROR(VLOOKUP(MID(AG916,4,1),Lists!$E$2:$F$8,2,FALSE),""))</f>
        <v/>
      </c>
      <c r="AQ916" s="29">
        <f>IFERROR(VLOOKUP(AP916,Lists!$A$2:$C$12,3,FALSE),"")</f>
        <v/>
      </c>
      <c r="AR916" s="29">
        <f>COUNTIF(W916:AC916,"Yes")</f>
        <v/>
      </c>
      <c r="AS916" s="29">
        <f>IF(TRIM(B916)="","Legal name missing; ","")&amp;IF(AND(AJ916&lt;&gt;"",AJ916&lt;&gt;"OK"),"GSTIN: "&amp;AJ916&amp;"; ","")&amp;IF(AND(AK916&lt;&gt;"",AK916&lt;&gt;"OK"),"PAN wrong format; ","")&amp;IF(AND(AO916&lt;&gt;"",LEN(AN916)=15,MID(AN916,3,10)&lt;&gt;AO916),"PAN does not match GSTIN; ","")&amp;IF(AND(AL916&lt;&gt;"",AL916&lt;&gt;"OK"),"TAN wrong format; ","")&amp;IF(AG916="","PAN missing; ","")&amp;IF(AP916="","Entity type missing; ","")&amp;IF(AND(AN916&lt;&gt;"",COUNTIF($AN$6:$AN$1005,AN916)&gt;1),"GSTIN repeated in this sheet; ","")&amp;IF(AND(AG916&lt;&gt;"",COUNTIF($AG$6:$AG$1005,AG916)&gt;1),"PAN repeated in this sheet (same client? put extra GSTINs in Other GSTINs); ","")&amp;IF(AND(AR916&gt;0,V916=""),"Financial year missing; ","")&amp;IF(AND(AR916=0,V916&lt;&gt;""),"Financial year given but no service is Yes; ","")&amp;IF(AND(W916="Yes",AN916=""),"GST needs a GSTIN; ","")&amp;IF(AND(W916="Yes",X916=""),"GST return frequency missing; ","")&amp;IF(AND(Y916="Yes",TRIM(H916)=""),"TDS needs a TAN; ","")&amp;IF(AND(AA916="Yes",AQ916&lt;&gt;"",AQ916&lt;&gt;"company",AQ916&lt;&gt;"llp"),"ROC is only for a company / LLP; ","")&amp;IF(AND(AA916="Yes",OR(AQ916="company",AQ916="llp"),TRIM(I916)=""),"ROC needs the CIN / LLPIN; ","")</f>
        <v/>
      </c>
    </row>
    <row r="917">
      <c r="A917" s="30" t="n"/>
      <c r="B917" s="31" t="n"/>
      <c r="C917" s="31" t="n"/>
      <c r="D917" s="31" t="n"/>
      <c r="E917" s="30" t="n"/>
      <c r="F917" s="30" t="n"/>
      <c r="G917" s="30" t="n"/>
      <c r="H917" s="30" t="n"/>
      <c r="I917" s="30" t="n"/>
      <c r="J917" s="32" t="n"/>
      <c r="K917" s="31" t="n"/>
      <c r="L917" s="30" t="n"/>
      <c r="M917" s="31" t="n"/>
      <c r="N917" s="31" t="n"/>
      <c r="O917" s="31" t="n"/>
      <c r="P917" s="30" t="n"/>
      <c r="Q917" s="31" t="n"/>
      <c r="R917" s="31" t="n"/>
      <c r="S917" s="31" t="n"/>
      <c r="T917" s="31" t="n"/>
      <c r="U917" s="30" t="n"/>
      <c r="V917" s="31" t="n"/>
      <c r="W917" s="31" t="n"/>
      <c r="X917" s="31" t="n"/>
      <c r="Y917" s="31" t="n"/>
      <c r="Z917" s="31" t="n"/>
      <c r="AA917" s="31" t="n"/>
      <c r="AB917" s="31" t="n"/>
      <c r="AC917" s="31" t="n"/>
      <c r="AD917" s="31" t="n"/>
      <c r="AE917" s="31" t="n"/>
      <c r="AF917" s="27">
        <f>IF(NOT(COUNTA(A917:AE917)&gt;0),"",IF(A917="","New client","Update"))</f>
        <v/>
      </c>
      <c r="AG917" s="27">
        <f>IF(AO917&lt;&gt;"",AO917,IF(LEN(AN917)=15,MID(AN917,3,10),""))</f>
        <v/>
      </c>
      <c r="AH917" s="27">
        <f>IF(AP917="","",AP917&amp;IF(D917="","  (guessed from PAN)",""))</f>
        <v/>
      </c>
      <c r="AI917" s="27">
        <f>IF(AN917="","",IFERROR(INDEX(Lists!$L$2:$L$38,MATCH(LEFT(AN917,2),Lists!$K$2:$K$38,0)),"Unknown code"))</f>
        <v/>
      </c>
      <c r="AJ917" s="27">
        <f>IF(AN917="","",IFERROR(IF(NOT(AND(LEN(AN917)=15,ISNUMBER(MATCH(LEFT(AN917,2),Lists!$K$2:$K$38,0)),SUMPRODUCT(--ISERROR(FIND(MID(MID(AN917,3,10),{1,2,3,4,5,10},1),"ABCDEFGHIJKLMNOPQRSTUVWXYZ")))=0,SUMPRODUCT(--ISERROR(FIND(MID(MID(AN917,3,10),{6,7,8,9},1),"0123456789")))=0,ISNUMBER(FIND(MID(AN917,13,1),"123456789ABCDEFGHIJKLMNOPQRSTUVWXYZ")),MID(AN917,14,1)="Z")),"Wrong format",IF(MID("0123456789ABCDEFGHIJKLMNOPQRSTUVWXYZ",MOD(36-MOD(SUMPRODUCT(INT((FIND(MID(AN917,{1,2,3,4,5,6,7,8,9,10,11,12,13,14},1),"0123456789ABCDEFGHIJKLMNOPQRSTUVWXYZ")-1)*{1,2,1,2,1,2,1,2,1,2,1,2,1,2}/36)+MOD((FIND(MID(AN917,{1,2,3,4,5,6,7,8,9,10,11,12,13,14},1),"0123456789ABCDEFGHIJKLMNOPQRSTUVWXYZ")-1)*{1,2,1,2,1,2,1,2,1,2,1,2,1,2},36)),36),36)+1,1)=MID(AN917,15,1),"OK","Typo? check digit wrong")),"Wrong format"))</f>
        <v/>
      </c>
      <c r="AK917" s="27">
        <f>IF(AO917="","",IF(AND(LEN(AO917)=10,SUMPRODUCT(--ISERROR(FIND(MID(AO917,{1,2,3,4,5,10},1),"ABCDEFGHIJKLMNOPQRSTUVWXYZ")))=0,SUMPRODUCT(--ISERROR(FIND(MID(AO917,{6,7,8,9},1),"0123456789")))=0),"OK","Wrong format"))</f>
        <v/>
      </c>
      <c r="AL917" s="27">
        <f>IF(TRIM(H917)="","",IF(AND(LEN(UPPER(TRIM(H917)))=10,SUMPRODUCT(--ISERROR(FIND(MID(UPPER(TRIM(H917)),{1,2,3,4,10},1),"ABCDEFGHIJKLMNOPQRSTUVWXYZ")))=0,SUMPRODUCT(--ISERROR(FIND(MID(UPPER(TRIM(H917)),{5,6,7,8,9},1),"0123456789")))=0),"OK","Wrong format"))</f>
        <v/>
      </c>
      <c r="AM917" s="28">
        <f>IF(NOT(COUNTA(A917:AE917)&gt;0),"",IF(AS917&lt;&gt;"","✖ "&amp;LEFT(AS917,LEN(AS917)-2),IF(AR917&gt;0,"✔ Ready — client + "&amp;AR917&amp;" service(s)","✔ Ready — client only")))</f>
        <v/>
      </c>
      <c r="AN917" s="29">
        <f>UPPER(SUBSTITUTE(TRIM(F917)," ",""))</f>
        <v/>
      </c>
      <c r="AO917" s="29">
        <f>UPPER(SUBSTITUTE(TRIM(E917)," ",""))</f>
        <v/>
      </c>
      <c r="AP917" s="29">
        <f>IF(D917&lt;&gt;"",D917,IFERROR(VLOOKUP(MID(AG917,4,1),Lists!$E$2:$F$8,2,FALSE),""))</f>
        <v/>
      </c>
      <c r="AQ917" s="29">
        <f>IFERROR(VLOOKUP(AP917,Lists!$A$2:$C$12,3,FALSE),"")</f>
        <v/>
      </c>
      <c r="AR917" s="29">
        <f>COUNTIF(W917:AC917,"Yes")</f>
        <v/>
      </c>
      <c r="AS917" s="29">
        <f>IF(TRIM(B917)="","Legal name missing; ","")&amp;IF(AND(AJ917&lt;&gt;"",AJ917&lt;&gt;"OK"),"GSTIN: "&amp;AJ917&amp;"; ","")&amp;IF(AND(AK917&lt;&gt;"",AK917&lt;&gt;"OK"),"PAN wrong format; ","")&amp;IF(AND(AO917&lt;&gt;"",LEN(AN917)=15,MID(AN917,3,10)&lt;&gt;AO917),"PAN does not match GSTIN; ","")&amp;IF(AND(AL917&lt;&gt;"",AL917&lt;&gt;"OK"),"TAN wrong format; ","")&amp;IF(AG917="","PAN missing; ","")&amp;IF(AP917="","Entity type missing; ","")&amp;IF(AND(AN917&lt;&gt;"",COUNTIF($AN$6:$AN$1005,AN917)&gt;1),"GSTIN repeated in this sheet; ","")&amp;IF(AND(AG917&lt;&gt;"",COUNTIF($AG$6:$AG$1005,AG917)&gt;1),"PAN repeated in this sheet (same client? put extra GSTINs in Other GSTINs); ","")&amp;IF(AND(AR917&gt;0,V917=""),"Financial year missing; ","")&amp;IF(AND(AR917=0,V917&lt;&gt;""),"Financial year given but no service is Yes; ","")&amp;IF(AND(W917="Yes",AN917=""),"GST needs a GSTIN; ","")&amp;IF(AND(W917="Yes",X917=""),"GST return frequency missing; ","")&amp;IF(AND(Y917="Yes",TRIM(H917)=""),"TDS needs a TAN; ","")&amp;IF(AND(AA917="Yes",AQ917&lt;&gt;"",AQ917&lt;&gt;"company",AQ917&lt;&gt;"llp"),"ROC is only for a company / LLP; ","")&amp;IF(AND(AA917="Yes",OR(AQ917="company",AQ917="llp"),TRIM(I917)=""),"ROC needs the CIN / LLPIN; ","")</f>
        <v/>
      </c>
    </row>
    <row r="918">
      <c r="A918" s="30" t="n"/>
      <c r="B918" s="31" t="n"/>
      <c r="C918" s="31" t="n"/>
      <c r="D918" s="31" t="n"/>
      <c r="E918" s="30" t="n"/>
      <c r="F918" s="30" t="n"/>
      <c r="G918" s="30" t="n"/>
      <c r="H918" s="30" t="n"/>
      <c r="I918" s="30" t="n"/>
      <c r="J918" s="32" t="n"/>
      <c r="K918" s="31" t="n"/>
      <c r="L918" s="30" t="n"/>
      <c r="M918" s="31" t="n"/>
      <c r="N918" s="31" t="n"/>
      <c r="O918" s="31" t="n"/>
      <c r="P918" s="30" t="n"/>
      <c r="Q918" s="31" t="n"/>
      <c r="R918" s="31" t="n"/>
      <c r="S918" s="31" t="n"/>
      <c r="T918" s="31" t="n"/>
      <c r="U918" s="30" t="n"/>
      <c r="V918" s="31" t="n"/>
      <c r="W918" s="31" t="n"/>
      <c r="X918" s="31" t="n"/>
      <c r="Y918" s="31" t="n"/>
      <c r="Z918" s="31" t="n"/>
      <c r="AA918" s="31" t="n"/>
      <c r="AB918" s="31" t="n"/>
      <c r="AC918" s="31" t="n"/>
      <c r="AD918" s="31" t="n"/>
      <c r="AE918" s="31" t="n"/>
      <c r="AF918" s="27">
        <f>IF(NOT(COUNTA(A918:AE918)&gt;0),"",IF(A918="","New client","Update"))</f>
        <v/>
      </c>
      <c r="AG918" s="27">
        <f>IF(AO918&lt;&gt;"",AO918,IF(LEN(AN918)=15,MID(AN918,3,10),""))</f>
        <v/>
      </c>
      <c r="AH918" s="27">
        <f>IF(AP918="","",AP918&amp;IF(D918="","  (guessed from PAN)",""))</f>
        <v/>
      </c>
      <c r="AI918" s="27">
        <f>IF(AN918="","",IFERROR(INDEX(Lists!$L$2:$L$38,MATCH(LEFT(AN918,2),Lists!$K$2:$K$38,0)),"Unknown code"))</f>
        <v/>
      </c>
      <c r="AJ918" s="27">
        <f>IF(AN918="","",IFERROR(IF(NOT(AND(LEN(AN918)=15,ISNUMBER(MATCH(LEFT(AN918,2),Lists!$K$2:$K$38,0)),SUMPRODUCT(--ISERROR(FIND(MID(MID(AN918,3,10),{1,2,3,4,5,10},1),"ABCDEFGHIJKLMNOPQRSTUVWXYZ")))=0,SUMPRODUCT(--ISERROR(FIND(MID(MID(AN918,3,10),{6,7,8,9},1),"0123456789")))=0,ISNUMBER(FIND(MID(AN918,13,1),"123456789ABCDEFGHIJKLMNOPQRSTUVWXYZ")),MID(AN918,14,1)="Z")),"Wrong format",IF(MID("0123456789ABCDEFGHIJKLMNOPQRSTUVWXYZ",MOD(36-MOD(SUMPRODUCT(INT((FIND(MID(AN918,{1,2,3,4,5,6,7,8,9,10,11,12,13,14},1),"0123456789ABCDEFGHIJKLMNOPQRSTUVWXYZ")-1)*{1,2,1,2,1,2,1,2,1,2,1,2,1,2}/36)+MOD((FIND(MID(AN918,{1,2,3,4,5,6,7,8,9,10,11,12,13,14},1),"0123456789ABCDEFGHIJKLMNOPQRSTUVWXYZ")-1)*{1,2,1,2,1,2,1,2,1,2,1,2,1,2},36)),36),36)+1,1)=MID(AN918,15,1),"OK","Typo? check digit wrong")),"Wrong format"))</f>
        <v/>
      </c>
      <c r="AK918" s="27">
        <f>IF(AO918="","",IF(AND(LEN(AO918)=10,SUMPRODUCT(--ISERROR(FIND(MID(AO918,{1,2,3,4,5,10},1),"ABCDEFGHIJKLMNOPQRSTUVWXYZ")))=0,SUMPRODUCT(--ISERROR(FIND(MID(AO918,{6,7,8,9},1),"0123456789")))=0),"OK","Wrong format"))</f>
        <v/>
      </c>
      <c r="AL918" s="27">
        <f>IF(TRIM(H918)="","",IF(AND(LEN(UPPER(TRIM(H918)))=10,SUMPRODUCT(--ISERROR(FIND(MID(UPPER(TRIM(H918)),{1,2,3,4,10},1),"ABCDEFGHIJKLMNOPQRSTUVWXYZ")))=0,SUMPRODUCT(--ISERROR(FIND(MID(UPPER(TRIM(H918)),{5,6,7,8,9},1),"0123456789")))=0),"OK","Wrong format"))</f>
        <v/>
      </c>
      <c r="AM918" s="28">
        <f>IF(NOT(COUNTA(A918:AE918)&gt;0),"",IF(AS918&lt;&gt;"","✖ "&amp;LEFT(AS918,LEN(AS918)-2),IF(AR918&gt;0,"✔ Ready — client + "&amp;AR918&amp;" service(s)","✔ Ready — client only")))</f>
        <v/>
      </c>
      <c r="AN918" s="29">
        <f>UPPER(SUBSTITUTE(TRIM(F918)," ",""))</f>
        <v/>
      </c>
      <c r="AO918" s="29">
        <f>UPPER(SUBSTITUTE(TRIM(E918)," ",""))</f>
        <v/>
      </c>
      <c r="AP918" s="29">
        <f>IF(D918&lt;&gt;"",D918,IFERROR(VLOOKUP(MID(AG918,4,1),Lists!$E$2:$F$8,2,FALSE),""))</f>
        <v/>
      </c>
      <c r="AQ918" s="29">
        <f>IFERROR(VLOOKUP(AP918,Lists!$A$2:$C$12,3,FALSE),"")</f>
        <v/>
      </c>
      <c r="AR918" s="29">
        <f>COUNTIF(W918:AC918,"Yes")</f>
        <v/>
      </c>
      <c r="AS918" s="29">
        <f>IF(TRIM(B918)="","Legal name missing; ","")&amp;IF(AND(AJ918&lt;&gt;"",AJ918&lt;&gt;"OK"),"GSTIN: "&amp;AJ918&amp;"; ","")&amp;IF(AND(AK918&lt;&gt;"",AK918&lt;&gt;"OK"),"PAN wrong format; ","")&amp;IF(AND(AO918&lt;&gt;"",LEN(AN918)=15,MID(AN918,3,10)&lt;&gt;AO918),"PAN does not match GSTIN; ","")&amp;IF(AND(AL918&lt;&gt;"",AL918&lt;&gt;"OK"),"TAN wrong format; ","")&amp;IF(AG918="","PAN missing; ","")&amp;IF(AP918="","Entity type missing; ","")&amp;IF(AND(AN918&lt;&gt;"",COUNTIF($AN$6:$AN$1005,AN918)&gt;1),"GSTIN repeated in this sheet; ","")&amp;IF(AND(AG918&lt;&gt;"",COUNTIF($AG$6:$AG$1005,AG918)&gt;1),"PAN repeated in this sheet (same client? put extra GSTINs in Other GSTINs); ","")&amp;IF(AND(AR918&gt;0,V918=""),"Financial year missing; ","")&amp;IF(AND(AR918=0,V918&lt;&gt;""),"Financial year given but no service is Yes; ","")&amp;IF(AND(W918="Yes",AN918=""),"GST needs a GSTIN; ","")&amp;IF(AND(W918="Yes",X918=""),"GST return frequency missing; ","")&amp;IF(AND(Y918="Yes",TRIM(H918)=""),"TDS needs a TAN; ","")&amp;IF(AND(AA918="Yes",AQ918&lt;&gt;"",AQ918&lt;&gt;"company",AQ918&lt;&gt;"llp"),"ROC is only for a company / LLP; ","")&amp;IF(AND(AA918="Yes",OR(AQ918="company",AQ918="llp"),TRIM(I918)=""),"ROC needs the CIN / LLPIN; ","")</f>
        <v/>
      </c>
    </row>
    <row r="919">
      <c r="A919" s="30" t="n"/>
      <c r="B919" s="31" t="n"/>
      <c r="C919" s="31" t="n"/>
      <c r="D919" s="31" t="n"/>
      <c r="E919" s="30" t="n"/>
      <c r="F919" s="30" t="n"/>
      <c r="G919" s="30" t="n"/>
      <c r="H919" s="30" t="n"/>
      <c r="I919" s="30" t="n"/>
      <c r="J919" s="32" t="n"/>
      <c r="K919" s="31" t="n"/>
      <c r="L919" s="30" t="n"/>
      <c r="M919" s="31" t="n"/>
      <c r="N919" s="31" t="n"/>
      <c r="O919" s="31" t="n"/>
      <c r="P919" s="30" t="n"/>
      <c r="Q919" s="31" t="n"/>
      <c r="R919" s="31" t="n"/>
      <c r="S919" s="31" t="n"/>
      <c r="T919" s="31" t="n"/>
      <c r="U919" s="30" t="n"/>
      <c r="V919" s="31" t="n"/>
      <c r="W919" s="31" t="n"/>
      <c r="X919" s="31" t="n"/>
      <c r="Y919" s="31" t="n"/>
      <c r="Z919" s="31" t="n"/>
      <c r="AA919" s="31" t="n"/>
      <c r="AB919" s="31" t="n"/>
      <c r="AC919" s="31" t="n"/>
      <c r="AD919" s="31" t="n"/>
      <c r="AE919" s="31" t="n"/>
      <c r="AF919" s="27">
        <f>IF(NOT(COUNTA(A919:AE919)&gt;0),"",IF(A919="","New client","Update"))</f>
        <v/>
      </c>
      <c r="AG919" s="27">
        <f>IF(AO919&lt;&gt;"",AO919,IF(LEN(AN919)=15,MID(AN919,3,10),""))</f>
        <v/>
      </c>
      <c r="AH919" s="27">
        <f>IF(AP919="","",AP919&amp;IF(D919="","  (guessed from PAN)",""))</f>
        <v/>
      </c>
      <c r="AI919" s="27">
        <f>IF(AN919="","",IFERROR(INDEX(Lists!$L$2:$L$38,MATCH(LEFT(AN919,2),Lists!$K$2:$K$38,0)),"Unknown code"))</f>
        <v/>
      </c>
      <c r="AJ919" s="27">
        <f>IF(AN919="","",IFERROR(IF(NOT(AND(LEN(AN919)=15,ISNUMBER(MATCH(LEFT(AN919,2),Lists!$K$2:$K$38,0)),SUMPRODUCT(--ISERROR(FIND(MID(MID(AN919,3,10),{1,2,3,4,5,10},1),"ABCDEFGHIJKLMNOPQRSTUVWXYZ")))=0,SUMPRODUCT(--ISERROR(FIND(MID(MID(AN919,3,10),{6,7,8,9},1),"0123456789")))=0,ISNUMBER(FIND(MID(AN919,13,1),"123456789ABCDEFGHIJKLMNOPQRSTUVWXYZ")),MID(AN919,14,1)="Z")),"Wrong format",IF(MID("0123456789ABCDEFGHIJKLMNOPQRSTUVWXYZ",MOD(36-MOD(SUMPRODUCT(INT((FIND(MID(AN919,{1,2,3,4,5,6,7,8,9,10,11,12,13,14},1),"0123456789ABCDEFGHIJKLMNOPQRSTUVWXYZ")-1)*{1,2,1,2,1,2,1,2,1,2,1,2,1,2}/36)+MOD((FIND(MID(AN919,{1,2,3,4,5,6,7,8,9,10,11,12,13,14},1),"0123456789ABCDEFGHIJKLMNOPQRSTUVWXYZ")-1)*{1,2,1,2,1,2,1,2,1,2,1,2,1,2},36)),36),36)+1,1)=MID(AN919,15,1),"OK","Typo? check digit wrong")),"Wrong format"))</f>
        <v/>
      </c>
      <c r="AK919" s="27">
        <f>IF(AO919="","",IF(AND(LEN(AO919)=10,SUMPRODUCT(--ISERROR(FIND(MID(AO919,{1,2,3,4,5,10},1),"ABCDEFGHIJKLMNOPQRSTUVWXYZ")))=0,SUMPRODUCT(--ISERROR(FIND(MID(AO919,{6,7,8,9},1),"0123456789")))=0),"OK","Wrong format"))</f>
        <v/>
      </c>
      <c r="AL919" s="27">
        <f>IF(TRIM(H919)="","",IF(AND(LEN(UPPER(TRIM(H919)))=10,SUMPRODUCT(--ISERROR(FIND(MID(UPPER(TRIM(H919)),{1,2,3,4,10},1),"ABCDEFGHIJKLMNOPQRSTUVWXYZ")))=0,SUMPRODUCT(--ISERROR(FIND(MID(UPPER(TRIM(H919)),{5,6,7,8,9},1),"0123456789")))=0),"OK","Wrong format"))</f>
        <v/>
      </c>
      <c r="AM919" s="28">
        <f>IF(NOT(COUNTA(A919:AE919)&gt;0),"",IF(AS919&lt;&gt;"","✖ "&amp;LEFT(AS919,LEN(AS919)-2),IF(AR919&gt;0,"✔ Ready — client + "&amp;AR919&amp;" service(s)","✔ Ready — client only")))</f>
        <v/>
      </c>
      <c r="AN919" s="29">
        <f>UPPER(SUBSTITUTE(TRIM(F919)," ",""))</f>
        <v/>
      </c>
      <c r="AO919" s="29">
        <f>UPPER(SUBSTITUTE(TRIM(E919)," ",""))</f>
        <v/>
      </c>
      <c r="AP919" s="29">
        <f>IF(D919&lt;&gt;"",D919,IFERROR(VLOOKUP(MID(AG919,4,1),Lists!$E$2:$F$8,2,FALSE),""))</f>
        <v/>
      </c>
      <c r="AQ919" s="29">
        <f>IFERROR(VLOOKUP(AP919,Lists!$A$2:$C$12,3,FALSE),"")</f>
        <v/>
      </c>
      <c r="AR919" s="29">
        <f>COUNTIF(W919:AC919,"Yes")</f>
        <v/>
      </c>
      <c r="AS919" s="29">
        <f>IF(TRIM(B919)="","Legal name missing; ","")&amp;IF(AND(AJ919&lt;&gt;"",AJ919&lt;&gt;"OK"),"GSTIN: "&amp;AJ919&amp;"; ","")&amp;IF(AND(AK919&lt;&gt;"",AK919&lt;&gt;"OK"),"PAN wrong format; ","")&amp;IF(AND(AO919&lt;&gt;"",LEN(AN919)=15,MID(AN919,3,10)&lt;&gt;AO919),"PAN does not match GSTIN; ","")&amp;IF(AND(AL919&lt;&gt;"",AL919&lt;&gt;"OK"),"TAN wrong format; ","")&amp;IF(AG919="","PAN missing; ","")&amp;IF(AP919="","Entity type missing; ","")&amp;IF(AND(AN919&lt;&gt;"",COUNTIF($AN$6:$AN$1005,AN919)&gt;1),"GSTIN repeated in this sheet; ","")&amp;IF(AND(AG919&lt;&gt;"",COUNTIF($AG$6:$AG$1005,AG919)&gt;1),"PAN repeated in this sheet (same client? put extra GSTINs in Other GSTINs); ","")&amp;IF(AND(AR919&gt;0,V919=""),"Financial year missing; ","")&amp;IF(AND(AR919=0,V919&lt;&gt;""),"Financial year given but no service is Yes; ","")&amp;IF(AND(W919="Yes",AN919=""),"GST needs a GSTIN; ","")&amp;IF(AND(W919="Yes",X919=""),"GST return frequency missing; ","")&amp;IF(AND(Y919="Yes",TRIM(H919)=""),"TDS needs a TAN; ","")&amp;IF(AND(AA919="Yes",AQ919&lt;&gt;"",AQ919&lt;&gt;"company",AQ919&lt;&gt;"llp"),"ROC is only for a company / LLP; ","")&amp;IF(AND(AA919="Yes",OR(AQ919="company",AQ919="llp"),TRIM(I919)=""),"ROC needs the CIN / LLPIN; ","")</f>
        <v/>
      </c>
    </row>
    <row r="920">
      <c r="A920" s="30" t="n"/>
      <c r="B920" s="31" t="n"/>
      <c r="C920" s="31" t="n"/>
      <c r="D920" s="31" t="n"/>
      <c r="E920" s="30" t="n"/>
      <c r="F920" s="30" t="n"/>
      <c r="G920" s="30" t="n"/>
      <c r="H920" s="30" t="n"/>
      <c r="I920" s="30" t="n"/>
      <c r="J920" s="32" t="n"/>
      <c r="K920" s="31" t="n"/>
      <c r="L920" s="30" t="n"/>
      <c r="M920" s="31" t="n"/>
      <c r="N920" s="31" t="n"/>
      <c r="O920" s="31" t="n"/>
      <c r="P920" s="30" t="n"/>
      <c r="Q920" s="31" t="n"/>
      <c r="R920" s="31" t="n"/>
      <c r="S920" s="31" t="n"/>
      <c r="T920" s="31" t="n"/>
      <c r="U920" s="30" t="n"/>
      <c r="V920" s="31" t="n"/>
      <c r="W920" s="31" t="n"/>
      <c r="X920" s="31" t="n"/>
      <c r="Y920" s="31" t="n"/>
      <c r="Z920" s="31" t="n"/>
      <c r="AA920" s="31" t="n"/>
      <c r="AB920" s="31" t="n"/>
      <c r="AC920" s="31" t="n"/>
      <c r="AD920" s="31" t="n"/>
      <c r="AE920" s="31" t="n"/>
      <c r="AF920" s="27">
        <f>IF(NOT(COUNTA(A920:AE920)&gt;0),"",IF(A920="","New client","Update"))</f>
        <v/>
      </c>
      <c r="AG920" s="27">
        <f>IF(AO920&lt;&gt;"",AO920,IF(LEN(AN920)=15,MID(AN920,3,10),""))</f>
        <v/>
      </c>
      <c r="AH920" s="27">
        <f>IF(AP920="","",AP920&amp;IF(D920="","  (guessed from PAN)",""))</f>
        <v/>
      </c>
      <c r="AI920" s="27">
        <f>IF(AN920="","",IFERROR(INDEX(Lists!$L$2:$L$38,MATCH(LEFT(AN920,2),Lists!$K$2:$K$38,0)),"Unknown code"))</f>
        <v/>
      </c>
      <c r="AJ920" s="27">
        <f>IF(AN920="","",IFERROR(IF(NOT(AND(LEN(AN920)=15,ISNUMBER(MATCH(LEFT(AN920,2),Lists!$K$2:$K$38,0)),SUMPRODUCT(--ISERROR(FIND(MID(MID(AN920,3,10),{1,2,3,4,5,10},1),"ABCDEFGHIJKLMNOPQRSTUVWXYZ")))=0,SUMPRODUCT(--ISERROR(FIND(MID(MID(AN920,3,10),{6,7,8,9},1),"0123456789")))=0,ISNUMBER(FIND(MID(AN920,13,1),"123456789ABCDEFGHIJKLMNOPQRSTUVWXYZ")),MID(AN920,14,1)="Z")),"Wrong format",IF(MID("0123456789ABCDEFGHIJKLMNOPQRSTUVWXYZ",MOD(36-MOD(SUMPRODUCT(INT((FIND(MID(AN920,{1,2,3,4,5,6,7,8,9,10,11,12,13,14},1),"0123456789ABCDEFGHIJKLMNOPQRSTUVWXYZ")-1)*{1,2,1,2,1,2,1,2,1,2,1,2,1,2}/36)+MOD((FIND(MID(AN920,{1,2,3,4,5,6,7,8,9,10,11,12,13,14},1),"0123456789ABCDEFGHIJKLMNOPQRSTUVWXYZ")-1)*{1,2,1,2,1,2,1,2,1,2,1,2,1,2},36)),36),36)+1,1)=MID(AN920,15,1),"OK","Typo? check digit wrong")),"Wrong format"))</f>
        <v/>
      </c>
      <c r="AK920" s="27">
        <f>IF(AO920="","",IF(AND(LEN(AO920)=10,SUMPRODUCT(--ISERROR(FIND(MID(AO920,{1,2,3,4,5,10},1),"ABCDEFGHIJKLMNOPQRSTUVWXYZ")))=0,SUMPRODUCT(--ISERROR(FIND(MID(AO920,{6,7,8,9},1),"0123456789")))=0),"OK","Wrong format"))</f>
        <v/>
      </c>
      <c r="AL920" s="27">
        <f>IF(TRIM(H920)="","",IF(AND(LEN(UPPER(TRIM(H920)))=10,SUMPRODUCT(--ISERROR(FIND(MID(UPPER(TRIM(H920)),{1,2,3,4,10},1),"ABCDEFGHIJKLMNOPQRSTUVWXYZ")))=0,SUMPRODUCT(--ISERROR(FIND(MID(UPPER(TRIM(H920)),{5,6,7,8,9},1),"0123456789")))=0),"OK","Wrong format"))</f>
        <v/>
      </c>
      <c r="AM920" s="28">
        <f>IF(NOT(COUNTA(A920:AE920)&gt;0),"",IF(AS920&lt;&gt;"","✖ "&amp;LEFT(AS920,LEN(AS920)-2),IF(AR920&gt;0,"✔ Ready — client + "&amp;AR920&amp;" service(s)","✔ Ready — client only")))</f>
        <v/>
      </c>
      <c r="AN920" s="29">
        <f>UPPER(SUBSTITUTE(TRIM(F920)," ",""))</f>
        <v/>
      </c>
      <c r="AO920" s="29">
        <f>UPPER(SUBSTITUTE(TRIM(E920)," ",""))</f>
        <v/>
      </c>
      <c r="AP920" s="29">
        <f>IF(D920&lt;&gt;"",D920,IFERROR(VLOOKUP(MID(AG920,4,1),Lists!$E$2:$F$8,2,FALSE),""))</f>
        <v/>
      </c>
      <c r="AQ920" s="29">
        <f>IFERROR(VLOOKUP(AP920,Lists!$A$2:$C$12,3,FALSE),"")</f>
        <v/>
      </c>
      <c r="AR920" s="29">
        <f>COUNTIF(W920:AC920,"Yes")</f>
        <v/>
      </c>
      <c r="AS920" s="29">
        <f>IF(TRIM(B920)="","Legal name missing; ","")&amp;IF(AND(AJ920&lt;&gt;"",AJ920&lt;&gt;"OK"),"GSTIN: "&amp;AJ920&amp;"; ","")&amp;IF(AND(AK920&lt;&gt;"",AK920&lt;&gt;"OK"),"PAN wrong format; ","")&amp;IF(AND(AO920&lt;&gt;"",LEN(AN920)=15,MID(AN920,3,10)&lt;&gt;AO920),"PAN does not match GSTIN; ","")&amp;IF(AND(AL920&lt;&gt;"",AL920&lt;&gt;"OK"),"TAN wrong format; ","")&amp;IF(AG920="","PAN missing; ","")&amp;IF(AP920="","Entity type missing; ","")&amp;IF(AND(AN920&lt;&gt;"",COUNTIF($AN$6:$AN$1005,AN920)&gt;1),"GSTIN repeated in this sheet; ","")&amp;IF(AND(AG920&lt;&gt;"",COUNTIF($AG$6:$AG$1005,AG920)&gt;1),"PAN repeated in this sheet (same client? put extra GSTINs in Other GSTINs); ","")&amp;IF(AND(AR920&gt;0,V920=""),"Financial year missing; ","")&amp;IF(AND(AR920=0,V920&lt;&gt;""),"Financial year given but no service is Yes; ","")&amp;IF(AND(W920="Yes",AN920=""),"GST needs a GSTIN; ","")&amp;IF(AND(W920="Yes",X920=""),"GST return frequency missing; ","")&amp;IF(AND(Y920="Yes",TRIM(H920)=""),"TDS needs a TAN; ","")&amp;IF(AND(AA920="Yes",AQ920&lt;&gt;"",AQ920&lt;&gt;"company",AQ920&lt;&gt;"llp"),"ROC is only for a company / LLP; ","")&amp;IF(AND(AA920="Yes",OR(AQ920="company",AQ920="llp"),TRIM(I920)=""),"ROC needs the CIN / LLPIN; ","")</f>
        <v/>
      </c>
    </row>
    <row r="921">
      <c r="A921" s="30" t="n"/>
      <c r="B921" s="31" t="n"/>
      <c r="C921" s="31" t="n"/>
      <c r="D921" s="31" t="n"/>
      <c r="E921" s="30" t="n"/>
      <c r="F921" s="30" t="n"/>
      <c r="G921" s="30" t="n"/>
      <c r="H921" s="30" t="n"/>
      <c r="I921" s="30" t="n"/>
      <c r="J921" s="32" t="n"/>
      <c r="K921" s="31" t="n"/>
      <c r="L921" s="30" t="n"/>
      <c r="M921" s="31" t="n"/>
      <c r="N921" s="31" t="n"/>
      <c r="O921" s="31" t="n"/>
      <c r="P921" s="30" t="n"/>
      <c r="Q921" s="31" t="n"/>
      <c r="R921" s="31" t="n"/>
      <c r="S921" s="31" t="n"/>
      <c r="T921" s="31" t="n"/>
      <c r="U921" s="30" t="n"/>
      <c r="V921" s="31" t="n"/>
      <c r="W921" s="31" t="n"/>
      <c r="X921" s="31" t="n"/>
      <c r="Y921" s="31" t="n"/>
      <c r="Z921" s="31" t="n"/>
      <c r="AA921" s="31" t="n"/>
      <c r="AB921" s="31" t="n"/>
      <c r="AC921" s="31" t="n"/>
      <c r="AD921" s="31" t="n"/>
      <c r="AE921" s="31" t="n"/>
      <c r="AF921" s="27">
        <f>IF(NOT(COUNTA(A921:AE921)&gt;0),"",IF(A921="","New client","Update"))</f>
        <v/>
      </c>
      <c r="AG921" s="27">
        <f>IF(AO921&lt;&gt;"",AO921,IF(LEN(AN921)=15,MID(AN921,3,10),""))</f>
        <v/>
      </c>
      <c r="AH921" s="27">
        <f>IF(AP921="","",AP921&amp;IF(D921="","  (guessed from PAN)",""))</f>
        <v/>
      </c>
      <c r="AI921" s="27">
        <f>IF(AN921="","",IFERROR(INDEX(Lists!$L$2:$L$38,MATCH(LEFT(AN921,2),Lists!$K$2:$K$38,0)),"Unknown code"))</f>
        <v/>
      </c>
      <c r="AJ921" s="27">
        <f>IF(AN921="","",IFERROR(IF(NOT(AND(LEN(AN921)=15,ISNUMBER(MATCH(LEFT(AN921,2),Lists!$K$2:$K$38,0)),SUMPRODUCT(--ISERROR(FIND(MID(MID(AN921,3,10),{1,2,3,4,5,10},1),"ABCDEFGHIJKLMNOPQRSTUVWXYZ")))=0,SUMPRODUCT(--ISERROR(FIND(MID(MID(AN921,3,10),{6,7,8,9},1),"0123456789")))=0,ISNUMBER(FIND(MID(AN921,13,1),"123456789ABCDEFGHIJKLMNOPQRSTUVWXYZ")),MID(AN921,14,1)="Z")),"Wrong format",IF(MID("0123456789ABCDEFGHIJKLMNOPQRSTUVWXYZ",MOD(36-MOD(SUMPRODUCT(INT((FIND(MID(AN921,{1,2,3,4,5,6,7,8,9,10,11,12,13,14},1),"0123456789ABCDEFGHIJKLMNOPQRSTUVWXYZ")-1)*{1,2,1,2,1,2,1,2,1,2,1,2,1,2}/36)+MOD((FIND(MID(AN921,{1,2,3,4,5,6,7,8,9,10,11,12,13,14},1),"0123456789ABCDEFGHIJKLMNOPQRSTUVWXYZ")-1)*{1,2,1,2,1,2,1,2,1,2,1,2,1,2},36)),36),36)+1,1)=MID(AN921,15,1),"OK","Typo? check digit wrong")),"Wrong format"))</f>
        <v/>
      </c>
      <c r="AK921" s="27">
        <f>IF(AO921="","",IF(AND(LEN(AO921)=10,SUMPRODUCT(--ISERROR(FIND(MID(AO921,{1,2,3,4,5,10},1),"ABCDEFGHIJKLMNOPQRSTUVWXYZ")))=0,SUMPRODUCT(--ISERROR(FIND(MID(AO921,{6,7,8,9},1),"0123456789")))=0),"OK","Wrong format"))</f>
        <v/>
      </c>
      <c r="AL921" s="27">
        <f>IF(TRIM(H921)="","",IF(AND(LEN(UPPER(TRIM(H921)))=10,SUMPRODUCT(--ISERROR(FIND(MID(UPPER(TRIM(H921)),{1,2,3,4,10},1),"ABCDEFGHIJKLMNOPQRSTUVWXYZ")))=0,SUMPRODUCT(--ISERROR(FIND(MID(UPPER(TRIM(H921)),{5,6,7,8,9},1),"0123456789")))=0),"OK","Wrong format"))</f>
        <v/>
      </c>
      <c r="AM921" s="28">
        <f>IF(NOT(COUNTA(A921:AE921)&gt;0),"",IF(AS921&lt;&gt;"","✖ "&amp;LEFT(AS921,LEN(AS921)-2),IF(AR921&gt;0,"✔ Ready — client + "&amp;AR921&amp;" service(s)","✔ Ready — client only")))</f>
        <v/>
      </c>
      <c r="AN921" s="29">
        <f>UPPER(SUBSTITUTE(TRIM(F921)," ",""))</f>
        <v/>
      </c>
      <c r="AO921" s="29">
        <f>UPPER(SUBSTITUTE(TRIM(E921)," ",""))</f>
        <v/>
      </c>
      <c r="AP921" s="29">
        <f>IF(D921&lt;&gt;"",D921,IFERROR(VLOOKUP(MID(AG921,4,1),Lists!$E$2:$F$8,2,FALSE),""))</f>
        <v/>
      </c>
      <c r="AQ921" s="29">
        <f>IFERROR(VLOOKUP(AP921,Lists!$A$2:$C$12,3,FALSE),"")</f>
        <v/>
      </c>
      <c r="AR921" s="29">
        <f>COUNTIF(W921:AC921,"Yes")</f>
        <v/>
      </c>
      <c r="AS921" s="29">
        <f>IF(TRIM(B921)="","Legal name missing; ","")&amp;IF(AND(AJ921&lt;&gt;"",AJ921&lt;&gt;"OK"),"GSTIN: "&amp;AJ921&amp;"; ","")&amp;IF(AND(AK921&lt;&gt;"",AK921&lt;&gt;"OK"),"PAN wrong format; ","")&amp;IF(AND(AO921&lt;&gt;"",LEN(AN921)=15,MID(AN921,3,10)&lt;&gt;AO921),"PAN does not match GSTIN; ","")&amp;IF(AND(AL921&lt;&gt;"",AL921&lt;&gt;"OK"),"TAN wrong format; ","")&amp;IF(AG921="","PAN missing; ","")&amp;IF(AP921="","Entity type missing; ","")&amp;IF(AND(AN921&lt;&gt;"",COUNTIF($AN$6:$AN$1005,AN921)&gt;1),"GSTIN repeated in this sheet; ","")&amp;IF(AND(AG921&lt;&gt;"",COUNTIF($AG$6:$AG$1005,AG921)&gt;1),"PAN repeated in this sheet (same client? put extra GSTINs in Other GSTINs); ","")&amp;IF(AND(AR921&gt;0,V921=""),"Financial year missing; ","")&amp;IF(AND(AR921=0,V921&lt;&gt;""),"Financial year given but no service is Yes; ","")&amp;IF(AND(W921="Yes",AN921=""),"GST needs a GSTIN; ","")&amp;IF(AND(W921="Yes",X921=""),"GST return frequency missing; ","")&amp;IF(AND(Y921="Yes",TRIM(H921)=""),"TDS needs a TAN; ","")&amp;IF(AND(AA921="Yes",AQ921&lt;&gt;"",AQ921&lt;&gt;"company",AQ921&lt;&gt;"llp"),"ROC is only for a company / LLP; ","")&amp;IF(AND(AA921="Yes",OR(AQ921="company",AQ921="llp"),TRIM(I921)=""),"ROC needs the CIN / LLPIN; ","")</f>
        <v/>
      </c>
    </row>
    <row r="922">
      <c r="A922" s="30" t="n"/>
      <c r="B922" s="31" t="n"/>
      <c r="C922" s="31" t="n"/>
      <c r="D922" s="31" t="n"/>
      <c r="E922" s="30" t="n"/>
      <c r="F922" s="30" t="n"/>
      <c r="G922" s="30" t="n"/>
      <c r="H922" s="30" t="n"/>
      <c r="I922" s="30" t="n"/>
      <c r="J922" s="32" t="n"/>
      <c r="K922" s="31" t="n"/>
      <c r="L922" s="30" t="n"/>
      <c r="M922" s="31" t="n"/>
      <c r="N922" s="31" t="n"/>
      <c r="O922" s="31" t="n"/>
      <c r="P922" s="30" t="n"/>
      <c r="Q922" s="31" t="n"/>
      <c r="R922" s="31" t="n"/>
      <c r="S922" s="31" t="n"/>
      <c r="T922" s="31" t="n"/>
      <c r="U922" s="30" t="n"/>
      <c r="V922" s="31" t="n"/>
      <c r="W922" s="31" t="n"/>
      <c r="X922" s="31" t="n"/>
      <c r="Y922" s="31" t="n"/>
      <c r="Z922" s="31" t="n"/>
      <c r="AA922" s="31" t="n"/>
      <c r="AB922" s="31" t="n"/>
      <c r="AC922" s="31" t="n"/>
      <c r="AD922" s="31" t="n"/>
      <c r="AE922" s="31" t="n"/>
      <c r="AF922" s="27">
        <f>IF(NOT(COUNTA(A922:AE922)&gt;0),"",IF(A922="","New client","Update"))</f>
        <v/>
      </c>
      <c r="AG922" s="27">
        <f>IF(AO922&lt;&gt;"",AO922,IF(LEN(AN922)=15,MID(AN922,3,10),""))</f>
        <v/>
      </c>
      <c r="AH922" s="27">
        <f>IF(AP922="","",AP922&amp;IF(D922="","  (guessed from PAN)",""))</f>
        <v/>
      </c>
      <c r="AI922" s="27">
        <f>IF(AN922="","",IFERROR(INDEX(Lists!$L$2:$L$38,MATCH(LEFT(AN922,2),Lists!$K$2:$K$38,0)),"Unknown code"))</f>
        <v/>
      </c>
      <c r="AJ922" s="27">
        <f>IF(AN922="","",IFERROR(IF(NOT(AND(LEN(AN922)=15,ISNUMBER(MATCH(LEFT(AN922,2),Lists!$K$2:$K$38,0)),SUMPRODUCT(--ISERROR(FIND(MID(MID(AN922,3,10),{1,2,3,4,5,10},1),"ABCDEFGHIJKLMNOPQRSTUVWXYZ")))=0,SUMPRODUCT(--ISERROR(FIND(MID(MID(AN922,3,10),{6,7,8,9},1),"0123456789")))=0,ISNUMBER(FIND(MID(AN922,13,1),"123456789ABCDEFGHIJKLMNOPQRSTUVWXYZ")),MID(AN922,14,1)="Z")),"Wrong format",IF(MID("0123456789ABCDEFGHIJKLMNOPQRSTUVWXYZ",MOD(36-MOD(SUMPRODUCT(INT((FIND(MID(AN922,{1,2,3,4,5,6,7,8,9,10,11,12,13,14},1),"0123456789ABCDEFGHIJKLMNOPQRSTUVWXYZ")-1)*{1,2,1,2,1,2,1,2,1,2,1,2,1,2}/36)+MOD((FIND(MID(AN922,{1,2,3,4,5,6,7,8,9,10,11,12,13,14},1),"0123456789ABCDEFGHIJKLMNOPQRSTUVWXYZ")-1)*{1,2,1,2,1,2,1,2,1,2,1,2,1,2},36)),36),36)+1,1)=MID(AN922,15,1),"OK","Typo? check digit wrong")),"Wrong format"))</f>
        <v/>
      </c>
      <c r="AK922" s="27">
        <f>IF(AO922="","",IF(AND(LEN(AO922)=10,SUMPRODUCT(--ISERROR(FIND(MID(AO922,{1,2,3,4,5,10},1),"ABCDEFGHIJKLMNOPQRSTUVWXYZ")))=0,SUMPRODUCT(--ISERROR(FIND(MID(AO922,{6,7,8,9},1),"0123456789")))=0),"OK","Wrong format"))</f>
        <v/>
      </c>
      <c r="AL922" s="27">
        <f>IF(TRIM(H922)="","",IF(AND(LEN(UPPER(TRIM(H922)))=10,SUMPRODUCT(--ISERROR(FIND(MID(UPPER(TRIM(H922)),{1,2,3,4,10},1),"ABCDEFGHIJKLMNOPQRSTUVWXYZ")))=0,SUMPRODUCT(--ISERROR(FIND(MID(UPPER(TRIM(H922)),{5,6,7,8,9},1),"0123456789")))=0),"OK","Wrong format"))</f>
        <v/>
      </c>
      <c r="AM922" s="28">
        <f>IF(NOT(COUNTA(A922:AE922)&gt;0),"",IF(AS922&lt;&gt;"","✖ "&amp;LEFT(AS922,LEN(AS922)-2),IF(AR922&gt;0,"✔ Ready — client + "&amp;AR922&amp;" service(s)","✔ Ready — client only")))</f>
        <v/>
      </c>
      <c r="AN922" s="29">
        <f>UPPER(SUBSTITUTE(TRIM(F922)," ",""))</f>
        <v/>
      </c>
      <c r="AO922" s="29">
        <f>UPPER(SUBSTITUTE(TRIM(E922)," ",""))</f>
        <v/>
      </c>
      <c r="AP922" s="29">
        <f>IF(D922&lt;&gt;"",D922,IFERROR(VLOOKUP(MID(AG922,4,1),Lists!$E$2:$F$8,2,FALSE),""))</f>
        <v/>
      </c>
      <c r="AQ922" s="29">
        <f>IFERROR(VLOOKUP(AP922,Lists!$A$2:$C$12,3,FALSE),"")</f>
        <v/>
      </c>
      <c r="AR922" s="29">
        <f>COUNTIF(W922:AC922,"Yes")</f>
        <v/>
      </c>
      <c r="AS922" s="29">
        <f>IF(TRIM(B922)="","Legal name missing; ","")&amp;IF(AND(AJ922&lt;&gt;"",AJ922&lt;&gt;"OK"),"GSTIN: "&amp;AJ922&amp;"; ","")&amp;IF(AND(AK922&lt;&gt;"",AK922&lt;&gt;"OK"),"PAN wrong format; ","")&amp;IF(AND(AO922&lt;&gt;"",LEN(AN922)=15,MID(AN922,3,10)&lt;&gt;AO922),"PAN does not match GSTIN; ","")&amp;IF(AND(AL922&lt;&gt;"",AL922&lt;&gt;"OK"),"TAN wrong format; ","")&amp;IF(AG922="","PAN missing; ","")&amp;IF(AP922="","Entity type missing; ","")&amp;IF(AND(AN922&lt;&gt;"",COUNTIF($AN$6:$AN$1005,AN922)&gt;1),"GSTIN repeated in this sheet; ","")&amp;IF(AND(AG922&lt;&gt;"",COUNTIF($AG$6:$AG$1005,AG922)&gt;1),"PAN repeated in this sheet (same client? put extra GSTINs in Other GSTINs); ","")&amp;IF(AND(AR922&gt;0,V922=""),"Financial year missing; ","")&amp;IF(AND(AR922=0,V922&lt;&gt;""),"Financial year given but no service is Yes; ","")&amp;IF(AND(W922="Yes",AN922=""),"GST needs a GSTIN; ","")&amp;IF(AND(W922="Yes",X922=""),"GST return frequency missing; ","")&amp;IF(AND(Y922="Yes",TRIM(H922)=""),"TDS needs a TAN; ","")&amp;IF(AND(AA922="Yes",AQ922&lt;&gt;"",AQ922&lt;&gt;"company",AQ922&lt;&gt;"llp"),"ROC is only for a company / LLP; ","")&amp;IF(AND(AA922="Yes",OR(AQ922="company",AQ922="llp"),TRIM(I922)=""),"ROC needs the CIN / LLPIN; ","")</f>
        <v/>
      </c>
    </row>
    <row r="923">
      <c r="A923" s="30" t="n"/>
      <c r="B923" s="31" t="n"/>
      <c r="C923" s="31" t="n"/>
      <c r="D923" s="31" t="n"/>
      <c r="E923" s="30" t="n"/>
      <c r="F923" s="30" t="n"/>
      <c r="G923" s="30" t="n"/>
      <c r="H923" s="30" t="n"/>
      <c r="I923" s="30" t="n"/>
      <c r="J923" s="32" t="n"/>
      <c r="K923" s="31" t="n"/>
      <c r="L923" s="30" t="n"/>
      <c r="M923" s="31" t="n"/>
      <c r="N923" s="31" t="n"/>
      <c r="O923" s="31" t="n"/>
      <c r="P923" s="30" t="n"/>
      <c r="Q923" s="31" t="n"/>
      <c r="R923" s="31" t="n"/>
      <c r="S923" s="31" t="n"/>
      <c r="T923" s="31" t="n"/>
      <c r="U923" s="30" t="n"/>
      <c r="V923" s="31" t="n"/>
      <c r="W923" s="31" t="n"/>
      <c r="X923" s="31" t="n"/>
      <c r="Y923" s="31" t="n"/>
      <c r="Z923" s="31" t="n"/>
      <c r="AA923" s="31" t="n"/>
      <c r="AB923" s="31" t="n"/>
      <c r="AC923" s="31" t="n"/>
      <c r="AD923" s="31" t="n"/>
      <c r="AE923" s="31" t="n"/>
      <c r="AF923" s="27">
        <f>IF(NOT(COUNTA(A923:AE923)&gt;0),"",IF(A923="","New client","Update"))</f>
        <v/>
      </c>
      <c r="AG923" s="27">
        <f>IF(AO923&lt;&gt;"",AO923,IF(LEN(AN923)=15,MID(AN923,3,10),""))</f>
        <v/>
      </c>
      <c r="AH923" s="27">
        <f>IF(AP923="","",AP923&amp;IF(D923="","  (guessed from PAN)",""))</f>
        <v/>
      </c>
      <c r="AI923" s="27">
        <f>IF(AN923="","",IFERROR(INDEX(Lists!$L$2:$L$38,MATCH(LEFT(AN923,2),Lists!$K$2:$K$38,0)),"Unknown code"))</f>
        <v/>
      </c>
      <c r="AJ923" s="27">
        <f>IF(AN923="","",IFERROR(IF(NOT(AND(LEN(AN923)=15,ISNUMBER(MATCH(LEFT(AN923,2),Lists!$K$2:$K$38,0)),SUMPRODUCT(--ISERROR(FIND(MID(MID(AN923,3,10),{1,2,3,4,5,10},1),"ABCDEFGHIJKLMNOPQRSTUVWXYZ")))=0,SUMPRODUCT(--ISERROR(FIND(MID(MID(AN923,3,10),{6,7,8,9},1),"0123456789")))=0,ISNUMBER(FIND(MID(AN923,13,1),"123456789ABCDEFGHIJKLMNOPQRSTUVWXYZ")),MID(AN923,14,1)="Z")),"Wrong format",IF(MID("0123456789ABCDEFGHIJKLMNOPQRSTUVWXYZ",MOD(36-MOD(SUMPRODUCT(INT((FIND(MID(AN923,{1,2,3,4,5,6,7,8,9,10,11,12,13,14},1),"0123456789ABCDEFGHIJKLMNOPQRSTUVWXYZ")-1)*{1,2,1,2,1,2,1,2,1,2,1,2,1,2}/36)+MOD((FIND(MID(AN923,{1,2,3,4,5,6,7,8,9,10,11,12,13,14},1),"0123456789ABCDEFGHIJKLMNOPQRSTUVWXYZ")-1)*{1,2,1,2,1,2,1,2,1,2,1,2,1,2},36)),36),36)+1,1)=MID(AN923,15,1),"OK","Typo? check digit wrong")),"Wrong format"))</f>
        <v/>
      </c>
      <c r="AK923" s="27">
        <f>IF(AO923="","",IF(AND(LEN(AO923)=10,SUMPRODUCT(--ISERROR(FIND(MID(AO923,{1,2,3,4,5,10},1),"ABCDEFGHIJKLMNOPQRSTUVWXYZ")))=0,SUMPRODUCT(--ISERROR(FIND(MID(AO923,{6,7,8,9},1),"0123456789")))=0),"OK","Wrong format"))</f>
        <v/>
      </c>
      <c r="AL923" s="27">
        <f>IF(TRIM(H923)="","",IF(AND(LEN(UPPER(TRIM(H923)))=10,SUMPRODUCT(--ISERROR(FIND(MID(UPPER(TRIM(H923)),{1,2,3,4,10},1),"ABCDEFGHIJKLMNOPQRSTUVWXYZ")))=0,SUMPRODUCT(--ISERROR(FIND(MID(UPPER(TRIM(H923)),{5,6,7,8,9},1),"0123456789")))=0),"OK","Wrong format"))</f>
        <v/>
      </c>
      <c r="AM923" s="28">
        <f>IF(NOT(COUNTA(A923:AE923)&gt;0),"",IF(AS923&lt;&gt;"","✖ "&amp;LEFT(AS923,LEN(AS923)-2),IF(AR923&gt;0,"✔ Ready — client + "&amp;AR923&amp;" service(s)","✔ Ready — client only")))</f>
        <v/>
      </c>
      <c r="AN923" s="29">
        <f>UPPER(SUBSTITUTE(TRIM(F923)," ",""))</f>
        <v/>
      </c>
      <c r="AO923" s="29">
        <f>UPPER(SUBSTITUTE(TRIM(E923)," ",""))</f>
        <v/>
      </c>
      <c r="AP923" s="29">
        <f>IF(D923&lt;&gt;"",D923,IFERROR(VLOOKUP(MID(AG923,4,1),Lists!$E$2:$F$8,2,FALSE),""))</f>
        <v/>
      </c>
      <c r="AQ923" s="29">
        <f>IFERROR(VLOOKUP(AP923,Lists!$A$2:$C$12,3,FALSE),"")</f>
        <v/>
      </c>
      <c r="AR923" s="29">
        <f>COUNTIF(W923:AC923,"Yes")</f>
        <v/>
      </c>
      <c r="AS923" s="29">
        <f>IF(TRIM(B923)="","Legal name missing; ","")&amp;IF(AND(AJ923&lt;&gt;"",AJ923&lt;&gt;"OK"),"GSTIN: "&amp;AJ923&amp;"; ","")&amp;IF(AND(AK923&lt;&gt;"",AK923&lt;&gt;"OK"),"PAN wrong format; ","")&amp;IF(AND(AO923&lt;&gt;"",LEN(AN923)=15,MID(AN923,3,10)&lt;&gt;AO923),"PAN does not match GSTIN; ","")&amp;IF(AND(AL923&lt;&gt;"",AL923&lt;&gt;"OK"),"TAN wrong format; ","")&amp;IF(AG923="","PAN missing; ","")&amp;IF(AP923="","Entity type missing; ","")&amp;IF(AND(AN923&lt;&gt;"",COUNTIF($AN$6:$AN$1005,AN923)&gt;1),"GSTIN repeated in this sheet; ","")&amp;IF(AND(AG923&lt;&gt;"",COUNTIF($AG$6:$AG$1005,AG923)&gt;1),"PAN repeated in this sheet (same client? put extra GSTINs in Other GSTINs); ","")&amp;IF(AND(AR923&gt;0,V923=""),"Financial year missing; ","")&amp;IF(AND(AR923=0,V923&lt;&gt;""),"Financial year given but no service is Yes; ","")&amp;IF(AND(W923="Yes",AN923=""),"GST needs a GSTIN; ","")&amp;IF(AND(W923="Yes",X923=""),"GST return frequency missing; ","")&amp;IF(AND(Y923="Yes",TRIM(H923)=""),"TDS needs a TAN; ","")&amp;IF(AND(AA923="Yes",AQ923&lt;&gt;"",AQ923&lt;&gt;"company",AQ923&lt;&gt;"llp"),"ROC is only for a company / LLP; ","")&amp;IF(AND(AA923="Yes",OR(AQ923="company",AQ923="llp"),TRIM(I923)=""),"ROC needs the CIN / LLPIN; ","")</f>
        <v/>
      </c>
    </row>
    <row r="924">
      <c r="A924" s="30" t="n"/>
      <c r="B924" s="31" t="n"/>
      <c r="C924" s="31" t="n"/>
      <c r="D924" s="31" t="n"/>
      <c r="E924" s="30" t="n"/>
      <c r="F924" s="30" t="n"/>
      <c r="G924" s="30" t="n"/>
      <c r="H924" s="30" t="n"/>
      <c r="I924" s="30" t="n"/>
      <c r="J924" s="32" t="n"/>
      <c r="K924" s="31" t="n"/>
      <c r="L924" s="30" t="n"/>
      <c r="M924" s="31" t="n"/>
      <c r="N924" s="31" t="n"/>
      <c r="O924" s="31" t="n"/>
      <c r="P924" s="30" t="n"/>
      <c r="Q924" s="31" t="n"/>
      <c r="R924" s="31" t="n"/>
      <c r="S924" s="31" t="n"/>
      <c r="T924" s="31" t="n"/>
      <c r="U924" s="30" t="n"/>
      <c r="V924" s="31" t="n"/>
      <c r="W924" s="31" t="n"/>
      <c r="X924" s="31" t="n"/>
      <c r="Y924" s="31" t="n"/>
      <c r="Z924" s="31" t="n"/>
      <c r="AA924" s="31" t="n"/>
      <c r="AB924" s="31" t="n"/>
      <c r="AC924" s="31" t="n"/>
      <c r="AD924" s="31" t="n"/>
      <c r="AE924" s="31" t="n"/>
      <c r="AF924" s="27">
        <f>IF(NOT(COUNTA(A924:AE924)&gt;0),"",IF(A924="","New client","Update"))</f>
        <v/>
      </c>
      <c r="AG924" s="27">
        <f>IF(AO924&lt;&gt;"",AO924,IF(LEN(AN924)=15,MID(AN924,3,10),""))</f>
        <v/>
      </c>
      <c r="AH924" s="27">
        <f>IF(AP924="","",AP924&amp;IF(D924="","  (guessed from PAN)",""))</f>
        <v/>
      </c>
      <c r="AI924" s="27">
        <f>IF(AN924="","",IFERROR(INDEX(Lists!$L$2:$L$38,MATCH(LEFT(AN924,2),Lists!$K$2:$K$38,0)),"Unknown code"))</f>
        <v/>
      </c>
      <c r="AJ924" s="27">
        <f>IF(AN924="","",IFERROR(IF(NOT(AND(LEN(AN924)=15,ISNUMBER(MATCH(LEFT(AN924,2),Lists!$K$2:$K$38,0)),SUMPRODUCT(--ISERROR(FIND(MID(MID(AN924,3,10),{1,2,3,4,5,10},1),"ABCDEFGHIJKLMNOPQRSTUVWXYZ")))=0,SUMPRODUCT(--ISERROR(FIND(MID(MID(AN924,3,10),{6,7,8,9},1),"0123456789")))=0,ISNUMBER(FIND(MID(AN924,13,1),"123456789ABCDEFGHIJKLMNOPQRSTUVWXYZ")),MID(AN924,14,1)="Z")),"Wrong format",IF(MID("0123456789ABCDEFGHIJKLMNOPQRSTUVWXYZ",MOD(36-MOD(SUMPRODUCT(INT((FIND(MID(AN924,{1,2,3,4,5,6,7,8,9,10,11,12,13,14},1),"0123456789ABCDEFGHIJKLMNOPQRSTUVWXYZ")-1)*{1,2,1,2,1,2,1,2,1,2,1,2,1,2}/36)+MOD((FIND(MID(AN924,{1,2,3,4,5,6,7,8,9,10,11,12,13,14},1),"0123456789ABCDEFGHIJKLMNOPQRSTUVWXYZ")-1)*{1,2,1,2,1,2,1,2,1,2,1,2,1,2},36)),36),36)+1,1)=MID(AN924,15,1),"OK","Typo? check digit wrong")),"Wrong format"))</f>
        <v/>
      </c>
      <c r="AK924" s="27">
        <f>IF(AO924="","",IF(AND(LEN(AO924)=10,SUMPRODUCT(--ISERROR(FIND(MID(AO924,{1,2,3,4,5,10},1),"ABCDEFGHIJKLMNOPQRSTUVWXYZ")))=0,SUMPRODUCT(--ISERROR(FIND(MID(AO924,{6,7,8,9},1),"0123456789")))=0),"OK","Wrong format"))</f>
        <v/>
      </c>
      <c r="AL924" s="27">
        <f>IF(TRIM(H924)="","",IF(AND(LEN(UPPER(TRIM(H924)))=10,SUMPRODUCT(--ISERROR(FIND(MID(UPPER(TRIM(H924)),{1,2,3,4,10},1),"ABCDEFGHIJKLMNOPQRSTUVWXYZ")))=0,SUMPRODUCT(--ISERROR(FIND(MID(UPPER(TRIM(H924)),{5,6,7,8,9},1),"0123456789")))=0),"OK","Wrong format"))</f>
        <v/>
      </c>
      <c r="AM924" s="28">
        <f>IF(NOT(COUNTA(A924:AE924)&gt;0),"",IF(AS924&lt;&gt;"","✖ "&amp;LEFT(AS924,LEN(AS924)-2),IF(AR924&gt;0,"✔ Ready — client + "&amp;AR924&amp;" service(s)","✔ Ready — client only")))</f>
        <v/>
      </c>
      <c r="AN924" s="29">
        <f>UPPER(SUBSTITUTE(TRIM(F924)," ",""))</f>
        <v/>
      </c>
      <c r="AO924" s="29">
        <f>UPPER(SUBSTITUTE(TRIM(E924)," ",""))</f>
        <v/>
      </c>
      <c r="AP924" s="29">
        <f>IF(D924&lt;&gt;"",D924,IFERROR(VLOOKUP(MID(AG924,4,1),Lists!$E$2:$F$8,2,FALSE),""))</f>
        <v/>
      </c>
      <c r="AQ924" s="29">
        <f>IFERROR(VLOOKUP(AP924,Lists!$A$2:$C$12,3,FALSE),"")</f>
        <v/>
      </c>
      <c r="AR924" s="29">
        <f>COUNTIF(W924:AC924,"Yes")</f>
        <v/>
      </c>
      <c r="AS924" s="29">
        <f>IF(TRIM(B924)="","Legal name missing; ","")&amp;IF(AND(AJ924&lt;&gt;"",AJ924&lt;&gt;"OK"),"GSTIN: "&amp;AJ924&amp;"; ","")&amp;IF(AND(AK924&lt;&gt;"",AK924&lt;&gt;"OK"),"PAN wrong format; ","")&amp;IF(AND(AO924&lt;&gt;"",LEN(AN924)=15,MID(AN924,3,10)&lt;&gt;AO924),"PAN does not match GSTIN; ","")&amp;IF(AND(AL924&lt;&gt;"",AL924&lt;&gt;"OK"),"TAN wrong format; ","")&amp;IF(AG924="","PAN missing; ","")&amp;IF(AP924="","Entity type missing; ","")&amp;IF(AND(AN924&lt;&gt;"",COUNTIF($AN$6:$AN$1005,AN924)&gt;1),"GSTIN repeated in this sheet; ","")&amp;IF(AND(AG924&lt;&gt;"",COUNTIF($AG$6:$AG$1005,AG924)&gt;1),"PAN repeated in this sheet (same client? put extra GSTINs in Other GSTINs); ","")&amp;IF(AND(AR924&gt;0,V924=""),"Financial year missing; ","")&amp;IF(AND(AR924=0,V924&lt;&gt;""),"Financial year given but no service is Yes; ","")&amp;IF(AND(W924="Yes",AN924=""),"GST needs a GSTIN; ","")&amp;IF(AND(W924="Yes",X924=""),"GST return frequency missing; ","")&amp;IF(AND(Y924="Yes",TRIM(H924)=""),"TDS needs a TAN; ","")&amp;IF(AND(AA924="Yes",AQ924&lt;&gt;"",AQ924&lt;&gt;"company",AQ924&lt;&gt;"llp"),"ROC is only for a company / LLP; ","")&amp;IF(AND(AA924="Yes",OR(AQ924="company",AQ924="llp"),TRIM(I924)=""),"ROC needs the CIN / LLPIN; ","")</f>
        <v/>
      </c>
    </row>
    <row r="925">
      <c r="A925" s="30" t="n"/>
      <c r="B925" s="31" t="n"/>
      <c r="C925" s="31" t="n"/>
      <c r="D925" s="31" t="n"/>
      <c r="E925" s="30" t="n"/>
      <c r="F925" s="30" t="n"/>
      <c r="G925" s="30" t="n"/>
      <c r="H925" s="30" t="n"/>
      <c r="I925" s="30" t="n"/>
      <c r="J925" s="32" t="n"/>
      <c r="K925" s="31" t="n"/>
      <c r="L925" s="30" t="n"/>
      <c r="M925" s="31" t="n"/>
      <c r="N925" s="31" t="n"/>
      <c r="O925" s="31" t="n"/>
      <c r="P925" s="30" t="n"/>
      <c r="Q925" s="31" t="n"/>
      <c r="R925" s="31" t="n"/>
      <c r="S925" s="31" t="n"/>
      <c r="T925" s="31" t="n"/>
      <c r="U925" s="30" t="n"/>
      <c r="V925" s="31" t="n"/>
      <c r="W925" s="31" t="n"/>
      <c r="X925" s="31" t="n"/>
      <c r="Y925" s="31" t="n"/>
      <c r="Z925" s="31" t="n"/>
      <c r="AA925" s="31" t="n"/>
      <c r="AB925" s="31" t="n"/>
      <c r="AC925" s="31" t="n"/>
      <c r="AD925" s="31" t="n"/>
      <c r="AE925" s="31" t="n"/>
      <c r="AF925" s="27">
        <f>IF(NOT(COUNTA(A925:AE925)&gt;0),"",IF(A925="","New client","Update"))</f>
        <v/>
      </c>
      <c r="AG925" s="27">
        <f>IF(AO925&lt;&gt;"",AO925,IF(LEN(AN925)=15,MID(AN925,3,10),""))</f>
        <v/>
      </c>
      <c r="AH925" s="27">
        <f>IF(AP925="","",AP925&amp;IF(D925="","  (guessed from PAN)",""))</f>
        <v/>
      </c>
      <c r="AI925" s="27">
        <f>IF(AN925="","",IFERROR(INDEX(Lists!$L$2:$L$38,MATCH(LEFT(AN925,2),Lists!$K$2:$K$38,0)),"Unknown code"))</f>
        <v/>
      </c>
      <c r="AJ925" s="27">
        <f>IF(AN925="","",IFERROR(IF(NOT(AND(LEN(AN925)=15,ISNUMBER(MATCH(LEFT(AN925,2),Lists!$K$2:$K$38,0)),SUMPRODUCT(--ISERROR(FIND(MID(MID(AN925,3,10),{1,2,3,4,5,10},1),"ABCDEFGHIJKLMNOPQRSTUVWXYZ")))=0,SUMPRODUCT(--ISERROR(FIND(MID(MID(AN925,3,10),{6,7,8,9},1),"0123456789")))=0,ISNUMBER(FIND(MID(AN925,13,1),"123456789ABCDEFGHIJKLMNOPQRSTUVWXYZ")),MID(AN925,14,1)="Z")),"Wrong format",IF(MID("0123456789ABCDEFGHIJKLMNOPQRSTUVWXYZ",MOD(36-MOD(SUMPRODUCT(INT((FIND(MID(AN925,{1,2,3,4,5,6,7,8,9,10,11,12,13,14},1),"0123456789ABCDEFGHIJKLMNOPQRSTUVWXYZ")-1)*{1,2,1,2,1,2,1,2,1,2,1,2,1,2}/36)+MOD((FIND(MID(AN925,{1,2,3,4,5,6,7,8,9,10,11,12,13,14},1),"0123456789ABCDEFGHIJKLMNOPQRSTUVWXYZ")-1)*{1,2,1,2,1,2,1,2,1,2,1,2,1,2},36)),36),36)+1,1)=MID(AN925,15,1),"OK","Typo? check digit wrong")),"Wrong format"))</f>
        <v/>
      </c>
      <c r="AK925" s="27">
        <f>IF(AO925="","",IF(AND(LEN(AO925)=10,SUMPRODUCT(--ISERROR(FIND(MID(AO925,{1,2,3,4,5,10},1),"ABCDEFGHIJKLMNOPQRSTUVWXYZ")))=0,SUMPRODUCT(--ISERROR(FIND(MID(AO925,{6,7,8,9},1),"0123456789")))=0),"OK","Wrong format"))</f>
        <v/>
      </c>
      <c r="AL925" s="27">
        <f>IF(TRIM(H925)="","",IF(AND(LEN(UPPER(TRIM(H925)))=10,SUMPRODUCT(--ISERROR(FIND(MID(UPPER(TRIM(H925)),{1,2,3,4,10},1),"ABCDEFGHIJKLMNOPQRSTUVWXYZ")))=0,SUMPRODUCT(--ISERROR(FIND(MID(UPPER(TRIM(H925)),{5,6,7,8,9},1),"0123456789")))=0),"OK","Wrong format"))</f>
        <v/>
      </c>
      <c r="AM925" s="28">
        <f>IF(NOT(COUNTA(A925:AE925)&gt;0),"",IF(AS925&lt;&gt;"","✖ "&amp;LEFT(AS925,LEN(AS925)-2),IF(AR925&gt;0,"✔ Ready — client + "&amp;AR925&amp;" service(s)","✔ Ready — client only")))</f>
        <v/>
      </c>
      <c r="AN925" s="29">
        <f>UPPER(SUBSTITUTE(TRIM(F925)," ",""))</f>
        <v/>
      </c>
      <c r="AO925" s="29">
        <f>UPPER(SUBSTITUTE(TRIM(E925)," ",""))</f>
        <v/>
      </c>
      <c r="AP925" s="29">
        <f>IF(D925&lt;&gt;"",D925,IFERROR(VLOOKUP(MID(AG925,4,1),Lists!$E$2:$F$8,2,FALSE),""))</f>
        <v/>
      </c>
      <c r="AQ925" s="29">
        <f>IFERROR(VLOOKUP(AP925,Lists!$A$2:$C$12,3,FALSE),"")</f>
        <v/>
      </c>
      <c r="AR925" s="29">
        <f>COUNTIF(W925:AC925,"Yes")</f>
        <v/>
      </c>
      <c r="AS925" s="29">
        <f>IF(TRIM(B925)="","Legal name missing; ","")&amp;IF(AND(AJ925&lt;&gt;"",AJ925&lt;&gt;"OK"),"GSTIN: "&amp;AJ925&amp;"; ","")&amp;IF(AND(AK925&lt;&gt;"",AK925&lt;&gt;"OK"),"PAN wrong format; ","")&amp;IF(AND(AO925&lt;&gt;"",LEN(AN925)=15,MID(AN925,3,10)&lt;&gt;AO925),"PAN does not match GSTIN; ","")&amp;IF(AND(AL925&lt;&gt;"",AL925&lt;&gt;"OK"),"TAN wrong format; ","")&amp;IF(AG925="","PAN missing; ","")&amp;IF(AP925="","Entity type missing; ","")&amp;IF(AND(AN925&lt;&gt;"",COUNTIF($AN$6:$AN$1005,AN925)&gt;1),"GSTIN repeated in this sheet; ","")&amp;IF(AND(AG925&lt;&gt;"",COUNTIF($AG$6:$AG$1005,AG925)&gt;1),"PAN repeated in this sheet (same client? put extra GSTINs in Other GSTINs); ","")&amp;IF(AND(AR925&gt;0,V925=""),"Financial year missing; ","")&amp;IF(AND(AR925=0,V925&lt;&gt;""),"Financial year given but no service is Yes; ","")&amp;IF(AND(W925="Yes",AN925=""),"GST needs a GSTIN; ","")&amp;IF(AND(W925="Yes",X925=""),"GST return frequency missing; ","")&amp;IF(AND(Y925="Yes",TRIM(H925)=""),"TDS needs a TAN; ","")&amp;IF(AND(AA925="Yes",AQ925&lt;&gt;"",AQ925&lt;&gt;"company",AQ925&lt;&gt;"llp"),"ROC is only for a company / LLP; ","")&amp;IF(AND(AA925="Yes",OR(AQ925="company",AQ925="llp"),TRIM(I925)=""),"ROC needs the CIN / LLPIN; ","")</f>
        <v/>
      </c>
    </row>
    <row r="926">
      <c r="A926" s="30" t="n"/>
      <c r="B926" s="31" t="n"/>
      <c r="C926" s="31" t="n"/>
      <c r="D926" s="31" t="n"/>
      <c r="E926" s="30" t="n"/>
      <c r="F926" s="30" t="n"/>
      <c r="G926" s="30" t="n"/>
      <c r="H926" s="30" t="n"/>
      <c r="I926" s="30" t="n"/>
      <c r="J926" s="32" t="n"/>
      <c r="K926" s="31" t="n"/>
      <c r="L926" s="30" t="n"/>
      <c r="M926" s="31" t="n"/>
      <c r="N926" s="31" t="n"/>
      <c r="O926" s="31" t="n"/>
      <c r="P926" s="30" t="n"/>
      <c r="Q926" s="31" t="n"/>
      <c r="R926" s="31" t="n"/>
      <c r="S926" s="31" t="n"/>
      <c r="T926" s="31" t="n"/>
      <c r="U926" s="30" t="n"/>
      <c r="V926" s="31" t="n"/>
      <c r="W926" s="31" t="n"/>
      <c r="X926" s="31" t="n"/>
      <c r="Y926" s="31" t="n"/>
      <c r="Z926" s="31" t="n"/>
      <c r="AA926" s="31" t="n"/>
      <c r="AB926" s="31" t="n"/>
      <c r="AC926" s="31" t="n"/>
      <c r="AD926" s="31" t="n"/>
      <c r="AE926" s="31" t="n"/>
      <c r="AF926" s="27">
        <f>IF(NOT(COUNTA(A926:AE926)&gt;0),"",IF(A926="","New client","Update"))</f>
        <v/>
      </c>
      <c r="AG926" s="27">
        <f>IF(AO926&lt;&gt;"",AO926,IF(LEN(AN926)=15,MID(AN926,3,10),""))</f>
        <v/>
      </c>
      <c r="AH926" s="27">
        <f>IF(AP926="","",AP926&amp;IF(D926="","  (guessed from PAN)",""))</f>
        <v/>
      </c>
      <c r="AI926" s="27">
        <f>IF(AN926="","",IFERROR(INDEX(Lists!$L$2:$L$38,MATCH(LEFT(AN926,2),Lists!$K$2:$K$38,0)),"Unknown code"))</f>
        <v/>
      </c>
      <c r="AJ926" s="27">
        <f>IF(AN926="","",IFERROR(IF(NOT(AND(LEN(AN926)=15,ISNUMBER(MATCH(LEFT(AN926,2),Lists!$K$2:$K$38,0)),SUMPRODUCT(--ISERROR(FIND(MID(MID(AN926,3,10),{1,2,3,4,5,10},1),"ABCDEFGHIJKLMNOPQRSTUVWXYZ")))=0,SUMPRODUCT(--ISERROR(FIND(MID(MID(AN926,3,10),{6,7,8,9},1),"0123456789")))=0,ISNUMBER(FIND(MID(AN926,13,1),"123456789ABCDEFGHIJKLMNOPQRSTUVWXYZ")),MID(AN926,14,1)="Z")),"Wrong format",IF(MID("0123456789ABCDEFGHIJKLMNOPQRSTUVWXYZ",MOD(36-MOD(SUMPRODUCT(INT((FIND(MID(AN926,{1,2,3,4,5,6,7,8,9,10,11,12,13,14},1),"0123456789ABCDEFGHIJKLMNOPQRSTUVWXYZ")-1)*{1,2,1,2,1,2,1,2,1,2,1,2,1,2}/36)+MOD((FIND(MID(AN926,{1,2,3,4,5,6,7,8,9,10,11,12,13,14},1),"0123456789ABCDEFGHIJKLMNOPQRSTUVWXYZ")-1)*{1,2,1,2,1,2,1,2,1,2,1,2,1,2},36)),36),36)+1,1)=MID(AN926,15,1),"OK","Typo? check digit wrong")),"Wrong format"))</f>
        <v/>
      </c>
      <c r="AK926" s="27">
        <f>IF(AO926="","",IF(AND(LEN(AO926)=10,SUMPRODUCT(--ISERROR(FIND(MID(AO926,{1,2,3,4,5,10},1),"ABCDEFGHIJKLMNOPQRSTUVWXYZ")))=0,SUMPRODUCT(--ISERROR(FIND(MID(AO926,{6,7,8,9},1),"0123456789")))=0),"OK","Wrong format"))</f>
        <v/>
      </c>
      <c r="AL926" s="27">
        <f>IF(TRIM(H926)="","",IF(AND(LEN(UPPER(TRIM(H926)))=10,SUMPRODUCT(--ISERROR(FIND(MID(UPPER(TRIM(H926)),{1,2,3,4,10},1),"ABCDEFGHIJKLMNOPQRSTUVWXYZ")))=0,SUMPRODUCT(--ISERROR(FIND(MID(UPPER(TRIM(H926)),{5,6,7,8,9},1),"0123456789")))=0),"OK","Wrong format"))</f>
        <v/>
      </c>
      <c r="AM926" s="28">
        <f>IF(NOT(COUNTA(A926:AE926)&gt;0),"",IF(AS926&lt;&gt;"","✖ "&amp;LEFT(AS926,LEN(AS926)-2),IF(AR926&gt;0,"✔ Ready — client + "&amp;AR926&amp;" service(s)","✔ Ready — client only")))</f>
        <v/>
      </c>
      <c r="AN926" s="29">
        <f>UPPER(SUBSTITUTE(TRIM(F926)," ",""))</f>
        <v/>
      </c>
      <c r="AO926" s="29">
        <f>UPPER(SUBSTITUTE(TRIM(E926)," ",""))</f>
        <v/>
      </c>
      <c r="AP926" s="29">
        <f>IF(D926&lt;&gt;"",D926,IFERROR(VLOOKUP(MID(AG926,4,1),Lists!$E$2:$F$8,2,FALSE),""))</f>
        <v/>
      </c>
      <c r="AQ926" s="29">
        <f>IFERROR(VLOOKUP(AP926,Lists!$A$2:$C$12,3,FALSE),"")</f>
        <v/>
      </c>
      <c r="AR926" s="29">
        <f>COUNTIF(W926:AC926,"Yes")</f>
        <v/>
      </c>
      <c r="AS926" s="29">
        <f>IF(TRIM(B926)="","Legal name missing; ","")&amp;IF(AND(AJ926&lt;&gt;"",AJ926&lt;&gt;"OK"),"GSTIN: "&amp;AJ926&amp;"; ","")&amp;IF(AND(AK926&lt;&gt;"",AK926&lt;&gt;"OK"),"PAN wrong format; ","")&amp;IF(AND(AO926&lt;&gt;"",LEN(AN926)=15,MID(AN926,3,10)&lt;&gt;AO926),"PAN does not match GSTIN; ","")&amp;IF(AND(AL926&lt;&gt;"",AL926&lt;&gt;"OK"),"TAN wrong format; ","")&amp;IF(AG926="","PAN missing; ","")&amp;IF(AP926="","Entity type missing; ","")&amp;IF(AND(AN926&lt;&gt;"",COUNTIF($AN$6:$AN$1005,AN926)&gt;1),"GSTIN repeated in this sheet; ","")&amp;IF(AND(AG926&lt;&gt;"",COUNTIF($AG$6:$AG$1005,AG926)&gt;1),"PAN repeated in this sheet (same client? put extra GSTINs in Other GSTINs); ","")&amp;IF(AND(AR926&gt;0,V926=""),"Financial year missing; ","")&amp;IF(AND(AR926=0,V926&lt;&gt;""),"Financial year given but no service is Yes; ","")&amp;IF(AND(W926="Yes",AN926=""),"GST needs a GSTIN; ","")&amp;IF(AND(W926="Yes",X926=""),"GST return frequency missing; ","")&amp;IF(AND(Y926="Yes",TRIM(H926)=""),"TDS needs a TAN; ","")&amp;IF(AND(AA926="Yes",AQ926&lt;&gt;"",AQ926&lt;&gt;"company",AQ926&lt;&gt;"llp"),"ROC is only for a company / LLP; ","")&amp;IF(AND(AA926="Yes",OR(AQ926="company",AQ926="llp"),TRIM(I926)=""),"ROC needs the CIN / LLPIN; ","")</f>
        <v/>
      </c>
    </row>
    <row r="927">
      <c r="A927" s="30" t="n"/>
      <c r="B927" s="31" t="n"/>
      <c r="C927" s="31" t="n"/>
      <c r="D927" s="31" t="n"/>
      <c r="E927" s="30" t="n"/>
      <c r="F927" s="30" t="n"/>
      <c r="G927" s="30" t="n"/>
      <c r="H927" s="30" t="n"/>
      <c r="I927" s="30" t="n"/>
      <c r="J927" s="32" t="n"/>
      <c r="K927" s="31" t="n"/>
      <c r="L927" s="30" t="n"/>
      <c r="M927" s="31" t="n"/>
      <c r="N927" s="31" t="n"/>
      <c r="O927" s="31" t="n"/>
      <c r="P927" s="30" t="n"/>
      <c r="Q927" s="31" t="n"/>
      <c r="R927" s="31" t="n"/>
      <c r="S927" s="31" t="n"/>
      <c r="T927" s="31" t="n"/>
      <c r="U927" s="30" t="n"/>
      <c r="V927" s="31" t="n"/>
      <c r="W927" s="31" t="n"/>
      <c r="X927" s="31" t="n"/>
      <c r="Y927" s="31" t="n"/>
      <c r="Z927" s="31" t="n"/>
      <c r="AA927" s="31" t="n"/>
      <c r="AB927" s="31" t="n"/>
      <c r="AC927" s="31" t="n"/>
      <c r="AD927" s="31" t="n"/>
      <c r="AE927" s="31" t="n"/>
      <c r="AF927" s="27">
        <f>IF(NOT(COUNTA(A927:AE927)&gt;0),"",IF(A927="","New client","Update"))</f>
        <v/>
      </c>
      <c r="AG927" s="27">
        <f>IF(AO927&lt;&gt;"",AO927,IF(LEN(AN927)=15,MID(AN927,3,10),""))</f>
        <v/>
      </c>
      <c r="AH927" s="27">
        <f>IF(AP927="","",AP927&amp;IF(D927="","  (guessed from PAN)",""))</f>
        <v/>
      </c>
      <c r="AI927" s="27">
        <f>IF(AN927="","",IFERROR(INDEX(Lists!$L$2:$L$38,MATCH(LEFT(AN927,2),Lists!$K$2:$K$38,0)),"Unknown code"))</f>
        <v/>
      </c>
      <c r="AJ927" s="27">
        <f>IF(AN927="","",IFERROR(IF(NOT(AND(LEN(AN927)=15,ISNUMBER(MATCH(LEFT(AN927,2),Lists!$K$2:$K$38,0)),SUMPRODUCT(--ISERROR(FIND(MID(MID(AN927,3,10),{1,2,3,4,5,10},1),"ABCDEFGHIJKLMNOPQRSTUVWXYZ")))=0,SUMPRODUCT(--ISERROR(FIND(MID(MID(AN927,3,10),{6,7,8,9},1),"0123456789")))=0,ISNUMBER(FIND(MID(AN927,13,1),"123456789ABCDEFGHIJKLMNOPQRSTUVWXYZ")),MID(AN927,14,1)="Z")),"Wrong format",IF(MID("0123456789ABCDEFGHIJKLMNOPQRSTUVWXYZ",MOD(36-MOD(SUMPRODUCT(INT((FIND(MID(AN927,{1,2,3,4,5,6,7,8,9,10,11,12,13,14},1),"0123456789ABCDEFGHIJKLMNOPQRSTUVWXYZ")-1)*{1,2,1,2,1,2,1,2,1,2,1,2,1,2}/36)+MOD((FIND(MID(AN927,{1,2,3,4,5,6,7,8,9,10,11,12,13,14},1),"0123456789ABCDEFGHIJKLMNOPQRSTUVWXYZ")-1)*{1,2,1,2,1,2,1,2,1,2,1,2,1,2},36)),36),36)+1,1)=MID(AN927,15,1),"OK","Typo? check digit wrong")),"Wrong format"))</f>
        <v/>
      </c>
      <c r="AK927" s="27">
        <f>IF(AO927="","",IF(AND(LEN(AO927)=10,SUMPRODUCT(--ISERROR(FIND(MID(AO927,{1,2,3,4,5,10},1),"ABCDEFGHIJKLMNOPQRSTUVWXYZ")))=0,SUMPRODUCT(--ISERROR(FIND(MID(AO927,{6,7,8,9},1),"0123456789")))=0),"OK","Wrong format"))</f>
        <v/>
      </c>
      <c r="AL927" s="27">
        <f>IF(TRIM(H927)="","",IF(AND(LEN(UPPER(TRIM(H927)))=10,SUMPRODUCT(--ISERROR(FIND(MID(UPPER(TRIM(H927)),{1,2,3,4,10},1),"ABCDEFGHIJKLMNOPQRSTUVWXYZ")))=0,SUMPRODUCT(--ISERROR(FIND(MID(UPPER(TRIM(H927)),{5,6,7,8,9},1),"0123456789")))=0),"OK","Wrong format"))</f>
        <v/>
      </c>
      <c r="AM927" s="28">
        <f>IF(NOT(COUNTA(A927:AE927)&gt;0),"",IF(AS927&lt;&gt;"","✖ "&amp;LEFT(AS927,LEN(AS927)-2),IF(AR927&gt;0,"✔ Ready — client + "&amp;AR927&amp;" service(s)","✔ Ready — client only")))</f>
        <v/>
      </c>
      <c r="AN927" s="29">
        <f>UPPER(SUBSTITUTE(TRIM(F927)," ",""))</f>
        <v/>
      </c>
      <c r="AO927" s="29">
        <f>UPPER(SUBSTITUTE(TRIM(E927)," ",""))</f>
        <v/>
      </c>
      <c r="AP927" s="29">
        <f>IF(D927&lt;&gt;"",D927,IFERROR(VLOOKUP(MID(AG927,4,1),Lists!$E$2:$F$8,2,FALSE),""))</f>
        <v/>
      </c>
      <c r="AQ927" s="29">
        <f>IFERROR(VLOOKUP(AP927,Lists!$A$2:$C$12,3,FALSE),"")</f>
        <v/>
      </c>
      <c r="AR927" s="29">
        <f>COUNTIF(W927:AC927,"Yes")</f>
        <v/>
      </c>
      <c r="AS927" s="29">
        <f>IF(TRIM(B927)="","Legal name missing; ","")&amp;IF(AND(AJ927&lt;&gt;"",AJ927&lt;&gt;"OK"),"GSTIN: "&amp;AJ927&amp;"; ","")&amp;IF(AND(AK927&lt;&gt;"",AK927&lt;&gt;"OK"),"PAN wrong format; ","")&amp;IF(AND(AO927&lt;&gt;"",LEN(AN927)=15,MID(AN927,3,10)&lt;&gt;AO927),"PAN does not match GSTIN; ","")&amp;IF(AND(AL927&lt;&gt;"",AL927&lt;&gt;"OK"),"TAN wrong format; ","")&amp;IF(AG927="","PAN missing; ","")&amp;IF(AP927="","Entity type missing; ","")&amp;IF(AND(AN927&lt;&gt;"",COUNTIF($AN$6:$AN$1005,AN927)&gt;1),"GSTIN repeated in this sheet; ","")&amp;IF(AND(AG927&lt;&gt;"",COUNTIF($AG$6:$AG$1005,AG927)&gt;1),"PAN repeated in this sheet (same client? put extra GSTINs in Other GSTINs); ","")&amp;IF(AND(AR927&gt;0,V927=""),"Financial year missing; ","")&amp;IF(AND(AR927=0,V927&lt;&gt;""),"Financial year given but no service is Yes; ","")&amp;IF(AND(W927="Yes",AN927=""),"GST needs a GSTIN; ","")&amp;IF(AND(W927="Yes",X927=""),"GST return frequency missing; ","")&amp;IF(AND(Y927="Yes",TRIM(H927)=""),"TDS needs a TAN; ","")&amp;IF(AND(AA927="Yes",AQ927&lt;&gt;"",AQ927&lt;&gt;"company",AQ927&lt;&gt;"llp"),"ROC is only for a company / LLP; ","")&amp;IF(AND(AA927="Yes",OR(AQ927="company",AQ927="llp"),TRIM(I927)=""),"ROC needs the CIN / LLPIN; ","")</f>
        <v/>
      </c>
    </row>
    <row r="928">
      <c r="A928" s="30" t="n"/>
      <c r="B928" s="31" t="n"/>
      <c r="C928" s="31" t="n"/>
      <c r="D928" s="31" t="n"/>
      <c r="E928" s="30" t="n"/>
      <c r="F928" s="30" t="n"/>
      <c r="G928" s="30" t="n"/>
      <c r="H928" s="30" t="n"/>
      <c r="I928" s="30" t="n"/>
      <c r="J928" s="32" t="n"/>
      <c r="K928" s="31" t="n"/>
      <c r="L928" s="30" t="n"/>
      <c r="M928" s="31" t="n"/>
      <c r="N928" s="31" t="n"/>
      <c r="O928" s="31" t="n"/>
      <c r="P928" s="30" t="n"/>
      <c r="Q928" s="31" t="n"/>
      <c r="R928" s="31" t="n"/>
      <c r="S928" s="31" t="n"/>
      <c r="T928" s="31" t="n"/>
      <c r="U928" s="30" t="n"/>
      <c r="V928" s="31" t="n"/>
      <c r="W928" s="31" t="n"/>
      <c r="X928" s="31" t="n"/>
      <c r="Y928" s="31" t="n"/>
      <c r="Z928" s="31" t="n"/>
      <c r="AA928" s="31" t="n"/>
      <c r="AB928" s="31" t="n"/>
      <c r="AC928" s="31" t="n"/>
      <c r="AD928" s="31" t="n"/>
      <c r="AE928" s="31" t="n"/>
      <c r="AF928" s="27">
        <f>IF(NOT(COUNTA(A928:AE928)&gt;0),"",IF(A928="","New client","Update"))</f>
        <v/>
      </c>
      <c r="AG928" s="27">
        <f>IF(AO928&lt;&gt;"",AO928,IF(LEN(AN928)=15,MID(AN928,3,10),""))</f>
        <v/>
      </c>
      <c r="AH928" s="27">
        <f>IF(AP928="","",AP928&amp;IF(D928="","  (guessed from PAN)",""))</f>
        <v/>
      </c>
      <c r="AI928" s="27">
        <f>IF(AN928="","",IFERROR(INDEX(Lists!$L$2:$L$38,MATCH(LEFT(AN928,2),Lists!$K$2:$K$38,0)),"Unknown code"))</f>
        <v/>
      </c>
      <c r="AJ928" s="27">
        <f>IF(AN928="","",IFERROR(IF(NOT(AND(LEN(AN928)=15,ISNUMBER(MATCH(LEFT(AN928,2),Lists!$K$2:$K$38,0)),SUMPRODUCT(--ISERROR(FIND(MID(MID(AN928,3,10),{1,2,3,4,5,10},1),"ABCDEFGHIJKLMNOPQRSTUVWXYZ")))=0,SUMPRODUCT(--ISERROR(FIND(MID(MID(AN928,3,10),{6,7,8,9},1),"0123456789")))=0,ISNUMBER(FIND(MID(AN928,13,1),"123456789ABCDEFGHIJKLMNOPQRSTUVWXYZ")),MID(AN928,14,1)="Z")),"Wrong format",IF(MID("0123456789ABCDEFGHIJKLMNOPQRSTUVWXYZ",MOD(36-MOD(SUMPRODUCT(INT((FIND(MID(AN928,{1,2,3,4,5,6,7,8,9,10,11,12,13,14},1),"0123456789ABCDEFGHIJKLMNOPQRSTUVWXYZ")-1)*{1,2,1,2,1,2,1,2,1,2,1,2,1,2}/36)+MOD((FIND(MID(AN928,{1,2,3,4,5,6,7,8,9,10,11,12,13,14},1),"0123456789ABCDEFGHIJKLMNOPQRSTUVWXYZ")-1)*{1,2,1,2,1,2,1,2,1,2,1,2,1,2},36)),36),36)+1,1)=MID(AN928,15,1),"OK","Typo? check digit wrong")),"Wrong format"))</f>
        <v/>
      </c>
      <c r="AK928" s="27">
        <f>IF(AO928="","",IF(AND(LEN(AO928)=10,SUMPRODUCT(--ISERROR(FIND(MID(AO928,{1,2,3,4,5,10},1),"ABCDEFGHIJKLMNOPQRSTUVWXYZ")))=0,SUMPRODUCT(--ISERROR(FIND(MID(AO928,{6,7,8,9},1),"0123456789")))=0),"OK","Wrong format"))</f>
        <v/>
      </c>
      <c r="AL928" s="27">
        <f>IF(TRIM(H928)="","",IF(AND(LEN(UPPER(TRIM(H928)))=10,SUMPRODUCT(--ISERROR(FIND(MID(UPPER(TRIM(H928)),{1,2,3,4,10},1),"ABCDEFGHIJKLMNOPQRSTUVWXYZ")))=0,SUMPRODUCT(--ISERROR(FIND(MID(UPPER(TRIM(H928)),{5,6,7,8,9},1),"0123456789")))=0),"OK","Wrong format"))</f>
        <v/>
      </c>
      <c r="AM928" s="28">
        <f>IF(NOT(COUNTA(A928:AE928)&gt;0),"",IF(AS928&lt;&gt;"","✖ "&amp;LEFT(AS928,LEN(AS928)-2),IF(AR928&gt;0,"✔ Ready — client + "&amp;AR928&amp;" service(s)","✔ Ready — client only")))</f>
        <v/>
      </c>
      <c r="AN928" s="29">
        <f>UPPER(SUBSTITUTE(TRIM(F928)," ",""))</f>
        <v/>
      </c>
      <c r="AO928" s="29">
        <f>UPPER(SUBSTITUTE(TRIM(E928)," ",""))</f>
        <v/>
      </c>
      <c r="AP928" s="29">
        <f>IF(D928&lt;&gt;"",D928,IFERROR(VLOOKUP(MID(AG928,4,1),Lists!$E$2:$F$8,2,FALSE),""))</f>
        <v/>
      </c>
      <c r="AQ928" s="29">
        <f>IFERROR(VLOOKUP(AP928,Lists!$A$2:$C$12,3,FALSE),"")</f>
        <v/>
      </c>
      <c r="AR928" s="29">
        <f>COUNTIF(W928:AC928,"Yes")</f>
        <v/>
      </c>
      <c r="AS928" s="29">
        <f>IF(TRIM(B928)="","Legal name missing; ","")&amp;IF(AND(AJ928&lt;&gt;"",AJ928&lt;&gt;"OK"),"GSTIN: "&amp;AJ928&amp;"; ","")&amp;IF(AND(AK928&lt;&gt;"",AK928&lt;&gt;"OK"),"PAN wrong format; ","")&amp;IF(AND(AO928&lt;&gt;"",LEN(AN928)=15,MID(AN928,3,10)&lt;&gt;AO928),"PAN does not match GSTIN; ","")&amp;IF(AND(AL928&lt;&gt;"",AL928&lt;&gt;"OK"),"TAN wrong format; ","")&amp;IF(AG928="","PAN missing; ","")&amp;IF(AP928="","Entity type missing; ","")&amp;IF(AND(AN928&lt;&gt;"",COUNTIF($AN$6:$AN$1005,AN928)&gt;1),"GSTIN repeated in this sheet; ","")&amp;IF(AND(AG928&lt;&gt;"",COUNTIF($AG$6:$AG$1005,AG928)&gt;1),"PAN repeated in this sheet (same client? put extra GSTINs in Other GSTINs); ","")&amp;IF(AND(AR928&gt;0,V928=""),"Financial year missing; ","")&amp;IF(AND(AR928=0,V928&lt;&gt;""),"Financial year given but no service is Yes; ","")&amp;IF(AND(W928="Yes",AN928=""),"GST needs a GSTIN; ","")&amp;IF(AND(W928="Yes",X928=""),"GST return frequency missing; ","")&amp;IF(AND(Y928="Yes",TRIM(H928)=""),"TDS needs a TAN; ","")&amp;IF(AND(AA928="Yes",AQ928&lt;&gt;"",AQ928&lt;&gt;"company",AQ928&lt;&gt;"llp"),"ROC is only for a company / LLP; ","")&amp;IF(AND(AA928="Yes",OR(AQ928="company",AQ928="llp"),TRIM(I928)=""),"ROC needs the CIN / LLPIN; ","")</f>
        <v/>
      </c>
    </row>
    <row r="929">
      <c r="A929" s="30" t="n"/>
      <c r="B929" s="31" t="n"/>
      <c r="C929" s="31" t="n"/>
      <c r="D929" s="31" t="n"/>
      <c r="E929" s="30" t="n"/>
      <c r="F929" s="30" t="n"/>
      <c r="G929" s="30" t="n"/>
      <c r="H929" s="30" t="n"/>
      <c r="I929" s="30" t="n"/>
      <c r="J929" s="32" t="n"/>
      <c r="K929" s="31" t="n"/>
      <c r="L929" s="30" t="n"/>
      <c r="M929" s="31" t="n"/>
      <c r="N929" s="31" t="n"/>
      <c r="O929" s="31" t="n"/>
      <c r="P929" s="30" t="n"/>
      <c r="Q929" s="31" t="n"/>
      <c r="R929" s="31" t="n"/>
      <c r="S929" s="31" t="n"/>
      <c r="T929" s="31" t="n"/>
      <c r="U929" s="30" t="n"/>
      <c r="V929" s="31" t="n"/>
      <c r="W929" s="31" t="n"/>
      <c r="X929" s="31" t="n"/>
      <c r="Y929" s="31" t="n"/>
      <c r="Z929" s="31" t="n"/>
      <c r="AA929" s="31" t="n"/>
      <c r="AB929" s="31" t="n"/>
      <c r="AC929" s="31" t="n"/>
      <c r="AD929" s="31" t="n"/>
      <c r="AE929" s="31" t="n"/>
      <c r="AF929" s="27">
        <f>IF(NOT(COUNTA(A929:AE929)&gt;0),"",IF(A929="","New client","Update"))</f>
        <v/>
      </c>
      <c r="AG929" s="27">
        <f>IF(AO929&lt;&gt;"",AO929,IF(LEN(AN929)=15,MID(AN929,3,10),""))</f>
        <v/>
      </c>
      <c r="AH929" s="27">
        <f>IF(AP929="","",AP929&amp;IF(D929="","  (guessed from PAN)",""))</f>
        <v/>
      </c>
      <c r="AI929" s="27">
        <f>IF(AN929="","",IFERROR(INDEX(Lists!$L$2:$L$38,MATCH(LEFT(AN929,2),Lists!$K$2:$K$38,0)),"Unknown code"))</f>
        <v/>
      </c>
      <c r="AJ929" s="27">
        <f>IF(AN929="","",IFERROR(IF(NOT(AND(LEN(AN929)=15,ISNUMBER(MATCH(LEFT(AN929,2),Lists!$K$2:$K$38,0)),SUMPRODUCT(--ISERROR(FIND(MID(MID(AN929,3,10),{1,2,3,4,5,10},1),"ABCDEFGHIJKLMNOPQRSTUVWXYZ")))=0,SUMPRODUCT(--ISERROR(FIND(MID(MID(AN929,3,10),{6,7,8,9},1),"0123456789")))=0,ISNUMBER(FIND(MID(AN929,13,1),"123456789ABCDEFGHIJKLMNOPQRSTUVWXYZ")),MID(AN929,14,1)="Z")),"Wrong format",IF(MID("0123456789ABCDEFGHIJKLMNOPQRSTUVWXYZ",MOD(36-MOD(SUMPRODUCT(INT((FIND(MID(AN929,{1,2,3,4,5,6,7,8,9,10,11,12,13,14},1),"0123456789ABCDEFGHIJKLMNOPQRSTUVWXYZ")-1)*{1,2,1,2,1,2,1,2,1,2,1,2,1,2}/36)+MOD((FIND(MID(AN929,{1,2,3,4,5,6,7,8,9,10,11,12,13,14},1),"0123456789ABCDEFGHIJKLMNOPQRSTUVWXYZ")-1)*{1,2,1,2,1,2,1,2,1,2,1,2,1,2},36)),36),36)+1,1)=MID(AN929,15,1),"OK","Typo? check digit wrong")),"Wrong format"))</f>
        <v/>
      </c>
      <c r="AK929" s="27">
        <f>IF(AO929="","",IF(AND(LEN(AO929)=10,SUMPRODUCT(--ISERROR(FIND(MID(AO929,{1,2,3,4,5,10},1),"ABCDEFGHIJKLMNOPQRSTUVWXYZ")))=0,SUMPRODUCT(--ISERROR(FIND(MID(AO929,{6,7,8,9},1),"0123456789")))=0),"OK","Wrong format"))</f>
        <v/>
      </c>
      <c r="AL929" s="27">
        <f>IF(TRIM(H929)="","",IF(AND(LEN(UPPER(TRIM(H929)))=10,SUMPRODUCT(--ISERROR(FIND(MID(UPPER(TRIM(H929)),{1,2,3,4,10},1),"ABCDEFGHIJKLMNOPQRSTUVWXYZ")))=0,SUMPRODUCT(--ISERROR(FIND(MID(UPPER(TRIM(H929)),{5,6,7,8,9},1),"0123456789")))=0),"OK","Wrong format"))</f>
        <v/>
      </c>
      <c r="AM929" s="28">
        <f>IF(NOT(COUNTA(A929:AE929)&gt;0),"",IF(AS929&lt;&gt;"","✖ "&amp;LEFT(AS929,LEN(AS929)-2),IF(AR929&gt;0,"✔ Ready — client + "&amp;AR929&amp;" service(s)","✔ Ready — client only")))</f>
        <v/>
      </c>
      <c r="AN929" s="29">
        <f>UPPER(SUBSTITUTE(TRIM(F929)," ",""))</f>
        <v/>
      </c>
      <c r="AO929" s="29">
        <f>UPPER(SUBSTITUTE(TRIM(E929)," ",""))</f>
        <v/>
      </c>
      <c r="AP929" s="29">
        <f>IF(D929&lt;&gt;"",D929,IFERROR(VLOOKUP(MID(AG929,4,1),Lists!$E$2:$F$8,2,FALSE),""))</f>
        <v/>
      </c>
      <c r="AQ929" s="29">
        <f>IFERROR(VLOOKUP(AP929,Lists!$A$2:$C$12,3,FALSE),"")</f>
        <v/>
      </c>
      <c r="AR929" s="29">
        <f>COUNTIF(W929:AC929,"Yes")</f>
        <v/>
      </c>
      <c r="AS929" s="29">
        <f>IF(TRIM(B929)="","Legal name missing; ","")&amp;IF(AND(AJ929&lt;&gt;"",AJ929&lt;&gt;"OK"),"GSTIN: "&amp;AJ929&amp;"; ","")&amp;IF(AND(AK929&lt;&gt;"",AK929&lt;&gt;"OK"),"PAN wrong format; ","")&amp;IF(AND(AO929&lt;&gt;"",LEN(AN929)=15,MID(AN929,3,10)&lt;&gt;AO929),"PAN does not match GSTIN; ","")&amp;IF(AND(AL929&lt;&gt;"",AL929&lt;&gt;"OK"),"TAN wrong format; ","")&amp;IF(AG929="","PAN missing; ","")&amp;IF(AP929="","Entity type missing; ","")&amp;IF(AND(AN929&lt;&gt;"",COUNTIF($AN$6:$AN$1005,AN929)&gt;1),"GSTIN repeated in this sheet; ","")&amp;IF(AND(AG929&lt;&gt;"",COUNTIF($AG$6:$AG$1005,AG929)&gt;1),"PAN repeated in this sheet (same client? put extra GSTINs in Other GSTINs); ","")&amp;IF(AND(AR929&gt;0,V929=""),"Financial year missing; ","")&amp;IF(AND(AR929=0,V929&lt;&gt;""),"Financial year given but no service is Yes; ","")&amp;IF(AND(W929="Yes",AN929=""),"GST needs a GSTIN; ","")&amp;IF(AND(W929="Yes",X929=""),"GST return frequency missing; ","")&amp;IF(AND(Y929="Yes",TRIM(H929)=""),"TDS needs a TAN; ","")&amp;IF(AND(AA929="Yes",AQ929&lt;&gt;"",AQ929&lt;&gt;"company",AQ929&lt;&gt;"llp"),"ROC is only for a company / LLP; ","")&amp;IF(AND(AA929="Yes",OR(AQ929="company",AQ929="llp"),TRIM(I929)=""),"ROC needs the CIN / LLPIN; ","")</f>
        <v/>
      </c>
    </row>
    <row r="930">
      <c r="A930" s="30" t="n"/>
      <c r="B930" s="31" t="n"/>
      <c r="C930" s="31" t="n"/>
      <c r="D930" s="31" t="n"/>
      <c r="E930" s="30" t="n"/>
      <c r="F930" s="30" t="n"/>
      <c r="G930" s="30" t="n"/>
      <c r="H930" s="30" t="n"/>
      <c r="I930" s="30" t="n"/>
      <c r="J930" s="32" t="n"/>
      <c r="K930" s="31" t="n"/>
      <c r="L930" s="30" t="n"/>
      <c r="M930" s="31" t="n"/>
      <c r="N930" s="31" t="n"/>
      <c r="O930" s="31" t="n"/>
      <c r="P930" s="30" t="n"/>
      <c r="Q930" s="31" t="n"/>
      <c r="R930" s="31" t="n"/>
      <c r="S930" s="31" t="n"/>
      <c r="T930" s="31" t="n"/>
      <c r="U930" s="30" t="n"/>
      <c r="V930" s="31" t="n"/>
      <c r="W930" s="31" t="n"/>
      <c r="X930" s="31" t="n"/>
      <c r="Y930" s="31" t="n"/>
      <c r="Z930" s="31" t="n"/>
      <c r="AA930" s="31" t="n"/>
      <c r="AB930" s="31" t="n"/>
      <c r="AC930" s="31" t="n"/>
      <c r="AD930" s="31" t="n"/>
      <c r="AE930" s="31" t="n"/>
      <c r="AF930" s="27">
        <f>IF(NOT(COUNTA(A930:AE930)&gt;0),"",IF(A930="","New client","Update"))</f>
        <v/>
      </c>
      <c r="AG930" s="27">
        <f>IF(AO930&lt;&gt;"",AO930,IF(LEN(AN930)=15,MID(AN930,3,10),""))</f>
        <v/>
      </c>
      <c r="AH930" s="27">
        <f>IF(AP930="","",AP930&amp;IF(D930="","  (guessed from PAN)",""))</f>
        <v/>
      </c>
      <c r="AI930" s="27">
        <f>IF(AN930="","",IFERROR(INDEX(Lists!$L$2:$L$38,MATCH(LEFT(AN930,2),Lists!$K$2:$K$38,0)),"Unknown code"))</f>
        <v/>
      </c>
      <c r="AJ930" s="27">
        <f>IF(AN930="","",IFERROR(IF(NOT(AND(LEN(AN930)=15,ISNUMBER(MATCH(LEFT(AN930,2),Lists!$K$2:$K$38,0)),SUMPRODUCT(--ISERROR(FIND(MID(MID(AN930,3,10),{1,2,3,4,5,10},1),"ABCDEFGHIJKLMNOPQRSTUVWXYZ")))=0,SUMPRODUCT(--ISERROR(FIND(MID(MID(AN930,3,10),{6,7,8,9},1),"0123456789")))=0,ISNUMBER(FIND(MID(AN930,13,1),"123456789ABCDEFGHIJKLMNOPQRSTUVWXYZ")),MID(AN930,14,1)="Z")),"Wrong format",IF(MID("0123456789ABCDEFGHIJKLMNOPQRSTUVWXYZ",MOD(36-MOD(SUMPRODUCT(INT((FIND(MID(AN930,{1,2,3,4,5,6,7,8,9,10,11,12,13,14},1),"0123456789ABCDEFGHIJKLMNOPQRSTUVWXYZ")-1)*{1,2,1,2,1,2,1,2,1,2,1,2,1,2}/36)+MOD((FIND(MID(AN930,{1,2,3,4,5,6,7,8,9,10,11,12,13,14},1),"0123456789ABCDEFGHIJKLMNOPQRSTUVWXYZ")-1)*{1,2,1,2,1,2,1,2,1,2,1,2,1,2},36)),36),36)+1,1)=MID(AN930,15,1),"OK","Typo? check digit wrong")),"Wrong format"))</f>
        <v/>
      </c>
      <c r="AK930" s="27">
        <f>IF(AO930="","",IF(AND(LEN(AO930)=10,SUMPRODUCT(--ISERROR(FIND(MID(AO930,{1,2,3,4,5,10},1),"ABCDEFGHIJKLMNOPQRSTUVWXYZ")))=0,SUMPRODUCT(--ISERROR(FIND(MID(AO930,{6,7,8,9},1),"0123456789")))=0),"OK","Wrong format"))</f>
        <v/>
      </c>
      <c r="AL930" s="27">
        <f>IF(TRIM(H930)="","",IF(AND(LEN(UPPER(TRIM(H930)))=10,SUMPRODUCT(--ISERROR(FIND(MID(UPPER(TRIM(H930)),{1,2,3,4,10},1),"ABCDEFGHIJKLMNOPQRSTUVWXYZ")))=0,SUMPRODUCT(--ISERROR(FIND(MID(UPPER(TRIM(H930)),{5,6,7,8,9},1),"0123456789")))=0),"OK","Wrong format"))</f>
        <v/>
      </c>
      <c r="AM930" s="28">
        <f>IF(NOT(COUNTA(A930:AE930)&gt;0),"",IF(AS930&lt;&gt;"","✖ "&amp;LEFT(AS930,LEN(AS930)-2),IF(AR930&gt;0,"✔ Ready — client + "&amp;AR930&amp;" service(s)","✔ Ready — client only")))</f>
        <v/>
      </c>
      <c r="AN930" s="29">
        <f>UPPER(SUBSTITUTE(TRIM(F930)," ",""))</f>
        <v/>
      </c>
      <c r="AO930" s="29">
        <f>UPPER(SUBSTITUTE(TRIM(E930)," ",""))</f>
        <v/>
      </c>
      <c r="AP930" s="29">
        <f>IF(D930&lt;&gt;"",D930,IFERROR(VLOOKUP(MID(AG930,4,1),Lists!$E$2:$F$8,2,FALSE),""))</f>
        <v/>
      </c>
      <c r="AQ930" s="29">
        <f>IFERROR(VLOOKUP(AP930,Lists!$A$2:$C$12,3,FALSE),"")</f>
        <v/>
      </c>
      <c r="AR930" s="29">
        <f>COUNTIF(W930:AC930,"Yes")</f>
        <v/>
      </c>
      <c r="AS930" s="29">
        <f>IF(TRIM(B930)="","Legal name missing; ","")&amp;IF(AND(AJ930&lt;&gt;"",AJ930&lt;&gt;"OK"),"GSTIN: "&amp;AJ930&amp;"; ","")&amp;IF(AND(AK930&lt;&gt;"",AK930&lt;&gt;"OK"),"PAN wrong format; ","")&amp;IF(AND(AO930&lt;&gt;"",LEN(AN930)=15,MID(AN930,3,10)&lt;&gt;AO930),"PAN does not match GSTIN; ","")&amp;IF(AND(AL930&lt;&gt;"",AL930&lt;&gt;"OK"),"TAN wrong format; ","")&amp;IF(AG930="","PAN missing; ","")&amp;IF(AP930="","Entity type missing; ","")&amp;IF(AND(AN930&lt;&gt;"",COUNTIF($AN$6:$AN$1005,AN930)&gt;1),"GSTIN repeated in this sheet; ","")&amp;IF(AND(AG930&lt;&gt;"",COUNTIF($AG$6:$AG$1005,AG930)&gt;1),"PAN repeated in this sheet (same client? put extra GSTINs in Other GSTINs); ","")&amp;IF(AND(AR930&gt;0,V930=""),"Financial year missing; ","")&amp;IF(AND(AR930=0,V930&lt;&gt;""),"Financial year given but no service is Yes; ","")&amp;IF(AND(W930="Yes",AN930=""),"GST needs a GSTIN; ","")&amp;IF(AND(W930="Yes",X930=""),"GST return frequency missing; ","")&amp;IF(AND(Y930="Yes",TRIM(H930)=""),"TDS needs a TAN; ","")&amp;IF(AND(AA930="Yes",AQ930&lt;&gt;"",AQ930&lt;&gt;"company",AQ930&lt;&gt;"llp"),"ROC is only for a company / LLP; ","")&amp;IF(AND(AA930="Yes",OR(AQ930="company",AQ930="llp"),TRIM(I930)=""),"ROC needs the CIN / LLPIN; ","")</f>
        <v/>
      </c>
    </row>
    <row r="931">
      <c r="A931" s="30" t="n"/>
      <c r="B931" s="31" t="n"/>
      <c r="C931" s="31" t="n"/>
      <c r="D931" s="31" t="n"/>
      <c r="E931" s="30" t="n"/>
      <c r="F931" s="30" t="n"/>
      <c r="G931" s="30" t="n"/>
      <c r="H931" s="30" t="n"/>
      <c r="I931" s="30" t="n"/>
      <c r="J931" s="32" t="n"/>
      <c r="K931" s="31" t="n"/>
      <c r="L931" s="30" t="n"/>
      <c r="M931" s="31" t="n"/>
      <c r="N931" s="31" t="n"/>
      <c r="O931" s="31" t="n"/>
      <c r="P931" s="30" t="n"/>
      <c r="Q931" s="31" t="n"/>
      <c r="R931" s="31" t="n"/>
      <c r="S931" s="31" t="n"/>
      <c r="T931" s="31" t="n"/>
      <c r="U931" s="30" t="n"/>
      <c r="V931" s="31" t="n"/>
      <c r="W931" s="31" t="n"/>
      <c r="X931" s="31" t="n"/>
      <c r="Y931" s="31" t="n"/>
      <c r="Z931" s="31" t="n"/>
      <c r="AA931" s="31" t="n"/>
      <c r="AB931" s="31" t="n"/>
      <c r="AC931" s="31" t="n"/>
      <c r="AD931" s="31" t="n"/>
      <c r="AE931" s="31" t="n"/>
      <c r="AF931" s="27">
        <f>IF(NOT(COUNTA(A931:AE931)&gt;0),"",IF(A931="","New client","Update"))</f>
        <v/>
      </c>
      <c r="AG931" s="27">
        <f>IF(AO931&lt;&gt;"",AO931,IF(LEN(AN931)=15,MID(AN931,3,10),""))</f>
        <v/>
      </c>
      <c r="AH931" s="27">
        <f>IF(AP931="","",AP931&amp;IF(D931="","  (guessed from PAN)",""))</f>
        <v/>
      </c>
      <c r="AI931" s="27">
        <f>IF(AN931="","",IFERROR(INDEX(Lists!$L$2:$L$38,MATCH(LEFT(AN931,2),Lists!$K$2:$K$38,0)),"Unknown code"))</f>
        <v/>
      </c>
      <c r="AJ931" s="27">
        <f>IF(AN931="","",IFERROR(IF(NOT(AND(LEN(AN931)=15,ISNUMBER(MATCH(LEFT(AN931,2),Lists!$K$2:$K$38,0)),SUMPRODUCT(--ISERROR(FIND(MID(MID(AN931,3,10),{1,2,3,4,5,10},1),"ABCDEFGHIJKLMNOPQRSTUVWXYZ")))=0,SUMPRODUCT(--ISERROR(FIND(MID(MID(AN931,3,10),{6,7,8,9},1),"0123456789")))=0,ISNUMBER(FIND(MID(AN931,13,1),"123456789ABCDEFGHIJKLMNOPQRSTUVWXYZ")),MID(AN931,14,1)="Z")),"Wrong format",IF(MID("0123456789ABCDEFGHIJKLMNOPQRSTUVWXYZ",MOD(36-MOD(SUMPRODUCT(INT((FIND(MID(AN931,{1,2,3,4,5,6,7,8,9,10,11,12,13,14},1),"0123456789ABCDEFGHIJKLMNOPQRSTUVWXYZ")-1)*{1,2,1,2,1,2,1,2,1,2,1,2,1,2}/36)+MOD((FIND(MID(AN931,{1,2,3,4,5,6,7,8,9,10,11,12,13,14},1),"0123456789ABCDEFGHIJKLMNOPQRSTUVWXYZ")-1)*{1,2,1,2,1,2,1,2,1,2,1,2,1,2},36)),36),36)+1,1)=MID(AN931,15,1),"OK","Typo? check digit wrong")),"Wrong format"))</f>
        <v/>
      </c>
      <c r="AK931" s="27">
        <f>IF(AO931="","",IF(AND(LEN(AO931)=10,SUMPRODUCT(--ISERROR(FIND(MID(AO931,{1,2,3,4,5,10},1),"ABCDEFGHIJKLMNOPQRSTUVWXYZ")))=0,SUMPRODUCT(--ISERROR(FIND(MID(AO931,{6,7,8,9},1),"0123456789")))=0),"OK","Wrong format"))</f>
        <v/>
      </c>
      <c r="AL931" s="27">
        <f>IF(TRIM(H931)="","",IF(AND(LEN(UPPER(TRIM(H931)))=10,SUMPRODUCT(--ISERROR(FIND(MID(UPPER(TRIM(H931)),{1,2,3,4,10},1),"ABCDEFGHIJKLMNOPQRSTUVWXYZ")))=0,SUMPRODUCT(--ISERROR(FIND(MID(UPPER(TRIM(H931)),{5,6,7,8,9},1),"0123456789")))=0),"OK","Wrong format"))</f>
        <v/>
      </c>
      <c r="AM931" s="28">
        <f>IF(NOT(COUNTA(A931:AE931)&gt;0),"",IF(AS931&lt;&gt;"","✖ "&amp;LEFT(AS931,LEN(AS931)-2),IF(AR931&gt;0,"✔ Ready — client + "&amp;AR931&amp;" service(s)","✔ Ready — client only")))</f>
        <v/>
      </c>
      <c r="AN931" s="29">
        <f>UPPER(SUBSTITUTE(TRIM(F931)," ",""))</f>
        <v/>
      </c>
      <c r="AO931" s="29">
        <f>UPPER(SUBSTITUTE(TRIM(E931)," ",""))</f>
        <v/>
      </c>
      <c r="AP931" s="29">
        <f>IF(D931&lt;&gt;"",D931,IFERROR(VLOOKUP(MID(AG931,4,1),Lists!$E$2:$F$8,2,FALSE),""))</f>
        <v/>
      </c>
      <c r="AQ931" s="29">
        <f>IFERROR(VLOOKUP(AP931,Lists!$A$2:$C$12,3,FALSE),"")</f>
        <v/>
      </c>
      <c r="AR931" s="29">
        <f>COUNTIF(W931:AC931,"Yes")</f>
        <v/>
      </c>
      <c r="AS931" s="29">
        <f>IF(TRIM(B931)="","Legal name missing; ","")&amp;IF(AND(AJ931&lt;&gt;"",AJ931&lt;&gt;"OK"),"GSTIN: "&amp;AJ931&amp;"; ","")&amp;IF(AND(AK931&lt;&gt;"",AK931&lt;&gt;"OK"),"PAN wrong format; ","")&amp;IF(AND(AO931&lt;&gt;"",LEN(AN931)=15,MID(AN931,3,10)&lt;&gt;AO931),"PAN does not match GSTIN; ","")&amp;IF(AND(AL931&lt;&gt;"",AL931&lt;&gt;"OK"),"TAN wrong format; ","")&amp;IF(AG931="","PAN missing; ","")&amp;IF(AP931="","Entity type missing; ","")&amp;IF(AND(AN931&lt;&gt;"",COUNTIF($AN$6:$AN$1005,AN931)&gt;1),"GSTIN repeated in this sheet; ","")&amp;IF(AND(AG931&lt;&gt;"",COUNTIF($AG$6:$AG$1005,AG931)&gt;1),"PAN repeated in this sheet (same client? put extra GSTINs in Other GSTINs); ","")&amp;IF(AND(AR931&gt;0,V931=""),"Financial year missing; ","")&amp;IF(AND(AR931=0,V931&lt;&gt;""),"Financial year given but no service is Yes; ","")&amp;IF(AND(W931="Yes",AN931=""),"GST needs a GSTIN; ","")&amp;IF(AND(W931="Yes",X931=""),"GST return frequency missing; ","")&amp;IF(AND(Y931="Yes",TRIM(H931)=""),"TDS needs a TAN; ","")&amp;IF(AND(AA931="Yes",AQ931&lt;&gt;"",AQ931&lt;&gt;"company",AQ931&lt;&gt;"llp"),"ROC is only for a company / LLP; ","")&amp;IF(AND(AA931="Yes",OR(AQ931="company",AQ931="llp"),TRIM(I931)=""),"ROC needs the CIN / LLPIN; ","")</f>
        <v/>
      </c>
    </row>
    <row r="932">
      <c r="A932" s="30" t="n"/>
      <c r="B932" s="31" t="n"/>
      <c r="C932" s="31" t="n"/>
      <c r="D932" s="31" t="n"/>
      <c r="E932" s="30" t="n"/>
      <c r="F932" s="30" t="n"/>
      <c r="G932" s="30" t="n"/>
      <c r="H932" s="30" t="n"/>
      <c r="I932" s="30" t="n"/>
      <c r="J932" s="32" t="n"/>
      <c r="K932" s="31" t="n"/>
      <c r="L932" s="30" t="n"/>
      <c r="M932" s="31" t="n"/>
      <c r="N932" s="31" t="n"/>
      <c r="O932" s="31" t="n"/>
      <c r="P932" s="30" t="n"/>
      <c r="Q932" s="31" t="n"/>
      <c r="R932" s="31" t="n"/>
      <c r="S932" s="31" t="n"/>
      <c r="T932" s="31" t="n"/>
      <c r="U932" s="30" t="n"/>
      <c r="V932" s="31" t="n"/>
      <c r="W932" s="31" t="n"/>
      <c r="X932" s="31" t="n"/>
      <c r="Y932" s="31" t="n"/>
      <c r="Z932" s="31" t="n"/>
      <c r="AA932" s="31" t="n"/>
      <c r="AB932" s="31" t="n"/>
      <c r="AC932" s="31" t="n"/>
      <c r="AD932" s="31" t="n"/>
      <c r="AE932" s="31" t="n"/>
      <c r="AF932" s="27">
        <f>IF(NOT(COUNTA(A932:AE932)&gt;0),"",IF(A932="","New client","Update"))</f>
        <v/>
      </c>
      <c r="AG932" s="27">
        <f>IF(AO932&lt;&gt;"",AO932,IF(LEN(AN932)=15,MID(AN932,3,10),""))</f>
        <v/>
      </c>
      <c r="AH932" s="27">
        <f>IF(AP932="","",AP932&amp;IF(D932="","  (guessed from PAN)",""))</f>
        <v/>
      </c>
      <c r="AI932" s="27">
        <f>IF(AN932="","",IFERROR(INDEX(Lists!$L$2:$L$38,MATCH(LEFT(AN932,2),Lists!$K$2:$K$38,0)),"Unknown code"))</f>
        <v/>
      </c>
      <c r="AJ932" s="27">
        <f>IF(AN932="","",IFERROR(IF(NOT(AND(LEN(AN932)=15,ISNUMBER(MATCH(LEFT(AN932,2),Lists!$K$2:$K$38,0)),SUMPRODUCT(--ISERROR(FIND(MID(MID(AN932,3,10),{1,2,3,4,5,10},1),"ABCDEFGHIJKLMNOPQRSTUVWXYZ")))=0,SUMPRODUCT(--ISERROR(FIND(MID(MID(AN932,3,10),{6,7,8,9},1),"0123456789")))=0,ISNUMBER(FIND(MID(AN932,13,1),"123456789ABCDEFGHIJKLMNOPQRSTUVWXYZ")),MID(AN932,14,1)="Z")),"Wrong format",IF(MID("0123456789ABCDEFGHIJKLMNOPQRSTUVWXYZ",MOD(36-MOD(SUMPRODUCT(INT((FIND(MID(AN932,{1,2,3,4,5,6,7,8,9,10,11,12,13,14},1),"0123456789ABCDEFGHIJKLMNOPQRSTUVWXYZ")-1)*{1,2,1,2,1,2,1,2,1,2,1,2,1,2}/36)+MOD((FIND(MID(AN932,{1,2,3,4,5,6,7,8,9,10,11,12,13,14},1),"0123456789ABCDEFGHIJKLMNOPQRSTUVWXYZ")-1)*{1,2,1,2,1,2,1,2,1,2,1,2,1,2},36)),36),36)+1,1)=MID(AN932,15,1),"OK","Typo? check digit wrong")),"Wrong format"))</f>
        <v/>
      </c>
      <c r="AK932" s="27">
        <f>IF(AO932="","",IF(AND(LEN(AO932)=10,SUMPRODUCT(--ISERROR(FIND(MID(AO932,{1,2,3,4,5,10},1),"ABCDEFGHIJKLMNOPQRSTUVWXYZ")))=0,SUMPRODUCT(--ISERROR(FIND(MID(AO932,{6,7,8,9},1),"0123456789")))=0),"OK","Wrong format"))</f>
        <v/>
      </c>
      <c r="AL932" s="27">
        <f>IF(TRIM(H932)="","",IF(AND(LEN(UPPER(TRIM(H932)))=10,SUMPRODUCT(--ISERROR(FIND(MID(UPPER(TRIM(H932)),{1,2,3,4,10},1),"ABCDEFGHIJKLMNOPQRSTUVWXYZ")))=0,SUMPRODUCT(--ISERROR(FIND(MID(UPPER(TRIM(H932)),{5,6,7,8,9},1),"0123456789")))=0),"OK","Wrong format"))</f>
        <v/>
      </c>
      <c r="AM932" s="28">
        <f>IF(NOT(COUNTA(A932:AE932)&gt;0),"",IF(AS932&lt;&gt;"","✖ "&amp;LEFT(AS932,LEN(AS932)-2),IF(AR932&gt;0,"✔ Ready — client + "&amp;AR932&amp;" service(s)","✔ Ready — client only")))</f>
        <v/>
      </c>
      <c r="AN932" s="29">
        <f>UPPER(SUBSTITUTE(TRIM(F932)," ",""))</f>
        <v/>
      </c>
      <c r="AO932" s="29">
        <f>UPPER(SUBSTITUTE(TRIM(E932)," ",""))</f>
        <v/>
      </c>
      <c r="AP932" s="29">
        <f>IF(D932&lt;&gt;"",D932,IFERROR(VLOOKUP(MID(AG932,4,1),Lists!$E$2:$F$8,2,FALSE),""))</f>
        <v/>
      </c>
      <c r="AQ932" s="29">
        <f>IFERROR(VLOOKUP(AP932,Lists!$A$2:$C$12,3,FALSE),"")</f>
        <v/>
      </c>
      <c r="AR932" s="29">
        <f>COUNTIF(W932:AC932,"Yes")</f>
        <v/>
      </c>
      <c r="AS932" s="29">
        <f>IF(TRIM(B932)="","Legal name missing; ","")&amp;IF(AND(AJ932&lt;&gt;"",AJ932&lt;&gt;"OK"),"GSTIN: "&amp;AJ932&amp;"; ","")&amp;IF(AND(AK932&lt;&gt;"",AK932&lt;&gt;"OK"),"PAN wrong format; ","")&amp;IF(AND(AO932&lt;&gt;"",LEN(AN932)=15,MID(AN932,3,10)&lt;&gt;AO932),"PAN does not match GSTIN; ","")&amp;IF(AND(AL932&lt;&gt;"",AL932&lt;&gt;"OK"),"TAN wrong format; ","")&amp;IF(AG932="","PAN missing; ","")&amp;IF(AP932="","Entity type missing; ","")&amp;IF(AND(AN932&lt;&gt;"",COUNTIF($AN$6:$AN$1005,AN932)&gt;1),"GSTIN repeated in this sheet; ","")&amp;IF(AND(AG932&lt;&gt;"",COUNTIF($AG$6:$AG$1005,AG932)&gt;1),"PAN repeated in this sheet (same client? put extra GSTINs in Other GSTINs); ","")&amp;IF(AND(AR932&gt;0,V932=""),"Financial year missing; ","")&amp;IF(AND(AR932=0,V932&lt;&gt;""),"Financial year given but no service is Yes; ","")&amp;IF(AND(W932="Yes",AN932=""),"GST needs a GSTIN; ","")&amp;IF(AND(W932="Yes",X932=""),"GST return frequency missing; ","")&amp;IF(AND(Y932="Yes",TRIM(H932)=""),"TDS needs a TAN; ","")&amp;IF(AND(AA932="Yes",AQ932&lt;&gt;"",AQ932&lt;&gt;"company",AQ932&lt;&gt;"llp"),"ROC is only for a company / LLP; ","")&amp;IF(AND(AA932="Yes",OR(AQ932="company",AQ932="llp"),TRIM(I932)=""),"ROC needs the CIN / LLPIN; ","")</f>
        <v/>
      </c>
    </row>
    <row r="933">
      <c r="A933" s="30" t="n"/>
      <c r="B933" s="31" t="n"/>
      <c r="C933" s="31" t="n"/>
      <c r="D933" s="31" t="n"/>
      <c r="E933" s="30" t="n"/>
      <c r="F933" s="30" t="n"/>
      <c r="G933" s="30" t="n"/>
      <c r="H933" s="30" t="n"/>
      <c r="I933" s="30" t="n"/>
      <c r="J933" s="32" t="n"/>
      <c r="K933" s="31" t="n"/>
      <c r="L933" s="30" t="n"/>
      <c r="M933" s="31" t="n"/>
      <c r="N933" s="31" t="n"/>
      <c r="O933" s="31" t="n"/>
      <c r="P933" s="30" t="n"/>
      <c r="Q933" s="31" t="n"/>
      <c r="R933" s="31" t="n"/>
      <c r="S933" s="31" t="n"/>
      <c r="T933" s="31" t="n"/>
      <c r="U933" s="30" t="n"/>
      <c r="V933" s="31" t="n"/>
      <c r="W933" s="31" t="n"/>
      <c r="X933" s="31" t="n"/>
      <c r="Y933" s="31" t="n"/>
      <c r="Z933" s="31" t="n"/>
      <c r="AA933" s="31" t="n"/>
      <c r="AB933" s="31" t="n"/>
      <c r="AC933" s="31" t="n"/>
      <c r="AD933" s="31" t="n"/>
      <c r="AE933" s="31" t="n"/>
      <c r="AF933" s="27">
        <f>IF(NOT(COUNTA(A933:AE933)&gt;0),"",IF(A933="","New client","Update"))</f>
        <v/>
      </c>
      <c r="AG933" s="27">
        <f>IF(AO933&lt;&gt;"",AO933,IF(LEN(AN933)=15,MID(AN933,3,10),""))</f>
        <v/>
      </c>
      <c r="AH933" s="27">
        <f>IF(AP933="","",AP933&amp;IF(D933="","  (guessed from PAN)",""))</f>
        <v/>
      </c>
      <c r="AI933" s="27">
        <f>IF(AN933="","",IFERROR(INDEX(Lists!$L$2:$L$38,MATCH(LEFT(AN933,2),Lists!$K$2:$K$38,0)),"Unknown code"))</f>
        <v/>
      </c>
      <c r="AJ933" s="27">
        <f>IF(AN933="","",IFERROR(IF(NOT(AND(LEN(AN933)=15,ISNUMBER(MATCH(LEFT(AN933,2),Lists!$K$2:$K$38,0)),SUMPRODUCT(--ISERROR(FIND(MID(MID(AN933,3,10),{1,2,3,4,5,10},1),"ABCDEFGHIJKLMNOPQRSTUVWXYZ")))=0,SUMPRODUCT(--ISERROR(FIND(MID(MID(AN933,3,10),{6,7,8,9},1),"0123456789")))=0,ISNUMBER(FIND(MID(AN933,13,1),"123456789ABCDEFGHIJKLMNOPQRSTUVWXYZ")),MID(AN933,14,1)="Z")),"Wrong format",IF(MID("0123456789ABCDEFGHIJKLMNOPQRSTUVWXYZ",MOD(36-MOD(SUMPRODUCT(INT((FIND(MID(AN933,{1,2,3,4,5,6,7,8,9,10,11,12,13,14},1),"0123456789ABCDEFGHIJKLMNOPQRSTUVWXYZ")-1)*{1,2,1,2,1,2,1,2,1,2,1,2,1,2}/36)+MOD((FIND(MID(AN933,{1,2,3,4,5,6,7,8,9,10,11,12,13,14},1),"0123456789ABCDEFGHIJKLMNOPQRSTUVWXYZ")-1)*{1,2,1,2,1,2,1,2,1,2,1,2,1,2},36)),36),36)+1,1)=MID(AN933,15,1),"OK","Typo? check digit wrong")),"Wrong format"))</f>
        <v/>
      </c>
      <c r="AK933" s="27">
        <f>IF(AO933="","",IF(AND(LEN(AO933)=10,SUMPRODUCT(--ISERROR(FIND(MID(AO933,{1,2,3,4,5,10},1),"ABCDEFGHIJKLMNOPQRSTUVWXYZ")))=0,SUMPRODUCT(--ISERROR(FIND(MID(AO933,{6,7,8,9},1),"0123456789")))=0),"OK","Wrong format"))</f>
        <v/>
      </c>
      <c r="AL933" s="27">
        <f>IF(TRIM(H933)="","",IF(AND(LEN(UPPER(TRIM(H933)))=10,SUMPRODUCT(--ISERROR(FIND(MID(UPPER(TRIM(H933)),{1,2,3,4,10},1),"ABCDEFGHIJKLMNOPQRSTUVWXYZ")))=0,SUMPRODUCT(--ISERROR(FIND(MID(UPPER(TRIM(H933)),{5,6,7,8,9},1),"0123456789")))=0),"OK","Wrong format"))</f>
        <v/>
      </c>
      <c r="AM933" s="28">
        <f>IF(NOT(COUNTA(A933:AE933)&gt;0),"",IF(AS933&lt;&gt;"","✖ "&amp;LEFT(AS933,LEN(AS933)-2),IF(AR933&gt;0,"✔ Ready — client + "&amp;AR933&amp;" service(s)","✔ Ready — client only")))</f>
        <v/>
      </c>
      <c r="AN933" s="29">
        <f>UPPER(SUBSTITUTE(TRIM(F933)," ",""))</f>
        <v/>
      </c>
      <c r="AO933" s="29">
        <f>UPPER(SUBSTITUTE(TRIM(E933)," ",""))</f>
        <v/>
      </c>
      <c r="AP933" s="29">
        <f>IF(D933&lt;&gt;"",D933,IFERROR(VLOOKUP(MID(AG933,4,1),Lists!$E$2:$F$8,2,FALSE),""))</f>
        <v/>
      </c>
      <c r="AQ933" s="29">
        <f>IFERROR(VLOOKUP(AP933,Lists!$A$2:$C$12,3,FALSE),"")</f>
        <v/>
      </c>
      <c r="AR933" s="29">
        <f>COUNTIF(W933:AC933,"Yes")</f>
        <v/>
      </c>
      <c r="AS933" s="29">
        <f>IF(TRIM(B933)="","Legal name missing; ","")&amp;IF(AND(AJ933&lt;&gt;"",AJ933&lt;&gt;"OK"),"GSTIN: "&amp;AJ933&amp;"; ","")&amp;IF(AND(AK933&lt;&gt;"",AK933&lt;&gt;"OK"),"PAN wrong format; ","")&amp;IF(AND(AO933&lt;&gt;"",LEN(AN933)=15,MID(AN933,3,10)&lt;&gt;AO933),"PAN does not match GSTIN; ","")&amp;IF(AND(AL933&lt;&gt;"",AL933&lt;&gt;"OK"),"TAN wrong format; ","")&amp;IF(AG933="","PAN missing; ","")&amp;IF(AP933="","Entity type missing; ","")&amp;IF(AND(AN933&lt;&gt;"",COUNTIF($AN$6:$AN$1005,AN933)&gt;1),"GSTIN repeated in this sheet; ","")&amp;IF(AND(AG933&lt;&gt;"",COUNTIF($AG$6:$AG$1005,AG933)&gt;1),"PAN repeated in this sheet (same client? put extra GSTINs in Other GSTINs); ","")&amp;IF(AND(AR933&gt;0,V933=""),"Financial year missing; ","")&amp;IF(AND(AR933=0,V933&lt;&gt;""),"Financial year given but no service is Yes; ","")&amp;IF(AND(W933="Yes",AN933=""),"GST needs a GSTIN; ","")&amp;IF(AND(W933="Yes",X933=""),"GST return frequency missing; ","")&amp;IF(AND(Y933="Yes",TRIM(H933)=""),"TDS needs a TAN; ","")&amp;IF(AND(AA933="Yes",AQ933&lt;&gt;"",AQ933&lt;&gt;"company",AQ933&lt;&gt;"llp"),"ROC is only for a company / LLP; ","")&amp;IF(AND(AA933="Yes",OR(AQ933="company",AQ933="llp"),TRIM(I933)=""),"ROC needs the CIN / LLPIN; ","")</f>
        <v/>
      </c>
    </row>
    <row r="934">
      <c r="A934" s="30" t="n"/>
      <c r="B934" s="31" t="n"/>
      <c r="C934" s="31" t="n"/>
      <c r="D934" s="31" t="n"/>
      <c r="E934" s="30" t="n"/>
      <c r="F934" s="30" t="n"/>
      <c r="G934" s="30" t="n"/>
      <c r="H934" s="30" t="n"/>
      <c r="I934" s="30" t="n"/>
      <c r="J934" s="32" t="n"/>
      <c r="K934" s="31" t="n"/>
      <c r="L934" s="30" t="n"/>
      <c r="M934" s="31" t="n"/>
      <c r="N934" s="31" t="n"/>
      <c r="O934" s="31" t="n"/>
      <c r="P934" s="30" t="n"/>
      <c r="Q934" s="31" t="n"/>
      <c r="R934" s="31" t="n"/>
      <c r="S934" s="31" t="n"/>
      <c r="T934" s="31" t="n"/>
      <c r="U934" s="30" t="n"/>
      <c r="V934" s="31" t="n"/>
      <c r="W934" s="31" t="n"/>
      <c r="X934" s="31" t="n"/>
      <c r="Y934" s="31" t="n"/>
      <c r="Z934" s="31" t="n"/>
      <c r="AA934" s="31" t="n"/>
      <c r="AB934" s="31" t="n"/>
      <c r="AC934" s="31" t="n"/>
      <c r="AD934" s="31" t="n"/>
      <c r="AE934" s="31" t="n"/>
      <c r="AF934" s="27">
        <f>IF(NOT(COUNTA(A934:AE934)&gt;0),"",IF(A934="","New client","Update"))</f>
        <v/>
      </c>
      <c r="AG934" s="27">
        <f>IF(AO934&lt;&gt;"",AO934,IF(LEN(AN934)=15,MID(AN934,3,10),""))</f>
        <v/>
      </c>
      <c r="AH934" s="27">
        <f>IF(AP934="","",AP934&amp;IF(D934="","  (guessed from PAN)",""))</f>
        <v/>
      </c>
      <c r="AI934" s="27">
        <f>IF(AN934="","",IFERROR(INDEX(Lists!$L$2:$L$38,MATCH(LEFT(AN934,2),Lists!$K$2:$K$38,0)),"Unknown code"))</f>
        <v/>
      </c>
      <c r="AJ934" s="27">
        <f>IF(AN934="","",IFERROR(IF(NOT(AND(LEN(AN934)=15,ISNUMBER(MATCH(LEFT(AN934,2),Lists!$K$2:$K$38,0)),SUMPRODUCT(--ISERROR(FIND(MID(MID(AN934,3,10),{1,2,3,4,5,10},1),"ABCDEFGHIJKLMNOPQRSTUVWXYZ")))=0,SUMPRODUCT(--ISERROR(FIND(MID(MID(AN934,3,10),{6,7,8,9},1),"0123456789")))=0,ISNUMBER(FIND(MID(AN934,13,1),"123456789ABCDEFGHIJKLMNOPQRSTUVWXYZ")),MID(AN934,14,1)="Z")),"Wrong format",IF(MID("0123456789ABCDEFGHIJKLMNOPQRSTUVWXYZ",MOD(36-MOD(SUMPRODUCT(INT((FIND(MID(AN934,{1,2,3,4,5,6,7,8,9,10,11,12,13,14},1),"0123456789ABCDEFGHIJKLMNOPQRSTUVWXYZ")-1)*{1,2,1,2,1,2,1,2,1,2,1,2,1,2}/36)+MOD((FIND(MID(AN934,{1,2,3,4,5,6,7,8,9,10,11,12,13,14},1),"0123456789ABCDEFGHIJKLMNOPQRSTUVWXYZ")-1)*{1,2,1,2,1,2,1,2,1,2,1,2,1,2},36)),36),36)+1,1)=MID(AN934,15,1),"OK","Typo? check digit wrong")),"Wrong format"))</f>
        <v/>
      </c>
      <c r="AK934" s="27">
        <f>IF(AO934="","",IF(AND(LEN(AO934)=10,SUMPRODUCT(--ISERROR(FIND(MID(AO934,{1,2,3,4,5,10},1),"ABCDEFGHIJKLMNOPQRSTUVWXYZ")))=0,SUMPRODUCT(--ISERROR(FIND(MID(AO934,{6,7,8,9},1),"0123456789")))=0),"OK","Wrong format"))</f>
        <v/>
      </c>
      <c r="AL934" s="27">
        <f>IF(TRIM(H934)="","",IF(AND(LEN(UPPER(TRIM(H934)))=10,SUMPRODUCT(--ISERROR(FIND(MID(UPPER(TRIM(H934)),{1,2,3,4,10},1),"ABCDEFGHIJKLMNOPQRSTUVWXYZ")))=0,SUMPRODUCT(--ISERROR(FIND(MID(UPPER(TRIM(H934)),{5,6,7,8,9},1),"0123456789")))=0),"OK","Wrong format"))</f>
        <v/>
      </c>
      <c r="AM934" s="28">
        <f>IF(NOT(COUNTA(A934:AE934)&gt;0),"",IF(AS934&lt;&gt;"","✖ "&amp;LEFT(AS934,LEN(AS934)-2),IF(AR934&gt;0,"✔ Ready — client + "&amp;AR934&amp;" service(s)","✔ Ready — client only")))</f>
        <v/>
      </c>
      <c r="AN934" s="29">
        <f>UPPER(SUBSTITUTE(TRIM(F934)," ",""))</f>
        <v/>
      </c>
      <c r="AO934" s="29">
        <f>UPPER(SUBSTITUTE(TRIM(E934)," ",""))</f>
        <v/>
      </c>
      <c r="AP934" s="29">
        <f>IF(D934&lt;&gt;"",D934,IFERROR(VLOOKUP(MID(AG934,4,1),Lists!$E$2:$F$8,2,FALSE),""))</f>
        <v/>
      </c>
      <c r="AQ934" s="29">
        <f>IFERROR(VLOOKUP(AP934,Lists!$A$2:$C$12,3,FALSE),"")</f>
        <v/>
      </c>
      <c r="AR934" s="29">
        <f>COUNTIF(W934:AC934,"Yes")</f>
        <v/>
      </c>
      <c r="AS934" s="29">
        <f>IF(TRIM(B934)="","Legal name missing; ","")&amp;IF(AND(AJ934&lt;&gt;"",AJ934&lt;&gt;"OK"),"GSTIN: "&amp;AJ934&amp;"; ","")&amp;IF(AND(AK934&lt;&gt;"",AK934&lt;&gt;"OK"),"PAN wrong format; ","")&amp;IF(AND(AO934&lt;&gt;"",LEN(AN934)=15,MID(AN934,3,10)&lt;&gt;AO934),"PAN does not match GSTIN; ","")&amp;IF(AND(AL934&lt;&gt;"",AL934&lt;&gt;"OK"),"TAN wrong format; ","")&amp;IF(AG934="","PAN missing; ","")&amp;IF(AP934="","Entity type missing; ","")&amp;IF(AND(AN934&lt;&gt;"",COUNTIF($AN$6:$AN$1005,AN934)&gt;1),"GSTIN repeated in this sheet; ","")&amp;IF(AND(AG934&lt;&gt;"",COUNTIF($AG$6:$AG$1005,AG934)&gt;1),"PAN repeated in this sheet (same client? put extra GSTINs in Other GSTINs); ","")&amp;IF(AND(AR934&gt;0,V934=""),"Financial year missing; ","")&amp;IF(AND(AR934=0,V934&lt;&gt;""),"Financial year given but no service is Yes; ","")&amp;IF(AND(W934="Yes",AN934=""),"GST needs a GSTIN; ","")&amp;IF(AND(W934="Yes",X934=""),"GST return frequency missing; ","")&amp;IF(AND(Y934="Yes",TRIM(H934)=""),"TDS needs a TAN; ","")&amp;IF(AND(AA934="Yes",AQ934&lt;&gt;"",AQ934&lt;&gt;"company",AQ934&lt;&gt;"llp"),"ROC is only for a company / LLP; ","")&amp;IF(AND(AA934="Yes",OR(AQ934="company",AQ934="llp"),TRIM(I934)=""),"ROC needs the CIN / LLPIN; ","")</f>
        <v/>
      </c>
    </row>
    <row r="935">
      <c r="A935" s="30" t="n"/>
      <c r="B935" s="31" t="n"/>
      <c r="C935" s="31" t="n"/>
      <c r="D935" s="31" t="n"/>
      <c r="E935" s="30" t="n"/>
      <c r="F935" s="30" t="n"/>
      <c r="G935" s="30" t="n"/>
      <c r="H935" s="30" t="n"/>
      <c r="I935" s="30" t="n"/>
      <c r="J935" s="32" t="n"/>
      <c r="K935" s="31" t="n"/>
      <c r="L935" s="30" t="n"/>
      <c r="M935" s="31" t="n"/>
      <c r="N935" s="31" t="n"/>
      <c r="O935" s="31" t="n"/>
      <c r="P935" s="30" t="n"/>
      <c r="Q935" s="31" t="n"/>
      <c r="R935" s="31" t="n"/>
      <c r="S935" s="31" t="n"/>
      <c r="T935" s="31" t="n"/>
      <c r="U935" s="30" t="n"/>
      <c r="V935" s="31" t="n"/>
      <c r="W935" s="31" t="n"/>
      <c r="X935" s="31" t="n"/>
      <c r="Y935" s="31" t="n"/>
      <c r="Z935" s="31" t="n"/>
      <c r="AA935" s="31" t="n"/>
      <c r="AB935" s="31" t="n"/>
      <c r="AC935" s="31" t="n"/>
      <c r="AD935" s="31" t="n"/>
      <c r="AE935" s="31" t="n"/>
      <c r="AF935" s="27">
        <f>IF(NOT(COUNTA(A935:AE935)&gt;0),"",IF(A935="","New client","Update"))</f>
        <v/>
      </c>
      <c r="AG935" s="27">
        <f>IF(AO935&lt;&gt;"",AO935,IF(LEN(AN935)=15,MID(AN935,3,10),""))</f>
        <v/>
      </c>
      <c r="AH935" s="27">
        <f>IF(AP935="","",AP935&amp;IF(D935="","  (guessed from PAN)",""))</f>
        <v/>
      </c>
      <c r="AI935" s="27">
        <f>IF(AN935="","",IFERROR(INDEX(Lists!$L$2:$L$38,MATCH(LEFT(AN935,2),Lists!$K$2:$K$38,0)),"Unknown code"))</f>
        <v/>
      </c>
      <c r="AJ935" s="27">
        <f>IF(AN935="","",IFERROR(IF(NOT(AND(LEN(AN935)=15,ISNUMBER(MATCH(LEFT(AN935,2),Lists!$K$2:$K$38,0)),SUMPRODUCT(--ISERROR(FIND(MID(MID(AN935,3,10),{1,2,3,4,5,10},1),"ABCDEFGHIJKLMNOPQRSTUVWXYZ")))=0,SUMPRODUCT(--ISERROR(FIND(MID(MID(AN935,3,10),{6,7,8,9},1),"0123456789")))=0,ISNUMBER(FIND(MID(AN935,13,1),"123456789ABCDEFGHIJKLMNOPQRSTUVWXYZ")),MID(AN935,14,1)="Z")),"Wrong format",IF(MID("0123456789ABCDEFGHIJKLMNOPQRSTUVWXYZ",MOD(36-MOD(SUMPRODUCT(INT((FIND(MID(AN935,{1,2,3,4,5,6,7,8,9,10,11,12,13,14},1),"0123456789ABCDEFGHIJKLMNOPQRSTUVWXYZ")-1)*{1,2,1,2,1,2,1,2,1,2,1,2,1,2}/36)+MOD((FIND(MID(AN935,{1,2,3,4,5,6,7,8,9,10,11,12,13,14},1),"0123456789ABCDEFGHIJKLMNOPQRSTUVWXYZ")-1)*{1,2,1,2,1,2,1,2,1,2,1,2,1,2},36)),36),36)+1,1)=MID(AN935,15,1),"OK","Typo? check digit wrong")),"Wrong format"))</f>
        <v/>
      </c>
      <c r="AK935" s="27">
        <f>IF(AO935="","",IF(AND(LEN(AO935)=10,SUMPRODUCT(--ISERROR(FIND(MID(AO935,{1,2,3,4,5,10},1),"ABCDEFGHIJKLMNOPQRSTUVWXYZ")))=0,SUMPRODUCT(--ISERROR(FIND(MID(AO935,{6,7,8,9},1),"0123456789")))=0),"OK","Wrong format"))</f>
        <v/>
      </c>
      <c r="AL935" s="27">
        <f>IF(TRIM(H935)="","",IF(AND(LEN(UPPER(TRIM(H935)))=10,SUMPRODUCT(--ISERROR(FIND(MID(UPPER(TRIM(H935)),{1,2,3,4,10},1),"ABCDEFGHIJKLMNOPQRSTUVWXYZ")))=0,SUMPRODUCT(--ISERROR(FIND(MID(UPPER(TRIM(H935)),{5,6,7,8,9},1),"0123456789")))=0),"OK","Wrong format"))</f>
        <v/>
      </c>
      <c r="AM935" s="28">
        <f>IF(NOT(COUNTA(A935:AE935)&gt;0),"",IF(AS935&lt;&gt;"","✖ "&amp;LEFT(AS935,LEN(AS935)-2),IF(AR935&gt;0,"✔ Ready — client + "&amp;AR935&amp;" service(s)","✔ Ready — client only")))</f>
        <v/>
      </c>
      <c r="AN935" s="29">
        <f>UPPER(SUBSTITUTE(TRIM(F935)," ",""))</f>
        <v/>
      </c>
      <c r="AO935" s="29">
        <f>UPPER(SUBSTITUTE(TRIM(E935)," ",""))</f>
        <v/>
      </c>
      <c r="AP935" s="29">
        <f>IF(D935&lt;&gt;"",D935,IFERROR(VLOOKUP(MID(AG935,4,1),Lists!$E$2:$F$8,2,FALSE),""))</f>
        <v/>
      </c>
      <c r="AQ935" s="29">
        <f>IFERROR(VLOOKUP(AP935,Lists!$A$2:$C$12,3,FALSE),"")</f>
        <v/>
      </c>
      <c r="AR935" s="29">
        <f>COUNTIF(W935:AC935,"Yes")</f>
        <v/>
      </c>
      <c r="AS935" s="29">
        <f>IF(TRIM(B935)="","Legal name missing; ","")&amp;IF(AND(AJ935&lt;&gt;"",AJ935&lt;&gt;"OK"),"GSTIN: "&amp;AJ935&amp;"; ","")&amp;IF(AND(AK935&lt;&gt;"",AK935&lt;&gt;"OK"),"PAN wrong format; ","")&amp;IF(AND(AO935&lt;&gt;"",LEN(AN935)=15,MID(AN935,3,10)&lt;&gt;AO935),"PAN does not match GSTIN; ","")&amp;IF(AND(AL935&lt;&gt;"",AL935&lt;&gt;"OK"),"TAN wrong format; ","")&amp;IF(AG935="","PAN missing; ","")&amp;IF(AP935="","Entity type missing; ","")&amp;IF(AND(AN935&lt;&gt;"",COUNTIF($AN$6:$AN$1005,AN935)&gt;1),"GSTIN repeated in this sheet; ","")&amp;IF(AND(AG935&lt;&gt;"",COUNTIF($AG$6:$AG$1005,AG935)&gt;1),"PAN repeated in this sheet (same client? put extra GSTINs in Other GSTINs); ","")&amp;IF(AND(AR935&gt;0,V935=""),"Financial year missing; ","")&amp;IF(AND(AR935=0,V935&lt;&gt;""),"Financial year given but no service is Yes; ","")&amp;IF(AND(W935="Yes",AN935=""),"GST needs a GSTIN; ","")&amp;IF(AND(W935="Yes",X935=""),"GST return frequency missing; ","")&amp;IF(AND(Y935="Yes",TRIM(H935)=""),"TDS needs a TAN; ","")&amp;IF(AND(AA935="Yes",AQ935&lt;&gt;"",AQ935&lt;&gt;"company",AQ935&lt;&gt;"llp"),"ROC is only for a company / LLP; ","")&amp;IF(AND(AA935="Yes",OR(AQ935="company",AQ935="llp"),TRIM(I935)=""),"ROC needs the CIN / LLPIN; ","")</f>
        <v/>
      </c>
    </row>
    <row r="936">
      <c r="A936" s="30" t="n"/>
      <c r="B936" s="31" t="n"/>
      <c r="C936" s="31" t="n"/>
      <c r="D936" s="31" t="n"/>
      <c r="E936" s="30" t="n"/>
      <c r="F936" s="30" t="n"/>
      <c r="G936" s="30" t="n"/>
      <c r="H936" s="30" t="n"/>
      <c r="I936" s="30" t="n"/>
      <c r="J936" s="32" t="n"/>
      <c r="K936" s="31" t="n"/>
      <c r="L936" s="30" t="n"/>
      <c r="M936" s="31" t="n"/>
      <c r="N936" s="31" t="n"/>
      <c r="O936" s="31" t="n"/>
      <c r="P936" s="30" t="n"/>
      <c r="Q936" s="31" t="n"/>
      <c r="R936" s="31" t="n"/>
      <c r="S936" s="31" t="n"/>
      <c r="T936" s="31" t="n"/>
      <c r="U936" s="30" t="n"/>
      <c r="V936" s="31" t="n"/>
      <c r="W936" s="31" t="n"/>
      <c r="X936" s="31" t="n"/>
      <c r="Y936" s="31" t="n"/>
      <c r="Z936" s="31" t="n"/>
      <c r="AA936" s="31" t="n"/>
      <c r="AB936" s="31" t="n"/>
      <c r="AC936" s="31" t="n"/>
      <c r="AD936" s="31" t="n"/>
      <c r="AE936" s="31" t="n"/>
      <c r="AF936" s="27">
        <f>IF(NOT(COUNTA(A936:AE936)&gt;0),"",IF(A936="","New client","Update"))</f>
        <v/>
      </c>
      <c r="AG936" s="27">
        <f>IF(AO936&lt;&gt;"",AO936,IF(LEN(AN936)=15,MID(AN936,3,10),""))</f>
        <v/>
      </c>
      <c r="AH936" s="27">
        <f>IF(AP936="","",AP936&amp;IF(D936="","  (guessed from PAN)",""))</f>
        <v/>
      </c>
      <c r="AI936" s="27">
        <f>IF(AN936="","",IFERROR(INDEX(Lists!$L$2:$L$38,MATCH(LEFT(AN936,2),Lists!$K$2:$K$38,0)),"Unknown code"))</f>
        <v/>
      </c>
      <c r="AJ936" s="27">
        <f>IF(AN936="","",IFERROR(IF(NOT(AND(LEN(AN936)=15,ISNUMBER(MATCH(LEFT(AN936,2),Lists!$K$2:$K$38,0)),SUMPRODUCT(--ISERROR(FIND(MID(MID(AN936,3,10),{1,2,3,4,5,10},1),"ABCDEFGHIJKLMNOPQRSTUVWXYZ")))=0,SUMPRODUCT(--ISERROR(FIND(MID(MID(AN936,3,10),{6,7,8,9},1),"0123456789")))=0,ISNUMBER(FIND(MID(AN936,13,1),"123456789ABCDEFGHIJKLMNOPQRSTUVWXYZ")),MID(AN936,14,1)="Z")),"Wrong format",IF(MID("0123456789ABCDEFGHIJKLMNOPQRSTUVWXYZ",MOD(36-MOD(SUMPRODUCT(INT((FIND(MID(AN936,{1,2,3,4,5,6,7,8,9,10,11,12,13,14},1),"0123456789ABCDEFGHIJKLMNOPQRSTUVWXYZ")-1)*{1,2,1,2,1,2,1,2,1,2,1,2,1,2}/36)+MOD((FIND(MID(AN936,{1,2,3,4,5,6,7,8,9,10,11,12,13,14},1),"0123456789ABCDEFGHIJKLMNOPQRSTUVWXYZ")-1)*{1,2,1,2,1,2,1,2,1,2,1,2,1,2},36)),36),36)+1,1)=MID(AN936,15,1),"OK","Typo? check digit wrong")),"Wrong format"))</f>
        <v/>
      </c>
      <c r="AK936" s="27">
        <f>IF(AO936="","",IF(AND(LEN(AO936)=10,SUMPRODUCT(--ISERROR(FIND(MID(AO936,{1,2,3,4,5,10},1),"ABCDEFGHIJKLMNOPQRSTUVWXYZ")))=0,SUMPRODUCT(--ISERROR(FIND(MID(AO936,{6,7,8,9},1),"0123456789")))=0),"OK","Wrong format"))</f>
        <v/>
      </c>
      <c r="AL936" s="27">
        <f>IF(TRIM(H936)="","",IF(AND(LEN(UPPER(TRIM(H936)))=10,SUMPRODUCT(--ISERROR(FIND(MID(UPPER(TRIM(H936)),{1,2,3,4,10},1),"ABCDEFGHIJKLMNOPQRSTUVWXYZ")))=0,SUMPRODUCT(--ISERROR(FIND(MID(UPPER(TRIM(H936)),{5,6,7,8,9},1),"0123456789")))=0),"OK","Wrong format"))</f>
        <v/>
      </c>
      <c r="AM936" s="28">
        <f>IF(NOT(COUNTA(A936:AE936)&gt;0),"",IF(AS936&lt;&gt;"","✖ "&amp;LEFT(AS936,LEN(AS936)-2),IF(AR936&gt;0,"✔ Ready — client + "&amp;AR936&amp;" service(s)","✔ Ready — client only")))</f>
        <v/>
      </c>
      <c r="AN936" s="29">
        <f>UPPER(SUBSTITUTE(TRIM(F936)," ",""))</f>
        <v/>
      </c>
      <c r="AO936" s="29">
        <f>UPPER(SUBSTITUTE(TRIM(E936)," ",""))</f>
        <v/>
      </c>
      <c r="AP936" s="29">
        <f>IF(D936&lt;&gt;"",D936,IFERROR(VLOOKUP(MID(AG936,4,1),Lists!$E$2:$F$8,2,FALSE),""))</f>
        <v/>
      </c>
      <c r="AQ936" s="29">
        <f>IFERROR(VLOOKUP(AP936,Lists!$A$2:$C$12,3,FALSE),"")</f>
        <v/>
      </c>
      <c r="AR936" s="29">
        <f>COUNTIF(W936:AC936,"Yes")</f>
        <v/>
      </c>
      <c r="AS936" s="29">
        <f>IF(TRIM(B936)="","Legal name missing; ","")&amp;IF(AND(AJ936&lt;&gt;"",AJ936&lt;&gt;"OK"),"GSTIN: "&amp;AJ936&amp;"; ","")&amp;IF(AND(AK936&lt;&gt;"",AK936&lt;&gt;"OK"),"PAN wrong format; ","")&amp;IF(AND(AO936&lt;&gt;"",LEN(AN936)=15,MID(AN936,3,10)&lt;&gt;AO936),"PAN does not match GSTIN; ","")&amp;IF(AND(AL936&lt;&gt;"",AL936&lt;&gt;"OK"),"TAN wrong format; ","")&amp;IF(AG936="","PAN missing; ","")&amp;IF(AP936="","Entity type missing; ","")&amp;IF(AND(AN936&lt;&gt;"",COUNTIF($AN$6:$AN$1005,AN936)&gt;1),"GSTIN repeated in this sheet; ","")&amp;IF(AND(AG936&lt;&gt;"",COUNTIF($AG$6:$AG$1005,AG936)&gt;1),"PAN repeated in this sheet (same client? put extra GSTINs in Other GSTINs); ","")&amp;IF(AND(AR936&gt;0,V936=""),"Financial year missing; ","")&amp;IF(AND(AR936=0,V936&lt;&gt;""),"Financial year given but no service is Yes; ","")&amp;IF(AND(W936="Yes",AN936=""),"GST needs a GSTIN; ","")&amp;IF(AND(W936="Yes",X936=""),"GST return frequency missing; ","")&amp;IF(AND(Y936="Yes",TRIM(H936)=""),"TDS needs a TAN; ","")&amp;IF(AND(AA936="Yes",AQ936&lt;&gt;"",AQ936&lt;&gt;"company",AQ936&lt;&gt;"llp"),"ROC is only for a company / LLP; ","")&amp;IF(AND(AA936="Yes",OR(AQ936="company",AQ936="llp"),TRIM(I936)=""),"ROC needs the CIN / LLPIN; ","")</f>
        <v/>
      </c>
    </row>
    <row r="937">
      <c r="A937" s="30" t="n"/>
      <c r="B937" s="31" t="n"/>
      <c r="C937" s="31" t="n"/>
      <c r="D937" s="31" t="n"/>
      <c r="E937" s="30" t="n"/>
      <c r="F937" s="30" t="n"/>
      <c r="G937" s="30" t="n"/>
      <c r="H937" s="30" t="n"/>
      <c r="I937" s="30" t="n"/>
      <c r="J937" s="32" t="n"/>
      <c r="K937" s="31" t="n"/>
      <c r="L937" s="30" t="n"/>
      <c r="M937" s="31" t="n"/>
      <c r="N937" s="31" t="n"/>
      <c r="O937" s="31" t="n"/>
      <c r="P937" s="30" t="n"/>
      <c r="Q937" s="31" t="n"/>
      <c r="R937" s="31" t="n"/>
      <c r="S937" s="31" t="n"/>
      <c r="T937" s="31" t="n"/>
      <c r="U937" s="30" t="n"/>
      <c r="V937" s="31" t="n"/>
      <c r="W937" s="31" t="n"/>
      <c r="X937" s="31" t="n"/>
      <c r="Y937" s="31" t="n"/>
      <c r="Z937" s="31" t="n"/>
      <c r="AA937" s="31" t="n"/>
      <c r="AB937" s="31" t="n"/>
      <c r="AC937" s="31" t="n"/>
      <c r="AD937" s="31" t="n"/>
      <c r="AE937" s="31" t="n"/>
      <c r="AF937" s="27">
        <f>IF(NOT(COUNTA(A937:AE937)&gt;0),"",IF(A937="","New client","Update"))</f>
        <v/>
      </c>
      <c r="AG937" s="27">
        <f>IF(AO937&lt;&gt;"",AO937,IF(LEN(AN937)=15,MID(AN937,3,10),""))</f>
        <v/>
      </c>
      <c r="AH937" s="27">
        <f>IF(AP937="","",AP937&amp;IF(D937="","  (guessed from PAN)",""))</f>
        <v/>
      </c>
      <c r="AI937" s="27">
        <f>IF(AN937="","",IFERROR(INDEX(Lists!$L$2:$L$38,MATCH(LEFT(AN937,2),Lists!$K$2:$K$38,0)),"Unknown code"))</f>
        <v/>
      </c>
      <c r="AJ937" s="27">
        <f>IF(AN937="","",IFERROR(IF(NOT(AND(LEN(AN937)=15,ISNUMBER(MATCH(LEFT(AN937,2),Lists!$K$2:$K$38,0)),SUMPRODUCT(--ISERROR(FIND(MID(MID(AN937,3,10),{1,2,3,4,5,10},1),"ABCDEFGHIJKLMNOPQRSTUVWXYZ")))=0,SUMPRODUCT(--ISERROR(FIND(MID(MID(AN937,3,10),{6,7,8,9},1),"0123456789")))=0,ISNUMBER(FIND(MID(AN937,13,1),"123456789ABCDEFGHIJKLMNOPQRSTUVWXYZ")),MID(AN937,14,1)="Z")),"Wrong format",IF(MID("0123456789ABCDEFGHIJKLMNOPQRSTUVWXYZ",MOD(36-MOD(SUMPRODUCT(INT((FIND(MID(AN937,{1,2,3,4,5,6,7,8,9,10,11,12,13,14},1),"0123456789ABCDEFGHIJKLMNOPQRSTUVWXYZ")-1)*{1,2,1,2,1,2,1,2,1,2,1,2,1,2}/36)+MOD((FIND(MID(AN937,{1,2,3,4,5,6,7,8,9,10,11,12,13,14},1),"0123456789ABCDEFGHIJKLMNOPQRSTUVWXYZ")-1)*{1,2,1,2,1,2,1,2,1,2,1,2,1,2},36)),36),36)+1,1)=MID(AN937,15,1),"OK","Typo? check digit wrong")),"Wrong format"))</f>
        <v/>
      </c>
      <c r="AK937" s="27">
        <f>IF(AO937="","",IF(AND(LEN(AO937)=10,SUMPRODUCT(--ISERROR(FIND(MID(AO937,{1,2,3,4,5,10},1),"ABCDEFGHIJKLMNOPQRSTUVWXYZ")))=0,SUMPRODUCT(--ISERROR(FIND(MID(AO937,{6,7,8,9},1),"0123456789")))=0),"OK","Wrong format"))</f>
        <v/>
      </c>
      <c r="AL937" s="27">
        <f>IF(TRIM(H937)="","",IF(AND(LEN(UPPER(TRIM(H937)))=10,SUMPRODUCT(--ISERROR(FIND(MID(UPPER(TRIM(H937)),{1,2,3,4,10},1),"ABCDEFGHIJKLMNOPQRSTUVWXYZ")))=0,SUMPRODUCT(--ISERROR(FIND(MID(UPPER(TRIM(H937)),{5,6,7,8,9},1),"0123456789")))=0),"OK","Wrong format"))</f>
        <v/>
      </c>
      <c r="AM937" s="28">
        <f>IF(NOT(COUNTA(A937:AE937)&gt;0),"",IF(AS937&lt;&gt;"","✖ "&amp;LEFT(AS937,LEN(AS937)-2),IF(AR937&gt;0,"✔ Ready — client + "&amp;AR937&amp;" service(s)","✔ Ready — client only")))</f>
        <v/>
      </c>
      <c r="AN937" s="29">
        <f>UPPER(SUBSTITUTE(TRIM(F937)," ",""))</f>
        <v/>
      </c>
      <c r="AO937" s="29">
        <f>UPPER(SUBSTITUTE(TRIM(E937)," ",""))</f>
        <v/>
      </c>
      <c r="AP937" s="29">
        <f>IF(D937&lt;&gt;"",D937,IFERROR(VLOOKUP(MID(AG937,4,1),Lists!$E$2:$F$8,2,FALSE),""))</f>
        <v/>
      </c>
      <c r="AQ937" s="29">
        <f>IFERROR(VLOOKUP(AP937,Lists!$A$2:$C$12,3,FALSE),"")</f>
        <v/>
      </c>
      <c r="AR937" s="29">
        <f>COUNTIF(W937:AC937,"Yes")</f>
        <v/>
      </c>
      <c r="AS937" s="29">
        <f>IF(TRIM(B937)="","Legal name missing; ","")&amp;IF(AND(AJ937&lt;&gt;"",AJ937&lt;&gt;"OK"),"GSTIN: "&amp;AJ937&amp;"; ","")&amp;IF(AND(AK937&lt;&gt;"",AK937&lt;&gt;"OK"),"PAN wrong format; ","")&amp;IF(AND(AO937&lt;&gt;"",LEN(AN937)=15,MID(AN937,3,10)&lt;&gt;AO937),"PAN does not match GSTIN; ","")&amp;IF(AND(AL937&lt;&gt;"",AL937&lt;&gt;"OK"),"TAN wrong format; ","")&amp;IF(AG937="","PAN missing; ","")&amp;IF(AP937="","Entity type missing; ","")&amp;IF(AND(AN937&lt;&gt;"",COUNTIF($AN$6:$AN$1005,AN937)&gt;1),"GSTIN repeated in this sheet; ","")&amp;IF(AND(AG937&lt;&gt;"",COUNTIF($AG$6:$AG$1005,AG937)&gt;1),"PAN repeated in this sheet (same client? put extra GSTINs in Other GSTINs); ","")&amp;IF(AND(AR937&gt;0,V937=""),"Financial year missing; ","")&amp;IF(AND(AR937=0,V937&lt;&gt;""),"Financial year given but no service is Yes; ","")&amp;IF(AND(W937="Yes",AN937=""),"GST needs a GSTIN; ","")&amp;IF(AND(W937="Yes",X937=""),"GST return frequency missing; ","")&amp;IF(AND(Y937="Yes",TRIM(H937)=""),"TDS needs a TAN; ","")&amp;IF(AND(AA937="Yes",AQ937&lt;&gt;"",AQ937&lt;&gt;"company",AQ937&lt;&gt;"llp"),"ROC is only for a company / LLP; ","")&amp;IF(AND(AA937="Yes",OR(AQ937="company",AQ937="llp"),TRIM(I937)=""),"ROC needs the CIN / LLPIN; ","")</f>
        <v/>
      </c>
    </row>
    <row r="938">
      <c r="A938" s="30" t="n"/>
      <c r="B938" s="31" t="n"/>
      <c r="C938" s="31" t="n"/>
      <c r="D938" s="31" t="n"/>
      <c r="E938" s="30" t="n"/>
      <c r="F938" s="30" t="n"/>
      <c r="G938" s="30" t="n"/>
      <c r="H938" s="30" t="n"/>
      <c r="I938" s="30" t="n"/>
      <c r="J938" s="32" t="n"/>
      <c r="K938" s="31" t="n"/>
      <c r="L938" s="30" t="n"/>
      <c r="M938" s="31" t="n"/>
      <c r="N938" s="31" t="n"/>
      <c r="O938" s="31" t="n"/>
      <c r="P938" s="30" t="n"/>
      <c r="Q938" s="31" t="n"/>
      <c r="R938" s="31" t="n"/>
      <c r="S938" s="31" t="n"/>
      <c r="T938" s="31" t="n"/>
      <c r="U938" s="30" t="n"/>
      <c r="V938" s="31" t="n"/>
      <c r="W938" s="31" t="n"/>
      <c r="X938" s="31" t="n"/>
      <c r="Y938" s="31" t="n"/>
      <c r="Z938" s="31" t="n"/>
      <c r="AA938" s="31" t="n"/>
      <c r="AB938" s="31" t="n"/>
      <c r="AC938" s="31" t="n"/>
      <c r="AD938" s="31" t="n"/>
      <c r="AE938" s="31" t="n"/>
      <c r="AF938" s="27">
        <f>IF(NOT(COUNTA(A938:AE938)&gt;0),"",IF(A938="","New client","Update"))</f>
        <v/>
      </c>
      <c r="AG938" s="27">
        <f>IF(AO938&lt;&gt;"",AO938,IF(LEN(AN938)=15,MID(AN938,3,10),""))</f>
        <v/>
      </c>
      <c r="AH938" s="27">
        <f>IF(AP938="","",AP938&amp;IF(D938="","  (guessed from PAN)",""))</f>
        <v/>
      </c>
      <c r="AI938" s="27">
        <f>IF(AN938="","",IFERROR(INDEX(Lists!$L$2:$L$38,MATCH(LEFT(AN938,2),Lists!$K$2:$K$38,0)),"Unknown code"))</f>
        <v/>
      </c>
      <c r="AJ938" s="27">
        <f>IF(AN938="","",IFERROR(IF(NOT(AND(LEN(AN938)=15,ISNUMBER(MATCH(LEFT(AN938,2),Lists!$K$2:$K$38,0)),SUMPRODUCT(--ISERROR(FIND(MID(MID(AN938,3,10),{1,2,3,4,5,10},1),"ABCDEFGHIJKLMNOPQRSTUVWXYZ")))=0,SUMPRODUCT(--ISERROR(FIND(MID(MID(AN938,3,10),{6,7,8,9},1),"0123456789")))=0,ISNUMBER(FIND(MID(AN938,13,1),"123456789ABCDEFGHIJKLMNOPQRSTUVWXYZ")),MID(AN938,14,1)="Z")),"Wrong format",IF(MID("0123456789ABCDEFGHIJKLMNOPQRSTUVWXYZ",MOD(36-MOD(SUMPRODUCT(INT((FIND(MID(AN938,{1,2,3,4,5,6,7,8,9,10,11,12,13,14},1),"0123456789ABCDEFGHIJKLMNOPQRSTUVWXYZ")-1)*{1,2,1,2,1,2,1,2,1,2,1,2,1,2}/36)+MOD((FIND(MID(AN938,{1,2,3,4,5,6,7,8,9,10,11,12,13,14},1),"0123456789ABCDEFGHIJKLMNOPQRSTUVWXYZ")-1)*{1,2,1,2,1,2,1,2,1,2,1,2,1,2},36)),36),36)+1,1)=MID(AN938,15,1),"OK","Typo? check digit wrong")),"Wrong format"))</f>
        <v/>
      </c>
      <c r="AK938" s="27">
        <f>IF(AO938="","",IF(AND(LEN(AO938)=10,SUMPRODUCT(--ISERROR(FIND(MID(AO938,{1,2,3,4,5,10},1),"ABCDEFGHIJKLMNOPQRSTUVWXYZ")))=0,SUMPRODUCT(--ISERROR(FIND(MID(AO938,{6,7,8,9},1),"0123456789")))=0),"OK","Wrong format"))</f>
        <v/>
      </c>
      <c r="AL938" s="27">
        <f>IF(TRIM(H938)="","",IF(AND(LEN(UPPER(TRIM(H938)))=10,SUMPRODUCT(--ISERROR(FIND(MID(UPPER(TRIM(H938)),{1,2,3,4,10},1),"ABCDEFGHIJKLMNOPQRSTUVWXYZ")))=0,SUMPRODUCT(--ISERROR(FIND(MID(UPPER(TRIM(H938)),{5,6,7,8,9},1),"0123456789")))=0),"OK","Wrong format"))</f>
        <v/>
      </c>
      <c r="AM938" s="28">
        <f>IF(NOT(COUNTA(A938:AE938)&gt;0),"",IF(AS938&lt;&gt;"","✖ "&amp;LEFT(AS938,LEN(AS938)-2),IF(AR938&gt;0,"✔ Ready — client + "&amp;AR938&amp;" service(s)","✔ Ready — client only")))</f>
        <v/>
      </c>
      <c r="AN938" s="29">
        <f>UPPER(SUBSTITUTE(TRIM(F938)," ",""))</f>
        <v/>
      </c>
      <c r="AO938" s="29">
        <f>UPPER(SUBSTITUTE(TRIM(E938)," ",""))</f>
        <v/>
      </c>
      <c r="AP938" s="29">
        <f>IF(D938&lt;&gt;"",D938,IFERROR(VLOOKUP(MID(AG938,4,1),Lists!$E$2:$F$8,2,FALSE),""))</f>
        <v/>
      </c>
      <c r="AQ938" s="29">
        <f>IFERROR(VLOOKUP(AP938,Lists!$A$2:$C$12,3,FALSE),"")</f>
        <v/>
      </c>
      <c r="AR938" s="29">
        <f>COUNTIF(W938:AC938,"Yes")</f>
        <v/>
      </c>
      <c r="AS938" s="29">
        <f>IF(TRIM(B938)="","Legal name missing; ","")&amp;IF(AND(AJ938&lt;&gt;"",AJ938&lt;&gt;"OK"),"GSTIN: "&amp;AJ938&amp;"; ","")&amp;IF(AND(AK938&lt;&gt;"",AK938&lt;&gt;"OK"),"PAN wrong format; ","")&amp;IF(AND(AO938&lt;&gt;"",LEN(AN938)=15,MID(AN938,3,10)&lt;&gt;AO938),"PAN does not match GSTIN; ","")&amp;IF(AND(AL938&lt;&gt;"",AL938&lt;&gt;"OK"),"TAN wrong format; ","")&amp;IF(AG938="","PAN missing; ","")&amp;IF(AP938="","Entity type missing; ","")&amp;IF(AND(AN938&lt;&gt;"",COUNTIF($AN$6:$AN$1005,AN938)&gt;1),"GSTIN repeated in this sheet; ","")&amp;IF(AND(AG938&lt;&gt;"",COUNTIF($AG$6:$AG$1005,AG938)&gt;1),"PAN repeated in this sheet (same client? put extra GSTINs in Other GSTINs); ","")&amp;IF(AND(AR938&gt;0,V938=""),"Financial year missing; ","")&amp;IF(AND(AR938=0,V938&lt;&gt;""),"Financial year given but no service is Yes; ","")&amp;IF(AND(W938="Yes",AN938=""),"GST needs a GSTIN; ","")&amp;IF(AND(W938="Yes",X938=""),"GST return frequency missing; ","")&amp;IF(AND(Y938="Yes",TRIM(H938)=""),"TDS needs a TAN; ","")&amp;IF(AND(AA938="Yes",AQ938&lt;&gt;"",AQ938&lt;&gt;"company",AQ938&lt;&gt;"llp"),"ROC is only for a company / LLP; ","")&amp;IF(AND(AA938="Yes",OR(AQ938="company",AQ938="llp"),TRIM(I938)=""),"ROC needs the CIN / LLPIN; ","")</f>
        <v/>
      </c>
    </row>
    <row r="939">
      <c r="A939" s="30" t="n"/>
      <c r="B939" s="31" t="n"/>
      <c r="C939" s="31" t="n"/>
      <c r="D939" s="31" t="n"/>
      <c r="E939" s="30" t="n"/>
      <c r="F939" s="30" t="n"/>
      <c r="G939" s="30" t="n"/>
      <c r="H939" s="30" t="n"/>
      <c r="I939" s="30" t="n"/>
      <c r="J939" s="32" t="n"/>
      <c r="K939" s="31" t="n"/>
      <c r="L939" s="30" t="n"/>
      <c r="M939" s="31" t="n"/>
      <c r="N939" s="31" t="n"/>
      <c r="O939" s="31" t="n"/>
      <c r="P939" s="30" t="n"/>
      <c r="Q939" s="31" t="n"/>
      <c r="R939" s="31" t="n"/>
      <c r="S939" s="31" t="n"/>
      <c r="T939" s="31" t="n"/>
      <c r="U939" s="30" t="n"/>
      <c r="V939" s="31" t="n"/>
      <c r="W939" s="31" t="n"/>
      <c r="X939" s="31" t="n"/>
      <c r="Y939" s="31" t="n"/>
      <c r="Z939" s="31" t="n"/>
      <c r="AA939" s="31" t="n"/>
      <c r="AB939" s="31" t="n"/>
      <c r="AC939" s="31" t="n"/>
      <c r="AD939" s="31" t="n"/>
      <c r="AE939" s="31" t="n"/>
      <c r="AF939" s="27">
        <f>IF(NOT(COUNTA(A939:AE939)&gt;0),"",IF(A939="","New client","Update"))</f>
        <v/>
      </c>
      <c r="AG939" s="27">
        <f>IF(AO939&lt;&gt;"",AO939,IF(LEN(AN939)=15,MID(AN939,3,10),""))</f>
        <v/>
      </c>
      <c r="AH939" s="27">
        <f>IF(AP939="","",AP939&amp;IF(D939="","  (guessed from PAN)",""))</f>
        <v/>
      </c>
      <c r="AI939" s="27">
        <f>IF(AN939="","",IFERROR(INDEX(Lists!$L$2:$L$38,MATCH(LEFT(AN939,2),Lists!$K$2:$K$38,0)),"Unknown code"))</f>
        <v/>
      </c>
      <c r="AJ939" s="27">
        <f>IF(AN939="","",IFERROR(IF(NOT(AND(LEN(AN939)=15,ISNUMBER(MATCH(LEFT(AN939,2),Lists!$K$2:$K$38,0)),SUMPRODUCT(--ISERROR(FIND(MID(MID(AN939,3,10),{1,2,3,4,5,10},1),"ABCDEFGHIJKLMNOPQRSTUVWXYZ")))=0,SUMPRODUCT(--ISERROR(FIND(MID(MID(AN939,3,10),{6,7,8,9},1),"0123456789")))=0,ISNUMBER(FIND(MID(AN939,13,1),"123456789ABCDEFGHIJKLMNOPQRSTUVWXYZ")),MID(AN939,14,1)="Z")),"Wrong format",IF(MID("0123456789ABCDEFGHIJKLMNOPQRSTUVWXYZ",MOD(36-MOD(SUMPRODUCT(INT((FIND(MID(AN939,{1,2,3,4,5,6,7,8,9,10,11,12,13,14},1),"0123456789ABCDEFGHIJKLMNOPQRSTUVWXYZ")-1)*{1,2,1,2,1,2,1,2,1,2,1,2,1,2}/36)+MOD((FIND(MID(AN939,{1,2,3,4,5,6,7,8,9,10,11,12,13,14},1),"0123456789ABCDEFGHIJKLMNOPQRSTUVWXYZ")-1)*{1,2,1,2,1,2,1,2,1,2,1,2,1,2},36)),36),36)+1,1)=MID(AN939,15,1),"OK","Typo? check digit wrong")),"Wrong format"))</f>
        <v/>
      </c>
      <c r="AK939" s="27">
        <f>IF(AO939="","",IF(AND(LEN(AO939)=10,SUMPRODUCT(--ISERROR(FIND(MID(AO939,{1,2,3,4,5,10},1),"ABCDEFGHIJKLMNOPQRSTUVWXYZ")))=0,SUMPRODUCT(--ISERROR(FIND(MID(AO939,{6,7,8,9},1),"0123456789")))=0),"OK","Wrong format"))</f>
        <v/>
      </c>
      <c r="AL939" s="27">
        <f>IF(TRIM(H939)="","",IF(AND(LEN(UPPER(TRIM(H939)))=10,SUMPRODUCT(--ISERROR(FIND(MID(UPPER(TRIM(H939)),{1,2,3,4,10},1),"ABCDEFGHIJKLMNOPQRSTUVWXYZ")))=0,SUMPRODUCT(--ISERROR(FIND(MID(UPPER(TRIM(H939)),{5,6,7,8,9},1),"0123456789")))=0),"OK","Wrong format"))</f>
        <v/>
      </c>
      <c r="AM939" s="28">
        <f>IF(NOT(COUNTA(A939:AE939)&gt;0),"",IF(AS939&lt;&gt;"","✖ "&amp;LEFT(AS939,LEN(AS939)-2),IF(AR939&gt;0,"✔ Ready — client + "&amp;AR939&amp;" service(s)","✔ Ready — client only")))</f>
        <v/>
      </c>
      <c r="AN939" s="29">
        <f>UPPER(SUBSTITUTE(TRIM(F939)," ",""))</f>
        <v/>
      </c>
      <c r="AO939" s="29">
        <f>UPPER(SUBSTITUTE(TRIM(E939)," ",""))</f>
        <v/>
      </c>
      <c r="AP939" s="29">
        <f>IF(D939&lt;&gt;"",D939,IFERROR(VLOOKUP(MID(AG939,4,1),Lists!$E$2:$F$8,2,FALSE),""))</f>
        <v/>
      </c>
      <c r="AQ939" s="29">
        <f>IFERROR(VLOOKUP(AP939,Lists!$A$2:$C$12,3,FALSE),"")</f>
        <v/>
      </c>
      <c r="AR939" s="29">
        <f>COUNTIF(W939:AC939,"Yes")</f>
        <v/>
      </c>
      <c r="AS939" s="29">
        <f>IF(TRIM(B939)="","Legal name missing; ","")&amp;IF(AND(AJ939&lt;&gt;"",AJ939&lt;&gt;"OK"),"GSTIN: "&amp;AJ939&amp;"; ","")&amp;IF(AND(AK939&lt;&gt;"",AK939&lt;&gt;"OK"),"PAN wrong format; ","")&amp;IF(AND(AO939&lt;&gt;"",LEN(AN939)=15,MID(AN939,3,10)&lt;&gt;AO939),"PAN does not match GSTIN; ","")&amp;IF(AND(AL939&lt;&gt;"",AL939&lt;&gt;"OK"),"TAN wrong format; ","")&amp;IF(AG939="","PAN missing; ","")&amp;IF(AP939="","Entity type missing; ","")&amp;IF(AND(AN939&lt;&gt;"",COUNTIF($AN$6:$AN$1005,AN939)&gt;1),"GSTIN repeated in this sheet; ","")&amp;IF(AND(AG939&lt;&gt;"",COUNTIF($AG$6:$AG$1005,AG939)&gt;1),"PAN repeated in this sheet (same client? put extra GSTINs in Other GSTINs); ","")&amp;IF(AND(AR939&gt;0,V939=""),"Financial year missing; ","")&amp;IF(AND(AR939=0,V939&lt;&gt;""),"Financial year given but no service is Yes; ","")&amp;IF(AND(W939="Yes",AN939=""),"GST needs a GSTIN; ","")&amp;IF(AND(W939="Yes",X939=""),"GST return frequency missing; ","")&amp;IF(AND(Y939="Yes",TRIM(H939)=""),"TDS needs a TAN; ","")&amp;IF(AND(AA939="Yes",AQ939&lt;&gt;"",AQ939&lt;&gt;"company",AQ939&lt;&gt;"llp"),"ROC is only for a company / LLP; ","")&amp;IF(AND(AA939="Yes",OR(AQ939="company",AQ939="llp"),TRIM(I939)=""),"ROC needs the CIN / LLPIN; ","")</f>
        <v/>
      </c>
    </row>
    <row r="940">
      <c r="A940" s="30" t="n"/>
      <c r="B940" s="31" t="n"/>
      <c r="C940" s="31" t="n"/>
      <c r="D940" s="31" t="n"/>
      <c r="E940" s="30" t="n"/>
      <c r="F940" s="30" t="n"/>
      <c r="G940" s="30" t="n"/>
      <c r="H940" s="30" t="n"/>
      <c r="I940" s="30" t="n"/>
      <c r="J940" s="32" t="n"/>
      <c r="K940" s="31" t="n"/>
      <c r="L940" s="30" t="n"/>
      <c r="M940" s="31" t="n"/>
      <c r="N940" s="31" t="n"/>
      <c r="O940" s="31" t="n"/>
      <c r="P940" s="30" t="n"/>
      <c r="Q940" s="31" t="n"/>
      <c r="R940" s="31" t="n"/>
      <c r="S940" s="31" t="n"/>
      <c r="T940" s="31" t="n"/>
      <c r="U940" s="30" t="n"/>
      <c r="V940" s="31" t="n"/>
      <c r="W940" s="31" t="n"/>
      <c r="X940" s="31" t="n"/>
      <c r="Y940" s="31" t="n"/>
      <c r="Z940" s="31" t="n"/>
      <c r="AA940" s="31" t="n"/>
      <c r="AB940" s="31" t="n"/>
      <c r="AC940" s="31" t="n"/>
      <c r="AD940" s="31" t="n"/>
      <c r="AE940" s="31" t="n"/>
      <c r="AF940" s="27">
        <f>IF(NOT(COUNTA(A940:AE940)&gt;0),"",IF(A940="","New client","Update"))</f>
        <v/>
      </c>
      <c r="AG940" s="27">
        <f>IF(AO940&lt;&gt;"",AO940,IF(LEN(AN940)=15,MID(AN940,3,10),""))</f>
        <v/>
      </c>
      <c r="AH940" s="27">
        <f>IF(AP940="","",AP940&amp;IF(D940="","  (guessed from PAN)",""))</f>
        <v/>
      </c>
      <c r="AI940" s="27">
        <f>IF(AN940="","",IFERROR(INDEX(Lists!$L$2:$L$38,MATCH(LEFT(AN940,2),Lists!$K$2:$K$38,0)),"Unknown code"))</f>
        <v/>
      </c>
      <c r="AJ940" s="27">
        <f>IF(AN940="","",IFERROR(IF(NOT(AND(LEN(AN940)=15,ISNUMBER(MATCH(LEFT(AN940,2),Lists!$K$2:$K$38,0)),SUMPRODUCT(--ISERROR(FIND(MID(MID(AN940,3,10),{1,2,3,4,5,10},1),"ABCDEFGHIJKLMNOPQRSTUVWXYZ")))=0,SUMPRODUCT(--ISERROR(FIND(MID(MID(AN940,3,10),{6,7,8,9},1),"0123456789")))=0,ISNUMBER(FIND(MID(AN940,13,1),"123456789ABCDEFGHIJKLMNOPQRSTUVWXYZ")),MID(AN940,14,1)="Z")),"Wrong format",IF(MID("0123456789ABCDEFGHIJKLMNOPQRSTUVWXYZ",MOD(36-MOD(SUMPRODUCT(INT((FIND(MID(AN940,{1,2,3,4,5,6,7,8,9,10,11,12,13,14},1),"0123456789ABCDEFGHIJKLMNOPQRSTUVWXYZ")-1)*{1,2,1,2,1,2,1,2,1,2,1,2,1,2}/36)+MOD((FIND(MID(AN940,{1,2,3,4,5,6,7,8,9,10,11,12,13,14},1),"0123456789ABCDEFGHIJKLMNOPQRSTUVWXYZ")-1)*{1,2,1,2,1,2,1,2,1,2,1,2,1,2},36)),36),36)+1,1)=MID(AN940,15,1),"OK","Typo? check digit wrong")),"Wrong format"))</f>
        <v/>
      </c>
      <c r="AK940" s="27">
        <f>IF(AO940="","",IF(AND(LEN(AO940)=10,SUMPRODUCT(--ISERROR(FIND(MID(AO940,{1,2,3,4,5,10},1),"ABCDEFGHIJKLMNOPQRSTUVWXYZ")))=0,SUMPRODUCT(--ISERROR(FIND(MID(AO940,{6,7,8,9},1),"0123456789")))=0),"OK","Wrong format"))</f>
        <v/>
      </c>
      <c r="AL940" s="27">
        <f>IF(TRIM(H940)="","",IF(AND(LEN(UPPER(TRIM(H940)))=10,SUMPRODUCT(--ISERROR(FIND(MID(UPPER(TRIM(H940)),{1,2,3,4,10},1),"ABCDEFGHIJKLMNOPQRSTUVWXYZ")))=0,SUMPRODUCT(--ISERROR(FIND(MID(UPPER(TRIM(H940)),{5,6,7,8,9},1),"0123456789")))=0),"OK","Wrong format"))</f>
        <v/>
      </c>
      <c r="AM940" s="28">
        <f>IF(NOT(COUNTA(A940:AE940)&gt;0),"",IF(AS940&lt;&gt;"","✖ "&amp;LEFT(AS940,LEN(AS940)-2),IF(AR940&gt;0,"✔ Ready — client + "&amp;AR940&amp;" service(s)","✔ Ready — client only")))</f>
        <v/>
      </c>
      <c r="AN940" s="29">
        <f>UPPER(SUBSTITUTE(TRIM(F940)," ",""))</f>
        <v/>
      </c>
      <c r="AO940" s="29">
        <f>UPPER(SUBSTITUTE(TRIM(E940)," ",""))</f>
        <v/>
      </c>
      <c r="AP940" s="29">
        <f>IF(D940&lt;&gt;"",D940,IFERROR(VLOOKUP(MID(AG940,4,1),Lists!$E$2:$F$8,2,FALSE),""))</f>
        <v/>
      </c>
      <c r="AQ940" s="29">
        <f>IFERROR(VLOOKUP(AP940,Lists!$A$2:$C$12,3,FALSE),"")</f>
        <v/>
      </c>
      <c r="AR940" s="29">
        <f>COUNTIF(W940:AC940,"Yes")</f>
        <v/>
      </c>
      <c r="AS940" s="29">
        <f>IF(TRIM(B940)="","Legal name missing; ","")&amp;IF(AND(AJ940&lt;&gt;"",AJ940&lt;&gt;"OK"),"GSTIN: "&amp;AJ940&amp;"; ","")&amp;IF(AND(AK940&lt;&gt;"",AK940&lt;&gt;"OK"),"PAN wrong format; ","")&amp;IF(AND(AO940&lt;&gt;"",LEN(AN940)=15,MID(AN940,3,10)&lt;&gt;AO940),"PAN does not match GSTIN; ","")&amp;IF(AND(AL940&lt;&gt;"",AL940&lt;&gt;"OK"),"TAN wrong format; ","")&amp;IF(AG940="","PAN missing; ","")&amp;IF(AP940="","Entity type missing; ","")&amp;IF(AND(AN940&lt;&gt;"",COUNTIF($AN$6:$AN$1005,AN940)&gt;1),"GSTIN repeated in this sheet; ","")&amp;IF(AND(AG940&lt;&gt;"",COUNTIF($AG$6:$AG$1005,AG940)&gt;1),"PAN repeated in this sheet (same client? put extra GSTINs in Other GSTINs); ","")&amp;IF(AND(AR940&gt;0,V940=""),"Financial year missing; ","")&amp;IF(AND(AR940=0,V940&lt;&gt;""),"Financial year given but no service is Yes; ","")&amp;IF(AND(W940="Yes",AN940=""),"GST needs a GSTIN; ","")&amp;IF(AND(W940="Yes",X940=""),"GST return frequency missing; ","")&amp;IF(AND(Y940="Yes",TRIM(H940)=""),"TDS needs a TAN; ","")&amp;IF(AND(AA940="Yes",AQ940&lt;&gt;"",AQ940&lt;&gt;"company",AQ940&lt;&gt;"llp"),"ROC is only for a company / LLP; ","")&amp;IF(AND(AA940="Yes",OR(AQ940="company",AQ940="llp"),TRIM(I940)=""),"ROC needs the CIN / LLPIN; ","")</f>
        <v/>
      </c>
    </row>
    <row r="941">
      <c r="A941" s="30" t="n"/>
      <c r="B941" s="31" t="n"/>
      <c r="C941" s="31" t="n"/>
      <c r="D941" s="31" t="n"/>
      <c r="E941" s="30" t="n"/>
      <c r="F941" s="30" t="n"/>
      <c r="G941" s="30" t="n"/>
      <c r="H941" s="30" t="n"/>
      <c r="I941" s="30" t="n"/>
      <c r="J941" s="32" t="n"/>
      <c r="K941" s="31" t="n"/>
      <c r="L941" s="30" t="n"/>
      <c r="M941" s="31" t="n"/>
      <c r="N941" s="31" t="n"/>
      <c r="O941" s="31" t="n"/>
      <c r="P941" s="30" t="n"/>
      <c r="Q941" s="31" t="n"/>
      <c r="R941" s="31" t="n"/>
      <c r="S941" s="31" t="n"/>
      <c r="T941" s="31" t="n"/>
      <c r="U941" s="30" t="n"/>
      <c r="V941" s="31" t="n"/>
      <c r="W941" s="31" t="n"/>
      <c r="X941" s="31" t="n"/>
      <c r="Y941" s="31" t="n"/>
      <c r="Z941" s="31" t="n"/>
      <c r="AA941" s="31" t="n"/>
      <c r="AB941" s="31" t="n"/>
      <c r="AC941" s="31" t="n"/>
      <c r="AD941" s="31" t="n"/>
      <c r="AE941" s="31" t="n"/>
      <c r="AF941" s="27">
        <f>IF(NOT(COUNTA(A941:AE941)&gt;0),"",IF(A941="","New client","Update"))</f>
        <v/>
      </c>
      <c r="AG941" s="27">
        <f>IF(AO941&lt;&gt;"",AO941,IF(LEN(AN941)=15,MID(AN941,3,10),""))</f>
        <v/>
      </c>
      <c r="AH941" s="27">
        <f>IF(AP941="","",AP941&amp;IF(D941="","  (guessed from PAN)",""))</f>
        <v/>
      </c>
      <c r="AI941" s="27">
        <f>IF(AN941="","",IFERROR(INDEX(Lists!$L$2:$L$38,MATCH(LEFT(AN941,2),Lists!$K$2:$K$38,0)),"Unknown code"))</f>
        <v/>
      </c>
      <c r="AJ941" s="27">
        <f>IF(AN941="","",IFERROR(IF(NOT(AND(LEN(AN941)=15,ISNUMBER(MATCH(LEFT(AN941,2),Lists!$K$2:$K$38,0)),SUMPRODUCT(--ISERROR(FIND(MID(MID(AN941,3,10),{1,2,3,4,5,10},1),"ABCDEFGHIJKLMNOPQRSTUVWXYZ")))=0,SUMPRODUCT(--ISERROR(FIND(MID(MID(AN941,3,10),{6,7,8,9},1),"0123456789")))=0,ISNUMBER(FIND(MID(AN941,13,1),"123456789ABCDEFGHIJKLMNOPQRSTUVWXYZ")),MID(AN941,14,1)="Z")),"Wrong format",IF(MID("0123456789ABCDEFGHIJKLMNOPQRSTUVWXYZ",MOD(36-MOD(SUMPRODUCT(INT((FIND(MID(AN941,{1,2,3,4,5,6,7,8,9,10,11,12,13,14},1),"0123456789ABCDEFGHIJKLMNOPQRSTUVWXYZ")-1)*{1,2,1,2,1,2,1,2,1,2,1,2,1,2}/36)+MOD((FIND(MID(AN941,{1,2,3,4,5,6,7,8,9,10,11,12,13,14},1),"0123456789ABCDEFGHIJKLMNOPQRSTUVWXYZ")-1)*{1,2,1,2,1,2,1,2,1,2,1,2,1,2},36)),36),36)+1,1)=MID(AN941,15,1),"OK","Typo? check digit wrong")),"Wrong format"))</f>
        <v/>
      </c>
      <c r="AK941" s="27">
        <f>IF(AO941="","",IF(AND(LEN(AO941)=10,SUMPRODUCT(--ISERROR(FIND(MID(AO941,{1,2,3,4,5,10},1),"ABCDEFGHIJKLMNOPQRSTUVWXYZ")))=0,SUMPRODUCT(--ISERROR(FIND(MID(AO941,{6,7,8,9},1),"0123456789")))=0),"OK","Wrong format"))</f>
        <v/>
      </c>
      <c r="AL941" s="27">
        <f>IF(TRIM(H941)="","",IF(AND(LEN(UPPER(TRIM(H941)))=10,SUMPRODUCT(--ISERROR(FIND(MID(UPPER(TRIM(H941)),{1,2,3,4,10},1),"ABCDEFGHIJKLMNOPQRSTUVWXYZ")))=0,SUMPRODUCT(--ISERROR(FIND(MID(UPPER(TRIM(H941)),{5,6,7,8,9},1),"0123456789")))=0),"OK","Wrong format"))</f>
        <v/>
      </c>
      <c r="AM941" s="28">
        <f>IF(NOT(COUNTA(A941:AE941)&gt;0),"",IF(AS941&lt;&gt;"","✖ "&amp;LEFT(AS941,LEN(AS941)-2),IF(AR941&gt;0,"✔ Ready — client + "&amp;AR941&amp;" service(s)","✔ Ready — client only")))</f>
        <v/>
      </c>
      <c r="AN941" s="29">
        <f>UPPER(SUBSTITUTE(TRIM(F941)," ",""))</f>
        <v/>
      </c>
      <c r="AO941" s="29">
        <f>UPPER(SUBSTITUTE(TRIM(E941)," ",""))</f>
        <v/>
      </c>
      <c r="AP941" s="29">
        <f>IF(D941&lt;&gt;"",D941,IFERROR(VLOOKUP(MID(AG941,4,1),Lists!$E$2:$F$8,2,FALSE),""))</f>
        <v/>
      </c>
      <c r="AQ941" s="29">
        <f>IFERROR(VLOOKUP(AP941,Lists!$A$2:$C$12,3,FALSE),"")</f>
        <v/>
      </c>
      <c r="AR941" s="29">
        <f>COUNTIF(W941:AC941,"Yes")</f>
        <v/>
      </c>
      <c r="AS941" s="29">
        <f>IF(TRIM(B941)="","Legal name missing; ","")&amp;IF(AND(AJ941&lt;&gt;"",AJ941&lt;&gt;"OK"),"GSTIN: "&amp;AJ941&amp;"; ","")&amp;IF(AND(AK941&lt;&gt;"",AK941&lt;&gt;"OK"),"PAN wrong format; ","")&amp;IF(AND(AO941&lt;&gt;"",LEN(AN941)=15,MID(AN941,3,10)&lt;&gt;AO941),"PAN does not match GSTIN; ","")&amp;IF(AND(AL941&lt;&gt;"",AL941&lt;&gt;"OK"),"TAN wrong format; ","")&amp;IF(AG941="","PAN missing; ","")&amp;IF(AP941="","Entity type missing; ","")&amp;IF(AND(AN941&lt;&gt;"",COUNTIF($AN$6:$AN$1005,AN941)&gt;1),"GSTIN repeated in this sheet; ","")&amp;IF(AND(AG941&lt;&gt;"",COUNTIF($AG$6:$AG$1005,AG941)&gt;1),"PAN repeated in this sheet (same client? put extra GSTINs in Other GSTINs); ","")&amp;IF(AND(AR941&gt;0,V941=""),"Financial year missing; ","")&amp;IF(AND(AR941=0,V941&lt;&gt;""),"Financial year given but no service is Yes; ","")&amp;IF(AND(W941="Yes",AN941=""),"GST needs a GSTIN; ","")&amp;IF(AND(W941="Yes",X941=""),"GST return frequency missing; ","")&amp;IF(AND(Y941="Yes",TRIM(H941)=""),"TDS needs a TAN; ","")&amp;IF(AND(AA941="Yes",AQ941&lt;&gt;"",AQ941&lt;&gt;"company",AQ941&lt;&gt;"llp"),"ROC is only for a company / LLP; ","")&amp;IF(AND(AA941="Yes",OR(AQ941="company",AQ941="llp"),TRIM(I941)=""),"ROC needs the CIN / LLPIN; ","")</f>
        <v/>
      </c>
    </row>
    <row r="942">
      <c r="A942" s="30" t="n"/>
      <c r="B942" s="31" t="n"/>
      <c r="C942" s="31" t="n"/>
      <c r="D942" s="31" t="n"/>
      <c r="E942" s="30" t="n"/>
      <c r="F942" s="30" t="n"/>
      <c r="G942" s="30" t="n"/>
      <c r="H942" s="30" t="n"/>
      <c r="I942" s="30" t="n"/>
      <c r="J942" s="32" t="n"/>
      <c r="K942" s="31" t="n"/>
      <c r="L942" s="30" t="n"/>
      <c r="M942" s="31" t="n"/>
      <c r="N942" s="31" t="n"/>
      <c r="O942" s="31" t="n"/>
      <c r="P942" s="30" t="n"/>
      <c r="Q942" s="31" t="n"/>
      <c r="R942" s="31" t="n"/>
      <c r="S942" s="31" t="n"/>
      <c r="T942" s="31" t="n"/>
      <c r="U942" s="30" t="n"/>
      <c r="V942" s="31" t="n"/>
      <c r="W942" s="31" t="n"/>
      <c r="X942" s="31" t="n"/>
      <c r="Y942" s="31" t="n"/>
      <c r="Z942" s="31" t="n"/>
      <c r="AA942" s="31" t="n"/>
      <c r="AB942" s="31" t="n"/>
      <c r="AC942" s="31" t="n"/>
      <c r="AD942" s="31" t="n"/>
      <c r="AE942" s="31" t="n"/>
      <c r="AF942" s="27">
        <f>IF(NOT(COUNTA(A942:AE942)&gt;0),"",IF(A942="","New client","Update"))</f>
        <v/>
      </c>
      <c r="AG942" s="27">
        <f>IF(AO942&lt;&gt;"",AO942,IF(LEN(AN942)=15,MID(AN942,3,10),""))</f>
        <v/>
      </c>
      <c r="AH942" s="27">
        <f>IF(AP942="","",AP942&amp;IF(D942="","  (guessed from PAN)",""))</f>
        <v/>
      </c>
      <c r="AI942" s="27">
        <f>IF(AN942="","",IFERROR(INDEX(Lists!$L$2:$L$38,MATCH(LEFT(AN942,2),Lists!$K$2:$K$38,0)),"Unknown code"))</f>
        <v/>
      </c>
      <c r="AJ942" s="27">
        <f>IF(AN942="","",IFERROR(IF(NOT(AND(LEN(AN942)=15,ISNUMBER(MATCH(LEFT(AN942,2),Lists!$K$2:$K$38,0)),SUMPRODUCT(--ISERROR(FIND(MID(MID(AN942,3,10),{1,2,3,4,5,10},1),"ABCDEFGHIJKLMNOPQRSTUVWXYZ")))=0,SUMPRODUCT(--ISERROR(FIND(MID(MID(AN942,3,10),{6,7,8,9},1),"0123456789")))=0,ISNUMBER(FIND(MID(AN942,13,1),"123456789ABCDEFGHIJKLMNOPQRSTUVWXYZ")),MID(AN942,14,1)="Z")),"Wrong format",IF(MID("0123456789ABCDEFGHIJKLMNOPQRSTUVWXYZ",MOD(36-MOD(SUMPRODUCT(INT((FIND(MID(AN942,{1,2,3,4,5,6,7,8,9,10,11,12,13,14},1),"0123456789ABCDEFGHIJKLMNOPQRSTUVWXYZ")-1)*{1,2,1,2,1,2,1,2,1,2,1,2,1,2}/36)+MOD((FIND(MID(AN942,{1,2,3,4,5,6,7,8,9,10,11,12,13,14},1),"0123456789ABCDEFGHIJKLMNOPQRSTUVWXYZ")-1)*{1,2,1,2,1,2,1,2,1,2,1,2,1,2},36)),36),36)+1,1)=MID(AN942,15,1),"OK","Typo? check digit wrong")),"Wrong format"))</f>
        <v/>
      </c>
      <c r="AK942" s="27">
        <f>IF(AO942="","",IF(AND(LEN(AO942)=10,SUMPRODUCT(--ISERROR(FIND(MID(AO942,{1,2,3,4,5,10},1),"ABCDEFGHIJKLMNOPQRSTUVWXYZ")))=0,SUMPRODUCT(--ISERROR(FIND(MID(AO942,{6,7,8,9},1),"0123456789")))=0),"OK","Wrong format"))</f>
        <v/>
      </c>
      <c r="AL942" s="27">
        <f>IF(TRIM(H942)="","",IF(AND(LEN(UPPER(TRIM(H942)))=10,SUMPRODUCT(--ISERROR(FIND(MID(UPPER(TRIM(H942)),{1,2,3,4,10},1),"ABCDEFGHIJKLMNOPQRSTUVWXYZ")))=0,SUMPRODUCT(--ISERROR(FIND(MID(UPPER(TRIM(H942)),{5,6,7,8,9},1),"0123456789")))=0),"OK","Wrong format"))</f>
        <v/>
      </c>
      <c r="AM942" s="28">
        <f>IF(NOT(COUNTA(A942:AE942)&gt;0),"",IF(AS942&lt;&gt;"","✖ "&amp;LEFT(AS942,LEN(AS942)-2),IF(AR942&gt;0,"✔ Ready — client + "&amp;AR942&amp;" service(s)","✔ Ready — client only")))</f>
        <v/>
      </c>
      <c r="AN942" s="29">
        <f>UPPER(SUBSTITUTE(TRIM(F942)," ",""))</f>
        <v/>
      </c>
      <c r="AO942" s="29">
        <f>UPPER(SUBSTITUTE(TRIM(E942)," ",""))</f>
        <v/>
      </c>
      <c r="AP942" s="29">
        <f>IF(D942&lt;&gt;"",D942,IFERROR(VLOOKUP(MID(AG942,4,1),Lists!$E$2:$F$8,2,FALSE),""))</f>
        <v/>
      </c>
      <c r="AQ942" s="29">
        <f>IFERROR(VLOOKUP(AP942,Lists!$A$2:$C$12,3,FALSE),"")</f>
        <v/>
      </c>
      <c r="AR942" s="29">
        <f>COUNTIF(W942:AC942,"Yes")</f>
        <v/>
      </c>
      <c r="AS942" s="29">
        <f>IF(TRIM(B942)="","Legal name missing; ","")&amp;IF(AND(AJ942&lt;&gt;"",AJ942&lt;&gt;"OK"),"GSTIN: "&amp;AJ942&amp;"; ","")&amp;IF(AND(AK942&lt;&gt;"",AK942&lt;&gt;"OK"),"PAN wrong format; ","")&amp;IF(AND(AO942&lt;&gt;"",LEN(AN942)=15,MID(AN942,3,10)&lt;&gt;AO942),"PAN does not match GSTIN; ","")&amp;IF(AND(AL942&lt;&gt;"",AL942&lt;&gt;"OK"),"TAN wrong format; ","")&amp;IF(AG942="","PAN missing; ","")&amp;IF(AP942="","Entity type missing; ","")&amp;IF(AND(AN942&lt;&gt;"",COUNTIF($AN$6:$AN$1005,AN942)&gt;1),"GSTIN repeated in this sheet; ","")&amp;IF(AND(AG942&lt;&gt;"",COUNTIF($AG$6:$AG$1005,AG942)&gt;1),"PAN repeated in this sheet (same client? put extra GSTINs in Other GSTINs); ","")&amp;IF(AND(AR942&gt;0,V942=""),"Financial year missing; ","")&amp;IF(AND(AR942=0,V942&lt;&gt;""),"Financial year given but no service is Yes; ","")&amp;IF(AND(W942="Yes",AN942=""),"GST needs a GSTIN; ","")&amp;IF(AND(W942="Yes",X942=""),"GST return frequency missing; ","")&amp;IF(AND(Y942="Yes",TRIM(H942)=""),"TDS needs a TAN; ","")&amp;IF(AND(AA942="Yes",AQ942&lt;&gt;"",AQ942&lt;&gt;"company",AQ942&lt;&gt;"llp"),"ROC is only for a company / LLP; ","")&amp;IF(AND(AA942="Yes",OR(AQ942="company",AQ942="llp"),TRIM(I942)=""),"ROC needs the CIN / LLPIN; ","")</f>
        <v/>
      </c>
    </row>
    <row r="943">
      <c r="A943" s="30" t="n"/>
      <c r="B943" s="31" t="n"/>
      <c r="C943" s="31" t="n"/>
      <c r="D943" s="31" t="n"/>
      <c r="E943" s="30" t="n"/>
      <c r="F943" s="30" t="n"/>
      <c r="G943" s="30" t="n"/>
      <c r="H943" s="30" t="n"/>
      <c r="I943" s="30" t="n"/>
      <c r="J943" s="32" t="n"/>
      <c r="K943" s="31" t="n"/>
      <c r="L943" s="30" t="n"/>
      <c r="M943" s="31" t="n"/>
      <c r="N943" s="31" t="n"/>
      <c r="O943" s="31" t="n"/>
      <c r="P943" s="30" t="n"/>
      <c r="Q943" s="31" t="n"/>
      <c r="R943" s="31" t="n"/>
      <c r="S943" s="31" t="n"/>
      <c r="T943" s="31" t="n"/>
      <c r="U943" s="30" t="n"/>
      <c r="V943" s="31" t="n"/>
      <c r="W943" s="31" t="n"/>
      <c r="X943" s="31" t="n"/>
      <c r="Y943" s="31" t="n"/>
      <c r="Z943" s="31" t="n"/>
      <c r="AA943" s="31" t="n"/>
      <c r="AB943" s="31" t="n"/>
      <c r="AC943" s="31" t="n"/>
      <c r="AD943" s="31" t="n"/>
      <c r="AE943" s="31" t="n"/>
      <c r="AF943" s="27">
        <f>IF(NOT(COUNTA(A943:AE943)&gt;0),"",IF(A943="","New client","Update"))</f>
        <v/>
      </c>
      <c r="AG943" s="27">
        <f>IF(AO943&lt;&gt;"",AO943,IF(LEN(AN943)=15,MID(AN943,3,10),""))</f>
        <v/>
      </c>
      <c r="AH943" s="27">
        <f>IF(AP943="","",AP943&amp;IF(D943="","  (guessed from PAN)",""))</f>
        <v/>
      </c>
      <c r="AI943" s="27">
        <f>IF(AN943="","",IFERROR(INDEX(Lists!$L$2:$L$38,MATCH(LEFT(AN943,2),Lists!$K$2:$K$38,0)),"Unknown code"))</f>
        <v/>
      </c>
      <c r="AJ943" s="27">
        <f>IF(AN943="","",IFERROR(IF(NOT(AND(LEN(AN943)=15,ISNUMBER(MATCH(LEFT(AN943,2),Lists!$K$2:$K$38,0)),SUMPRODUCT(--ISERROR(FIND(MID(MID(AN943,3,10),{1,2,3,4,5,10},1),"ABCDEFGHIJKLMNOPQRSTUVWXYZ")))=0,SUMPRODUCT(--ISERROR(FIND(MID(MID(AN943,3,10),{6,7,8,9},1),"0123456789")))=0,ISNUMBER(FIND(MID(AN943,13,1),"123456789ABCDEFGHIJKLMNOPQRSTUVWXYZ")),MID(AN943,14,1)="Z")),"Wrong format",IF(MID("0123456789ABCDEFGHIJKLMNOPQRSTUVWXYZ",MOD(36-MOD(SUMPRODUCT(INT((FIND(MID(AN943,{1,2,3,4,5,6,7,8,9,10,11,12,13,14},1),"0123456789ABCDEFGHIJKLMNOPQRSTUVWXYZ")-1)*{1,2,1,2,1,2,1,2,1,2,1,2,1,2}/36)+MOD((FIND(MID(AN943,{1,2,3,4,5,6,7,8,9,10,11,12,13,14},1),"0123456789ABCDEFGHIJKLMNOPQRSTUVWXYZ")-1)*{1,2,1,2,1,2,1,2,1,2,1,2,1,2},36)),36),36)+1,1)=MID(AN943,15,1),"OK","Typo? check digit wrong")),"Wrong format"))</f>
        <v/>
      </c>
      <c r="AK943" s="27">
        <f>IF(AO943="","",IF(AND(LEN(AO943)=10,SUMPRODUCT(--ISERROR(FIND(MID(AO943,{1,2,3,4,5,10},1),"ABCDEFGHIJKLMNOPQRSTUVWXYZ")))=0,SUMPRODUCT(--ISERROR(FIND(MID(AO943,{6,7,8,9},1),"0123456789")))=0),"OK","Wrong format"))</f>
        <v/>
      </c>
      <c r="AL943" s="27">
        <f>IF(TRIM(H943)="","",IF(AND(LEN(UPPER(TRIM(H943)))=10,SUMPRODUCT(--ISERROR(FIND(MID(UPPER(TRIM(H943)),{1,2,3,4,10},1),"ABCDEFGHIJKLMNOPQRSTUVWXYZ")))=0,SUMPRODUCT(--ISERROR(FIND(MID(UPPER(TRIM(H943)),{5,6,7,8,9},1),"0123456789")))=0),"OK","Wrong format"))</f>
        <v/>
      </c>
      <c r="AM943" s="28">
        <f>IF(NOT(COUNTA(A943:AE943)&gt;0),"",IF(AS943&lt;&gt;"","✖ "&amp;LEFT(AS943,LEN(AS943)-2),IF(AR943&gt;0,"✔ Ready — client + "&amp;AR943&amp;" service(s)","✔ Ready — client only")))</f>
        <v/>
      </c>
      <c r="AN943" s="29">
        <f>UPPER(SUBSTITUTE(TRIM(F943)," ",""))</f>
        <v/>
      </c>
      <c r="AO943" s="29">
        <f>UPPER(SUBSTITUTE(TRIM(E943)," ",""))</f>
        <v/>
      </c>
      <c r="AP943" s="29">
        <f>IF(D943&lt;&gt;"",D943,IFERROR(VLOOKUP(MID(AG943,4,1),Lists!$E$2:$F$8,2,FALSE),""))</f>
        <v/>
      </c>
      <c r="AQ943" s="29">
        <f>IFERROR(VLOOKUP(AP943,Lists!$A$2:$C$12,3,FALSE),"")</f>
        <v/>
      </c>
      <c r="AR943" s="29">
        <f>COUNTIF(W943:AC943,"Yes")</f>
        <v/>
      </c>
      <c r="AS943" s="29">
        <f>IF(TRIM(B943)="","Legal name missing; ","")&amp;IF(AND(AJ943&lt;&gt;"",AJ943&lt;&gt;"OK"),"GSTIN: "&amp;AJ943&amp;"; ","")&amp;IF(AND(AK943&lt;&gt;"",AK943&lt;&gt;"OK"),"PAN wrong format; ","")&amp;IF(AND(AO943&lt;&gt;"",LEN(AN943)=15,MID(AN943,3,10)&lt;&gt;AO943),"PAN does not match GSTIN; ","")&amp;IF(AND(AL943&lt;&gt;"",AL943&lt;&gt;"OK"),"TAN wrong format; ","")&amp;IF(AG943="","PAN missing; ","")&amp;IF(AP943="","Entity type missing; ","")&amp;IF(AND(AN943&lt;&gt;"",COUNTIF($AN$6:$AN$1005,AN943)&gt;1),"GSTIN repeated in this sheet; ","")&amp;IF(AND(AG943&lt;&gt;"",COUNTIF($AG$6:$AG$1005,AG943)&gt;1),"PAN repeated in this sheet (same client? put extra GSTINs in Other GSTINs); ","")&amp;IF(AND(AR943&gt;0,V943=""),"Financial year missing; ","")&amp;IF(AND(AR943=0,V943&lt;&gt;""),"Financial year given but no service is Yes; ","")&amp;IF(AND(W943="Yes",AN943=""),"GST needs a GSTIN; ","")&amp;IF(AND(W943="Yes",X943=""),"GST return frequency missing; ","")&amp;IF(AND(Y943="Yes",TRIM(H943)=""),"TDS needs a TAN; ","")&amp;IF(AND(AA943="Yes",AQ943&lt;&gt;"",AQ943&lt;&gt;"company",AQ943&lt;&gt;"llp"),"ROC is only for a company / LLP; ","")&amp;IF(AND(AA943="Yes",OR(AQ943="company",AQ943="llp"),TRIM(I943)=""),"ROC needs the CIN / LLPIN; ","")</f>
        <v/>
      </c>
    </row>
    <row r="944">
      <c r="A944" s="30" t="n"/>
      <c r="B944" s="31" t="n"/>
      <c r="C944" s="31" t="n"/>
      <c r="D944" s="31" t="n"/>
      <c r="E944" s="30" t="n"/>
      <c r="F944" s="30" t="n"/>
      <c r="G944" s="30" t="n"/>
      <c r="H944" s="30" t="n"/>
      <c r="I944" s="30" t="n"/>
      <c r="J944" s="32" t="n"/>
      <c r="K944" s="31" t="n"/>
      <c r="L944" s="30" t="n"/>
      <c r="M944" s="31" t="n"/>
      <c r="N944" s="31" t="n"/>
      <c r="O944" s="31" t="n"/>
      <c r="P944" s="30" t="n"/>
      <c r="Q944" s="31" t="n"/>
      <c r="R944" s="31" t="n"/>
      <c r="S944" s="31" t="n"/>
      <c r="T944" s="31" t="n"/>
      <c r="U944" s="30" t="n"/>
      <c r="V944" s="31" t="n"/>
      <c r="W944" s="31" t="n"/>
      <c r="X944" s="31" t="n"/>
      <c r="Y944" s="31" t="n"/>
      <c r="Z944" s="31" t="n"/>
      <c r="AA944" s="31" t="n"/>
      <c r="AB944" s="31" t="n"/>
      <c r="AC944" s="31" t="n"/>
      <c r="AD944" s="31" t="n"/>
      <c r="AE944" s="31" t="n"/>
      <c r="AF944" s="27">
        <f>IF(NOT(COUNTA(A944:AE944)&gt;0),"",IF(A944="","New client","Update"))</f>
        <v/>
      </c>
      <c r="AG944" s="27">
        <f>IF(AO944&lt;&gt;"",AO944,IF(LEN(AN944)=15,MID(AN944,3,10),""))</f>
        <v/>
      </c>
      <c r="AH944" s="27">
        <f>IF(AP944="","",AP944&amp;IF(D944="","  (guessed from PAN)",""))</f>
        <v/>
      </c>
      <c r="AI944" s="27">
        <f>IF(AN944="","",IFERROR(INDEX(Lists!$L$2:$L$38,MATCH(LEFT(AN944,2),Lists!$K$2:$K$38,0)),"Unknown code"))</f>
        <v/>
      </c>
      <c r="AJ944" s="27">
        <f>IF(AN944="","",IFERROR(IF(NOT(AND(LEN(AN944)=15,ISNUMBER(MATCH(LEFT(AN944,2),Lists!$K$2:$K$38,0)),SUMPRODUCT(--ISERROR(FIND(MID(MID(AN944,3,10),{1,2,3,4,5,10},1),"ABCDEFGHIJKLMNOPQRSTUVWXYZ")))=0,SUMPRODUCT(--ISERROR(FIND(MID(MID(AN944,3,10),{6,7,8,9},1),"0123456789")))=0,ISNUMBER(FIND(MID(AN944,13,1),"123456789ABCDEFGHIJKLMNOPQRSTUVWXYZ")),MID(AN944,14,1)="Z")),"Wrong format",IF(MID("0123456789ABCDEFGHIJKLMNOPQRSTUVWXYZ",MOD(36-MOD(SUMPRODUCT(INT((FIND(MID(AN944,{1,2,3,4,5,6,7,8,9,10,11,12,13,14},1),"0123456789ABCDEFGHIJKLMNOPQRSTUVWXYZ")-1)*{1,2,1,2,1,2,1,2,1,2,1,2,1,2}/36)+MOD((FIND(MID(AN944,{1,2,3,4,5,6,7,8,9,10,11,12,13,14},1),"0123456789ABCDEFGHIJKLMNOPQRSTUVWXYZ")-1)*{1,2,1,2,1,2,1,2,1,2,1,2,1,2},36)),36),36)+1,1)=MID(AN944,15,1),"OK","Typo? check digit wrong")),"Wrong format"))</f>
        <v/>
      </c>
      <c r="AK944" s="27">
        <f>IF(AO944="","",IF(AND(LEN(AO944)=10,SUMPRODUCT(--ISERROR(FIND(MID(AO944,{1,2,3,4,5,10},1),"ABCDEFGHIJKLMNOPQRSTUVWXYZ")))=0,SUMPRODUCT(--ISERROR(FIND(MID(AO944,{6,7,8,9},1),"0123456789")))=0),"OK","Wrong format"))</f>
        <v/>
      </c>
      <c r="AL944" s="27">
        <f>IF(TRIM(H944)="","",IF(AND(LEN(UPPER(TRIM(H944)))=10,SUMPRODUCT(--ISERROR(FIND(MID(UPPER(TRIM(H944)),{1,2,3,4,10},1),"ABCDEFGHIJKLMNOPQRSTUVWXYZ")))=0,SUMPRODUCT(--ISERROR(FIND(MID(UPPER(TRIM(H944)),{5,6,7,8,9},1),"0123456789")))=0),"OK","Wrong format"))</f>
        <v/>
      </c>
      <c r="AM944" s="28">
        <f>IF(NOT(COUNTA(A944:AE944)&gt;0),"",IF(AS944&lt;&gt;"","✖ "&amp;LEFT(AS944,LEN(AS944)-2),IF(AR944&gt;0,"✔ Ready — client + "&amp;AR944&amp;" service(s)","✔ Ready — client only")))</f>
        <v/>
      </c>
      <c r="AN944" s="29">
        <f>UPPER(SUBSTITUTE(TRIM(F944)," ",""))</f>
        <v/>
      </c>
      <c r="AO944" s="29">
        <f>UPPER(SUBSTITUTE(TRIM(E944)," ",""))</f>
        <v/>
      </c>
      <c r="AP944" s="29">
        <f>IF(D944&lt;&gt;"",D944,IFERROR(VLOOKUP(MID(AG944,4,1),Lists!$E$2:$F$8,2,FALSE),""))</f>
        <v/>
      </c>
      <c r="AQ944" s="29">
        <f>IFERROR(VLOOKUP(AP944,Lists!$A$2:$C$12,3,FALSE),"")</f>
        <v/>
      </c>
      <c r="AR944" s="29">
        <f>COUNTIF(W944:AC944,"Yes")</f>
        <v/>
      </c>
      <c r="AS944" s="29">
        <f>IF(TRIM(B944)="","Legal name missing; ","")&amp;IF(AND(AJ944&lt;&gt;"",AJ944&lt;&gt;"OK"),"GSTIN: "&amp;AJ944&amp;"; ","")&amp;IF(AND(AK944&lt;&gt;"",AK944&lt;&gt;"OK"),"PAN wrong format; ","")&amp;IF(AND(AO944&lt;&gt;"",LEN(AN944)=15,MID(AN944,3,10)&lt;&gt;AO944),"PAN does not match GSTIN; ","")&amp;IF(AND(AL944&lt;&gt;"",AL944&lt;&gt;"OK"),"TAN wrong format; ","")&amp;IF(AG944="","PAN missing; ","")&amp;IF(AP944="","Entity type missing; ","")&amp;IF(AND(AN944&lt;&gt;"",COUNTIF($AN$6:$AN$1005,AN944)&gt;1),"GSTIN repeated in this sheet; ","")&amp;IF(AND(AG944&lt;&gt;"",COUNTIF($AG$6:$AG$1005,AG944)&gt;1),"PAN repeated in this sheet (same client? put extra GSTINs in Other GSTINs); ","")&amp;IF(AND(AR944&gt;0,V944=""),"Financial year missing; ","")&amp;IF(AND(AR944=0,V944&lt;&gt;""),"Financial year given but no service is Yes; ","")&amp;IF(AND(W944="Yes",AN944=""),"GST needs a GSTIN; ","")&amp;IF(AND(W944="Yes",X944=""),"GST return frequency missing; ","")&amp;IF(AND(Y944="Yes",TRIM(H944)=""),"TDS needs a TAN; ","")&amp;IF(AND(AA944="Yes",AQ944&lt;&gt;"",AQ944&lt;&gt;"company",AQ944&lt;&gt;"llp"),"ROC is only for a company / LLP; ","")&amp;IF(AND(AA944="Yes",OR(AQ944="company",AQ944="llp"),TRIM(I944)=""),"ROC needs the CIN / LLPIN; ","")</f>
        <v/>
      </c>
    </row>
    <row r="945">
      <c r="A945" s="30" t="n"/>
      <c r="B945" s="31" t="n"/>
      <c r="C945" s="31" t="n"/>
      <c r="D945" s="31" t="n"/>
      <c r="E945" s="30" t="n"/>
      <c r="F945" s="30" t="n"/>
      <c r="G945" s="30" t="n"/>
      <c r="H945" s="30" t="n"/>
      <c r="I945" s="30" t="n"/>
      <c r="J945" s="32" t="n"/>
      <c r="K945" s="31" t="n"/>
      <c r="L945" s="30" t="n"/>
      <c r="M945" s="31" t="n"/>
      <c r="N945" s="31" t="n"/>
      <c r="O945" s="31" t="n"/>
      <c r="P945" s="30" t="n"/>
      <c r="Q945" s="31" t="n"/>
      <c r="R945" s="31" t="n"/>
      <c r="S945" s="31" t="n"/>
      <c r="T945" s="31" t="n"/>
      <c r="U945" s="30" t="n"/>
      <c r="V945" s="31" t="n"/>
      <c r="W945" s="31" t="n"/>
      <c r="X945" s="31" t="n"/>
      <c r="Y945" s="31" t="n"/>
      <c r="Z945" s="31" t="n"/>
      <c r="AA945" s="31" t="n"/>
      <c r="AB945" s="31" t="n"/>
      <c r="AC945" s="31" t="n"/>
      <c r="AD945" s="31" t="n"/>
      <c r="AE945" s="31" t="n"/>
      <c r="AF945" s="27">
        <f>IF(NOT(COUNTA(A945:AE945)&gt;0),"",IF(A945="","New client","Update"))</f>
        <v/>
      </c>
      <c r="AG945" s="27">
        <f>IF(AO945&lt;&gt;"",AO945,IF(LEN(AN945)=15,MID(AN945,3,10),""))</f>
        <v/>
      </c>
      <c r="AH945" s="27">
        <f>IF(AP945="","",AP945&amp;IF(D945="","  (guessed from PAN)",""))</f>
        <v/>
      </c>
      <c r="AI945" s="27">
        <f>IF(AN945="","",IFERROR(INDEX(Lists!$L$2:$L$38,MATCH(LEFT(AN945,2),Lists!$K$2:$K$38,0)),"Unknown code"))</f>
        <v/>
      </c>
      <c r="AJ945" s="27">
        <f>IF(AN945="","",IFERROR(IF(NOT(AND(LEN(AN945)=15,ISNUMBER(MATCH(LEFT(AN945,2),Lists!$K$2:$K$38,0)),SUMPRODUCT(--ISERROR(FIND(MID(MID(AN945,3,10),{1,2,3,4,5,10},1),"ABCDEFGHIJKLMNOPQRSTUVWXYZ")))=0,SUMPRODUCT(--ISERROR(FIND(MID(MID(AN945,3,10),{6,7,8,9},1),"0123456789")))=0,ISNUMBER(FIND(MID(AN945,13,1),"123456789ABCDEFGHIJKLMNOPQRSTUVWXYZ")),MID(AN945,14,1)="Z")),"Wrong format",IF(MID("0123456789ABCDEFGHIJKLMNOPQRSTUVWXYZ",MOD(36-MOD(SUMPRODUCT(INT((FIND(MID(AN945,{1,2,3,4,5,6,7,8,9,10,11,12,13,14},1),"0123456789ABCDEFGHIJKLMNOPQRSTUVWXYZ")-1)*{1,2,1,2,1,2,1,2,1,2,1,2,1,2}/36)+MOD((FIND(MID(AN945,{1,2,3,4,5,6,7,8,9,10,11,12,13,14},1),"0123456789ABCDEFGHIJKLMNOPQRSTUVWXYZ")-1)*{1,2,1,2,1,2,1,2,1,2,1,2,1,2},36)),36),36)+1,1)=MID(AN945,15,1),"OK","Typo? check digit wrong")),"Wrong format"))</f>
        <v/>
      </c>
      <c r="AK945" s="27">
        <f>IF(AO945="","",IF(AND(LEN(AO945)=10,SUMPRODUCT(--ISERROR(FIND(MID(AO945,{1,2,3,4,5,10},1),"ABCDEFGHIJKLMNOPQRSTUVWXYZ")))=0,SUMPRODUCT(--ISERROR(FIND(MID(AO945,{6,7,8,9},1),"0123456789")))=0),"OK","Wrong format"))</f>
        <v/>
      </c>
      <c r="AL945" s="27">
        <f>IF(TRIM(H945)="","",IF(AND(LEN(UPPER(TRIM(H945)))=10,SUMPRODUCT(--ISERROR(FIND(MID(UPPER(TRIM(H945)),{1,2,3,4,10},1),"ABCDEFGHIJKLMNOPQRSTUVWXYZ")))=0,SUMPRODUCT(--ISERROR(FIND(MID(UPPER(TRIM(H945)),{5,6,7,8,9},1),"0123456789")))=0),"OK","Wrong format"))</f>
        <v/>
      </c>
      <c r="AM945" s="28">
        <f>IF(NOT(COUNTA(A945:AE945)&gt;0),"",IF(AS945&lt;&gt;"","✖ "&amp;LEFT(AS945,LEN(AS945)-2),IF(AR945&gt;0,"✔ Ready — client + "&amp;AR945&amp;" service(s)","✔ Ready — client only")))</f>
        <v/>
      </c>
      <c r="AN945" s="29">
        <f>UPPER(SUBSTITUTE(TRIM(F945)," ",""))</f>
        <v/>
      </c>
      <c r="AO945" s="29">
        <f>UPPER(SUBSTITUTE(TRIM(E945)," ",""))</f>
        <v/>
      </c>
      <c r="AP945" s="29">
        <f>IF(D945&lt;&gt;"",D945,IFERROR(VLOOKUP(MID(AG945,4,1),Lists!$E$2:$F$8,2,FALSE),""))</f>
        <v/>
      </c>
      <c r="AQ945" s="29">
        <f>IFERROR(VLOOKUP(AP945,Lists!$A$2:$C$12,3,FALSE),"")</f>
        <v/>
      </c>
      <c r="AR945" s="29">
        <f>COUNTIF(W945:AC945,"Yes")</f>
        <v/>
      </c>
      <c r="AS945" s="29">
        <f>IF(TRIM(B945)="","Legal name missing; ","")&amp;IF(AND(AJ945&lt;&gt;"",AJ945&lt;&gt;"OK"),"GSTIN: "&amp;AJ945&amp;"; ","")&amp;IF(AND(AK945&lt;&gt;"",AK945&lt;&gt;"OK"),"PAN wrong format; ","")&amp;IF(AND(AO945&lt;&gt;"",LEN(AN945)=15,MID(AN945,3,10)&lt;&gt;AO945),"PAN does not match GSTIN; ","")&amp;IF(AND(AL945&lt;&gt;"",AL945&lt;&gt;"OK"),"TAN wrong format; ","")&amp;IF(AG945="","PAN missing; ","")&amp;IF(AP945="","Entity type missing; ","")&amp;IF(AND(AN945&lt;&gt;"",COUNTIF($AN$6:$AN$1005,AN945)&gt;1),"GSTIN repeated in this sheet; ","")&amp;IF(AND(AG945&lt;&gt;"",COUNTIF($AG$6:$AG$1005,AG945)&gt;1),"PAN repeated in this sheet (same client? put extra GSTINs in Other GSTINs); ","")&amp;IF(AND(AR945&gt;0,V945=""),"Financial year missing; ","")&amp;IF(AND(AR945=0,V945&lt;&gt;""),"Financial year given but no service is Yes; ","")&amp;IF(AND(W945="Yes",AN945=""),"GST needs a GSTIN; ","")&amp;IF(AND(W945="Yes",X945=""),"GST return frequency missing; ","")&amp;IF(AND(Y945="Yes",TRIM(H945)=""),"TDS needs a TAN; ","")&amp;IF(AND(AA945="Yes",AQ945&lt;&gt;"",AQ945&lt;&gt;"company",AQ945&lt;&gt;"llp"),"ROC is only for a company / LLP; ","")&amp;IF(AND(AA945="Yes",OR(AQ945="company",AQ945="llp"),TRIM(I945)=""),"ROC needs the CIN / LLPIN; ","")</f>
        <v/>
      </c>
    </row>
    <row r="946">
      <c r="A946" s="30" t="n"/>
      <c r="B946" s="31" t="n"/>
      <c r="C946" s="31" t="n"/>
      <c r="D946" s="31" t="n"/>
      <c r="E946" s="30" t="n"/>
      <c r="F946" s="30" t="n"/>
      <c r="G946" s="30" t="n"/>
      <c r="H946" s="30" t="n"/>
      <c r="I946" s="30" t="n"/>
      <c r="J946" s="32" t="n"/>
      <c r="K946" s="31" t="n"/>
      <c r="L946" s="30" t="n"/>
      <c r="M946" s="31" t="n"/>
      <c r="N946" s="31" t="n"/>
      <c r="O946" s="31" t="n"/>
      <c r="P946" s="30" t="n"/>
      <c r="Q946" s="31" t="n"/>
      <c r="R946" s="31" t="n"/>
      <c r="S946" s="31" t="n"/>
      <c r="T946" s="31" t="n"/>
      <c r="U946" s="30" t="n"/>
      <c r="V946" s="31" t="n"/>
      <c r="W946" s="31" t="n"/>
      <c r="X946" s="31" t="n"/>
      <c r="Y946" s="31" t="n"/>
      <c r="Z946" s="31" t="n"/>
      <c r="AA946" s="31" t="n"/>
      <c r="AB946" s="31" t="n"/>
      <c r="AC946" s="31" t="n"/>
      <c r="AD946" s="31" t="n"/>
      <c r="AE946" s="31" t="n"/>
      <c r="AF946" s="27">
        <f>IF(NOT(COUNTA(A946:AE946)&gt;0),"",IF(A946="","New client","Update"))</f>
        <v/>
      </c>
      <c r="AG946" s="27">
        <f>IF(AO946&lt;&gt;"",AO946,IF(LEN(AN946)=15,MID(AN946,3,10),""))</f>
        <v/>
      </c>
      <c r="AH946" s="27">
        <f>IF(AP946="","",AP946&amp;IF(D946="","  (guessed from PAN)",""))</f>
        <v/>
      </c>
      <c r="AI946" s="27">
        <f>IF(AN946="","",IFERROR(INDEX(Lists!$L$2:$L$38,MATCH(LEFT(AN946,2),Lists!$K$2:$K$38,0)),"Unknown code"))</f>
        <v/>
      </c>
      <c r="AJ946" s="27">
        <f>IF(AN946="","",IFERROR(IF(NOT(AND(LEN(AN946)=15,ISNUMBER(MATCH(LEFT(AN946,2),Lists!$K$2:$K$38,0)),SUMPRODUCT(--ISERROR(FIND(MID(MID(AN946,3,10),{1,2,3,4,5,10},1),"ABCDEFGHIJKLMNOPQRSTUVWXYZ")))=0,SUMPRODUCT(--ISERROR(FIND(MID(MID(AN946,3,10),{6,7,8,9},1),"0123456789")))=0,ISNUMBER(FIND(MID(AN946,13,1),"123456789ABCDEFGHIJKLMNOPQRSTUVWXYZ")),MID(AN946,14,1)="Z")),"Wrong format",IF(MID("0123456789ABCDEFGHIJKLMNOPQRSTUVWXYZ",MOD(36-MOD(SUMPRODUCT(INT((FIND(MID(AN946,{1,2,3,4,5,6,7,8,9,10,11,12,13,14},1),"0123456789ABCDEFGHIJKLMNOPQRSTUVWXYZ")-1)*{1,2,1,2,1,2,1,2,1,2,1,2,1,2}/36)+MOD((FIND(MID(AN946,{1,2,3,4,5,6,7,8,9,10,11,12,13,14},1),"0123456789ABCDEFGHIJKLMNOPQRSTUVWXYZ")-1)*{1,2,1,2,1,2,1,2,1,2,1,2,1,2},36)),36),36)+1,1)=MID(AN946,15,1),"OK","Typo? check digit wrong")),"Wrong format"))</f>
        <v/>
      </c>
      <c r="AK946" s="27">
        <f>IF(AO946="","",IF(AND(LEN(AO946)=10,SUMPRODUCT(--ISERROR(FIND(MID(AO946,{1,2,3,4,5,10},1),"ABCDEFGHIJKLMNOPQRSTUVWXYZ")))=0,SUMPRODUCT(--ISERROR(FIND(MID(AO946,{6,7,8,9},1),"0123456789")))=0),"OK","Wrong format"))</f>
        <v/>
      </c>
      <c r="AL946" s="27">
        <f>IF(TRIM(H946)="","",IF(AND(LEN(UPPER(TRIM(H946)))=10,SUMPRODUCT(--ISERROR(FIND(MID(UPPER(TRIM(H946)),{1,2,3,4,10},1),"ABCDEFGHIJKLMNOPQRSTUVWXYZ")))=0,SUMPRODUCT(--ISERROR(FIND(MID(UPPER(TRIM(H946)),{5,6,7,8,9},1),"0123456789")))=0),"OK","Wrong format"))</f>
        <v/>
      </c>
      <c r="AM946" s="28">
        <f>IF(NOT(COUNTA(A946:AE946)&gt;0),"",IF(AS946&lt;&gt;"","✖ "&amp;LEFT(AS946,LEN(AS946)-2),IF(AR946&gt;0,"✔ Ready — client + "&amp;AR946&amp;" service(s)","✔ Ready — client only")))</f>
        <v/>
      </c>
      <c r="AN946" s="29">
        <f>UPPER(SUBSTITUTE(TRIM(F946)," ",""))</f>
        <v/>
      </c>
      <c r="AO946" s="29">
        <f>UPPER(SUBSTITUTE(TRIM(E946)," ",""))</f>
        <v/>
      </c>
      <c r="AP946" s="29">
        <f>IF(D946&lt;&gt;"",D946,IFERROR(VLOOKUP(MID(AG946,4,1),Lists!$E$2:$F$8,2,FALSE),""))</f>
        <v/>
      </c>
      <c r="AQ946" s="29">
        <f>IFERROR(VLOOKUP(AP946,Lists!$A$2:$C$12,3,FALSE),"")</f>
        <v/>
      </c>
      <c r="AR946" s="29">
        <f>COUNTIF(W946:AC946,"Yes")</f>
        <v/>
      </c>
      <c r="AS946" s="29">
        <f>IF(TRIM(B946)="","Legal name missing; ","")&amp;IF(AND(AJ946&lt;&gt;"",AJ946&lt;&gt;"OK"),"GSTIN: "&amp;AJ946&amp;"; ","")&amp;IF(AND(AK946&lt;&gt;"",AK946&lt;&gt;"OK"),"PAN wrong format; ","")&amp;IF(AND(AO946&lt;&gt;"",LEN(AN946)=15,MID(AN946,3,10)&lt;&gt;AO946),"PAN does not match GSTIN; ","")&amp;IF(AND(AL946&lt;&gt;"",AL946&lt;&gt;"OK"),"TAN wrong format; ","")&amp;IF(AG946="","PAN missing; ","")&amp;IF(AP946="","Entity type missing; ","")&amp;IF(AND(AN946&lt;&gt;"",COUNTIF($AN$6:$AN$1005,AN946)&gt;1),"GSTIN repeated in this sheet; ","")&amp;IF(AND(AG946&lt;&gt;"",COUNTIF($AG$6:$AG$1005,AG946)&gt;1),"PAN repeated in this sheet (same client? put extra GSTINs in Other GSTINs); ","")&amp;IF(AND(AR946&gt;0,V946=""),"Financial year missing; ","")&amp;IF(AND(AR946=0,V946&lt;&gt;""),"Financial year given but no service is Yes; ","")&amp;IF(AND(W946="Yes",AN946=""),"GST needs a GSTIN; ","")&amp;IF(AND(W946="Yes",X946=""),"GST return frequency missing; ","")&amp;IF(AND(Y946="Yes",TRIM(H946)=""),"TDS needs a TAN; ","")&amp;IF(AND(AA946="Yes",AQ946&lt;&gt;"",AQ946&lt;&gt;"company",AQ946&lt;&gt;"llp"),"ROC is only for a company / LLP; ","")&amp;IF(AND(AA946="Yes",OR(AQ946="company",AQ946="llp"),TRIM(I946)=""),"ROC needs the CIN / LLPIN; ","")</f>
        <v/>
      </c>
    </row>
    <row r="947">
      <c r="A947" s="30" t="n"/>
      <c r="B947" s="31" t="n"/>
      <c r="C947" s="31" t="n"/>
      <c r="D947" s="31" t="n"/>
      <c r="E947" s="30" t="n"/>
      <c r="F947" s="30" t="n"/>
      <c r="G947" s="30" t="n"/>
      <c r="H947" s="30" t="n"/>
      <c r="I947" s="30" t="n"/>
      <c r="J947" s="32" t="n"/>
      <c r="K947" s="31" t="n"/>
      <c r="L947" s="30" t="n"/>
      <c r="M947" s="31" t="n"/>
      <c r="N947" s="31" t="n"/>
      <c r="O947" s="31" t="n"/>
      <c r="P947" s="30" t="n"/>
      <c r="Q947" s="31" t="n"/>
      <c r="R947" s="31" t="n"/>
      <c r="S947" s="31" t="n"/>
      <c r="T947" s="31" t="n"/>
      <c r="U947" s="30" t="n"/>
      <c r="V947" s="31" t="n"/>
      <c r="W947" s="31" t="n"/>
      <c r="X947" s="31" t="n"/>
      <c r="Y947" s="31" t="n"/>
      <c r="Z947" s="31" t="n"/>
      <c r="AA947" s="31" t="n"/>
      <c r="AB947" s="31" t="n"/>
      <c r="AC947" s="31" t="n"/>
      <c r="AD947" s="31" t="n"/>
      <c r="AE947" s="31" t="n"/>
      <c r="AF947" s="27">
        <f>IF(NOT(COUNTA(A947:AE947)&gt;0),"",IF(A947="","New client","Update"))</f>
        <v/>
      </c>
      <c r="AG947" s="27">
        <f>IF(AO947&lt;&gt;"",AO947,IF(LEN(AN947)=15,MID(AN947,3,10),""))</f>
        <v/>
      </c>
      <c r="AH947" s="27">
        <f>IF(AP947="","",AP947&amp;IF(D947="","  (guessed from PAN)",""))</f>
        <v/>
      </c>
      <c r="AI947" s="27">
        <f>IF(AN947="","",IFERROR(INDEX(Lists!$L$2:$L$38,MATCH(LEFT(AN947,2),Lists!$K$2:$K$38,0)),"Unknown code"))</f>
        <v/>
      </c>
      <c r="AJ947" s="27">
        <f>IF(AN947="","",IFERROR(IF(NOT(AND(LEN(AN947)=15,ISNUMBER(MATCH(LEFT(AN947,2),Lists!$K$2:$K$38,0)),SUMPRODUCT(--ISERROR(FIND(MID(MID(AN947,3,10),{1,2,3,4,5,10},1),"ABCDEFGHIJKLMNOPQRSTUVWXYZ")))=0,SUMPRODUCT(--ISERROR(FIND(MID(MID(AN947,3,10),{6,7,8,9},1),"0123456789")))=0,ISNUMBER(FIND(MID(AN947,13,1),"123456789ABCDEFGHIJKLMNOPQRSTUVWXYZ")),MID(AN947,14,1)="Z")),"Wrong format",IF(MID("0123456789ABCDEFGHIJKLMNOPQRSTUVWXYZ",MOD(36-MOD(SUMPRODUCT(INT((FIND(MID(AN947,{1,2,3,4,5,6,7,8,9,10,11,12,13,14},1),"0123456789ABCDEFGHIJKLMNOPQRSTUVWXYZ")-1)*{1,2,1,2,1,2,1,2,1,2,1,2,1,2}/36)+MOD((FIND(MID(AN947,{1,2,3,4,5,6,7,8,9,10,11,12,13,14},1),"0123456789ABCDEFGHIJKLMNOPQRSTUVWXYZ")-1)*{1,2,1,2,1,2,1,2,1,2,1,2,1,2},36)),36),36)+1,1)=MID(AN947,15,1),"OK","Typo? check digit wrong")),"Wrong format"))</f>
        <v/>
      </c>
      <c r="AK947" s="27">
        <f>IF(AO947="","",IF(AND(LEN(AO947)=10,SUMPRODUCT(--ISERROR(FIND(MID(AO947,{1,2,3,4,5,10},1),"ABCDEFGHIJKLMNOPQRSTUVWXYZ")))=0,SUMPRODUCT(--ISERROR(FIND(MID(AO947,{6,7,8,9},1),"0123456789")))=0),"OK","Wrong format"))</f>
        <v/>
      </c>
      <c r="AL947" s="27">
        <f>IF(TRIM(H947)="","",IF(AND(LEN(UPPER(TRIM(H947)))=10,SUMPRODUCT(--ISERROR(FIND(MID(UPPER(TRIM(H947)),{1,2,3,4,10},1),"ABCDEFGHIJKLMNOPQRSTUVWXYZ")))=0,SUMPRODUCT(--ISERROR(FIND(MID(UPPER(TRIM(H947)),{5,6,7,8,9},1),"0123456789")))=0),"OK","Wrong format"))</f>
        <v/>
      </c>
      <c r="AM947" s="28">
        <f>IF(NOT(COUNTA(A947:AE947)&gt;0),"",IF(AS947&lt;&gt;"","✖ "&amp;LEFT(AS947,LEN(AS947)-2),IF(AR947&gt;0,"✔ Ready — client + "&amp;AR947&amp;" service(s)","✔ Ready — client only")))</f>
        <v/>
      </c>
      <c r="AN947" s="29">
        <f>UPPER(SUBSTITUTE(TRIM(F947)," ",""))</f>
        <v/>
      </c>
      <c r="AO947" s="29">
        <f>UPPER(SUBSTITUTE(TRIM(E947)," ",""))</f>
        <v/>
      </c>
      <c r="AP947" s="29">
        <f>IF(D947&lt;&gt;"",D947,IFERROR(VLOOKUP(MID(AG947,4,1),Lists!$E$2:$F$8,2,FALSE),""))</f>
        <v/>
      </c>
      <c r="AQ947" s="29">
        <f>IFERROR(VLOOKUP(AP947,Lists!$A$2:$C$12,3,FALSE),"")</f>
        <v/>
      </c>
      <c r="AR947" s="29">
        <f>COUNTIF(W947:AC947,"Yes")</f>
        <v/>
      </c>
      <c r="AS947" s="29">
        <f>IF(TRIM(B947)="","Legal name missing; ","")&amp;IF(AND(AJ947&lt;&gt;"",AJ947&lt;&gt;"OK"),"GSTIN: "&amp;AJ947&amp;"; ","")&amp;IF(AND(AK947&lt;&gt;"",AK947&lt;&gt;"OK"),"PAN wrong format; ","")&amp;IF(AND(AO947&lt;&gt;"",LEN(AN947)=15,MID(AN947,3,10)&lt;&gt;AO947),"PAN does not match GSTIN; ","")&amp;IF(AND(AL947&lt;&gt;"",AL947&lt;&gt;"OK"),"TAN wrong format; ","")&amp;IF(AG947="","PAN missing; ","")&amp;IF(AP947="","Entity type missing; ","")&amp;IF(AND(AN947&lt;&gt;"",COUNTIF($AN$6:$AN$1005,AN947)&gt;1),"GSTIN repeated in this sheet; ","")&amp;IF(AND(AG947&lt;&gt;"",COUNTIF($AG$6:$AG$1005,AG947)&gt;1),"PAN repeated in this sheet (same client? put extra GSTINs in Other GSTINs); ","")&amp;IF(AND(AR947&gt;0,V947=""),"Financial year missing; ","")&amp;IF(AND(AR947=0,V947&lt;&gt;""),"Financial year given but no service is Yes; ","")&amp;IF(AND(W947="Yes",AN947=""),"GST needs a GSTIN; ","")&amp;IF(AND(W947="Yes",X947=""),"GST return frequency missing; ","")&amp;IF(AND(Y947="Yes",TRIM(H947)=""),"TDS needs a TAN; ","")&amp;IF(AND(AA947="Yes",AQ947&lt;&gt;"",AQ947&lt;&gt;"company",AQ947&lt;&gt;"llp"),"ROC is only for a company / LLP; ","")&amp;IF(AND(AA947="Yes",OR(AQ947="company",AQ947="llp"),TRIM(I947)=""),"ROC needs the CIN / LLPIN; ","")</f>
        <v/>
      </c>
    </row>
    <row r="948">
      <c r="A948" s="30" t="n"/>
      <c r="B948" s="31" t="n"/>
      <c r="C948" s="31" t="n"/>
      <c r="D948" s="31" t="n"/>
      <c r="E948" s="30" t="n"/>
      <c r="F948" s="30" t="n"/>
      <c r="G948" s="30" t="n"/>
      <c r="H948" s="30" t="n"/>
      <c r="I948" s="30" t="n"/>
      <c r="J948" s="32" t="n"/>
      <c r="K948" s="31" t="n"/>
      <c r="L948" s="30" t="n"/>
      <c r="M948" s="31" t="n"/>
      <c r="N948" s="31" t="n"/>
      <c r="O948" s="31" t="n"/>
      <c r="P948" s="30" t="n"/>
      <c r="Q948" s="31" t="n"/>
      <c r="R948" s="31" t="n"/>
      <c r="S948" s="31" t="n"/>
      <c r="T948" s="31" t="n"/>
      <c r="U948" s="30" t="n"/>
      <c r="V948" s="31" t="n"/>
      <c r="W948" s="31" t="n"/>
      <c r="X948" s="31" t="n"/>
      <c r="Y948" s="31" t="n"/>
      <c r="Z948" s="31" t="n"/>
      <c r="AA948" s="31" t="n"/>
      <c r="AB948" s="31" t="n"/>
      <c r="AC948" s="31" t="n"/>
      <c r="AD948" s="31" t="n"/>
      <c r="AE948" s="31" t="n"/>
      <c r="AF948" s="27">
        <f>IF(NOT(COUNTA(A948:AE948)&gt;0),"",IF(A948="","New client","Update"))</f>
        <v/>
      </c>
      <c r="AG948" s="27">
        <f>IF(AO948&lt;&gt;"",AO948,IF(LEN(AN948)=15,MID(AN948,3,10),""))</f>
        <v/>
      </c>
      <c r="AH948" s="27">
        <f>IF(AP948="","",AP948&amp;IF(D948="","  (guessed from PAN)",""))</f>
        <v/>
      </c>
      <c r="AI948" s="27">
        <f>IF(AN948="","",IFERROR(INDEX(Lists!$L$2:$L$38,MATCH(LEFT(AN948,2),Lists!$K$2:$K$38,0)),"Unknown code"))</f>
        <v/>
      </c>
      <c r="AJ948" s="27">
        <f>IF(AN948="","",IFERROR(IF(NOT(AND(LEN(AN948)=15,ISNUMBER(MATCH(LEFT(AN948,2),Lists!$K$2:$K$38,0)),SUMPRODUCT(--ISERROR(FIND(MID(MID(AN948,3,10),{1,2,3,4,5,10},1),"ABCDEFGHIJKLMNOPQRSTUVWXYZ")))=0,SUMPRODUCT(--ISERROR(FIND(MID(MID(AN948,3,10),{6,7,8,9},1),"0123456789")))=0,ISNUMBER(FIND(MID(AN948,13,1),"123456789ABCDEFGHIJKLMNOPQRSTUVWXYZ")),MID(AN948,14,1)="Z")),"Wrong format",IF(MID("0123456789ABCDEFGHIJKLMNOPQRSTUVWXYZ",MOD(36-MOD(SUMPRODUCT(INT((FIND(MID(AN948,{1,2,3,4,5,6,7,8,9,10,11,12,13,14},1),"0123456789ABCDEFGHIJKLMNOPQRSTUVWXYZ")-1)*{1,2,1,2,1,2,1,2,1,2,1,2,1,2}/36)+MOD((FIND(MID(AN948,{1,2,3,4,5,6,7,8,9,10,11,12,13,14},1),"0123456789ABCDEFGHIJKLMNOPQRSTUVWXYZ")-1)*{1,2,1,2,1,2,1,2,1,2,1,2,1,2},36)),36),36)+1,1)=MID(AN948,15,1),"OK","Typo? check digit wrong")),"Wrong format"))</f>
        <v/>
      </c>
      <c r="AK948" s="27">
        <f>IF(AO948="","",IF(AND(LEN(AO948)=10,SUMPRODUCT(--ISERROR(FIND(MID(AO948,{1,2,3,4,5,10},1),"ABCDEFGHIJKLMNOPQRSTUVWXYZ")))=0,SUMPRODUCT(--ISERROR(FIND(MID(AO948,{6,7,8,9},1),"0123456789")))=0),"OK","Wrong format"))</f>
        <v/>
      </c>
      <c r="AL948" s="27">
        <f>IF(TRIM(H948)="","",IF(AND(LEN(UPPER(TRIM(H948)))=10,SUMPRODUCT(--ISERROR(FIND(MID(UPPER(TRIM(H948)),{1,2,3,4,10},1),"ABCDEFGHIJKLMNOPQRSTUVWXYZ")))=0,SUMPRODUCT(--ISERROR(FIND(MID(UPPER(TRIM(H948)),{5,6,7,8,9},1),"0123456789")))=0),"OK","Wrong format"))</f>
        <v/>
      </c>
      <c r="AM948" s="28">
        <f>IF(NOT(COUNTA(A948:AE948)&gt;0),"",IF(AS948&lt;&gt;"","✖ "&amp;LEFT(AS948,LEN(AS948)-2),IF(AR948&gt;0,"✔ Ready — client + "&amp;AR948&amp;" service(s)","✔ Ready — client only")))</f>
        <v/>
      </c>
      <c r="AN948" s="29">
        <f>UPPER(SUBSTITUTE(TRIM(F948)," ",""))</f>
        <v/>
      </c>
      <c r="AO948" s="29">
        <f>UPPER(SUBSTITUTE(TRIM(E948)," ",""))</f>
        <v/>
      </c>
      <c r="AP948" s="29">
        <f>IF(D948&lt;&gt;"",D948,IFERROR(VLOOKUP(MID(AG948,4,1),Lists!$E$2:$F$8,2,FALSE),""))</f>
        <v/>
      </c>
      <c r="AQ948" s="29">
        <f>IFERROR(VLOOKUP(AP948,Lists!$A$2:$C$12,3,FALSE),"")</f>
        <v/>
      </c>
      <c r="AR948" s="29">
        <f>COUNTIF(W948:AC948,"Yes")</f>
        <v/>
      </c>
      <c r="AS948" s="29">
        <f>IF(TRIM(B948)="","Legal name missing; ","")&amp;IF(AND(AJ948&lt;&gt;"",AJ948&lt;&gt;"OK"),"GSTIN: "&amp;AJ948&amp;"; ","")&amp;IF(AND(AK948&lt;&gt;"",AK948&lt;&gt;"OK"),"PAN wrong format; ","")&amp;IF(AND(AO948&lt;&gt;"",LEN(AN948)=15,MID(AN948,3,10)&lt;&gt;AO948),"PAN does not match GSTIN; ","")&amp;IF(AND(AL948&lt;&gt;"",AL948&lt;&gt;"OK"),"TAN wrong format; ","")&amp;IF(AG948="","PAN missing; ","")&amp;IF(AP948="","Entity type missing; ","")&amp;IF(AND(AN948&lt;&gt;"",COUNTIF($AN$6:$AN$1005,AN948)&gt;1),"GSTIN repeated in this sheet; ","")&amp;IF(AND(AG948&lt;&gt;"",COUNTIF($AG$6:$AG$1005,AG948)&gt;1),"PAN repeated in this sheet (same client? put extra GSTINs in Other GSTINs); ","")&amp;IF(AND(AR948&gt;0,V948=""),"Financial year missing; ","")&amp;IF(AND(AR948=0,V948&lt;&gt;""),"Financial year given but no service is Yes; ","")&amp;IF(AND(W948="Yes",AN948=""),"GST needs a GSTIN; ","")&amp;IF(AND(W948="Yes",X948=""),"GST return frequency missing; ","")&amp;IF(AND(Y948="Yes",TRIM(H948)=""),"TDS needs a TAN; ","")&amp;IF(AND(AA948="Yes",AQ948&lt;&gt;"",AQ948&lt;&gt;"company",AQ948&lt;&gt;"llp"),"ROC is only for a company / LLP; ","")&amp;IF(AND(AA948="Yes",OR(AQ948="company",AQ948="llp"),TRIM(I948)=""),"ROC needs the CIN / LLPIN; ","")</f>
        <v/>
      </c>
    </row>
    <row r="949">
      <c r="A949" s="30" t="n"/>
      <c r="B949" s="31" t="n"/>
      <c r="C949" s="31" t="n"/>
      <c r="D949" s="31" t="n"/>
      <c r="E949" s="30" t="n"/>
      <c r="F949" s="30" t="n"/>
      <c r="G949" s="30" t="n"/>
      <c r="H949" s="30" t="n"/>
      <c r="I949" s="30" t="n"/>
      <c r="J949" s="32" t="n"/>
      <c r="K949" s="31" t="n"/>
      <c r="L949" s="30" t="n"/>
      <c r="M949" s="31" t="n"/>
      <c r="N949" s="31" t="n"/>
      <c r="O949" s="31" t="n"/>
      <c r="P949" s="30" t="n"/>
      <c r="Q949" s="31" t="n"/>
      <c r="R949" s="31" t="n"/>
      <c r="S949" s="31" t="n"/>
      <c r="T949" s="31" t="n"/>
      <c r="U949" s="30" t="n"/>
      <c r="V949" s="31" t="n"/>
      <c r="W949" s="31" t="n"/>
      <c r="X949" s="31" t="n"/>
      <c r="Y949" s="31" t="n"/>
      <c r="Z949" s="31" t="n"/>
      <c r="AA949" s="31" t="n"/>
      <c r="AB949" s="31" t="n"/>
      <c r="AC949" s="31" t="n"/>
      <c r="AD949" s="31" t="n"/>
      <c r="AE949" s="31" t="n"/>
      <c r="AF949" s="27">
        <f>IF(NOT(COUNTA(A949:AE949)&gt;0),"",IF(A949="","New client","Update"))</f>
        <v/>
      </c>
      <c r="AG949" s="27">
        <f>IF(AO949&lt;&gt;"",AO949,IF(LEN(AN949)=15,MID(AN949,3,10),""))</f>
        <v/>
      </c>
      <c r="AH949" s="27">
        <f>IF(AP949="","",AP949&amp;IF(D949="","  (guessed from PAN)",""))</f>
        <v/>
      </c>
      <c r="AI949" s="27">
        <f>IF(AN949="","",IFERROR(INDEX(Lists!$L$2:$L$38,MATCH(LEFT(AN949,2),Lists!$K$2:$K$38,0)),"Unknown code"))</f>
        <v/>
      </c>
      <c r="AJ949" s="27">
        <f>IF(AN949="","",IFERROR(IF(NOT(AND(LEN(AN949)=15,ISNUMBER(MATCH(LEFT(AN949,2),Lists!$K$2:$K$38,0)),SUMPRODUCT(--ISERROR(FIND(MID(MID(AN949,3,10),{1,2,3,4,5,10},1),"ABCDEFGHIJKLMNOPQRSTUVWXYZ")))=0,SUMPRODUCT(--ISERROR(FIND(MID(MID(AN949,3,10),{6,7,8,9},1),"0123456789")))=0,ISNUMBER(FIND(MID(AN949,13,1),"123456789ABCDEFGHIJKLMNOPQRSTUVWXYZ")),MID(AN949,14,1)="Z")),"Wrong format",IF(MID("0123456789ABCDEFGHIJKLMNOPQRSTUVWXYZ",MOD(36-MOD(SUMPRODUCT(INT((FIND(MID(AN949,{1,2,3,4,5,6,7,8,9,10,11,12,13,14},1),"0123456789ABCDEFGHIJKLMNOPQRSTUVWXYZ")-1)*{1,2,1,2,1,2,1,2,1,2,1,2,1,2}/36)+MOD((FIND(MID(AN949,{1,2,3,4,5,6,7,8,9,10,11,12,13,14},1),"0123456789ABCDEFGHIJKLMNOPQRSTUVWXYZ")-1)*{1,2,1,2,1,2,1,2,1,2,1,2,1,2},36)),36),36)+1,1)=MID(AN949,15,1),"OK","Typo? check digit wrong")),"Wrong format"))</f>
        <v/>
      </c>
      <c r="AK949" s="27">
        <f>IF(AO949="","",IF(AND(LEN(AO949)=10,SUMPRODUCT(--ISERROR(FIND(MID(AO949,{1,2,3,4,5,10},1),"ABCDEFGHIJKLMNOPQRSTUVWXYZ")))=0,SUMPRODUCT(--ISERROR(FIND(MID(AO949,{6,7,8,9},1),"0123456789")))=0),"OK","Wrong format"))</f>
        <v/>
      </c>
      <c r="AL949" s="27">
        <f>IF(TRIM(H949)="","",IF(AND(LEN(UPPER(TRIM(H949)))=10,SUMPRODUCT(--ISERROR(FIND(MID(UPPER(TRIM(H949)),{1,2,3,4,10},1),"ABCDEFGHIJKLMNOPQRSTUVWXYZ")))=0,SUMPRODUCT(--ISERROR(FIND(MID(UPPER(TRIM(H949)),{5,6,7,8,9},1),"0123456789")))=0),"OK","Wrong format"))</f>
        <v/>
      </c>
      <c r="AM949" s="28">
        <f>IF(NOT(COUNTA(A949:AE949)&gt;0),"",IF(AS949&lt;&gt;"","✖ "&amp;LEFT(AS949,LEN(AS949)-2),IF(AR949&gt;0,"✔ Ready — client + "&amp;AR949&amp;" service(s)","✔ Ready — client only")))</f>
        <v/>
      </c>
      <c r="AN949" s="29">
        <f>UPPER(SUBSTITUTE(TRIM(F949)," ",""))</f>
        <v/>
      </c>
      <c r="AO949" s="29">
        <f>UPPER(SUBSTITUTE(TRIM(E949)," ",""))</f>
        <v/>
      </c>
      <c r="AP949" s="29">
        <f>IF(D949&lt;&gt;"",D949,IFERROR(VLOOKUP(MID(AG949,4,1),Lists!$E$2:$F$8,2,FALSE),""))</f>
        <v/>
      </c>
      <c r="AQ949" s="29">
        <f>IFERROR(VLOOKUP(AP949,Lists!$A$2:$C$12,3,FALSE),"")</f>
        <v/>
      </c>
      <c r="AR949" s="29">
        <f>COUNTIF(W949:AC949,"Yes")</f>
        <v/>
      </c>
      <c r="AS949" s="29">
        <f>IF(TRIM(B949)="","Legal name missing; ","")&amp;IF(AND(AJ949&lt;&gt;"",AJ949&lt;&gt;"OK"),"GSTIN: "&amp;AJ949&amp;"; ","")&amp;IF(AND(AK949&lt;&gt;"",AK949&lt;&gt;"OK"),"PAN wrong format; ","")&amp;IF(AND(AO949&lt;&gt;"",LEN(AN949)=15,MID(AN949,3,10)&lt;&gt;AO949),"PAN does not match GSTIN; ","")&amp;IF(AND(AL949&lt;&gt;"",AL949&lt;&gt;"OK"),"TAN wrong format; ","")&amp;IF(AG949="","PAN missing; ","")&amp;IF(AP949="","Entity type missing; ","")&amp;IF(AND(AN949&lt;&gt;"",COUNTIF($AN$6:$AN$1005,AN949)&gt;1),"GSTIN repeated in this sheet; ","")&amp;IF(AND(AG949&lt;&gt;"",COUNTIF($AG$6:$AG$1005,AG949)&gt;1),"PAN repeated in this sheet (same client? put extra GSTINs in Other GSTINs); ","")&amp;IF(AND(AR949&gt;0,V949=""),"Financial year missing; ","")&amp;IF(AND(AR949=0,V949&lt;&gt;""),"Financial year given but no service is Yes; ","")&amp;IF(AND(W949="Yes",AN949=""),"GST needs a GSTIN; ","")&amp;IF(AND(W949="Yes",X949=""),"GST return frequency missing; ","")&amp;IF(AND(Y949="Yes",TRIM(H949)=""),"TDS needs a TAN; ","")&amp;IF(AND(AA949="Yes",AQ949&lt;&gt;"",AQ949&lt;&gt;"company",AQ949&lt;&gt;"llp"),"ROC is only for a company / LLP; ","")&amp;IF(AND(AA949="Yes",OR(AQ949="company",AQ949="llp"),TRIM(I949)=""),"ROC needs the CIN / LLPIN; ","")</f>
        <v/>
      </c>
    </row>
    <row r="950">
      <c r="A950" s="30" t="n"/>
      <c r="B950" s="31" t="n"/>
      <c r="C950" s="31" t="n"/>
      <c r="D950" s="31" t="n"/>
      <c r="E950" s="30" t="n"/>
      <c r="F950" s="30" t="n"/>
      <c r="G950" s="30" t="n"/>
      <c r="H950" s="30" t="n"/>
      <c r="I950" s="30" t="n"/>
      <c r="J950" s="32" t="n"/>
      <c r="K950" s="31" t="n"/>
      <c r="L950" s="30" t="n"/>
      <c r="M950" s="31" t="n"/>
      <c r="N950" s="31" t="n"/>
      <c r="O950" s="31" t="n"/>
      <c r="P950" s="30" t="n"/>
      <c r="Q950" s="31" t="n"/>
      <c r="R950" s="31" t="n"/>
      <c r="S950" s="31" t="n"/>
      <c r="T950" s="31" t="n"/>
      <c r="U950" s="30" t="n"/>
      <c r="V950" s="31" t="n"/>
      <c r="W950" s="31" t="n"/>
      <c r="X950" s="31" t="n"/>
      <c r="Y950" s="31" t="n"/>
      <c r="Z950" s="31" t="n"/>
      <c r="AA950" s="31" t="n"/>
      <c r="AB950" s="31" t="n"/>
      <c r="AC950" s="31" t="n"/>
      <c r="AD950" s="31" t="n"/>
      <c r="AE950" s="31" t="n"/>
      <c r="AF950" s="27">
        <f>IF(NOT(COUNTA(A950:AE950)&gt;0),"",IF(A950="","New client","Update"))</f>
        <v/>
      </c>
      <c r="AG950" s="27">
        <f>IF(AO950&lt;&gt;"",AO950,IF(LEN(AN950)=15,MID(AN950,3,10),""))</f>
        <v/>
      </c>
      <c r="AH950" s="27">
        <f>IF(AP950="","",AP950&amp;IF(D950="","  (guessed from PAN)",""))</f>
        <v/>
      </c>
      <c r="AI950" s="27">
        <f>IF(AN950="","",IFERROR(INDEX(Lists!$L$2:$L$38,MATCH(LEFT(AN950,2),Lists!$K$2:$K$38,0)),"Unknown code"))</f>
        <v/>
      </c>
      <c r="AJ950" s="27">
        <f>IF(AN950="","",IFERROR(IF(NOT(AND(LEN(AN950)=15,ISNUMBER(MATCH(LEFT(AN950,2),Lists!$K$2:$K$38,0)),SUMPRODUCT(--ISERROR(FIND(MID(MID(AN950,3,10),{1,2,3,4,5,10},1),"ABCDEFGHIJKLMNOPQRSTUVWXYZ")))=0,SUMPRODUCT(--ISERROR(FIND(MID(MID(AN950,3,10),{6,7,8,9},1),"0123456789")))=0,ISNUMBER(FIND(MID(AN950,13,1),"123456789ABCDEFGHIJKLMNOPQRSTUVWXYZ")),MID(AN950,14,1)="Z")),"Wrong format",IF(MID("0123456789ABCDEFGHIJKLMNOPQRSTUVWXYZ",MOD(36-MOD(SUMPRODUCT(INT((FIND(MID(AN950,{1,2,3,4,5,6,7,8,9,10,11,12,13,14},1),"0123456789ABCDEFGHIJKLMNOPQRSTUVWXYZ")-1)*{1,2,1,2,1,2,1,2,1,2,1,2,1,2}/36)+MOD((FIND(MID(AN950,{1,2,3,4,5,6,7,8,9,10,11,12,13,14},1),"0123456789ABCDEFGHIJKLMNOPQRSTUVWXYZ")-1)*{1,2,1,2,1,2,1,2,1,2,1,2,1,2},36)),36),36)+1,1)=MID(AN950,15,1),"OK","Typo? check digit wrong")),"Wrong format"))</f>
        <v/>
      </c>
      <c r="AK950" s="27">
        <f>IF(AO950="","",IF(AND(LEN(AO950)=10,SUMPRODUCT(--ISERROR(FIND(MID(AO950,{1,2,3,4,5,10},1),"ABCDEFGHIJKLMNOPQRSTUVWXYZ")))=0,SUMPRODUCT(--ISERROR(FIND(MID(AO950,{6,7,8,9},1),"0123456789")))=0),"OK","Wrong format"))</f>
        <v/>
      </c>
      <c r="AL950" s="27">
        <f>IF(TRIM(H950)="","",IF(AND(LEN(UPPER(TRIM(H950)))=10,SUMPRODUCT(--ISERROR(FIND(MID(UPPER(TRIM(H950)),{1,2,3,4,10},1),"ABCDEFGHIJKLMNOPQRSTUVWXYZ")))=0,SUMPRODUCT(--ISERROR(FIND(MID(UPPER(TRIM(H950)),{5,6,7,8,9},1),"0123456789")))=0),"OK","Wrong format"))</f>
        <v/>
      </c>
      <c r="AM950" s="28">
        <f>IF(NOT(COUNTA(A950:AE950)&gt;0),"",IF(AS950&lt;&gt;"","✖ "&amp;LEFT(AS950,LEN(AS950)-2),IF(AR950&gt;0,"✔ Ready — client + "&amp;AR950&amp;" service(s)","✔ Ready — client only")))</f>
        <v/>
      </c>
      <c r="AN950" s="29">
        <f>UPPER(SUBSTITUTE(TRIM(F950)," ",""))</f>
        <v/>
      </c>
      <c r="AO950" s="29">
        <f>UPPER(SUBSTITUTE(TRIM(E950)," ",""))</f>
        <v/>
      </c>
      <c r="AP950" s="29">
        <f>IF(D950&lt;&gt;"",D950,IFERROR(VLOOKUP(MID(AG950,4,1),Lists!$E$2:$F$8,2,FALSE),""))</f>
        <v/>
      </c>
      <c r="AQ950" s="29">
        <f>IFERROR(VLOOKUP(AP950,Lists!$A$2:$C$12,3,FALSE),"")</f>
        <v/>
      </c>
      <c r="AR950" s="29">
        <f>COUNTIF(W950:AC950,"Yes")</f>
        <v/>
      </c>
      <c r="AS950" s="29">
        <f>IF(TRIM(B950)="","Legal name missing; ","")&amp;IF(AND(AJ950&lt;&gt;"",AJ950&lt;&gt;"OK"),"GSTIN: "&amp;AJ950&amp;"; ","")&amp;IF(AND(AK950&lt;&gt;"",AK950&lt;&gt;"OK"),"PAN wrong format; ","")&amp;IF(AND(AO950&lt;&gt;"",LEN(AN950)=15,MID(AN950,3,10)&lt;&gt;AO950),"PAN does not match GSTIN; ","")&amp;IF(AND(AL950&lt;&gt;"",AL950&lt;&gt;"OK"),"TAN wrong format; ","")&amp;IF(AG950="","PAN missing; ","")&amp;IF(AP950="","Entity type missing; ","")&amp;IF(AND(AN950&lt;&gt;"",COUNTIF($AN$6:$AN$1005,AN950)&gt;1),"GSTIN repeated in this sheet; ","")&amp;IF(AND(AG950&lt;&gt;"",COUNTIF($AG$6:$AG$1005,AG950)&gt;1),"PAN repeated in this sheet (same client? put extra GSTINs in Other GSTINs); ","")&amp;IF(AND(AR950&gt;0,V950=""),"Financial year missing; ","")&amp;IF(AND(AR950=0,V950&lt;&gt;""),"Financial year given but no service is Yes; ","")&amp;IF(AND(W950="Yes",AN950=""),"GST needs a GSTIN; ","")&amp;IF(AND(W950="Yes",X950=""),"GST return frequency missing; ","")&amp;IF(AND(Y950="Yes",TRIM(H950)=""),"TDS needs a TAN; ","")&amp;IF(AND(AA950="Yes",AQ950&lt;&gt;"",AQ950&lt;&gt;"company",AQ950&lt;&gt;"llp"),"ROC is only for a company / LLP; ","")&amp;IF(AND(AA950="Yes",OR(AQ950="company",AQ950="llp"),TRIM(I950)=""),"ROC needs the CIN / LLPIN; ","")</f>
        <v/>
      </c>
    </row>
    <row r="951">
      <c r="A951" s="30" t="n"/>
      <c r="B951" s="31" t="n"/>
      <c r="C951" s="31" t="n"/>
      <c r="D951" s="31" t="n"/>
      <c r="E951" s="30" t="n"/>
      <c r="F951" s="30" t="n"/>
      <c r="G951" s="30" t="n"/>
      <c r="H951" s="30" t="n"/>
      <c r="I951" s="30" t="n"/>
      <c r="J951" s="32" t="n"/>
      <c r="K951" s="31" t="n"/>
      <c r="L951" s="30" t="n"/>
      <c r="M951" s="31" t="n"/>
      <c r="N951" s="31" t="n"/>
      <c r="O951" s="31" t="n"/>
      <c r="P951" s="30" t="n"/>
      <c r="Q951" s="31" t="n"/>
      <c r="R951" s="31" t="n"/>
      <c r="S951" s="31" t="n"/>
      <c r="T951" s="31" t="n"/>
      <c r="U951" s="30" t="n"/>
      <c r="V951" s="31" t="n"/>
      <c r="W951" s="31" t="n"/>
      <c r="X951" s="31" t="n"/>
      <c r="Y951" s="31" t="n"/>
      <c r="Z951" s="31" t="n"/>
      <c r="AA951" s="31" t="n"/>
      <c r="AB951" s="31" t="n"/>
      <c r="AC951" s="31" t="n"/>
      <c r="AD951" s="31" t="n"/>
      <c r="AE951" s="31" t="n"/>
      <c r="AF951" s="27">
        <f>IF(NOT(COUNTA(A951:AE951)&gt;0),"",IF(A951="","New client","Update"))</f>
        <v/>
      </c>
      <c r="AG951" s="27">
        <f>IF(AO951&lt;&gt;"",AO951,IF(LEN(AN951)=15,MID(AN951,3,10),""))</f>
        <v/>
      </c>
      <c r="AH951" s="27">
        <f>IF(AP951="","",AP951&amp;IF(D951="","  (guessed from PAN)",""))</f>
        <v/>
      </c>
      <c r="AI951" s="27">
        <f>IF(AN951="","",IFERROR(INDEX(Lists!$L$2:$L$38,MATCH(LEFT(AN951,2),Lists!$K$2:$K$38,0)),"Unknown code"))</f>
        <v/>
      </c>
      <c r="AJ951" s="27">
        <f>IF(AN951="","",IFERROR(IF(NOT(AND(LEN(AN951)=15,ISNUMBER(MATCH(LEFT(AN951,2),Lists!$K$2:$K$38,0)),SUMPRODUCT(--ISERROR(FIND(MID(MID(AN951,3,10),{1,2,3,4,5,10},1),"ABCDEFGHIJKLMNOPQRSTUVWXYZ")))=0,SUMPRODUCT(--ISERROR(FIND(MID(MID(AN951,3,10),{6,7,8,9},1),"0123456789")))=0,ISNUMBER(FIND(MID(AN951,13,1),"123456789ABCDEFGHIJKLMNOPQRSTUVWXYZ")),MID(AN951,14,1)="Z")),"Wrong format",IF(MID("0123456789ABCDEFGHIJKLMNOPQRSTUVWXYZ",MOD(36-MOD(SUMPRODUCT(INT((FIND(MID(AN951,{1,2,3,4,5,6,7,8,9,10,11,12,13,14},1),"0123456789ABCDEFGHIJKLMNOPQRSTUVWXYZ")-1)*{1,2,1,2,1,2,1,2,1,2,1,2,1,2}/36)+MOD((FIND(MID(AN951,{1,2,3,4,5,6,7,8,9,10,11,12,13,14},1),"0123456789ABCDEFGHIJKLMNOPQRSTUVWXYZ")-1)*{1,2,1,2,1,2,1,2,1,2,1,2,1,2},36)),36),36)+1,1)=MID(AN951,15,1),"OK","Typo? check digit wrong")),"Wrong format"))</f>
        <v/>
      </c>
      <c r="AK951" s="27">
        <f>IF(AO951="","",IF(AND(LEN(AO951)=10,SUMPRODUCT(--ISERROR(FIND(MID(AO951,{1,2,3,4,5,10},1),"ABCDEFGHIJKLMNOPQRSTUVWXYZ")))=0,SUMPRODUCT(--ISERROR(FIND(MID(AO951,{6,7,8,9},1),"0123456789")))=0),"OK","Wrong format"))</f>
        <v/>
      </c>
      <c r="AL951" s="27">
        <f>IF(TRIM(H951)="","",IF(AND(LEN(UPPER(TRIM(H951)))=10,SUMPRODUCT(--ISERROR(FIND(MID(UPPER(TRIM(H951)),{1,2,3,4,10},1),"ABCDEFGHIJKLMNOPQRSTUVWXYZ")))=0,SUMPRODUCT(--ISERROR(FIND(MID(UPPER(TRIM(H951)),{5,6,7,8,9},1),"0123456789")))=0),"OK","Wrong format"))</f>
        <v/>
      </c>
      <c r="AM951" s="28">
        <f>IF(NOT(COUNTA(A951:AE951)&gt;0),"",IF(AS951&lt;&gt;"","✖ "&amp;LEFT(AS951,LEN(AS951)-2),IF(AR951&gt;0,"✔ Ready — client + "&amp;AR951&amp;" service(s)","✔ Ready — client only")))</f>
        <v/>
      </c>
      <c r="AN951" s="29">
        <f>UPPER(SUBSTITUTE(TRIM(F951)," ",""))</f>
        <v/>
      </c>
      <c r="AO951" s="29">
        <f>UPPER(SUBSTITUTE(TRIM(E951)," ",""))</f>
        <v/>
      </c>
      <c r="AP951" s="29">
        <f>IF(D951&lt;&gt;"",D951,IFERROR(VLOOKUP(MID(AG951,4,1),Lists!$E$2:$F$8,2,FALSE),""))</f>
        <v/>
      </c>
      <c r="AQ951" s="29">
        <f>IFERROR(VLOOKUP(AP951,Lists!$A$2:$C$12,3,FALSE),"")</f>
        <v/>
      </c>
      <c r="AR951" s="29">
        <f>COUNTIF(W951:AC951,"Yes")</f>
        <v/>
      </c>
      <c r="AS951" s="29">
        <f>IF(TRIM(B951)="","Legal name missing; ","")&amp;IF(AND(AJ951&lt;&gt;"",AJ951&lt;&gt;"OK"),"GSTIN: "&amp;AJ951&amp;"; ","")&amp;IF(AND(AK951&lt;&gt;"",AK951&lt;&gt;"OK"),"PAN wrong format; ","")&amp;IF(AND(AO951&lt;&gt;"",LEN(AN951)=15,MID(AN951,3,10)&lt;&gt;AO951),"PAN does not match GSTIN; ","")&amp;IF(AND(AL951&lt;&gt;"",AL951&lt;&gt;"OK"),"TAN wrong format; ","")&amp;IF(AG951="","PAN missing; ","")&amp;IF(AP951="","Entity type missing; ","")&amp;IF(AND(AN951&lt;&gt;"",COUNTIF($AN$6:$AN$1005,AN951)&gt;1),"GSTIN repeated in this sheet; ","")&amp;IF(AND(AG951&lt;&gt;"",COUNTIF($AG$6:$AG$1005,AG951)&gt;1),"PAN repeated in this sheet (same client? put extra GSTINs in Other GSTINs); ","")&amp;IF(AND(AR951&gt;0,V951=""),"Financial year missing; ","")&amp;IF(AND(AR951=0,V951&lt;&gt;""),"Financial year given but no service is Yes; ","")&amp;IF(AND(W951="Yes",AN951=""),"GST needs a GSTIN; ","")&amp;IF(AND(W951="Yes",X951=""),"GST return frequency missing; ","")&amp;IF(AND(Y951="Yes",TRIM(H951)=""),"TDS needs a TAN; ","")&amp;IF(AND(AA951="Yes",AQ951&lt;&gt;"",AQ951&lt;&gt;"company",AQ951&lt;&gt;"llp"),"ROC is only for a company / LLP; ","")&amp;IF(AND(AA951="Yes",OR(AQ951="company",AQ951="llp"),TRIM(I951)=""),"ROC needs the CIN / LLPIN; ","")</f>
        <v/>
      </c>
    </row>
    <row r="952">
      <c r="A952" s="30" t="n"/>
      <c r="B952" s="31" t="n"/>
      <c r="C952" s="31" t="n"/>
      <c r="D952" s="31" t="n"/>
      <c r="E952" s="30" t="n"/>
      <c r="F952" s="30" t="n"/>
      <c r="G952" s="30" t="n"/>
      <c r="H952" s="30" t="n"/>
      <c r="I952" s="30" t="n"/>
      <c r="J952" s="32" t="n"/>
      <c r="K952" s="31" t="n"/>
      <c r="L952" s="30" t="n"/>
      <c r="M952" s="31" t="n"/>
      <c r="N952" s="31" t="n"/>
      <c r="O952" s="31" t="n"/>
      <c r="P952" s="30" t="n"/>
      <c r="Q952" s="31" t="n"/>
      <c r="R952" s="31" t="n"/>
      <c r="S952" s="31" t="n"/>
      <c r="T952" s="31" t="n"/>
      <c r="U952" s="30" t="n"/>
      <c r="V952" s="31" t="n"/>
      <c r="W952" s="31" t="n"/>
      <c r="X952" s="31" t="n"/>
      <c r="Y952" s="31" t="n"/>
      <c r="Z952" s="31" t="n"/>
      <c r="AA952" s="31" t="n"/>
      <c r="AB952" s="31" t="n"/>
      <c r="AC952" s="31" t="n"/>
      <c r="AD952" s="31" t="n"/>
      <c r="AE952" s="31" t="n"/>
      <c r="AF952" s="27">
        <f>IF(NOT(COUNTA(A952:AE952)&gt;0),"",IF(A952="","New client","Update"))</f>
        <v/>
      </c>
      <c r="AG952" s="27">
        <f>IF(AO952&lt;&gt;"",AO952,IF(LEN(AN952)=15,MID(AN952,3,10),""))</f>
        <v/>
      </c>
      <c r="AH952" s="27">
        <f>IF(AP952="","",AP952&amp;IF(D952="","  (guessed from PAN)",""))</f>
        <v/>
      </c>
      <c r="AI952" s="27">
        <f>IF(AN952="","",IFERROR(INDEX(Lists!$L$2:$L$38,MATCH(LEFT(AN952,2),Lists!$K$2:$K$38,0)),"Unknown code"))</f>
        <v/>
      </c>
      <c r="AJ952" s="27">
        <f>IF(AN952="","",IFERROR(IF(NOT(AND(LEN(AN952)=15,ISNUMBER(MATCH(LEFT(AN952,2),Lists!$K$2:$K$38,0)),SUMPRODUCT(--ISERROR(FIND(MID(MID(AN952,3,10),{1,2,3,4,5,10},1),"ABCDEFGHIJKLMNOPQRSTUVWXYZ")))=0,SUMPRODUCT(--ISERROR(FIND(MID(MID(AN952,3,10),{6,7,8,9},1),"0123456789")))=0,ISNUMBER(FIND(MID(AN952,13,1),"123456789ABCDEFGHIJKLMNOPQRSTUVWXYZ")),MID(AN952,14,1)="Z")),"Wrong format",IF(MID("0123456789ABCDEFGHIJKLMNOPQRSTUVWXYZ",MOD(36-MOD(SUMPRODUCT(INT((FIND(MID(AN952,{1,2,3,4,5,6,7,8,9,10,11,12,13,14},1),"0123456789ABCDEFGHIJKLMNOPQRSTUVWXYZ")-1)*{1,2,1,2,1,2,1,2,1,2,1,2,1,2}/36)+MOD((FIND(MID(AN952,{1,2,3,4,5,6,7,8,9,10,11,12,13,14},1),"0123456789ABCDEFGHIJKLMNOPQRSTUVWXYZ")-1)*{1,2,1,2,1,2,1,2,1,2,1,2,1,2},36)),36),36)+1,1)=MID(AN952,15,1),"OK","Typo? check digit wrong")),"Wrong format"))</f>
        <v/>
      </c>
      <c r="AK952" s="27">
        <f>IF(AO952="","",IF(AND(LEN(AO952)=10,SUMPRODUCT(--ISERROR(FIND(MID(AO952,{1,2,3,4,5,10},1),"ABCDEFGHIJKLMNOPQRSTUVWXYZ")))=0,SUMPRODUCT(--ISERROR(FIND(MID(AO952,{6,7,8,9},1),"0123456789")))=0),"OK","Wrong format"))</f>
        <v/>
      </c>
      <c r="AL952" s="27">
        <f>IF(TRIM(H952)="","",IF(AND(LEN(UPPER(TRIM(H952)))=10,SUMPRODUCT(--ISERROR(FIND(MID(UPPER(TRIM(H952)),{1,2,3,4,10},1),"ABCDEFGHIJKLMNOPQRSTUVWXYZ")))=0,SUMPRODUCT(--ISERROR(FIND(MID(UPPER(TRIM(H952)),{5,6,7,8,9},1),"0123456789")))=0),"OK","Wrong format"))</f>
        <v/>
      </c>
      <c r="AM952" s="28">
        <f>IF(NOT(COUNTA(A952:AE952)&gt;0),"",IF(AS952&lt;&gt;"","✖ "&amp;LEFT(AS952,LEN(AS952)-2),IF(AR952&gt;0,"✔ Ready — client + "&amp;AR952&amp;" service(s)","✔ Ready — client only")))</f>
        <v/>
      </c>
      <c r="AN952" s="29">
        <f>UPPER(SUBSTITUTE(TRIM(F952)," ",""))</f>
        <v/>
      </c>
      <c r="AO952" s="29">
        <f>UPPER(SUBSTITUTE(TRIM(E952)," ",""))</f>
        <v/>
      </c>
      <c r="AP952" s="29">
        <f>IF(D952&lt;&gt;"",D952,IFERROR(VLOOKUP(MID(AG952,4,1),Lists!$E$2:$F$8,2,FALSE),""))</f>
        <v/>
      </c>
      <c r="AQ952" s="29">
        <f>IFERROR(VLOOKUP(AP952,Lists!$A$2:$C$12,3,FALSE),"")</f>
        <v/>
      </c>
      <c r="AR952" s="29">
        <f>COUNTIF(W952:AC952,"Yes")</f>
        <v/>
      </c>
      <c r="AS952" s="29">
        <f>IF(TRIM(B952)="","Legal name missing; ","")&amp;IF(AND(AJ952&lt;&gt;"",AJ952&lt;&gt;"OK"),"GSTIN: "&amp;AJ952&amp;"; ","")&amp;IF(AND(AK952&lt;&gt;"",AK952&lt;&gt;"OK"),"PAN wrong format; ","")&amp;IF(AND(AO952&lt;&gt;"",LEN(AN952)=15,MID(AN952,3,10)&lt;&gt;AO952),"PAN does not match GSTIN; ","")&amp;IF(AND(AL952&lt;&gt;"",AL952&lt;&gt;"OK"),"TAN wrong format; ","")&amp;IF(AG952="","PAN missing; ","")&amp;IF(AP952="","Entity type missing; ","")&amp;IF(AND(AN952&lt;&gt;"",COUNTIF($AN$6:$AN$1005,AN952)&gt;1),"GSTIN repeated in this sheet; ","")&amp;IF(AND(AG952&lt;&gt;"",COUNTIF($AG$6:$AG$1005,AG952)&gt;1),"PAN repeated in this sheet (same client? put extra GSTINs in Other GSTINs); ","")&amp;IF(AND(AR952&gt;0,V952=""),"Financial year missing; ","")&amp;IF(AND(AR952=0,V952&lt;&gt;""),"Financial year given but no service is Yes; ","")&amp;IF(AND(W952="Yes",AN952=""),"GST needs a GSTIN; ","")&amp;IF(AND(W952="Yes",X952=""),"GST return frequency missing; ","")&amp;IF(AND(Y952="Yes",TRIM(H952)=""),"TDS needs a TAN; ","")&amp;IF(AND(AA952="Yes",AQ952&lt;&gt;"",AQ952&lt;&gt;"company",AQ952&lt;&gt;"llp"),"ROC is only for a company / LLP; ","")&amp;IF(AND(AA952="Yes",OR(AQ952="company",AQ952="llp"),TRIM(I952)=""),"ROC needs the CIN / LLPIN; ","")</f>
        <v/>
      </c>
    </row>
    <row r="953">
      <c r="A953" s="30" t="n"/>
      <c r="B953" s="31" t="n"/>
      <c r="C953" s="31" t="n"/>
      <c r="D953" s="31" t="n"/>
      <c r="E953" s="30" t="n"/>
      <c r="F953" s="30" t="n"/>
      <c r="G953" s="30" t="n"/>
      <c r="H953" s="30" t="n"/>
      <c r="I953" s="30" t="n"/>
      <c r="J953" s="32" t="n"/>
      <c r="K953" s="31" t="n"/>
      <c r="L953" s="30" t="n"/>
      <c r="M953" s="31" t="n"/>
      <c r="N953" s="31" t="n"/>
      <c r="O953" s="31" t="n"/>
      <c r="P953" s="30" t="n"/>
      <c r="Q953" s="31" t="n"/>
      <c r="R953" s="31" t="n"/>
      <c r="S953" s="31" t="n"/>
      <c r="T953" s="31" t="n"/>
      <c r="U953" s="30" t="n"/>
      <c r="V953" s="31" t="n"/>
      <c r="W953" s="31" t="n"/>
      <c r="X953" s="31" t="n"/>
      <c r="Y953" s="31" t="n"/>
      <c r="Z953" s="31" t="n"/>
      <c r="AA953" s="31" t="n"/>
      <c r="AB953" s="31" t="n"/>
      <c r="AC953" s="31" t="n"/>
      <c r="AD953" s="31" t="n"/>
      <c r="AE953" s="31" t="n"/>
      <c r="AF953" s="27">
        <f>IF(NOT(COUNTA(A953:AE953)&gt;0),"",IF(A953="","New client","Update"))</f>
        <v/>
      </c>
      <c r="AG953" s="27">
        <f>IF(AO953&lt;&gt;"",AO953,IF(LEN(AN953)=15,MID(AN953,3,10),""))</f>
        <v/>
      </c>
      <c r="AH953" s="27">
        <f>IF(AP953="","",AP953&amp;IF(D953="","  (guessed from PAN)",""))</f>
        <v/>
      </c>
      <c r="AI953" s="27">
        <f>IF(AN953="","",IFERROR(INDEX(Lists!$L$2:$L$38,MATCH(LEFT(AN953,2),Lists!$K$2:$K$38,0)),"Unknown code"))</f>
        <v/>
      </c>
      <c r="AJ953" s="27">
        <f>IF(AN953="","",IFERROR(IF(NOT(AND(LEN(AN953)=15,ISNUMBER(MATCH(LEFT(AN953,2),Lists!$K$2:$K$38,0)),SUMPRODUCT(--ISERROR(FIND(MID(MID(AN953,3,10),{1,2,3,4,5,10},1),"ABCDEFGHIJKLMNOPQRSTUVWXYZ")))=0,SUMPRODUCT(--ISERROR(FIND(MID(MID(AN953,3,10),{6,7,8,9},1),"0123456789")))=0,ISNUMBER(FIND(MID(AN953,13,1),"123456789ABCDEFGHIJKLMNOPQRSTUVWXYZ")),MID(AN953,14,1)="Z")),"Wrong format",IF(MID("0123456789ABCDEFGHIJKLMNOPQRSTUVWXYZ",MOD(36-MOD(SUMPRODUCT(INT((FIND(MID(AN953,{1,2,3,4,5,6,7,8,9,10,11,12,13,14},1),"0123456789ABCDEFGHIJKLMNOPQRSTUVWXYZ")-1)*{1,2,1,2,1,2,1,2,1,2,1,2,1,2}/36)+MOD((FIND(MID(AN953,{1,2,3,4,5,6,7,8,9,10,11,12,13,14},1),"0123456789ABCDEFGHIJKLMNOPQRSTUVWXYZ")-1)*{1,2,1,2,1,2,1,2,1,2,1,2,1,2},36)),36),36)+1,1)=MID(AN953,15,1),"OK","Typo? check digit wrong")),"Wrong format"))</f>
        <v/>
      </c>
      <c r="AK953" s="27">
        <f>IF(AO953="","",IF(AND(LEN(AO953)=10,SUMPRODUCT(--ISERROR(FIND(MID(AO953,{1,2,3,4,5,10},1),"ABCDEFGHIJKLMNOPQRSTUVWXYZ")))=0,SUMPRODUCT(--ISERROR(FIND(MID(AO953,{6,7,8,9},1),"0123456789")))=0),"OK","Wrong format"))</f>
        <v/>
      </c>
      <c r="AL953" s="27">
        <f>IF(TRIM(H953)="","",IF(AND(LEN(UPPER(TRIM(H953)))=10,SUMPRODUCT(--ISERROR(FIND(MID(UPPER(TRIM(H953)),{1,2,3,4,10},1),"ABCDEFGHIJKLMNOPQRSTUVWXYZ")))=0,SUMPRODUCT(--ISERROR(FIND(MID(UPPER(TRIM(H953)),{5,6,7,8,9},1),"0123456789")))=0),"OK","Wrong format"))</f>
        <v/>
      </c>
      <c r="AM953" s="28">
        <f>IF(NOT(COUNTA(A953:AE953)&gt;0),"",IF(AS953&lt;&gt;"","✖ "&amp;LEFT(AS953,LEN(AS953)-2),IF(AR953&gt;0,"✔ Ready — client + "&amp;AR953&amp;" service(s)","✔ Ready — client only")))</f>
        <v/>
      </c>
      <c r="AN953" s="29">
        <f>UPPER(SUBSTITUTE(TRIM(F953)," ",""))</f>
        <v/>
      </c>
      <c r="AO953" s="29">
        <f>UPPER(SUBSTITUTE(TRIM(E953)," ",""))</f>
        <v/>
      </c>
      <c r="AP953" s="29">
        <f>IF(D953&lt;&gt;"",D953,IFERROR(VLOOKUP(MID(AG953,4,1),Lists!$E$2:$F$8,2,FALSE),""))</f>
        <v/>
      </c>
      <c r="AQ953" s="29">
        <f>IFERROR(VLOOKUP(AP953,Lists!$A$2:$C$12,3,FALSE),"")</f>
        <v/>
      </c>
      <c r="AR953" s="29">
        <f>COUNTIF(W953:AC953,"Yes")</f>
        <v/>
      </c>
      <c r="AS953" s="29">
        <f>IF(TRIM(B953)="","Legal name missing; ","")&amp;IF(AND(AJ953&lt;&gt;"",AJ953&lt;&gt;"OK"),"GSTIN: "&amp;AJ953&amp;"; ","")&amp;IF(AND(AK953&lt;&gt;"",AK953&lt;&gt;"OK"),"PAN wrong format; ","")&amp;IF(AND(AO953&lt;&gt;"",LEN(AN953)=15,MID(AN953,3,10)&lt;&gt;AO953),"PAN does not match GSTIN; ","")&amp;IF(AND(AL953&lt;&gt;"",AL953&lt;&gt;"OK"),"TAN wrong format; ","")&amp;IF(AG953="","PAN missing; ","")&amp;IF(AP953="","Entity type missing; ","")&amp;IF(AND(AN953&lt;&gt;"",COUNTIF($AN$6:$AN$1005,AN953)&gt;1),"GSTIN repeated in this sheet; ","")&amp;IF(AND(AG953&lt;&gt;"",COUNTIF($AG$6:$AG$1005,AG953)&gt;1),"PAN repeated in this sheet (same client? put extra GSTINs in Other GSTINs); ","")&amp;IF(AND(AR953&gt;0,V953=""),"Financial year missing; ","")&amp;IF(AND(AR953=0,V953&lt;&gt;""),"Financial year given but no service is Yes; ","")&amp;IF(AND(W953="Yes",AN953=""),"GST needs a GSTIN; ","")&amp;IF(AND(W953="Yes",X953=""),"GST return frequency missing; ","")&amp;IF(AND(Y953="Yes",TRIM(H953)=""),"TDS needs a TAN; ","")&amp;IF(AND(AA953="Yes",AQ953&lt;&gt;"",AQ953&lt;&gt;"company",AQ953&lt;&gt;"llp"),"ROC is only for a company / LLP; ","")&amp;IF(AND(AA953="Yes",OR(AQ953="company",AQ953="llp"),TRIM(I953)=""),"ROC needs the CIN / LLPIN; ","")</f>
        <v/>
      </c>
    </row>
    <row r="954">
      <c r="A954" s="30" t="n"/>
      <c r="B954" s="31" t="n"/>
      <c r="C954" s="31" t="n"/>
      <c r="D954" s="31" t="n"/>
      <c r="E954" s="30" t="n"/>
      <c r="F954" s="30" t="n"/>
      <c r="G954" s="30" t="n"/>
      <c r="H954" s="30" t="n"/>
      <c r="I954" s="30" t="n"/>
      <c r="J954" s="32" t="n"/>
      <c r="K954" s="31" t="n"/>
      <c r="L954" s="30" t="n"/>
      <c r="M954" s="31" t="n"/>
      <c r="N954" s="31" t="n"/>
      <c r="O954" s="31" t="n"/>
      <c r="P954" s="30" t="n"/>
      <c r="Q954" s="31" t="n"/>
      <c r="R954" s="31" t="n"/>
      <c r="S954" s="31" t="n"/>
      <c r="T954" s="31" t="n"/>
      <c r="U954" s="30" t="n"/>
      <c r="V954" s="31" t="n"/>
      <c r="W954" s="31" t="n"/>
      <c r="X954" s="31" t="n"/>
      <c r="Y954" s="31" t="n"/>
      <c r="Z954" s="31" t="n"/>
      <c r="AA954" s="31" t="n"/>
      <c r="AB954" s="31" t="n"/>
      <c r="AC954" s="31" t="n"/>
      <c r="AD954" s="31" t="n"/>
      <c r="AE954" s="31" t="n"/>
      <c r="AF954" s="27">
        <f>IF(NOT(COUNTA(A954:AE954)&gt;0),"",IF(A954="","New client","Update"))</f>
        <v/>
      </c>
      <c r="AG954" s="27">
        <f>IF(AO954&lt;&gt;"",AO954,IF(LEN(AN954)=15,MID(AN954,3,10),""))</f>
        <v/>
      </c>
      <c r="AH954" s="27">
        <f>IF(AP954="","",AP954&amp;IF(D954="","  (guessed from PAN)",""))</f>
        <v/>
      </c>
      <c r="AI954" s="27">
        <f>IF(AN954="","",IFERROR(INDEX(Lists!$L$2:$L$38,MATCH(LEFT(AN954,2),Lists!$K$2:$K$38,0)),"Unknown code"))</f>
        <v/>
      </c>
      <c r="AJ954" s="27">
        <f>IF(AN954="","",IFERROR(IF(NOT(AND(LEN(AN954)=15,ISNUMBER(MATCH(LEFT(AN954,2),Lists!$K$2:$K$38,0)),SUMPRODUCT(--ISERROR(FIND(MID(MID(AN954,3,10),{1,2,3,4,5,10},1),"ABCDEFGHIJKLMNOPQRSTUVWXYZ")))=0,SUMPRODUCT(--ISERROR(FIND(MID(MID(AN954,3,10),{6,7,8,9},1),"0123456789")))=0,ISNUMBER(FIND(MID(AN954,13,1),"123456789ABCDEFGHIJKLMNOPQRSTUVWXYZ")),MID(AN954,14,1)="Z")),"Wrong format",IF(MID("0123456789ABCDEFGHIJKLMNOPQRSTUVWXYZ",MOD(36-MOD(SUMPRODUCT(INT((FIND(MID(AN954,{1,2,3,4,5,6,7,8,9,10,11,12,13,14},1),"0123456789ABCDEFGHIJKLMNOPQRSTUVWXYZ")-1)*{1,2,1,2,1,2,1,2,1,2,1,2,1,2}/36)+MOD((FIND(MID(AN954,{1,2,3,4,5,6,7,8,9,10,11,12,13,14},1),"0123456789ABCDEFGHIJKLMNOPQRSTUVWXYZ")-1)*{1,2,1,2,1,2,1,2,1,2,1,2,1,2},36)),36),36)+1,1)=MID(AN954,15,1),"OK","Typo? check digit wrong")),"Wrong format"))</f>
        <v/>
      </c>
      <c r="AK954" s="27">
        <f>IF(AO954="","",IF(AND(LEN(AO954)=10,SUMPRODUCT(--ISERROR(FIND(MID(AO954,{1,2,3,4,5,10},1),"ABCDEFGHIJKLMNOPQRSTUVWXYZ")))=0,SUMPRODUCT(--ISERROR(FIND(MID(AO954,{6,7,8,9},1),"0123456789")))=0),"OK","Wrong format"))</f>
        <v/>
      </c>
      <c r="AL954" s="27">
        <f>IF(TRIM(H954)="","",IF(AND(LEN(UPPER(TRIM(H954)))=10,SUMPRODUCT(--ISERROR(FIND(MID(UPPER(TRIM(H954)),{1,2,3,4,10},1),"ABCDEFGHIJKLMNOPQRSTUVWXYZ")))=0,SUMPRODUCT(--ISERROR(FIND(MID(UPPER(TRIM(H954)),{5,6,7,8,9},1),"0123456789")))=0),"OK","Wrong format"))</f>
        <v/>
      </c>
      <c r="AM954" s="28">
        <f>IF(NOT(COUNTA(A954:AE954)&gt;0),"",IF(AS954&lt;&gt;"","✖ "&amp;LEFT(AS954,LEN(AS954)-2),IF(AR954&gt;0,"✔ Ready — client + "&amp;AR954&amp;" service(s)","✔ Ready — client only")))</f>
        <v/>
      </c>
      <c r="AN954" s="29">
        <f>UPPER(SUBSTITUTE(TRIM(F954)," ",""))</f>
        <v/>
      </c>
      <c r="AO954" s="29">
        <f>UPPER(SUBSTITUTE(TRIM(E954)," ",""))</f>
        <v/>
      </c>
      <c r="AP954" s="29">
        <f>IF(D954&lt;&gt;"",D954,IFERROR(VLOOKUP(MID(AG954,4,1),Lists!$E$2:$F$8,2,FALSE),""))</f>
        <v/>
      </c>
      <c r="AQ954" s="29">
        <f>IFERROR(VLOOKUP(AP954,Lists!$A$2:$C$12,3,FALSE),"")</f>
        <v/>
      </c>
      <c r="AR954" s="29">
        <f>COUNTIF(W954:AC954,"Yes")</f>
        <v/>
      </c>
      <c r="AS954" s="29">
        <f>IF(TRIM(B954)="","Legal name missing; ","")&amp;IF(AND(AJ954&lt;&gt;"",AJ954&lt;&gt;"OK"),"GSTIN: "&amp;AJ954&amp;"; ","")&amp;IF(AND(AK954&lt;&gt;"",AK954&lt;&gt;"OK"),"PAN wrong format; ","")&amp;IF(AND(AO954&lt;&gt;"",LEN(AN954)=15,MID(AN954,3,10)&lt;&gt;AO954),"PAN does not match GSTIN; ","")&amp;IF(AND(AL954&lt;&gt;"",AL954&lt;&gt;"OK"),"TAN wrong format; ","")&amp;IF(AG954="","PAN missing; ","")&amp;IF(AP954="","Entity type missing; ","")&amp;IF(AND(AN954&lt;&gt;"",COUNTIF($AN$6:$AN$1005,AN954)&gt;1),"GSTIN repeated in this sheet; ","")&amp;IF(AND(AG954&lt;&gt;"",COUNTIF($AG$6:$AG$1005,AG954)&gt;1),"PAN repeated in this sheet (same client? put extra GSTINs in Other GSTINs); ","")&amp;IF(AND(AR954&gt;0,V954=""),"Financial year missing; ","")&amp;IF(AND(AR954=0,V954&lt;&gt;""),"Financial year given but no service is Yes; ","")&amp;IF(AND(W954="Yes",AN954=""),"GST needs a GSTIN; ","")&amp;IF(AND(W954="Yes",X954=""),"GST return frequency missing; ","")&amp;IF(AND(Y954="Yes",TRIM(H954)=""),"TDS needs a TAN; ","")&amp;IF(AND(AA954="Yes",AQ954&lt;&gt;"",AQ954&lt;&gt;"company",AQ954&lt;&gt;"llp"),"ROC is only for a company / LLP; ","")&amp;IF(AND(AA954="Yes",OR(AQ954="company",AQ954="llp"),TRIM(I954)=""),"ROC needs the CIN / LLPIN; ","")</f>
        <v/>
      </c>
    </row>
    <row r="955">
      <c r="A955" s="30" t="n"/>
      <c r="B955" s="31" t="n"/>
      <c r="C955" s="31" t="n"/>
      <c r="D955" s="31" t="n"/>
      <c r="E955" s="30" t="n"/>
      <c r="F955" s="30" t="n"/>
      <c r="G955" s="30" t="n"/>
      <c r="H955" s="30" t="n"/>
      <c r="I955" s="30" t="n"/>
      <c r="J955" s="32" t="n"/>
      <c r="K955" s="31" t="n"/>
      <c r="L955" s="30" t="n"/>
      <c r="M955" s="31" t="n"/>
      <c r="N955" s="31" t="n"/>
      <c r="O955" s="31" t="n"/>
      <c r="P955" s="30" t="n"/>
      <c r="Q955" s="31" t="n"/>
      <c r="R955" s="31" t="n"/>
      <c r="S955" s="31" t="n"/>
      <c r="T955" s="31" t="n"/>
      <c r="U955" s="30" t="n"/>
      <c r="V955" s="31" t="n"/>
      <c r="W955" s="31" t="n"/>
      <c r="X955" s="31" t="n"/>
      <c r="Y955" s="31" t="n"/>
      <c r="Z955" s="31" t="n"/>
      <c r="AA955" s="31" t="n"/>
      <c r="AB955" s="31" t="n"/>
      <c r="AC955" s="31" t="n"/>
      <c r="AD955" s="31" t="n"/>
      <c r="AE955" s="31" t="n"/>
      <c r="AF955" s="27">
        <f>IF(NOT(COUNTA(A955:AE955)&gt;0),"",IF(A955="","New client","Update"))</f>
        <v/>
      </c>
      <c r="AG955" s="27">
        <f>IF(AO955&lt;&gt;"",AO955,IF(LEN(AN955)=15,MID(AN955,3,10),""))</f>
        <v/>
      </c>
      <c r="AH955" s="27">
        <f>IF(AP955="","",AP955&amp;IF(D955="","  (guessed from PAN)",""))</f>
        <v/>
      </c>
      <c r="AI955" s="27">
        <f>IF(AN955="","",IFERROR(INDEX(Lists!$L$2:$L$38,MATCH(LEFT(AN955,2),Lists!$K$2:$K$38,0)),"Unknown code"))</f>
        <v/>
      </c>
      <c r="AJ955" s="27">
        <f>IF(AN955="","",IFERROR(IF(NOT(AND(LEN(AN955)=15,ISNUMBER(MATCH(LEFT(AN955,2),Lists!$K$2:$K$38,0)),SUMPRODUCT(--ISERROR(FIND(MID(MID(AN955,3,10),{1,2,3,4,5,10},1),"ABCDEFGHIJKLMNOPQRSTUVWXYZ")))=0,SUMPRODUCT(--ISERROR(FIND(MID(MID(AN955,3,10),{6,7,8,9},1),"0123456789")))=0,ISNUMBER(FIND(MID(AN955,13,1),"123456789ABCDEFGHIJKLMNOPQRSTUVWXYZ")),MID(AN955,14,1)="Z")),"Wrong format",IF(MID("0123456789ABCDEFGHIJKLMNOPQRSTUVWXYZ",MOD(36-MOD(SUMPRODUCT(INT((FIND(MID(AN955,{1,2,3,4,5,6,7,8,9,10,11,12,13,14},1),"0123456789ABCDEFGHIJKLMNOPQRSTUVWXYZ")-1)*{1,2,1,2,1,2,1,2,1,2,1,2,1,2}/36)+MOD((FIND(MID(AN955,{1,2,3,4,5,6,7,8,9,10,11,12,13,14},1),"0123456789ABCDEFGHIJKLMNOPQRSTUVWXYZ")-1)*{1,2,1,2,1,2,1,2,1,2,1,2,1,2},36)),36),36)+1,1)=MID(AN955,15,1),"OK","Typo? check digit wrong")),"Wrong format"))</f>
        <v/>
      </c>
      <c r="AK955" s="27">
        <f>IF(AO955="","",IF(AND(LEN(AO955)=10,SUMPRODUCT(--ISERROR(FIND(MID(AO955,{1,2,3,4,5,10},1),"ABCDEFGHIJKLMNOPQRSTUVWXYZ")))=0,SUMPRODUCT(--ISERROR(FIND(MID(AO955,{6,7,8,9},1),"0123456789")))=0),"OK","Wrong format"))</f>
        <v/>
      </c>
      <c r="AL955" s="27">
        <f>IF(TRIM(H955)="","",IF(AND(LEN(UPPER(TRIM(H955)))=10,SUMPRODUCT(--ISERROR(FIND(MID(UPPER(TRIM(H955)),{1,2,3,4,10},1),"ABCDEFGHIJKLMNOPQRSTUVWXYZ")))=0,SUMPRODUCT(--ISERROR(FIND(MID(UPPER(TRIM(H955)),{5,6,7,8,9},1),"0123456789")))=0),"OK","Wrong format"))</f>
        <v/>
      </c>
      <c r="AM955" s="28">
        <f>IF(NOT(COUNTA(A955:AE955)&gt;0),"",IF(AS955&lt;&gt;"","✖ "&amp;LEFT(AS955,LEN(AS955)-2),IF(AR955&gt;0,"✔ Ready — client + "&amp;AR955&amp;" service(s)","✔ Ready — client only")))</f>
        <v/>
      </c>
      <c r="AN955" s="29">
        <f>UPPER(SUBSTITUTE(TRIM(F955)," ",""))</f>
        <v/>
      </c>
      <c r="AO955" s="29">
        <f>UPPER(SUBSTITUTE(TRIM(E955)," ",""))</f>
        <v/>
      </c>
      <c r="AP955" s="29">
        <f>IF(D955&lt;&gt;"",D955,IFERROR(VLOOKUP(MID(AG955,4,1),Lists!$E$2:$F$8,2,FALSE),""))</f>
        <v/>
      </c>
      <c r="AQ955" s="29">
        <f>IFERROR(VLOOKUP(AP955,Lists!$A$2:$C$12,3,FALSE),"")</f>
        <v/>
      </c>
      <c r="AR955" s="29">
        <f>COUNTIF(W955:AC955,"Yes")</f>
        <v/>
      </c>
      <c r="AS955" s="29">
        <f>IF(TRIM(B955)="","Legal name missing; ","")&amp;IF(AND(AJ955&lt;&gt;"",AJ955&lt;&gt;"OK"),"GSTIN: "&amp;AJ955&amp;"; ","")&amp;IF(AND(AK955&lt;&gt;"",AK955&lt;&gt;"OK"),"PAN wrong format; ","")&amp;IF(AND(AO955&lt;&gt;"",LEN(AN955)=15,MID(AN955,3,10)&lt;&gt;AO955),"PAN does not match GSTIN; ","")&amp;IF(AND(AL955&lt;&gt;"",AL955&lt;&gt;"OK"),"TAN wrong format; ","")&amp;IF(AG955="","PAN missing; ","")&amp;IF(AP955="","Entity type missing; ","")&amp;IF(AND(AN955&lt;&gt;"",COUNTIF($AN$6:$AN$1005,AN955)&gt;1),"GSTIN repeated in this sheet; ","")&amp;IF(AND(AG955&lt;&gt;"",COUNTIF($AG$6:$AG$1005,AG955)&gt;1),"PAN repeated in this sheet (same client? put extra GSTINs in Other GSTINs); ","")&amp;IF(AND(AR955&gt;0,V955=""),"Financial year missing; ","")&amp;IF(AND(AR955=0,V955&lt;&gt;""),"Financial year given but no service is Yes; ","")&amp;IF(AND(W955="Yes",AN955=""),"GST needs a GSTIN; ","")&amp;IF(AND(W955="Yes",X955=""),"GST return frequency missing; ","")&amp;IF(AND(Y955="Yes",TRIM(H955)=""),"TDS needs a TAN; ","")&amp;IF(AND(AA955="Yes",AQ955&lt;&gt;"",AQ955&lt;&gt;"company",AQ955&lt;&gt;"llp"),"ROC is only for a company / LLP; ","")&amp;IF(AND(AA955="Yes",OR(AQ955="company",AQ955="llp"),TRIM(I955)=""),"ROC needs the CIN / LLPIN; ","")</f>
        <v/>
      </c>
    </row>
    <row r="956">
      <c r="A956" s="30" t="n"/>
      <c r="B956" s="31" t="n"/>
      <c r="C956" s="31" t="n"/>
      <c r="D956" s="31" t="n"/>
      <c r="E956" s="30" t="n"/>
      <c r="F956" s="30" t="n"/>
      <c r="G956" s="30" t="n"/>
      <c r="H956" s="30" t="n"/>
      <c r="I956" s="30" t="n"/>
      <c r="J956" s="32" t="n"/>
      <c r="K956" s="31" t="n"/>
      <c r="L956" s="30" t="n"/>
      <c r="M956" s="31" t="n"/>
      <c r="N956" s="31" t="n"/>
      <c r="O956" s="31" t="n"/>
      <c r="P956" s="30" t="n"/>
      <c r="Q956" s="31" t="n"/>
      <c r="R956" s="31" t="n"/>
      <c r="S956" s="31" t="n"/>
      <c r="T956" s="31" t="n"/>
      <c r="U956" s="30" t="n"/>
      <c r="V956" s="31" t="n"/>
      <c r="W956" s="31" t="n"/>
      <c r="X956" s="31" t="n"/>
      <c r="Y956" s="31" t="n"/>
      <c r="Z956" s="31" t="n"/>
      <c r="AA956" s="31" t="n"/>
      <c r="AB956" s="31" t="n"/>
      <c r="AC956" s="31" t="n"/>
      <c r="AD956" s="31" t="n"/>
      <c r="AE956" s="31" t="n"/>
      <c r="AF956" s="27">
        <f>IF(NOT(COUNTA(A956:AE956)&gt;0),"",IF(A956="","New client","Update"))</f>
        <v/>
      </c>
      <c r="AG956" s="27">
        <f>IF(AO956&lt;&gt;"",AO956,IF(LEN(AN956)=15,MID(AN956,3,10),""))</f>
        <v/>
      </c>
      <c r="AH956" s="27">
        <f>IF(AP956="","",AP956&amp;IF(D956="","  (guessed from PAN)",""))</f>
        <v/>
      </c>
      <c r="AI956" s="27">
        <f>IF(AN956="","",IFERROR(INDEX(Lists!$L$2:$L$38,MATCH(LEFT(AN956,2),Lists!$K$2:$K$38,0)),"Unknown code"))</f>
        <v/>
      </c>
      <c r="AJ956" s="27">
        <f>IF(AN956="","",IFERROR(IF(NOT(AND(LEN(AN956)=15,ISNUMBER(MATCH(LEFT(AN956,2),Lists!$K$2:$K$38,0)),SUMPRODUCT(--ISERROR(FIND(MID(MID(AN956,3,10),{1,2,3,4,5,10},1),"ABCDEFGHIJKLMNOPQRSTUVWXYZ")))=0,SUMPRODUCT(--ISERROR(FIND(MID(MID(AN956,3,10),{6,7,8,9},1),"0123456789")))=0,ISNUMBER(FIND(MID(AN956,13,1),"123456789ABCDEFGHIJKLMNOPQRSTUVWXYZ")),MID(AN956,14,1)="Z")),"Wrong format",IF(MID("0123456789ABCDEFGHIJKLMNOPQRSTUVWXYZ",MOD(36-MOD(SUMPRODUCT(INT((FIND(MID(AN956,{1,2,3,4,5,6,7,8,9,10,11,12,13,14},1),"0123456789ABCDEFGHIJKLMNOPQRSTUVWXYZ")-1)*{1,2,1,2,1,2,1,2,1,2,1,2,1,2}/36)+MOD((FIND(MID(AN956,{1,2,3,4,5,6,7,8,9,10,11,12,13,14},1),"0123456789ABCDEFGHIJKLMNOPQRSTUVWXYZ")-1)*{1,2,1,2,1,2,1,2,1,2,1,2,1,2},36)),36),36)+1,1)=MID(AN956,15,1),"OK","Typo? check digit wrong")),"Wrong format"))</f>
        <v/>
      </c>
      <c r="AK956" s="27">
        <f>IF(AO956="","",IF(AND(LEN(AO956)=10,SUMPRODUCT(--ISERROR(FIND(MID(AO956,{1,2,3,4,5,10},1),"ABCDEFGHIJKLMNOPQRSTUVWXYZ")))=0,SUMPRODUCT(--ISERROR(FIND(MID(AO956,{6,7,8,9},1),"0123456789")))=0),"OK","Wrong format"))</f>
        <v/>
      </c>
      <c r="AL956" s="27">
        <f>IF(TRIM(H956)="","",IF(AND(LEN(UPPER(TRIM(H956)))=10,SUMPRODUCT(--ISERROR(FIND(MID(UPPER(TRIM(H956)),{1,2,3,4,10},1),"ABCDEFGHIJKLMNOPQRSTUVWXYZ")))=0,SUMPRODUCT(--ISERROR(FIND(MID(UPPER(TRIM(H956)),{5,6,7,8,9},1),"0123456789")))=0),"OK","Wrong format"))</f>
        <v/>
      </c>
      <c r="AM956" s="28">
        <f>IF(NOT(COUNTA(A956:AE956)&gt;0),"",IF(AS956&lt;&gt;"","✖ "&amp;LEFT(AS956,LEN(AS956)-2),IF(AR956&gt;0,"✔ Ready — client + "&amp;AR956&amp;" service(s)","✔ Ready — client only")))</f>
        <v/>
      </c>
      <c r="AN956" s="29">
        <f>UPPER(SUBSTITUTE(TRIM(F956)," ",""))</f>
        <v/>
      </c>
      <c r="AO956" s="29">
        <f>UPPER(SUBSTITUTE(TRIM(E956)," ",""))</f>
        <v/>
      </c>
      <c r="AP956" s="29">
        <f>IF(D956&lt;&gt;"",D956,IFERROR(VLOOKUP(MID(AG956,4,1),Lists!$E$2:$F$8,2,FALSE),""))</f>
        <v/>
      </c>
      <c r="AQ956" s="29">
        <f>IFERROR(VLOOKUP(AP956,Lists!$A$2:$C$12,3,FALSE),"")</f>
        <v/>
      </c>
      <c r="AR956" s="29">
        <f>COUNTIF(W956:AC956,"Yes")</f>
        <v/>
      </c>
      <c r="AS956" s="29">
        <f>IF(TRIM(B956)="","Legal name missing; ","")&amp;IF(AND(AJ956&lt;&gt;"",AJ956&lt;&gt;"OK"),"GSTIN: "&amp;AJ956&amp;"; ","")&amp;IF(AND(AK956&lt;&gt;"",AK956&lt;&gt;"OK"),"PAN wrong format; ","")&amp;IF(AND(AO956&lt;&gt;"",LEN(AN956)=15,MID(AN956,3,10)&lt;&gt;AO956),"PAN does not match GSTIN; ","")&amp;IF(AND(AL956&lt;&gt;"",AL956&lt;&gt;"OK"),"TAN wrong format; ","")&amp;IF(AG956="","PAN missing; ","")&amp;IF(AP956="","Entity type missing; ","")&amp;IF(AND(AN956&lt;&gt;"",COUNTIF($AN$6:$AN$1005,AN956)&gt;1),"GSTIN repeated in this sheet; ","")&amp;IF(AND(AG956&lt;&gt;"",COUNTIF($AG$6:$AG$1005,AG956)&gt;1),"PAN repeated in this sheet (same client? put extra GSTINs in Other GSTINs); ","")&amp;IF(AND(AR956&gt;0,V956=""),"Financial year missing; ","")&amp;IF(AND(AR956=0,V956&lt;&gt;""),"Financial year given but no service is Yes; ","")&amp;IF(AND(W956="Yes",AN956=""),"GST needs a GSTIN; ","")&amp;IF(AND(W956="Yes",X956=""),"GST return frequency missing; ","")&amp;IF(AND(Y956="Yes",TRIM(H956)=""),"TDS needs a TAN; ","")&amp;IF(AND(AA956="Yes",AQ956&lt;&gt;"",AQ956&lt;&gt;"company",AQ956&lt;&gt;"llp"),"ROC is only for a company / LLP; ","")&amp;IF(AND(AA956="Yes",OR(AQ956="company",AQ956="llp"),TRIM(I956)=""),"ROC needs the CIN / LLPIN; ","")</f>
        <v/>
      </c>
    </row>
    <row r="957">
      <c r="A957" s="30" t="n"/>
      <c r="B957" s="31" t="n"/>
      <c r="C957" s="31" t="n"/>
      <c r="D957" s="31" t="n"/>
      <c r="E957" s="30" t="n"/>
      <c r="F957" s="30" t="n"/>
      <c r="G957" s="30" t="n"/>
      <c r="H957" s="30" t="n"/>
      <c r="I957" s="30" t="n"/>
      <c r="J957" s="32" t="n"/>
      <c r="K957" s="31" t="n"/>
      <c r="L957" s="30" t="n"/>
      <c r="M957" s="31" t="n"/>
      <c r="N957" s="31" t="n"/>
      <c r="O957" s="31" t="n"/>
      <c r="P957" s="30" t="n"/>
      <c r="Q957" s="31" t="n"/>
      <c r="R957" s="31" t="n"/>
      <c r="S957" s="31" t="n"/>
      <c r="T957" s="31" t="n"/>
      <c r="U957" s="30" t="n"/>
      <c r="V957" s="31" t="n"/>
      <c r="W957" s="31" t="n"/>
      <c r="X957" s="31" t="n"/>
      <c r="Y957" s="31" t="n"/>
      <c r="Z957" s="31" t="n"/>
      <c r="AA957" s="31" t="n"/>
      <c r="AB957" s="31" t="n"/>
      <c r="AC957" s="31" t="n"/>
      <c r="AD957" s="31" t="n"/>
      <c r="AE957" s="31" t="n"/>
      <c r="AF957" s="27">
        <f>IF(NOT(COUNTA(A957:AE957)&gt;0),"",IF(A957="","New client","Update"))</f>
        <v/>
      </c>
      <c r="AG957" s="27">
        <f>IF(AO957&lt;&gt;"",AO957,IF(LEN(AN957)=15,MID(AN957,3,10),""))</f>
        <v/>
      </c>
      <c r="AH957" s="27">
        <f>IF(AP957="","",AP957&amp;IF(D957="","  (guessed from PAN)",""))</f>
        <v/>
      </c>
      <c r="AI957" s="27">
        <f>IF(AN957="","",IFERROR(INDEX(Lists!$L$2:$L$38,MATCH(LEFT(AN957,2),Lists!$K$2:$K$38,0)),"Unknown code"))</f>
        <v/>
      </c>
      <c r="AJ957" s="27">
        <f>IF(AN957="","",IFERROR(IF(NOT(AND(LEN(AN957)=15,ISNUMBER(MATCH(LEFT(AN957,2),Lists!$K$2:$K$38,0)),SUMPRODUCT(--ISERROR(FIND(MID(MID(AN957,3,10),{1,2,3,4,5,10},1),"ABCDEFGHIJKLMNOPQRSTUVWXYZ")))=0,SUMPRODUCT(--ISERROR(FIND(MID(MID(AN957,3,10),{6,7,8,9},1),"0123456789")))=0,ISNUMBER(FIND(MID(AN957,13,1),"123456789ABCDEFGHIJKLMNOPQRSTUVWXYZ")),MID(AN957,14,1)="Z")),"Wrong format",IF(MID("0123456789ABCDEFGHIJKLMNOPQRSTUVWXYZ",MOD(36-MOD(SUMPRODUCT(INT((FIND(MID(AN957,{1,2,3,4,5,6,7,8,9,10,11,12,13,14},1),"0123456789ABCDEFGHIJKLMNOPQRSTUVWXYZ")-1)*{1,2,1,2,1,2,1,2,1,2,1,2,1,2}/36)+MOD((FIND(MID(AN957,{1,2,3,4,5,6,7,8,9,10,11,12,13,14},1),"0123456789ABCDEFGHIJKLMNOPQRSTUVWXYZ")-1)*{1,2,1,2,1,2,1,2,1,2,1,2,1,2},36)),36),36)+1,1)=MID(AN957,15,1),"OK","Typo? check digit wrong")),"Wrong format"))</f>
        <v/>
      </c>
      <c r="AK957" s="27">
        <f>IF(AO957="","",IF(AND(LEN(AO957)=10,SUMPRODUCT(--ISERROR(FIND(MID(AO957,{1,2,3,4,5,10},1),"ABCDEFGHIJKLMNOPQRSTUVWXYZ")))=0,SUMPRODUCT(--ISERROR(FIND(MID(AO957,{6,7,8,9},1),"0123456789")))=0),"OK","Wrong format"))</f>
        <v/>
      </c>
      <c r="AL957" s="27">
        <f>IF(TRIM(H957)="","",IF(AND(LEN(UPPER(TRIM(H957)))=10,SUMPRODUCT(--ISERROR(FIND(MID(UPPER(TRIM(H957)),{1,2,3,4,10},1),"ABCDEFGHIJKLMNOPQRSTUVWXYZ")))=0,SUMPRODUCT(--ISERROR(FIND(MID(UPPER(TRIM(H957)),{5,6,7,8,9},1),"0123456789")))=0),"OK","Wrong format"))</f>
        <v/>
      </c>
      <c r="AM957" s="28">
        <f>IF(NOT(COUNTA(A957:AE957)&gt;0),"",IF(AS957&lt;&gt;"","✖ "&amp;LEFT(AS957,LEN(AS957)-2),IF(AR957&gt;0,"✔ Ready — client + "&amp;AR957&amp;" service(s)","✔ Ready — client only")))</f>
        <v/>
      </c>
      <c r="AN957" s="29">
        <f>UPPER(SUBSTITUTE(TRIM(F957)," ",""))</f>
        <v/>
      </c>
      <c r="AO957" s="29">
        <f>UPPER(SUBSTITUTE(TRIM(E957)," ",""))</f>
        <v/>
      </c>
      <c r="AP957" s="29">
        <f>IF(D957&lt;&gt;"",D957,IFERROR(VLOOKUP(MID(AG957,4,1),Lists!$E$2:$F$8,2,FALSE),""))</f>
        <v/>
      </c>
      <c r="AQ957" s="29">
        <f>IFERROR(VLOOKUP(AP957,Lists!$A$2:$C$12,3,FALSE),"")</f>
        <v/>
      </c>
      <c r="AR957" s="29">
        <f>COUNTIF(W957:AC957,"Yes")</f>
        <v/>
      </c>
      <c r="AS957" s="29">
        <f>IF(TRIM(B957)="","Legal name missing; ","")&amp;IF(AND(AJ957&lt;&gt;"",AJ957&lt;&gt;"OK"),"GSTIN: "&amp;AJ957&amp;"; ","")&amp;IF(AND(AK957&lt;&gt;"",AK957&lt;&gt;"OK"),"PAN wrong format; ","")&amp;IF(AND(AO957&lt;&gt;"",LEN(AN957)=15,MID(AN957,3,10)&lt;&gt;AO957),"PAN does not match GSTIN; ","")&amp;IF(AND(AL957&lt;&gt;"",AL957&lt;&gt;"OK"),"TAN wrong format; ","")&amp;IF(AG957="","PAN missing; ","")&amp;IF(AP957="","Entity type missing; ","")&amp;IF(AND(AN957&lt;&gt;"",COUNTIF($AN$6:$AN$1005,AN957)&gt;1),"GSTIN repeated in this sheet; ","")&amp;IF(AND(AG957&lt;&gt;"",COUNTIF($AG$6:$AG$1005,AG957)&gt;1),"PAN repeated in this sheet (same client? put extra GSTINs in Other GSTINs); ","")&amp;IF(AND(AR957&gt;0,V957=""),"Financial year missing; ","")&amp;IF(AND(AR957=0,V957&lt;&gt;""),"Financial year given but no service is Yes; ","")&amp;IF(AND(W957="Yes",AN957=""),"GST needs a GSTIN; ","")&amp;IF(AND(W957="Yes",X957=""),"GST return frequency missing; ","")&amp;IF(AND(Y957="Yes",TRIM(H957)=""),"TDS needs a TAN; ","")&amp;IF(AND(AA957="Yes",AQ957&lt;&gt;"",AQ957&lt;&gt;"company",AQ957&lt;&gt;"llp"),"ROC is only for a company / LLP; ","")&amp;IF(AND(AA957="Yes",OR(AQ957="company",AQ957="llp"),TRIM(I957)=""),"ROC needs the CIN / LLPIN; ","")</f>
        <v/>
      </c>
    </row>
    <row r="958">
      <c r="A958" s="30" t="n"/>
      <c r="B958" s="31" t="n"/>
      <c r="C958" s="31" t="n"/>
      <c r="D958" s="31" t="n"/>
      <c r="E958" s="30" t="n"/>
      <c r="F958" s="30" t="n"/>
      <c r="G958" s="30" t="n"/>
      <c r="H958" s="30" t="n"/>
      <c r="I958" s="30" t="n"/>
      <c r="J958" s="32" t="n"/>
      <c r="K958" s="31" t="n"/>
      <c r="L958" s="30" t="n"/>
      <c r="M958" s="31" t="n"/>
      <c r="N958" s="31" t="n"/>
      <c r="O958" s="31" t="n"/>
      <c r="P958" s="30" t="n"/>
      <c r="Q958" s="31" t="n"/>
      <c r="R958" s="31" t="n"/>
      <c r="S958" s="31" t="n"/>
      <c r="T958" s="31" t="n"/>
      <c r="U958" s="30" t="n"/>
      <c r="V958" s="31" t="n"/>
      <c r="W958" s="31" t="n"/>
      <c r="X958" s="31" t="n"/>
      <c r="Y958" s="31" t="n"/>
      <c r="Z958" s="31" t="n"/>
      <c r="AA958" s="31" t="n"/>
      <c r="AB958" s="31" t="n"/>
      <c r="AC958" s="31" t="n"/>
      <c r="AD958" s="31" t="n"/>
      <c r="AE958" s="31" t="n"/>
      <c r="AF958" s="27">
        <f>IF(NOT(COUNTA(A958:AE958)&gt;0),"",IF(A958="","New client","Update"))</f>
        <v/>
      </c>
      <c r="AG958" s="27">
        <f>IF(AO958&lt;&gt;"",AO958,IF(LEN(AN958)=15,MID(AN958,3,10),""))</f>
        <v/>
      </c>
      <c r="AH958" s="27">
        <f>IF(AP958="","",AP958&amp;IF(D958="","  (guessed from PAN)",""))</f>
        <v/>
      </c>
      <c r="AI958" s="27">
        <f>IF(AN958="","",IFERROR(INDEX(Lists!$L$2:$L$38,MATCH(LEFT(AN958,2),Lists!$K$2:$K$38,0)),"Unknown code"))</f>
        <v/>
      </c>
      <c r="AJ958" s="27">
        <f>IF(AN958="","",IFERROR(IF(NOT(AND(LEN(AN958)=15,ISNUMBER(MATCH(LEFT(AN958,2),Lists!$K$2:$K$38,0)),SUMPRODUCT(--ISERROR(FIND(MID(MID(AN958,3,10),{1,2,3,4,5,10},1),"ABCDEFGHIJKLMNOPQRSTUVWXYZ")))=0,SUMPRODUCT(--ISERROR(FIND(MID(MID(AN958,3,10),{6,7,8,9},1),"0123456789")))=0,ISNUMBER(FIND(MID(AN958,13,1),"123456789ABCDEFGHIJKLMNOPQRSTUVWXYZ")),MID(AN958,14,1)="Z")),"Wrong format",IF(MID("0123456789ABCDEFGHIJKLMNOPQRSTUVWXYZ",MOD(36-MOD(SUMPRODUCT(INT((FIND(MID(AN958,{1,2,3,4,5,6,7,8,9,10,11,12,13,14},1),"0123456789ABCDEFGHIJKLMNOPQRSTUVWXYZ")-1)*{1,2,1,2,1,2,1,2,1,2,1,2,1,2}/36)+MOD((FIND(MID(AN958,{1,2,3,4,5,6,7,8,9,10,11,12,13,14},1),"0123456789ABCDEFGHIJKLMNOPQRSTUVWXYZ")-1)*{1,2,1,2,1,2,1,2,1,2,1,2,1,2},36)),36),36)+1,1)=MID(AN958,15,1),"OK","Typo? check digit wrong")),"Wrong format"))</f>
        <v/>
      </c>
      <c r="AK958" s="27">
        <f>IF(AO958="","",IF(AND(LEN(AO958)=10,SUMPRODUCT(--ISERROR(FIND(MID(AO958,{1,2,3,4,5,10},1),"ABCDEFGHIJKLMNOPQRSTUVWXYZ")))=0,SUMPRODUCT(--ISERROR(FIND(MID(AO958,{6,7,8,9},1),"0123456789")))=0),"OK","Wrong format"))</f>
        <v/>
      </c>
      <c r="AL958" s="27">
        <f>IF(TRIM(H958)="","",IF(AND(LEN(UPPER(TRIM(H958)))=10,SUMPRODUCT(--ISERROR(FIND(MID(UPPER(TRIM(H958)),{1,2,3,4,10},1),"ABCDEFGHIJKLMNOPQRSTUVWXYZ")))=0,SUMPRODUCT(--ISERROR(FIND(MID(UPPER(TRIM(H958)),{5,6,7,8,9},1),"0123456789")))=0),"OK","Wrong format"))</f>
        <v/>
      </c>
      <c r="AM958" s="28">
        <f>IF(NOT(COUNTA(A958:AE958)&gt;0),"",IF(AS958&lt;&gt;"","✖ "&amp;LEFT(AS958,LEN(AS958)-2),IF(AR958&gt;0,"✔ Ready — client + "&amp;AR958&amp;" service(s)","✔ Ready — client only")))</f>
        <v/>
      </c>
      <c r="AN958" s="29">
        <f>UPPER(SUBSTITUTE(TRIM(F958)," ",""))</f>
        <v/>
      </c>
      <c r="AO958" s="29">
        <f>UPPER(SUBSTITUTE(TRIM(E958)," ",""))</f>
        <v/>
      </c>
      <c r="AP958" s="29">
        <f>IF(D958&lt;&gt;"",D958,IFERROR(VLOOKUP(MID(AG958,4,1),Lists!$E$2:$F$8,2,FALSE),""))</f>
        <v/>
      </c>
      <c r="AQ958" s="29">
        <f>IFERROR(VLOOKUP(AP958,Lists!$A$2:$C$12,3,FALSE),"")</f>
        <v/>
      </c>
      <c r="AR958" s="29">
        <f>COUNTIF(W958:AC958,"Yes")</f>
        <v/>
      </c>
      <c r="AS958" s="29">
        <f>IF(TRIM(B958)="","Legal name missing; ","")&amp;IF(AND(AJ958&lt;&gt;"",AJ958&lt;&gt;"OK"),"GSTIN: "&amp;AJ958&amp;"; ","")&amp;IF(AND(AK958&lt;&gt;"",AK958&lt;&gt;"OK"),"PAN wrong format; ","")&amp;IF(AND(AO958&lt;&gt;"",LEN(AN958)=15,MID(AN958,3,10)&lt;&gt;AO958),"PAN does not match GSTIN; ","")&amp;IF(AND(AL958&lt;&gt;"",AL958&lt;&gt;"OK"),"TAN wrong format; ","")&amp;IF(AG958="","PAN missing; ","")&amp;IF(AP958="","Entity type missing; ","")&amp;IF(AND(AN958&lt;&gt;"",COUNTIF($AN$6:$AN$1005,AN958)&gt;1),"GSTIN repeated in this sheet; ","")&amp;IF(AND(AG958&lt;&gt;"",COUNTIF($AG$6:$AG$1005,AG958)&gt;1),"PAN repeated in this sheet (same client? put extra GSTINs in Other GSTINs); ","")&amp;IF(AND(AR958&gt;0,V958=""),"Financial year missing; ","")&amp;IF(AND(AR958=0,V958&lt;&gt;""),"Financial year given but no service is Yes; ","")&amp;IF(AND(W958="Yes",AN958=""),"GST needs a GSTIN; ","")&amp;IF(AND(W958="Yes",X958=""),"GST return frequency missing; ","")&amp;IF(AND(Y958="Yes",TRIM(H958)=""),"TDS needs a TAN; ","")&amp;IF(AND(AA958="Yes",AQ958&lt;&gt;"",AQ958&lt;&gt;"company",AQ958&lt;&gt;"llp"),"ROC is only for a company / LLP; ","")&amp;IF(AND(AA958="Yes",OR(AQ958="company",AQ958="llp"),TRIM(I958)=""),"ROC needs the CIN / LLPIN; ","")</f>
        <v/>
      </c>
    </row>
    <row r="959">
      <c r="A959" s="30" t="n"/>
      <c r="B959" s="31" t="n"/>
      <c r="C959" s="31" t="n"/>
      <c r="D959" s="31" t="n"/>
      <c r="E959" s="30" t="n"/>
      <c r="F959" s="30" t="n"/>
      <c r="G959" s="30" t="n"/>
      <c r="H959" s="30" t="n"/>
      <c r="I959" s="30" t="n"/>
      <c r="J959" s="32" t="n"/>
      <c r="K959" s="31" t="n"/>
      <c r="L959" s="30" t="n"/>
      <c r="M959" s="31" t="n"/>
      <c r="N959" s="31" t="n"/>
      <c r="O959" s="31" t="n"/>
      <c r="P959" s="30" t="n"/>
      <c r="Q959" s="31" t="n"/>
      <c r="R959" s="31" t="n"/>
      <c r="S959" s="31" t="n"/>
      <c r="T959" s="31" t="n"/>
      <c r="U959" s="30" t="n"/>
      <c r="V959" s="31" t="n"/>
      <c r="W959" s="31" t="n"/>
      <c r="X959" s="31" t="n"/>
      <c r="Y959" s="31" t="n"/>
      <c r="Z959" s="31" t="n"/>
      <c r="AA959" s="31" t="n"/>
      <c r="AB959" s="31" t="n"/>
      <c r="AC959" s="31" t="n"/>
      <c r="AD959" s="31" t="n"/>
      <c r="AE959" s="31" t="n"/>
      <c r="AF959" s="27">
        <f>IF(NOT(COUNTA(A959:AE959)&gt;0),"",IF(A959="","New client","Update"))</f>
        <v/>
      </c>
      <c r="AG959" s="27">
        <f>IF(AO959&lt;&gt;"",AO959,IF(LEN(AN959)=15,MID(AN959,3,10),""))</f>
        <v/>
      </c>
      <c r="AH959" s="27">
        <f>IF(AP959="","",AP959&amp;IF(D959="","  (guessed from PAN)",""))</f>
        <v/>
      </c>
      <c r="AI959" s="27">
        <f>IF(AN959="","",IFERROR(INDEX(Lists!$L$2:$L$38,MATCH(LEFT(AN959,2),Lists!$K$2:$K$38,0)),"Unknown code"))</f>
        <v/>
      </c>
      <c r="AJ959" s="27">
        <f>IF(AN959="","",IFERROR(IF(NOT(AND(LEN(AN959)=15,ISNUMBER(MATCH(LEFT(AN959,2),Lists!$K$2:$K$38,0)),SUMPRODUCT(--ISERROR(FIND(MID(MID(AN959,3,10),{1,2,3,4,5,10},1),"ABCDEFGHIJKLMNOPQRSTUVWXYZ")))=0,SUMPRODUCT(--ISERROR(FIND(MID(MID(AN959,3,10),{6,7,8,9},1),"0123456789")))=0,ISNUMBER(FIND(MID(AN959,13,1),"123456789ABCDEFGHIJKLMNOPQRSTUVWXYZ")),MID(AN959,14,1)="Z")),"Wrong format",IF(MID("0123456789ABCDEFGHIJKLMNOPQRSTUVWXYZ",MOD(36-MOD(SUMPRODUCT(INT((FIND(MID(AN959,{1,2,3,4,5,6,7,8,9,10,11,12,13,14},1),"0123456789ABCDEFGHIJKLMNOPQRSTUVWXYZ")-1)*{1,2,1,2,1,2,1,2,1,2,1,2,1,2}/36)+MOD((FIND(MID(AN959,{1,2,3,4,5,6,7,8,9,10,11,12,13,14},1),"0123456789ABCDEFGHIJKLMNOPQRSTUVWXYZ")-1)*{1,2,1,2,1,2,1,2,1,2,1,2,1,2},36)),36),36)+1,1)=MID(AN959,15,1),"OK","Typo? check digit wrong")),"Wrong format"))</f>
        <v/>
      </c>
      <c r="AK959" s="27">
        <f>IF(AO959="","",IF(AND(LEN(AO959)=10,SUMPRODUCT(--ISERROR(FIND(MID(AO959,{1,2,3,4,5,10},1),"ABCDEFGHIJKLMNOPQRSTUVWXYZ")))=0,SUMPRODUCT(--ISERROR(FIND(MID(AO959,{6,7,8,9},1),"0123456789")))=0),"OK","Wrong format"))</f>
        <v/>
      </c>
      <c r="AL959" s="27">
        <f>IF(TRIM(H959)="","",IF(AND(LEN(UPPER(TRIM(H959)))=10,SUMPRODUCT(--ISERROR(FIND(MID(UPPER(TRIM(H959)),{1,2,3,4,10},1),"ABCDEFGHIJKLMNOPQRSTUVWXYZ")))=0,SUMPRODUCT(--ISERROR(FIND(MID(UPPER(TRIM(H959)),{5,6,7,8,9},1),"0123456789")))=0),"OK","Wrong format"))</f>
        <v/>
      </c>
      <c r="AM959" s="28">
        <f>IF(NOT(COUNTA(A959:AE959)&gt;0),"",IF(AS959&lt;&gt;"","✖ "&amp;LEFT(AS959,LEN(AS959)-2),IF(AR959&gt;0,"✔ Ready — client + "&amp;AR959&amp;" service(s)","✔ Ready — client only")))</f>
        <v/>
      </c>
      <c r="AN959" s="29">
        <f>UPPER(SUBSTITUTE(TRIM(F959)," ",""))</f>
        <v/>
      </c>
      <c r="AO959" s="29">
        <f>UPPER(SUBSTITUTE(TRIM(E959)," ",""))</f>
        <v/>
      </c>
      <c r="AP959" s="29">
        <f>IF(D959&lt;&gt;"",D959,IFERROR(VLOOKUP(MID(AG959,4,1),Lists!$E$2:$F$8,2,FALSE),""))</f>
        <v/>
      </c>
      <c r="AQ959" s="29">
        <f>IFERROR(VLOOKUP(AP959,Lists!$A$2:$C$12,3,FALSE),"")</f>
        <v/>
      </c>
      <c r="AR959" s="29">
        <f>COUNTIF(W959:AC959,"Yes")</f>
        <v/>
      </c>
      <c r="AS959" s="29">
        <f>IF(TRIM(B959)="","Legal name missing; ","")&amp;IF(AND(AJ959&lt;&gt;"",AJ959&lt;&gt;"OK"),"GSTIN: "&amp;AJ959&amp;"; ","")&amp;IF(AND(AK959&lt;&gt;"",AK959&lt;&gt;"OK"),"PAN wrong format; ","")&amp;IF(AND(AO959&lt;&gt;"",LEN(AN959)=15,MID(AN959,3,10)&lt;&gt;AO959),"PAN does not match GSTIN; ","")&amp;IF(AND(AL959&lt;&gt;"",AL959&lt;&gt;"OK"),"TAN wrong format; ","")&amp;IF(AG959="","PAN missing; ","")&amp;IF(AP959="","Entity type missing; ","")&amp;IF(AND(AN959&lt;&gt;"",COUNTIF($AN$6:$AN$1005,AN959)&gt;1),"GSTIN repeated in this sheet; ","")&amp;IF(AND(AG959&lt;&gt;"",COUNTIF($AG$6:$AG$1005,AG959)&gt;1),"PAN repeated in this sheet (same client? put extra GSTINs in Other GSTINs); ","")&amp;IF(AND(AR959&gt;0,V959=""),"Financial year missing; ","")&amp;IF(AND(AR959=0,V959&lt;&gt;""),"Financial year given but no service is Yes; ","")&amp;IF(AND(W959="Yes",AN959=""),"GST needs a GSTIN; ","")&amp;IF(AND(W959="Yes",X959=""),"GST return frequency missing; ","")&amp;IF(AND(Y959="Yes",TRIM(H959)=""),"TDS needs a TAN; ","")&amp;IF(AND(AA959="Yes",AQ959&lt;&gt;"",AQ959&lt;&gt;"company",AQ959&lt;&gt;"llp"),"ROC is only for a company / LLP; ","")&amp;IF(AND(AA959="Yes",OR(AQ959="company",AQ959="llp"),TRIM(I959)=""),"ROC needs the CIN / LLPIN; ","")</f>
        <v/>
      </c>
    </row>
    <row r="960">
      <c r="A960" s="30" t="n"/>
      <c r="B960" s="31" t="n"/>
      <c r="C960" s="31" t="n"/>
      <c r="D960" s="31" t="n"/>
      <c r="E960" s="30" t="n"/>
      <c r="F960" s="30" t="n"/>
      <c r="G960" s="30" t="n"/>
      <c r="H960" s="30" t="n"/>
      <c r="I960" s="30" t="n"/>
      <c r="J960" s="32" t="n"/>
      <c r="K960" s="31" t="n"/>
      <c r="L960" s="30" t="n"/>
      <c r="M960" s="31" t="n"/>
      <c r="N960" s="31" t="n"/>
      <c r="O960" s="31" t="n"/>
      <c r="P960" s="30" t="n"/>
      <c r="Q960" s="31" t="n"/>
      <c r="R960" s="31" t="n"/>
      <c r="S960" s="31" t="n"/>
      <c r="T960" s="31" t="n"/>
      <c r="U960" s="30" t="n"/>
      <c r="V960" s="31" t="n"/>
      <c r="W960" s="31" t="n"/>
      <c r="X960" s="31" t="n"/>
      <c r="Y960" s="31" t="n"/>
      <c r="Z960" s="31" t="n"/>
      <c r="AA960" s="31" t="n"/>
      <c r="AB960" s="31" t="n"/>
      <c r="AC960" s="31" t="n"/>
      <c r="AD960" s="31" t="n"/>
      <c r="AE960" s="31" t="n"/>
      <c r="AF960" s="27">
        <f>IF(NOT(COUNTA(A960:AE960)&gt;0),"",IF(A960="","New client","Update"))</f>
        <v/>
      </c>
      <c r="AG960" s="27">
        <f>IF(AO960&lt;&gt;"",AO960,IF(LEN(AN960)=15,MID(AN960,3,10),""))</f>
        <v/>
      </c>
      <c r="AH960" s="27">
        <f>IF(AP960="","",AP960&amp;IF(D960="","  (guessed from PAN)",""))</f>
        <v/>
      </c>
      <c r="AI960" s="27">
        <f>IF(AN960="","",IFERROR(INDEX(Lists!$L$2:$L$38,MATCH(LEFT(AN960,2),Lists!$K$2:$K$38,0)),"Unknown code"))</f>
        <v/>
      </c>
      <c r="AJ960" s="27">
        <f>IF(AN960="","",IFERROR(IF(NOT(AND(LEN(AN960)=15,ISNUMBER(MATCH(LEFT(AN960,2),Lists!$K$2:$K$38,0)),SUMPRODUCT(--ISERROR(FIND(MID(MID(AN960,3,10),{1,2,3,4,5,10},1),"ABCDEFGHIJKLMNOPQRSTUVWXYZ")))=0,SUMPRODUCT(--ISERROR(FIND(MID(MID(AN960,3,10),{6,7,8,9},1),"0123456789")))=0,ISNUMBER(FIND(MID(AN960,13,1),"123456789ABCDEFGHIJKLMNOPQRSTUVWXYZ")),MID(AN960,14,1)="Z")),"Wrong format",IF(MID("0123456789ABCDEFGHIJKLMNOPQRSTUVWXYZ",MOD(36-MOD(SUMPRODUCT(INT((FIND(MID(AN960,{1,2,3,4,5,6,7,8,9,10,11,12,13,14},1),"0123456789ABCDEFGHIJKLMNOPQRSTUVWXYZ")-1)*{1,2,1,2,1,2,1,2,1,2,1,2,1,2}/36)+MOD((FIND(MID(AN960,{1,2,3,4,5,6,7,8,9,10,11,12,13,14},1),"0123456789ABCDEFGHIJKLMNOPQRSTUVWXYZ")-1)*{1,2,1,2,1,2,1,2,1,2,1,2,1,2},36)),36),36)+1,1)=MID(AN960,15,1),"OK","Typo? check digit wrong")),"Wrong format"))</f>
        <v/>
      </c>
      <c r="AK960" s="27">
        <f>IF(AO960="","",IF(AND(LEN(AO960)=10,SUMPRODUCT(--ISERROR(FIND(MID(AO960,{1,2,3,4,5,10},1),"ABCDEFGHIJKLMNOPQRSTUVWXYZ")))=0,SUMPRODUCT(--ISERROR(FIND(MID(AO960,{6,7,8,9},1),"0123456789")))=0),"OK","Wrong format"))</f>
        <v/>
      </c>
      <c r="AL960" s="27">
        <f>IF(TRIM(H960)="","",IF(AND(LEN(UPPER(TRIM(H960)))=10,SUMPRODUCT(--ISERROR(FIND(MID(UPPER(TRIM(H960)),{1,2,3,4,10},1),"ABCDEFGHIJKLMNOPQRSTUVWXYZ")))=0,SUMPRODUCT(--ISERROR(FIND(MID(UPPER(TRIM(H960)),{5,6,7,8,9},1),"0123456789")))=0),"OK","Wrong format"))</f>
        <v/>
      </c>
      <c r="AM960" s="28">
        <f>IF(NOT(COUNTA(A960:AE960)&gt;0),"",IF(AS960&lt;&gt;"","✖ "&amp;LEFT(AS960,LEN(AS960)-2),IF(AR960&gt;0,"✔ Ready — client + "&amp;AR960&amp;" service(s)","✔ Ready — client only")))</f>
        <v/>
      </c>
      <c r="AN960" s="29">
        <f>UPPER(SUBSTITUTE(TRIM(F960)," ",""))</f>
        <v/>
      </c>
      <c r="AO960" s="29">
        <f>UPPER(SUBSTITUTE(TRIM(E960)," ",""))</f>
        <v/>
      </c>
      <c r="AP960" s="29">
        <f>IF(D960&lt;&gt;"",D960,IFERROR(VLOOKUP(MID(AG960,4,1),Lists!$E$2:$F$8,2,FALSE),""))</f>
        <v/>
      </c>
      <c r="AQ960" s="29">
        <f>IFERROR(VLOOKUP(AP960,Lists!$A$2:$C$12,3,FALSE),"")</f>
        <v/>
      </c>
      <c r="AR960" s="29">
        <f>COUNTIF(W960:AC960,"Yes")</f>
        <v/>
      </c>
      <c r="AS960" s="29">
        <f>IF(TRIM(B960)="","Legal name missing; ","")&amp;IF(AND(AJ960&lt;&gt;"",AJ960&lt;&gt;"OK"),"GSTIN: "&amp;AJ960&amp;"; ","")&amp;IF(AND(AK960&lt;&gt;"",AK960&lt;&gt;"OK"),"PAN wrong format; ","")&amp;IF(AND(AO960&lt;&gt;"",LEN(AN960)=15,MID(AN960,3,10)&lt;&gt;AO960),"PAN does not match GSTIN; ","")&amp;IF(AND(AL960&lt;&gt;"",AL960&lt;&gt;"OK"),"TAN wrong format; ","")&amp;IF(AG960="","PAN missing; ","")&amp;IF(AP960="","Entity type missing; ","")&amp;IF(AND(AN960&lt;&gt;"",COUNTIF($AN$6:$AN$1005,AN960)&gt;1),"GSTIN repeated in this sheet; ","")&amp;IF(AND(AG960&lt;&gt;"",COUNTIF($AG$6:$AG$1005,AG960)&gt;1),"PAN repeated in this sheet (same client? put extra GSTINs in Other GSTINs); ","")&amp;IF(AND(AR960&gt;0,V960=""),"Financial year missing; ","")&amp;IF(AND(AR960=0,V960&lt;&gt;""),"Financial year given but no service is Yes; ","")&amp;IF(AND(W960="Yes",AN960=""),"GST needs a GSTIN; ","")&amp;IF(AND(W960="Yes",X960=""),"GST return frequency missing; ","")&amp;IF(AND(Y960="Yes",TRIM(H960)=""),"TDS needs a TAN; ","")&amp;IF(AND(AA960="Yes",AQ960&lt;&gt;"",AQ960&lt;&gt;"company",AQ960&lt;&gt;"llp"),"ROC is only for a company / LLP; ","")&amp;IF(AND(AA960="Yes",OR(AQ960="company",AQ960="llp"),TRIM(I960)=""),"ROC needs the CIN / LLPIN; ","")</f>
        <v/>
      </c>
    </row>
    <row r="961">
      <c r="A961" s="30" t="n"/>
      <c r="B961" s="31" t="n"/>
      <c r="C961" s="31" t="n"/>
      <c r="D961" s="31" t="n"/>
      <c r="E961" s="30" t="n"/>
      <c r="F961" s="30" t="n"/>
      <c r="G961" s="30" t="n"/>
      <c r="H961" s="30" t="n"/>
      <c r="I961" s="30" t="n"/>
      <c r="J961" s="32" t="n"/>
      <c r="K961" s="31" t="n"/>
      <c r="L961" s="30" t="n"/>
      <c r="M961" s="31" t="n"/>
      <c r="N961" s="31" t="n"/>
      <c r="O961" s="31" t="n"/>
      <c r="P961" s="30" t="n"/>
      <c r="Q961" s="31" t="n"/>
      <c r="R961" s="31" t="n"/>
      <c r="S961" s="31" t="n"/>
      <c r="T961" s="31" t="n"/>
      <c r="U961" s="30" t="n"/>
      <c r="V961" s="31" t="n"/>
      <c r="W961" s="31" t="n"/>
      <c r="X961" s="31" t="n"/>
      <c r="Y961" s="31" t="n"/>
      <c r="Z961" s="31" t="n"/>
      <c r="AA961" s="31" t="n"/>
      <c r="AB961" s="31" t="n"/>
      <c r="AC961" s="31" t="n"/>
      <c r="AD961" s="31" t="n"/>
      <c r="AE961" s="31" t="n"/>
      <c r="AF961" s="27">
        <f>IF(NOT(COUNTA(A961:AE961)&gt;0),"",IF(A961="","New client","Update"))</f>
        <v/>
      </c>
      <c r="AG961" s="27">
        <f>IF(AO961&lt;&gt;"",AO961,IF(LEN(AN961)=15,MID(AN961,3,10),""))</f>
        <v/>
      </c>
      <c r="AH961" s="27">
        <f>IF(AP961="","",AP961&amp;IF(D961="","  (guessed from PAN)",""))</f>
        <v/>
      </c>
      <c r="AI961" s="27">
        <f>IF(AN961="","",IFERROR(INDEX(Lists!$L$2:$L$38,MATCH(LEFT(AN961,2),Lists!$K$2:$K$38,0)),"Unknown code"))</f>
        <v/>
      </c>
      <c r="AJ961" s="27">
        <f>IF(AN961="","",IFERROR(IF(NOT(AND(LEN(AN961)=15,ISNUMBER(MATCH(LEFT(AN961,2),Lists!$K$2:$K$38,0)),SUMPRODUCT(--ISERROR(FIND(MID(MID(AN961,3,10),{1,2,3,4,5,10},1),"ABCDEFGHIJKLMNOPQRSTUVWXYZ")))=0,SUMPRODUCT(--ISERROR(FIND(MID(MID(AN961,3,10),{6,7,8,9},1),"0123456789")))=0,ISNUMBER(FIND(MID(AN961,13,1),"123456789ABCDEFGHIJKLMNOPQRSTUVWXYZ")),MID(AN961,14,1)="Z")),"Wrong format",IF(MID("0123456789ABCDEFGHIJKLMNOPQRSTUVWXYZ",MOD(36-MOD(SUMPRODUCT(INT((FIND(MID(AN961,{1,2,3,4,5,6,7,8,9,10,11,12,13,14},1),"0123456789ABCDEFGHIJKLMNOPQRSTUVWXYZ")-1)*{1,2,1,2,1,2,1,2,1,2,1,2,1,2}/36)+MOD((FIND(MID(AN961,{1,2,3,4,5,6,7,8,9,10,11,12,13,14},1),"0123456789ABCDEFGHIJKLMNOPQRSTUVWXYZ")-1)*{1,2,1,2,1,2,1,2,1,2,1,2,1,2},36)),36),36)+1,1)=MID(AN961,15,1),"OK","Typo? check digit wrong")),"Wrong format"))</f>
        <v/>
      </c>
      <c r="AK961" s="27">
        <f>IF(AO961="","",IF(AND(LEN(AO961)=10,SUMPRODUCT(--ISERROR(FIND(MID(AO961,{1,2,3,4,5,10},1),"ABCDEFGHIJKLMNOPQRSTUVWXYZ")))=0,SUMPRODUCT(--ISERROR(FIND(MID(AO961,{6,7,8,9},1),"0123456789")))=0),"OK","Wrong format"))</f>
        <v/>
      </c>
      <c r="AL961" s="27">
        <f>IF(TRIM(H961)="","",IF(AND(LEN(UPPER(TRIM(H961)))=10,SUMPRODUCT(--ISERROR(FIND(MID(UPPER(TRIM(H961)),{1,2,3,4,10},1),"ABCDEFGHIJKLMNOPQRSTUVWXYZ")))=0,SUMPRODUCT(--ISERROR(FIND(MID(UPPER(TRIM(H961)),{5,6,7,8,9},1),"0123456789")))=0),"OK","Wrong format"))</f>
        <v/>
      </c>
      <c r="AM961" s="28">
        <f>IF(NOT(COUNTA(A961:AE961)&gt;0),"",IF(AS961&lt;&gt;"","✖ "&amp;LEFT(AS961,LEN(AS961)-2),IF(AR961&gt;0,"✔ Ready — client + "&amp;AR961&amp;" service(s)","✔ Ready — client only")))</f>
        <v/>
      </c>
      <c r="AN961" s="29">
        <f>UPPER(SUBSTITUTE(TRIM(F961)," ",""))</f>
        <v/>
      </c>
      <c r="AO961" s="29">
        <f>UPPER(SUBSTITUTE(TRIM(E961)," ",""))</f>
        <v/>
      </c>
      <c r="AP961" s="29">
        <f>IF(D961&lt;&gt;"",D961,IFERROR(VLOOKUP(MID(AG961,4,1),Lists!$E$2:$F$8,2,FALSE),""))</f>
        <v/>
      </c>
      <c r="AQ961" s="29">
        <f>IFERROR(VLOOKUP(AP961,Lists!$A$2:$C$12,3,FALSE),"")</f>
        <v/>
      </c>
      <c r="AR961" s="29">
        <f>COUNTIF(W961:AC961,"Yes")</f>
        <v/>
      </c>
      <c r="AS961" s="29">
        <f>IF(TRIM(B961)="","Legal name missing; ","")&amp;IF(AND(AJ961&lt;&gt;"",AJ961&lt;&gt;"OK"),"GSTIN: "&amp;AJ961&amp;"; ","")&amp;IF(AND(AK961&lt;&gt;"",AK961&lt;&gt;"OK"),"PAN wrong format; ","")&amp;IF(AND(AO961&lt;&gt;"",LEN(AN961)=15,MID(AN961,3,10)&lt;&gt;AO961),"PAN does not match GSTIN; ","")&amp;IF(AND(AL961&lt;&gt;"",AL961&lt;&gt;"OK"),"TAN wrong format; ","")&amp;IF(AG961="","PAN missing; ","")&amp;IF(AP961="","Entity type missing; ","")&amp;IF(AND(AN961&lt;&gt;"",COUNTIF($AN$6:$AN$1005,AN961)&gt;1),"GSTIN repeated in this sheet; ","")&amp;IF(AND(AG961&lt;&gt;"",COUNTIF($AG$6:$AG$1005,AG961)&gt;1),"PAN repeated in this sheet (same client? put extra GSTINs in Other GSTINs); ","")&amp;IF(AND(AR961&gt;0,V961=""),"Financial year missing; ","")&amp;IF(AND(AR961=0,V961&lt;&gt;""),"Financial year given but no service is Yes; ","")&amp;IF(AND(W961="Yes",AN961=""),"GST needs a GSTIN; ","")&amp;IF(AND(W961="Yes",X961=""),"GST return frequency missing; ","")&amp;IF(AND(Y961="Yes",TRIM(H961)=""),"TDS needs a TAN; ","")&amp;IF(AND(AA961="Yes",AQ961&lt;&gt;"",AQ961&lt;&gt;"company",AQ961&lt;&gt;"llp"),"ROC is only for a company / LLP; ","")&amp;IF(AND(AA961="Yes",OR(AQ961="company",AQ961="llp"),TRIM(I961)=""),"ROC needs the CIN / LLPIN; ","")</f>
        <v/>
      </c>
    </row>
    <row r="962">
      <c r="A962" s="30" t="n"/>
      <c r="B962" s="31" t="n"/>
      <c r="C962" s="31" t="n"/>
      <c r="D962" s="31" t="n"/>
      <c r="E962" s="30" t="n"/>
      <c r="F962" s="30" t="n"/>
      <c r="G962" s="30" t="n"/>
      <c r="H962" s="30" t="n"/>
      <c r="I962" s="30" t="n"/>
      <c r="J962" s="32" t="n"/>
      <c r="K962" s="31" t="n"/>
      <c r="L962" s="30" t="n"/>
      <c r="M962" s="31" t="n"/>
      <c r="N962" s="31" t="n"/>
      <c r="O962" s="31" t="n"/>
      <c r="P962" s="30" t="n"/>
      <c r="Q962" s="31" t="n"/>
      <c r="R962" s="31" t="n"/>
      <c r="S962" s="31" t="n"/>
      <c r="T962" s="31" t="n"/>
      <c r="U962" s="30" t="n"/>
      <c r="V962" s="31" t="n"/>
      <c r="W962" s="31" t="n"/>
      <c r="X962" s="31" t="n"/>
      <c r="Y962" s="31" t="n"/>
      <c r="Z962" s="31" t="n"/>
      <c r="AA962" s="31" t="n"/>
      <c r="AB962" s="31" t="n"/>
      <c r="AC962" s="31" t="n"/>
      <c r="AD962" s="31" t="n"/>
      <c r="AE962" s="31" t="n"/>
      <c r="AF962" s="27">
        <f>IF(NOT(COUNTA(A962:AE962)&gt;0),"",IF(A962="","New client","Update"))</f>
        <v/>
      </c>
      <c r="AG962" s="27">
        <f>IF(AO962&lt;&gt;"",AO962,IF(LEN(AN962)=15,MID(AN962,3,10),""))</f>
        <v/>
      </c>
      <c r="AH962" s="27">
        <f>IF(AP962="","",AP962&amp;IF(D962="","  (guessed from PAN)",""))</f>
        <v/>
      </c>
      <c r="AI962" s="27">
        <f>IF(AN962="","",IFERROR(INDEX(Lists!$L$2:$L$38,MATCH(LEFT(AN962,2),Lists!$K$2:$K$38,0)),"Unknown code"))</f>
        <v/>
      </c>
      <c r="AJ962" s="27">
        <f>IF(AN962="","",IFERROR(IF(NOT(AND(LEN(AN962)=15,ISNUMBER(MATCH(LEFT(AN962,2),Lists!$K$2:$K$38,0)),SUMPRODUCT(--ISERROR(FIND(MID(MID(AN962,3,10),{1,2,3,4,5,10},1),"ABCDEFGHIJKLMNOPQRSTUVWXYZ")))=0,SUMPRODUCT(--ISERROR(FIND(MID(MID(AN962,3,10),{6,7,8,9},1),"0123456789")))=0,ISNUMBER(FIND(MID(AN962,13,1),"123456789ABCDEFGHIJKLMNOPQRSTUVWXYZ")),MID(AN962,14,1)="Z")),"Wrong format",IF(MID("0123456789ABCDEFGHIJKLMNOPQRSTUVWXYZ",MOD(36-MOD(SUMPRODUCT(INT((FIND(MID(AN962,{1,2,3,4,5,6,7,8,9,10,11,12,13,14},1),"0123456789ABCDEFGHIJKLMNOPQRSTUVWXYZ")-1)*{1,2,1,2,1,2,1,2,1,2,1,2,1,2}/36)+MOD((FIND(MID(AN962,{1,2,3,4,5,6,7,8,9,10,11,12,13,14},1),"0123456789ABCDEFGHIJKLMNOPQRSTUVWXYZ")-1)*{1,2,1,2,1,2,1,2,1,2,1,2,1,2},36)),36),36)+1,1)=MID(AN962,15,1),"OK","Typo? check digit wrong")),"Wrong format"))</f>
        <v/>
      </c>
      <c r="AK962" s="27">
        <f>IF(AO962="","",IF(AND(LEN(AO962)=10,SUMPRODUCT(--ISERROR(FIND(MID(AO962,{1,2,3,4,5,10},1),"ABCDEFGHIJKLMNOPQRSTUVWXYZ")))=0,SUMPRODUCT(--ISERROR(FIND(MID(AO962,{6,7,8,9},1),"0123456789")))=0),"OK","Wrong format"))</f>
        <v/>
      </c>
      <c r="AL962" s="27">
        <f>IF(TRIM(H962)="","",IF(AND(LEN(UPPER(TRIM(H962)))=10,SUMPRODUCT(--ISERROR(FIND(MID(UPPER(TRIM(H962)),{1,2,3,4,10},1),"ABCDEFGHIJKLMNOPQRSTUVWXYZ")))=0,SUMPRODUCT(--ISERROR(FIND(MID(UPPER(TRIM(H962)),{5,6,7,8,9},1),"0123456789")))=0),"OK","Wrong format"))</f>
        <v/>
      </c>
      <c r="AM962" s="28">
        <f>IF(NOT(COUNTA(A962:AE962)&gt;0),"",IF(AS962&lt;&gt;"","✖ "&amp;LEFT(AS962,LEN(AS962)-2),IF(AR962&gt;0,"✔ Ready — client + "&amp;AR962&amp;" service(s)","✔ Ready — client only")))</f>
        <v/>
      </c>
      <c r="AN962" s="29">
        <f>UPPER(SUBSTITUTE(TRIM(F962)," ",""))</f>
        <v/>
      </c>
      <c r="AO962" s="29">
        <f>UPPER(SUBSTITUTE(TRIM(E962)," ",""))</f>
        <v/>
      </c>
      <c r="AP962" s="29">
        <f>IF(D962&lt;&gt;"",D962,IFERROR(VLOOKUP(MID(AG962,4,1),Lists!$E$2:$F$8,2,FALSE),""))</f>
        <v/>
      </c>
      <c r="AQ962" s="29">
        <f>IFERROR(VLOOKUP(AP962,Lists!$A$2:$C$12,3,FALSE),"")</f>
        <v/>
      </c>
      <c r="AR962" s="29">
        <f>COUNTIF(W962:AC962,"Yes")</f>
        <v/>
      </c>
      <c r="AS962" s="29">
        <f>IF(TRIM(B962)="","Legal name missing; ","")&amp;IF(AND(AJ962&lt;&gt;"",AJ962&lt;&gt;"OK"),"GSTIN: "&amp;AJ962&amp;"; ","")&amp;IF(AND(AK962&lt;&gt;"",AK962&lt;&gt;"OK"),"PAN wrong format; ","")&amp;IF(AND(AO962&lt;&gt;"",LEN(AN962)=15,MID(AN962,3,10)&lt;&gt;AO962),"PAN does not match GSTIN; ","")&amp;IF(AND(AL962&lt;&gt;"",AL962&lt;&gt;"OK"),"TAN wrong format; ","")&amp;IF(AG962="","PAN missing; ","")&amp;IF(AP962="","Entity type missing; ","")&amp;IF(AND(AN962&lt;&gt;"",COUNTIF($AN$6:$AN$1005,AN962)&gt;1),"GSTIN repeated in this sheet; ","")&amp;IF(AND(AG962&lt;&gt;"",COUNTIF($AG$6:$AG$1005,AG962)&gt;1),"PAN repeated in this sheet (same client? put extra GSTINs in Other GSTINs); ","")&amp;IF(AND(AR962&gt;0,V962=""),"Financial year missing; ","")&amp;IF(AND(AR962=0,V962&lt;&gt;""),"Financial year given but no service is Yes; ","")&amp;IF(AND(W962="Yes",AN962=""),"GST needs a GSTIN; ","")&amp;IF(AND(W962="Yes",X962=""),"GST return frequency missing; ","")&amp;IF(AND(Y962="Yes",TRIM(H962)=""),"TDS needs a TAN; ","")&amp;IF(AND(AA962="Yes",AQ962&lt;&gt;"",AQ962&lt;&gt;"company",AQ962&lt;&gt;"llp"),"ROC is only for a company / LLP; ","")&amp;IF(AND(AA962="Yes",OR(AQ962="company",AQ962="llp"),TRIM(I962)=""),"ROC needs the CIN / LLPIN; ","")</f>
        <v/>
      </c>
    </row>
    <row r="963">
      <c r="A963" s="30" t="n"/>
      <c r="B963" s="31" t="n"/>
      <c r="C963" s="31" t="n"/>
      <c r="D963" s="31" t="n"/>
      <c r="E963" s="30" t="n"/>
      <c r="F963" s="30" t="n"/>
      <c r="G963" s="30" t="n"/>
      <c r="H963" s="30" t="n"/>
      <c r="I963" s="30" t="n"/>
      <c r="J963" s="32" t="n"/>
      <c r="K963" s="31" t="n"/>
      <c r="L963" s="30" t="n"/>
      <c r="M963" s="31" t="n"/>
      <c r="N963" s="31" t="n"/>
      <c r="O963" s="31" t="n"/>
      <c r="P963" s="30" t="n"/>
      <c r="Q963" s="31" t="n"/>
      <c r="R963" s="31" t="n"/>
      <c r="S963" s="31" t="n"/>
      <c r="T963" s="31" t="n"/>
      <c r="U963" s="30" t="n"/>
      <c r="V963" s="31" t="n"/>
      <c r="W963" s="31" t="n"/>
      <c r="X963" s="31" t="n"/>
      <c r="Y963" s="31" t="n"/>
      <c r="Z963" s="31" t="n"/>
      <c r="AA963" s="31" t="n"/>
      <c r="AB963" s="31" t="n"/>
      <c r="AC963" s="31" t="n"/>
      <c r="AD963" s="31" t="n"/>
      <c r="AE963" s="31" t="n"/>
      <c r="AF963" s="27">
        <f>IF(NOT(COUNTA(A963:AE963)&gt;0),"",IF(A963="","New client","Update"))</f>
        <v/>
      </c>
      <c r="AG963" s="27">
        <f>IF(AO963&lt;&gt;"",AO963,IF(LEN(AN963)=15,MID(AN963,3,10),""))</f>
        <v/>
      </c>
      <c r="AH963" s="27">
        <f>IF(AP963="","",AP963&amp;IF(D963="","  (guessed from PAN)",""))</f>
        <v/>
      </c>
      <c r="AI963" s="27">
        <f>IF(AN963="","",IFERROR(INDEX(Lists!$L$2:$L$38,MATCH(LEFT(AN963,2),Lists!$K$2:$K$38,0)),"Unknown code"))</f>
        <v/>
      </c>
      <c r="AJ963" s="27">
        <f>IF(AN963="","",IFERROR(IF(NOT(AND(LEN(AN963)=15,ISNUMBER(MATCH(LEFT(AN963,2),Lists!$K$2:$K$38,0)),SUMPRODUCT(--ISERROR(FIND(MID(MID(AN963,3,10),{1,2,3,4,5,10},1),"ABCDEFGHIJKLMNOPQRSTUVWXYZ")))=0,SUMPRODUCT(--ISERROR(FIND(MID(MID(AN963,3,10),{6,7,8,9},1),"0123456789")))=0,ISNUMBER(FIND(MID(AN963,13,1),"123456789ABCDEFGHIJKLMNOPQRSTUVWXYZ")),MID(AN963,14,1)="Z")),"Wrong format",IF(MID("0123456789ABCDEFGHIJKLMNOPQRSTUVWXYZ",MOD(36-MOD(SUMPRODUCT(INT((FIND(MID(AN963,{1,2,3,4,5,6,7,8,9,10,11,12,13,14},1),"0123456789ABCDEFGHIJKLMNOPQRSTUVWXYZ")-1)*{1,2,1,2,1,2,1,2,1,2,1,2,1,2}/36)+MOD((FIND(MID(AN963,{1,2,3,4,5,6,7,8,9,10,11,12,13,14},1),"0123456789ABCDEFGHIJKLMNOPQRSTUVWXYZ")-1)*{1,2,1,2,1,2,1,2,1,2,1,2,1,2},36)),36),36)+1,1)=MID(AN963,15,1),"OK","Typo? check digit wrong")),"Wrong format"))</f>
        <v/>
      </c>
      <c r="AK963" s="27">
        <f>IF(AO963="","",IF(AND(LEN(AO963)=10,SUMPRODUCT(--ISERROR(FIND(MID(AO963,{1,2,3,4,5,10},1),"ABCDEFGHIJKLMNOPQRSTUVWXYZ")))=0,SUMPRODUCT(--ISERROR(FIND(MID(AO963,{6,7,8,9},1),"0123456789")))=0),"OK","Wrong format"))</f>
        <v/>
      </c>
      <c r="AL963" s="27">
        <f>IF(TRIM(H963)="","",IF(AND(LEN(UPPER(TRIM(H963)))=10,SUMPRODUCT(--ISERROR(FIND(MID(UPPER(TRIM(H963)),{1,2,3,4,10},1),"ABCDEFGHIJKLMNOPQRSTUVWXYZ")))=0,SUMPRODUCT(--ISERROR(FIND(MID(UPPER(TRIM(H963)),{5,6,7,8,9},1),"0123456789")))=0),"OK","Wrong format"))</f>
        <v/>
      </c>
      <c r="AM963" s="28">
        <f>IF(NOT(COUNTA(A963:AE963)&gt;0),"",IF(AS963&lt;&gt;"","✖ "&amp;LEFT(AS963,LEN(AS963)-2),IF(AR963&gt;0,"✔ Ready — client + "&amp;AR963&amp;" service(s)","✔ Ready — client only")))</f>
        <v/>
      </c>
      <c r="AN963" s="29">
        <f>UPPER(SUBSTITUTE(TRIM(F963)," ",""))</f>
        <v/>
      </c>
      <c r="AO963" s="29">
        <f>UPPER(SUBSTITUTE(TRIM(E963)," ",""))</f>
        <v/>
      </c>
      <c r="AP963" s="29">
        <f>IF(D963&lt;&gt;"",D963,IFERROR(VLOOKUP(MID(AG963,4,1),Lists!$E$2:$F$8,2,FALSE),""))</f>
        <v/>
      </c>
      <c r="AQ963" s="29">
        <f>IFERROR(VLOOKUP(AP963,Lists!$A$2:$C$12,3,FALSE),"")</f>
        <v/>
      </c>
      <c r="AR963" s="29">
        <f>COUNTIF(W963:AC963,"Yes")</f>
        <v/>
      </c>
      <c r="AS963" s="29">
        <f>IF(TRIM(B963)="","Legal name missing; ","")&amp;IF(AND(AJ963&lt;&gt;"",AJ963&lt;&gt;"OK"),"GSTIN: "&amp;AJ963&amp;"; ","")&amp;IF(AND(AK963&lt;&gt;"",AK963&lt;&gt;"OK"),"PAN wrong format; ","")&amp;IF(AND(AO963&lt;&gt;"",LEN(AN963)=15,MID(AN963,3,10)&lt;&gt;AO963),"PAN does not match GSTIN; ","")&amp;IF(AND(AL963&lt;&gt;"",AL963&lt;&gt;"OK"),"TAN wrong format; ","")&amp;IF(AG963="","PAN missing; ","")&amp;IF(AP963="","Entity type missing; ","")&amp;IF(AND(AN963&lt;&gt;"",COUNTIF($AN$6:$AN$1005,AN963)&gt;1),"GSTIN repeated in this sheet; ","")&amp;IF(AND(AG963&lt;&gt;"",COUNTIF($AG$6:$AG$1005,AG963)&gt;1),"PAN repeated in this sheet (same client? put extra GSTINs in Other GSTINs); ","")&amp;IF(AND(AR963&gt;0,V963=""),"Financial year missing; ","")&amp;IF(AND(AR963=0,V963&lt;&gt;""),"Financial year given but no service is Yes; ","")&amp;IF(AND(W963="Yes",AN963=""),"GST needs a GSTIN; ","")&amp;IF(AND(W963="Yes",X963=""),"GST return frequency missing; ","")&amp;IF(AND(Y963="Yes",TRIM(H963)=""),"TDS needs a TAN; ","")&amp;IF(AND(AA963="Yes",AQ963&lt;&gt;"",AQ963&lt;&gt;"company",AQ963&lt;&gt;"llp"),"ROC is only for a company / LLP; ","")&amp;IF(AND(AA963="Yes",OR(AQ963="company",AQ963="llp"),TRIM(I963)=""),"ROC needs the CIN / LLPIN; ","")</f>
        <v/>
      </c>
    </row>
    <row r="964">
      <c r="A964" s="30" t="n"/>
      <c r="B964" s="31" t="n"/>
      <c r="C964" s="31" t="n"/>
      <c r="D964" s="31" t="n"/>
      <c r="E964" s="30" t="n"/>
      <c r="F964" s="30" t="n"/>
      <c r="G964" s="30" t="n"/>
      <c r="H964" s="30" t="n"/>
      <c r="I964" s="30" t="n"/>
      <c r="J964" s="32" t="n"/>
      <c r="K964" s="31" t="n"/>
      <c r="L964" s="30" t="n"/>
      <c r="M964" s="31" t="n"/>
      <c r="N964" s="31" t="n"/>
      <c r="O964" s="31" t="n"/>
      <c r="P964" s="30" t="n"/>
      <c r="Q964" s="31" t="n"/>
      <c r="R964" s="31" t="n"/>
      <c r="S964" s="31" t="n"/>
      <c r="T964" s="31" t="n"/>
      <c r="U964" s="30" t="n"/>
      <c r="V964" s="31" t="n"/>
      <c r="W964" s="31" t="n"/>
      <c r="X964" s="31" t="n"/>
      <c r="Y964" s="31" t="n"/>
      <c r="Z964" s="31" t="n"/>
      <c r="AA964" s="31" t="n"/>
      <c r="AB964" s="31" t="n"/>
      <c r="AC964" s="31" t="n"/>
      <c r="AD964" s="31" t="n"/>
      <c r="AE964" s="31" t="n"/>
      <c r="AF964" s="27">
        <f>IF(NOT(COUNTA(A964:AE964)&gt;0),"",IF(A964="","New client","Update"))</f>
        <v/>
      </c>
      <c r="AG964" s="27">
        <f>IF(AO964&lt;&gt;"",AO964,IF(LEN(AN964)=15,MID(AN964,3,10),""))</f>
        <v/>
      </c>
      <c r="AH964" s="27">
        <f>IF(AP964="","",AP964&amp;IF(D964="","  (guessed from PAN)",""))</f>
        <v/>
      </c>
      <c r="AI964" s="27">
        <f>IF(AN964="","",IFERROR(INDEX(Lists!$L$2:$L$38,MATCH(LEFT(AN964,2),Lists!$K$2:$K$38,0)),"Unknown code"))</f>
        <v/>
      </c>
      <c r="AJ964" s="27">
        <f>IF(AN964="","",IFERROR(IF(NOT(AND(LEN(AN964)=15,ISNUMBER(MATCH(LEFT(AN964,2),Lists!$K$2:$K$38,0)),SUMPRODUCT(--ISERROR(FIND(MID(MID(AN964,3,10),{1,2,3,4,5,10},1),"ABCDEFGHIJKLMNOPQRSTUVWXYZ")))=0,SUMPRODUCT(--ISERROR(FIND(MID(MID(AN964,3,10),{6,7,8,9},1),"0123456789")))=0,ISNUMBER(FIND(MID(AN964,13,1),"123456789ABCDEFGHIJKLMNOPQRSTUVWXYZ")),MID(AN964,14,1)="Z")),"Wrong format",IF(MID("0123456789ABCDEFGHIJKLMNOPQRSTUVWXYZ",MOD(36-MOD(SUMPRODUCT(INT((FIND(MID(AN964,{1,2,3,4,5,6,7,8,9,10,11,12,13,14},1),"0123456789ABCDEFGHIJKLMNOPQRSTUVWXYZ")-1)*{1,2,1,2,1,2,1,2,1,2,1,2,1,2}/36)+MOD((FIND(MID(AN964,{1,2,3,4,5,6,7,8,9,10,11,12,13,14},1),"0123456789ABCDEFGHIJKLMNOPQRSTUVWXYZ")-1)*{1,2,1,2,1,2,1,2,1,2,1,2,1,2},36)),36),36)+1,1)=MID(AN964,15,1),"OK","Typo? check digit wrong")),"Wrong format"))</f>
        <v/>
      </c>
      <c r="AK964" s="27">
        <f>IF(AO964="","",IF(AND(LEN(AO964)=10,SUMPRODUCT(--ISERROR(FIND(MID(AO964,{1,2,3,4,5,10},1),"ABCDEFGHIJKLMNOPQRSTUVWXYZ")))=0,SUMPRODUCT(--ISERROR(FIND(MID(AO964,{6,7,8,9},1),"0123456789")))=0),"OK","Wrong format"))</f>
        <v/>
      </c>
      <c r="AL964" s="27">
        <f>IF(TRIM(H964)="","",IF(AND(LEN(UPPER(TRIM(H964)))=10,SUMPRODUCT(--ISERROR(FIND(MID(UPPER(TRIM(H964)),{1,2,3,4,10},1),"ABCDEFGHIJKLMNOPQRSTUVWXYZ")))=0,SUMPRODUCT(--ISERROR(FIND(MID(UPPER(TRIM(H964)),{5,6,7,8,9},1),"0123456789")))=0),"OK","Wrong format"))</f>
        <v/>
      </c>
      <c r="AM964" s="28">
        <f>IF(NOT(COUNTA(A964:AE964)&gt;0),"",IF(AS964&lt;&gt;"","✖ "&amp;LEFT(AS964,LEN(AS964)-2),IF(AR964&gt;0,"✔ Ready — client + "&amp;AR964&amp;" service(s)","✔ Ready — client only")))</f>
        <v/>
      </c>
      <c r="AN964" s="29">
        <f>UPPER(SUBSTITUTE(TRIM(F964)," ",""))</f>
        <v/>
      </c>
      <c r="AO964" s="29">
        <f>UPPER(SUBSTITUTE(TRIM(E964)," ",""))</f>
        <v/>
      </c>
      <c r="AP964" s="29">
        <f>IF(D964&lt;&gt;"",D964,IFERROR(VLOOKUP(MID(AG964,4,1),Lists!$E$2:$F$8,2,FALSE),""))</f>
        <v/>
      </c>
      <c r="AQ964" s="29">
        <f>IFERROR(VLOOKUP(AP964,Lists!$A$2:$C$12,3,FALSE),"")</f>
        <v/>
      </c>
      <c r="AR964" s="29">
        <f>COUNTIF(W964:AC964,"Yes")</f>
        <v/>
      </c>
      <c r="AS964" s="29">
        <f>IF(TRIM(B964)="","Legal name missing; ","")&amp;IF(AND(AJ964&lt;&gt;"",AJ964&lt;&gt;"OK"),"GSTIN: "&amp;AJ964&amp;"; ","")&amp;IF(AND(AK964&lt;&gt;"",AK964&lt;&gt;"OK"),"PAN wrong format; ","")&amp;IF(AND(AO964&lt;&gt;"",LEN(AN964)=15,MID(AN964,3,10)&lt;&gt;AO964),"PAN does not match GSTIN; ","")&amp;IF(AND(AL964&lt;&gt;"",AL964&lt;&gt;"OK"),"TAN wrong format; ","")&amp;IF(AG964="","PAN missing; ","")&amp;IF(AP964="","Entity type missing; ","")&amp;IF(AND(AN964&lt;&gt;"",COUNTIF($AN$6:$AN$1005,AN964)&gt;1),"GSTIN repeated in this sheet; ","")&amp;IF(AND(AG964&lt;&gt;"",COUNTIF($AG$6:$AG$1005,AG964)&gt;1),"PAN repeated in this sheet (same client? put extra GSTINs in Other GSTINs); ","")&amp;IF(AND(AR964&gt;0,V964=""),"Financial year missing; ","")&amp;IF(AND(AR964=0,V964&lt;&gt;""),"Financial year given but no service is Yes; ","")&amp;IF(AND(W964="Yes",AN964=""),"GST needs a GSTIN; ","")&amp;IF(AND(W964="Yes",X964=""),"GST return frequency missing; ","")&amp;IF(AND(Y964="Yes",TRIM(H964)=""),"TDS needs a TAN; ","")&amp;IF(AND(AA964="Yes",AQ964&lt;&gt;"",AQ964&lt;&gt;"company",AQ964&lt;&gt;"llp"),"ROC is only for a company / LLP; ","")&amp;IF(AND(AA964="Yes",OR(AQ964="company",AQ964="llp"),TRIM(I964)=""),"ROC needs the CIN / LLPIN; ","")</f>
        <v/>
      </c>
    </row>
    <row r="965">
      <c r="A965" s="30" t="n"/>
      <c r="B965" s="31" t="n"/>
      <c r="C965" s="31" t="n"/>
      <c r="D965" s="31" t="n"/>
      <c r="E965" s="30" t="n"/>
      <c r="F965" s="30" t="n"/>
      <c r="G965" s="30" t="n"/>
      <c r="H965" s="30" t="n"/>
      <c r="I965" s="30" t="n"/>
      <c r="J965" s="32" t="n"/>
      <c r="K965" s="31" t="n"/>
      <c r="L965" s="30" t="n"/>
      <c r="M965" s="31" t="n"/>
      <c r="N965" s="31" t="n"/>
      <c r="O965" s="31" t="n"/>
      <c r="P965" s="30" t="n"/>
      <c r="Q965" s="31" t="n"/>
      <c r="R965" s="31" t="n"/>
      <c r="S965" s="31" t="n"/>
      <c r="T965" s="31" t="n"/>
      <c r="U965" s="30" t="n"/>
      <c r="V965" s="31" t="n"/>
      <c r="W965" s="31" t="n"/>
      <c r="X965" s="31" t="n"/>
      <c r="Y965" s="31" t="n"/>
      <c r="Z965" s="31" t="n"/>
      <c r="AA965" s="31" t="n"/>
      <c r="AB965" s="31" t="n"/>
      <c r="AC965" s="31" t="n"/>
      <c r="AD965" s="31" t="n"/>
      <c r="AE965" s="31" t="n"/>
      <c r="AF965" s="27">
        <f>IF(NOT(COUNTA(A965:AE965)&gt;0),"",IF(A965="","New client","Update"))</f>
        <v/>
      </c>
      <c r="AG965" s="27">
        <f>IF(AO965&lt;&gt;"",AO965,IF(LEN(AN965)=15,MID(AN965,3,10),""))</f>
        <v/>
      </c>
      <c r="AH965" s="27">
        <f>IF(AP965="","",AP965&amp;IF(D965="","  (guessed from PAN)",""))</f>
        <v/>
      </c>
      <c r="AI965" s="27">
        <f>IF(AN965="","",IFERROR(INDEX(Lists!$L$2:$L$38,MATCH(LEFT(AN965,2),Lists!$K$2:$K$38,0)),"Unknown code"))</f>
        <v/>
      </c>
      <c r="AJ965" s="27">
        <f>IF(AN965="","",IFERROR(IF(NOT(AND(LEN(AN965)=15,ISNUMBER(MATCH(LEFT(AN965,2),Lists!$K$2:$K$38,0)),SUMPRODUCT(--ISERROR(FIND(MID(MID(AN965,3,10),{1,2,3,4,5,10},1),"ABCDEFGHIJKLMNOPQRSTUVWXYZ")))=0,SUMPRODUCT(--ISERROR(FIND(MID(MID(AN965,3,10),{6,7,8,9},1),"0123456789")))=0,ISNUMBER(FIND(MID(AN965,13,1),"123456789ABCDEFGHIJKLMNOPQRSTUVWXYZ")),MID(AN965,14,1)="Z")),"Wrong format",IF(MID("0123456789ABCDEFGHIJKLMNOPQRSTUVWXYZ",MOD(36-MOD(SUMPRODUCT(INT((FIND(MID(AN965,{1,2,3,4,5,6,7,8,9,10,11,12,13,14},1),"0123456789ABCDEFGHIJKLMNOPQRSTUVWXYZ")-1)*{1,2,1,2,1,2,1,2,1,2,1,2,1,2}/36)+MOD((FIND(MID(AN965,{1,2,3,4,5,6,7,8,9,10,11,12,13,14},1),"0123456789ABCDEFGHIJKLMNOPQRSTUVWXYZ")-1)*{1,2,1,2,1,2,1,2,1,2,1,2,1,2},36)),36),36)+1,1)=MID(AN965,15,1),"OK","Typo? check digit wrong")),"Wrong format"))</f>
        <v/>
      </c>
      <c r="AK965" s="27">
        <f>IF(AO965="","",IF(AND(LEN(AO965)=10,SUMPRODUCT(--ISERROR(FIND(MID(AO965,{1,2,3,4,5,10},1),"ABCDEFGHIJKLMNOPQRSTUVWXYZ")))=0,SUMPRODUCT(--ISERROR(FIND(MID(AO965,{6,7,8,9},1),"0123456789")))=0),"OK","Wrong format"))</f>
        <v/>
      </c>
      <c r="AL965" s="27">
        <f>IF(TRIM(H965)="","",IF(AND(LEN(UPPER(TRIM(H965)))=10,SUMPRODUCT(--ISERROR(FIND(MID(UPPER(TRIM(H965)),{1,2,3,4,10},1),"ABCDEFGHIJKLMNOPQRSTUVWXYZ")))=0,SUMPRODUCT(--ISERROR(FIND(MID(UPPER(TRIM(H965)),{5,6,7,8,9},1),"0123456789")))=0),"OK","Wrong format"))</f>
        <v/>
      </c>
      <c r="AM965" s="28">
        <f>IF(NOT(COUNTA(A965:AE965)&gt;0),"",IF(AS965&lt;&gt;"","✖ "&amp;LEFT(AS965,LEN(AS965)-2),IF(AR965&gt;0,"✔ Ready — client + "&amp;AR965&amp;" service(s)","✔ Ready — client only")))</f>
        <v/>
      </c>
      <c r="AN965" s="29">
        <f>UPPER(SUBSTITUTE(TRIM(F965)," ",""))</f>
        <v/>
      </c>
      <c r="AO965" s="29">
        <f>UPPER(SUBSTITUTE(TRIM(E965)," ",""))</f>
        <v/>
      </c>
      <c r="AP965" s="29">
        <f>IF(D965&lt;&gt;"",D965,IFERROR(VLOOKUP(MID(AG965,4,1),Lists!$E$2:$F$8,2,FALSE),""))</f>
        <v/>
      </c>
      <c r="AQ965" s="29">
        <f>IFERROR(VLOOKUP(AP965,Lists!$A$2:$C$12,3,FALSE),"")</f>
        <v/>
      </c>
      <c r="AR965" s="29">
        <f>COUNTIF(W965:AC965,"Yes")</f>
        <v/>
      </c>
      <c r="AS965" s="29">
        <f>IF(TRIM(B965)="","Legal name missing; ","")&amp;IF(AND(AJ965&lt;&gt;"",AJ965&lt;&gt;"OK"),"GSTIN: "&amp;AJ965&amp;"; ","")&amp;IF(AND(AK965&lt;&gt;"",AK965&lt;&gt;"OK"),"PAN wrong format; ","")&amp;IF(AND(AO965&lt;&gt;"",LEN(AN965)=15,MID(AN965,3,10)&lt;&gt;AO965),"PAN does not match GSTIN; ","")&amp;IF(AND(AL965&lt;&gt;"",AL965&lt;&gt;"OK"),"TAN wrong format; ","")&amp;IF(AG965="","PAN missing; ","")&amp;IF(AP965="","Entity type missing; ","")&amp;IF(AND(AN965&lt;&gt;"",COUNTIF($AN$6:$AN$1005,AN965)&gt;1),"GSTIN repeated in this sheet; ","")&amp;IF(AND(AG965&lt;&gt;"",COUNTIF($AG$6:$AG$1005,AG965)&gt;1),"PAN repeated in this sheet (same client? put extra GSTINs in Other GSTINs); ","")&amp;IF(AND(AR965&gt;0,V965=""),"Financial year missing; ","")&amp;IF(AND(AR965=0,V965&lt;&gt;""),"Financial year given but no service is Yes; ","")&amp;IF(AND(W965="Yes",AN965=""),"GST needs a GSTIN; ","")&amp;IF(AND(W965="Yes",X965=""),"GST return frequency missing; ","")&amp;IF(AND(Y965="Yes",TRIM(H965)=""),"TDS needs a TAN; ","")&amp;IF(AND(AA965="Yes",AQ965&lt;&gt;"",AQ965&lt;&gt;"company",AQ965&lt;&gt;"llp"),"ROC is only for a company / LLP; ","")&amp;IF(AND(AA965="Yes",OR(AQ965="company",AQ965="llp"),TRIM(I965)=""),"ROC needs the CIN / LLPIN; ","")</f>
        <v/>
      </c>
    </row>
    <row r="966">
      <c r="A966" s="30" t="n"/>
      <c r="B966" s="31" t="n"/>
      <c r="C966" s="31" t="n"/>
      <c r="D966" s="31" t="n"/>
      <c r="E966" s="30" t="n"/>
      <c r="F966" s="30" t="n"/>
      <c r="G966" s="30" t="n"/>
      <c r="H966" s="30" t="n"/>
      <c r="I966" s="30" t="n"/>
      <c r="J966" s="32" t="n"/>
      <c r="K966" s="31" t="n"/>
      <c r="L966" s="30" t="n"/>
      <c r="M966" s="31" t="n"/>
      <c r="N966" s="31" t="n"/>
      <c r="O966" s="31" t="n"/>
      <c r="P966" s="30" t="n"/>
      <c r="Q966" s="31" t="n"/>
      <c r="R966" s="31" t="n"/>
      <c r="S966" s="31" t="n"/>
      <c r="T966" s="31" t="n"/>
      <c r="U966" s="30" t="n"/>
      <c r="V966" s="31" t="n"/>
      <c r="W966" s="31" t="n"/>
      <c r="X966" s="31" t="n"/>
      <c r="Y966" s="31" t="n"/>
      <c r="Z966" s="31" t="n"/>
      <c r="AA966" s="31" t="n"/>
      <c r="AB966" s="31" t="n"/>
      <c r="AC966" s="31" t="n"/>
      <c r="AD966" s="31" t="n"/>
      <c r="AE966" s="31" t="n"/>
      <c r="AF966" s="27">
        <f>IF(NOT(COUNTA(A966:AE966)&gt;0),"",IF(A966="","New client","Update"))</f>
        <v/>
      </c>
      <c r="AG966" s="27">
        <f>IF(AO966&lt;&gt;"",AO966,IF(LEN(AN966)=15,MID(AN966,3,10),""))</f>
        <v/>
      </c>
      <c r="AH966" s="27">
        <f>IF(AP966="","",AP966&amp;IF(D966="","  (guessed from PAN)",""))</f>
        <v/>
      </c>
      <c r="AI966" s="27">
        <f>IF(AN966="","",IFERROR(INDEX(Lists!$L$2:$L$38,MATCH(LEFT(AN966,2),Lists!$K$2:$K$38,0)),"Unknown code"))</f>
        <v/>
      </c>
      <c r="AJ966" s="27">
        <f>IF(AN966="","",IFERROR(IF(NOT(AND(LEN(AN966)=15,ISNUMBER(MATCH(LEFT(AN966,2),Lists!$K$2:$K$38,0)),SUMPRODUCT(--ISERROR(FIND(MID(MID(AN966,3,10),{1,2,3,4,5,10},1),"ABCDEFGHIJKLMNOPQRSTUVWXYZ")))=0,SUMPRODUCT(--ISERROR(FIND(MID(MID(AN966,3,10),{6,7,8,9},1),"0123456789")))=0,ISNUMBER(FIND(MID(AN966,13,1),"123456789ABCDEFGHIJKLMNOPQRSTUVWXYZ")),MID(AN966,14,1)="Z")),"Wrong format",IF(MID("0123456789ABCDEFGHIJKLMNOPQRSTUVWXYZ",MOD(36-MOD(SUMPRODUCT(INT((FIND(MID(AN966,{1,2,3,4,5,6,7,8,9,10,11,12,13,14},1),"0123456789ABCDEFGHIJKLMNOPQRSTUVWXYZ")-1)*{1,2,1,2,1,2,1,2,1,2,1,2,1,2}/36)+MOD((FIND(MID(AN966,{1,2,3,4,5,6,7,8,9,10,11,12,13,14},1),"0123456789ABCDEFGHIJKLMNOPQRSTUVWXYZ")-1)*{1,2,1,2,1,2,1,2,1,2,1,2,1,2},36)),36),36)+1,1)=MID(AN966,15,1),"OK","Typo? check digit wrong")),"Wrong format"))</f>
        <v/>
      </c>
      <c r="AK966" s="27">
        <f>IF(AO966="","",IF(AND(LEN(AO966)=10,SUMPRODUCT(--ISERROR(FIND(MID(AO966,{1,2,3,4,5,10},1),"ABCDEFGHIJKLMNOPQRSTUVWXYZ")))=0,SUMPRODUCT(--ISERROR(FIND(MID(AO966,{6,7,8,9},1),"0123456789")))=0),"OK","Wrong format"))</f>
        <v/>
      </c>
      <c r="AL966" s="27">
        <f>IF(TRIM(H966)="","",IF(AND(LEN(UPPER(TRIM(H966)))=10,SUMPRODUCT(--ISERROR(FIND(MID(UPPER(TRIM(H966)),{1,2,3,4,10},1),"ABCDEFGHIJKLMNOPQRSTUVWXYZ")))=0,SUMPRODUCT(--ISERROR(FIND(MID(UPPER(TRIM(H966)),{5,6,7,8,9},1),"0123456789")))=0),"OK","Wrong format"))</f>
        <v/>
      </c>
      <c r="AM966" s="28">
        <f>IF(NOT(COUNTA(A966:AE966)&gt;0),"",IF(AS966&lt;&gt;"","✖ "&amp;LEFT(AS966,LEN(AS966)-2),IF(AR966&gt;0,"✔ Ready — client + "&amp;AR966&amp;" service(s)","✔ Ready — client only")))</f>
        <v/>
      </c>
      <c r="AN966" s="29">
        <f>UPPER(SUBSTITUTE(TRIM(F966)," ",""))</f>
        <v/>
      </c>
      <c r="AO966" s="29">
        <f>UPPER(SUBSTITUTE(TRIM(E966)," ",""))</f>
        <v/>
      </c>
      <c r="AP966" s="29">
        <f>IF(D966&lt;&gt;"",D966,IFERROR(VLOOKUP(MID(AG966,4,1),Lists!$E$2:$F$8,2,FALSE),""))</f>
        <v/>
      </c>
      <c r="AQ966" s="29">
        <f>IFERROR(VLOOKUP(AP966,Lists!$A$2:$C$12,3,FALSE),"")</f>
        <v/>
      </c>
      <c r="AR966" s="29">
        <f>COUNTIF(W966:AC966,"Yes")</f>
        <v/>
      </c>
      <c r="AS966" s="29">
        <f>IF(TRIM(B966)="","Legal name missing; ","")&amp;IF(AND(AJ966&lt;&gt;"",AJ966&lt;&gt;"OK"),"GSTIN: "&amp;AJ966&amp;"; ","")&amp;IF(AND(AK966&lt;&gt;"",AK966&lt;&gt;"OK"),"PAN wrong format; ","")&amp;IF(AND(AO966&lt;&gt;"",LEN(AN966)=15,MID(AN966,3,10)&lt;&gt;AO966),"PAN does not match GSTIN; ","")&amp;IF(AND(AL966&lt;&gt;"",AL966&lt;&gt;"OK"),"TAN wrong format; ","")&amp;IF(AG966="","PAN missing; ","")&amp;IF(AP966="","Entity type missing; ","")&amp;IF(AND(AN966&lt;&gt;"",COUNTIF($AN$6:$AN$1005,AN966)&gt;1),"GSTIN repeated in this sheet; ","")&amp;IF(AND(AG966&lt;&gt;"",COUNTIF($AG$6:$AG$1005,AG966)&gt;1),"PAN repeated in this sheet (same client? put extra GSTINs in Other GSTINs); ","")&amp;IF(AND(AR966&gt;0,V966=""),"Financial year missing; ","")&amp;IF(AND(AR966=0,V966&lt;&gt;""),"Financial year given but no service is Yes; ","")&amp;IF(AND(W966="Yes",AN966=""),"GST needs a GSTIN; ","")&amp;IF(AND(W966="Yes",X966=""),"GST return frequency missing; ","")&amp;IF(AND(Y966="Yes",TRIM(H966)=""),"TDS needs a TAN; ","")&amp;IF(AND(AA966="Yes",AQ966&lt;&gt;"",AQ966&lt;&gt;"company",AQ966&lt;&gt;"llp"),"ROC is only for a company / LLP; ","")&amp;IF(AND(AA966="Yes",OR(AQ966="company",AQ966="llp"),TRIM(I966)=""),"ROC needs the CIN / LLPIN; ","")</f>
        <v/>
      </c>
    </row>
    <row r="967">
      <c r="A967" s="30" t="n"/>
      <c r="B967" s="31" t="n"/>
      <c r="C967" s="31" t="n"/>
      <c r="D967" s="31" t="n"/>
      <c r="E967" s="30" t="n"/>
      <c r="F967" s="30" t="n"/>
      <c r="G967" s="30" t="n"/>
      <c r="H967" s="30" t="n"/>
      <c r="I967" s="30" t="n"/>
      <c r="J967" s="32" t="n"/>
      <c r="K967" s="31" t="n"/>
      <c r="L967" s="30" t="n"/>
      <c r="M967" s="31" t="n"/>
      <c r="N967" s="31" t="n"/>
      <c r="O967" s="31" t="n"/>
      <c r="P967" s="30" t="n"/>
      <c r="Q967" s="31" t="n"/>
      <c r="R967" s="31" t="n"/>
      <c r="S967" s="31" t="n"/>
      <c r="T967" s="31" t="n"/>
      <c r="U967" s="30" t="n"/>
      <c r="V967" s="31" t="n"/>
      <c r="W967" s="31" t="n"/>
      <c r="X967" s="31" t="n"/>
      <c r="Y967" s="31" t="n"/>
      <c r="Z967" s="31" t="n"/>
      <c r="AA967" s="31" t="n"/>
      <c r="AB967" s="31" t="n"/>
      <c r="AC967" s="31" t="n"/>
      <c r="AD967" s="31" t="n"/>
      <c r="AE967" s="31" t="n"/>
      <c r="AF967" s="27">
        <f>IF(NOT(COUNTA(A967:AE967)&gt;0),"",IF(A967="","New client","Update"))</f>
        <v/>
      </c>
      <c r="AG967" s="27">
        <f>IF(AO967&lt;&gt;"",AO967,IF(LEN(AN967)=15,MID(AN967,3,10),""))</f>
        <v/>
      </c>
      <c r="AH967" s="27">
        <f>IF(AP967="","",AP967&amp;IF(D967="","  (guessed from PAN)",""))</f>
        <v/>
      </c>
      <c r="AI967" s="27">
        <f>IF(AN967="","",IFERROR(INDEX(Lists!$L$2:$L$38,MATCH(LEFT(AN967,2),Lists!$K$2:$K$38,0)),"Unknown code"))</f>
        <v/>
      </c>
      <c r="AJ967" s="27">
        <f>IF(AN967="","",IFERROR(IF(NOT(AND(LEN(AN967)=15,ISNUMBER(MATCH(LEFT(AN967,2),Lists!$K$2:$K$38,0)),SUMPRODUCT(--ISERROR(FIND(MID(MID(AN967,3,10),{1,2,3,4,5,10},1),"ABCDEFGHIJKLMNOPQRSTUVWXYZ")))=0,SUMPRODUCT(--ISERROR(FIND(MID(MID(AN967,3,10),{6,7,8,9},1),"0123456789")))=0,ISNUMBER(FIND(MID(AN967,13,1),"123456789ABCDEFGHIJKLMNOPQRSTUVWXYZ")),MID(AN967,14,1)="Z")),"Wrong format",IF(MID("0123456789ABCDEFGHIJKLMNOPQRSTUVWXYZ",MOD(36-MOD(SUMPRODUCT(INT((FIND(MID(AN967,{1,2,3,4,5,6,7,8,9,10,11,12,13,14},1),"0123456789ABCDEFGHIJKLMNOPQRSTUVWXYZ")-1)*{1,2,1,2,1,2,1,2,1,2,1,2,1,2}/36)+MOD((FIND(MID(AN967,{1,2,3,4,5,6,7,8,9,10,11,12,13,14},1),"0123456789ABCDEFGHIJKLMNOPQRSTUVWXYZ")-1)*{1,2,1,2,1,2,1,2,1,2,1,2,1,2},36)),36),36)+1,1)=MID(AN967,15,1),"OK","Typo? check digit wrong")),"Wrong format"))</f>
        <v/>
      </c>
      <c r="AK967" s="27">
        <f>IF(AO967="","",IF(AND(LEN(AO967)=10,SUMPRODUCT(--ISERROR(FIND(MID(AO967,{1,2,3,4,5,10},1),"ABCDEFGHIJKLMNOPQRSTUVWXYZ")))=0,SUMPRODUCT(--ISERROR(FIND(MID(AO967,{6,7,8,9},1),"0123456789")))=0),"OK","Wrong format"))</f>
        <v/>
      </c>
      <c r="AL967" s="27">
        <f>IF(TRIM(H967)="","",IF(AND(LEN(UPPER(TRIM(H967)))=10,SUMPRODUCT(--ISERROR(FIND(MID(UPPER(TRIM(H967)),{1,2,3,4,10},1),"ABCDEFGHIJKLMNOPQRSTUVWXYZ")))=0,SUMPRODUCT(--ISERROR(FIND(MID(UPPER(TRIM(H967)),{5,6,7,8,9},1),"0123456789")))=0),"OK","Wrong format"))</f>
        <v/>
      </c>
      <c r="AM967" s="28">
        <f>IF(NOT(COUNTA(A967:AE967)&gt;0),"",IF(AS967&lt;&gt;"","✖ "&amp;LEFT(AS967,LEN(AS967)-2),IF(AR967&gt;0,"✔ Ready — client + "&amp;AR967&amp;" service(s)","✔ Ready — client only")))</f>
        <v/>
      </c>
      <c r="AN967" s="29">
        <f>UPPER(SUBSTITUTE(TRIM(F967)," ",""))</f>
        <v/>
      </c>
      <c r="AO967" s="29">
        <f>UPPER(SUBSTITUTE(TRIM(E967)," ",""))</f>
        <v/>
      </c>
      <c r="AP967" s="29">
        <f>IF(D967&lt;&gt;"",D967,IFERROR(VLOOKUP(MID(AG967,4,1),Lists!$E$2:$F$8,2,FALSE),""))</f>
        <v/>
      </c>
      <c r="AQ967" s="29">
        <f>IFERROR(VLOOKUP(AP967,Lists!$A$2:$C$12,3,FALSE),"")</f>
        <v/>
      </c>
      <c r="AR967" s="29">
        <f>COUNTIF(W967:AC967,"Yes")</f>
        <v/>
      </c>
      <c r="AS967" s="29">
        <f>IF(TRIM(B967)="","Legal name missing; ","")&amp;IF(AND(AJ967&lt;&gt;"",AJ967&lt;&gt;"OK"),"GSTIN: "&amp;AJ967&amp;"; ","")&amp;IF(AND(AK967&lt;&gt;"",AK967&lt;&gt;"OK"),"PAN wrong format; ","")&amp;IF(AND(AO967&lt;&gt;"",LEN(AN967)=15,MID(AN967,3,10)&lt;&gt;AO967),"PAN does not match GSTIN; ","")&amp;IF(AND(AL967&lt;&gt;"",AL967&lt;&gt;"OK"),"TAN wrong format; ","")&amp;IF(AG967="","PAN missing; ","")&amp;IF(AP967="","Entity type missing; ","")&amp;IF(AND(AN967&lt;&gt;"",COUNTIF($AN$6:$AN$1005,AN967)&gt;1),"GSTIN repeated in this sheet; ","")&amp;IF(AND(AG967&lt;&gt;"",COUNTIF($AG$6:$AG$1005,AG967)&gt;1),"PAN repeated in this sheet (same client? put extra GSTINs in Other GSTINs); ","")&amp;IF(AND(AR967&gt;0,V967=""),"Financial year missing; ","")&amp;IF(AND(AR967=0,V967&lt;&gt;""),"Financial year given but no service is Yes; ","")&amp;IF(AND(W967="Yes",AN967=""),"GST needs a GSTIN; ","")&amp;IF(AND(W967="Yes",X967=""),"GST return frequency missing; ","")&amp;IF(AND(Y967="Yes",TRIM(H967)=""),"TDS needs a TAN; ","")&amp;IF(AND(AA967="Yes",AQ967&lt;&gt;"",AQ967&lt;&gt;"company",AQ967&lt;&gt;"llp"),"ROC is only for a company / LLP; ","")&amp;IF(AND(AA967="Yes",OR(AQ967="company",AQ967="llp"),TRIM(I967)=""),"ROC needs the CIN / LLPIN; ","")</f>
        <v/>
      </c>
    </row>
    <row r="968">
      <c r="A968" s="30" t="n"/>
      <c r="B968" s="31" t="n"/>
      <c r="C968" s="31" t="n"/>
      <c r="D968" s="31" t="n"/>
      <c r="E968" s="30" t="n"/>
      <c r="F968" s="30" t="n"/>
      <c r="G968" s="30" t="n"/>
      <c r="H968" s="30" t="n"/>
      <c r="I968" s="30" t="n"/>
      <c r="J968" s="32" t="n"/>
      <c r="K968" s="31" t="n"/>
      <c r="L968" s="30" t="n"/>
      <c r="M968" s="31" t="n"/>
      <c r="N968" s="31" t="n"/>
      <c r="O968" s="31" t="n"/>
      <c r="P968" s="30" t="n"/>
      <c r="Q968" s="31" t="n"/>
      <c r="R968" s="31" t="n"/>
      <c r="S968" s="31" t="n"/>
      <c r="T968" s="31" t="n"/>
      <c r="U968" s="30" t="n"/>
      <c r="V968" s="31" t="n"/>
      <c r="W968" s="31" t="n"/>
      <c r="X968" s="31" t="n"/>
      <c r="Y968" s="31" t="n"/>
      <c r="Z968" s="31" t="n"/>
      <c r="AA968" s="31" t="n"/>
      <c r="AB968" s="31" t="n"/>
      <c r="AC968" s="31" t="n"/>
      <c r="AD968" s="31" t="n"/>
      <c r="AE968" s="31" t="n"/>
      <c r="AF968" s="27">
        <f>IF(NOT(COUNTA(A968:AE968)&gt;0),"",IF(A968="","New client","Update"))</f>
        <v/>
      </c>
      <c r="AG968" s="27">
        <f>IF(AO968&lt;&gt;"",AO968,IF(LEN(AN968)=15,MID(AN968,3,10),""))</f>
        <v/>
      </c>
      <c r="AH968" s="27">
        <f>IF(AP968="","",AP968&amp;IF(D968="","  (guessed from PAN)",""))</f>
        <v/>
      </c>
      <c r="AI968" s="27">
        <f>IF(AN968="","",IFERROR(INDEX(Lists!$L$2:$L$38,MATCH(LEFT(AN968,2),Lists!$K$2:$K$38,0)),"Unknown code"))</f>
        <v/>
      </c>
      <c r="AJ968" s="27">
        <f>IF(AN968="","",IFERROR(IF(NOT(AND(LEN(AN968)=15,ISNUMBER(MATCH(LEFT(AN968,2),Lists!$K$2:$K$38,0)),SUMPRODUCT(--ISERROR(FIND(MID(MID(AN968,3,10),{1,2,3,4,5,10},1),"ABCDEFGHIJKLMNOPQRSTUVWXYZ")))=0,SUMPRODUCT(--ISERROR(FIND(MID(MID(AN968,3,10),{6,7,8,9},1),"0123456789")))=0,ISNUMBER(FIND(MID(AN968,13,1),"123456789ABCDEFGHIJKLMNOPQRSTUVWXYZ")),MID(AN968,14,1)="Z")),"Wrong format",IF(MID("0123456789ABCDEFGHIJKLMNOPQRSTUVWXYZ",MOD(36-MOD(SUMPRODUCT(INT((FIND(MID(AN968,{1,2,3,4,5,6,7,8,9,10,11,12,13,14},1),"0123456789ABCDEFGHIJKLMNOPQRSTUVWXYZ")-1)*{1,2,1,2,1,2,1,2,1,2,1,2,1,2}/36)+MOD((FIND(MID(AN968,{1,2,3,4,5,6,7,8,9,10,11,12,13,14},1),"0123456789ABCDEFGHIJKLMNOPQRSTUVWXYZ")-1)*{1,2,1,2,1,2,1,2,1,2,1,2,1,2},36)),36),36)+1,1)=MID(AN968,15,1),"OK","Typo? check digit wrong")),"Wrong format"))</f>
        <v/>
      </c>
      <c r="AK968" s="27">
        <f>IF(AO968="","",IF(AND(LEN(AO968)=10,SUMPRODUCT(--ISERROR(FIND(MID(AO968,{1,2,3,4,5,10},1),"ABCDEFGHIJKLMNOPQRSTUVWXYZ")))=0,SUMPRODUCT(--ISERROR(FIND(MID(AO968,{6,7,8,9},1),"0123456789")))=0),"OK","Wrong format"))</f>
        <v/>
      </c>
      <c r="AL968" s="27">
        <f>IF(TRIM(H968)="","",IF(AND(LEN(UPPER(TRIM(H968)))=10,SUMPRODUCT(--ISERROR(FIND(MID(UPPER(TRIM(H968)),{1,2,3,4,10},1),"ABCDEFGHIJKLMNOPQRSTUVWXYZ")))=0,SUMPRODUCT(--ISERROR(FIND(MID(UPPER(TRIM(H968)),{5,6,7,8,9},1),"0123456789")))=0),"OK","Wrong format"))</f>
        <v/>
      </c>
      <c r="AM968" s="28">
        <f>IF(NOT(COUNTA(A968:AE968)&gt;0),"",IF(AS968&lt;&gt;"","✖ "&amp;LEFT(AS968,LEN(AS968)-2),IF(AR968&gt;0,"✔ Ready — client + "&amp;AR968&amp;" service(s)","✔ Ready — client only")))</f>
        <v/>
      </c>
      <c r="AN968" s="29">
        <f>UPPER(SUBSTITUTE(TRIM(F968)," ",""))</f>
        <v/>
      </c>
      <c r="AO968" s="29">
        <f>UPPER(SUBSTITUTE(TRIM(E968)," ",""))</f>
        <v/>
      </c>
      <c r="AP968" s="29">
        <f>IF(D968&lt;&gt;"",D968,IFERROR(VLOOKUP(MID(AG968,4,1),Lists!$E$2:$F$8,2,FALSE),""))</f>
        <v/>
      </c>
      <c r="AQ968" s="29">
        <f>IFERROR(VLOOKUP(AP968,Lists!$A$2:$C$12,3,FALSE),"")</f>
        <v/>
      </c>
      <c r="AR968" s="29">
        <f>COUNTIF(W968:AC968,"Yes")</f>
        <v/>
      </c>
      <c r="AS968" s="29">
        <f>IF(TRIM(B968)="","Legal name missing; ","")&amp;IF(AND(AJ968&lt;&gt;"",AJ968&lt;&gt;"OK"),"GSTIN: "&amp;AJ968&amp;"; ","")&amp;IF(AND(AK968&lt;&gt;"",AK968&lt;&gt;"OK"),"PAN wrong format; ","")&amp;IF(AND(AO968&lt;&gt;"",LEN(AN968)=15,MID(AN968,3,10)&lt;&gt;AO968),"PAN does not match GSTIN; ","")&amp;IF(AND(AL968&lt;&gt;"",AL968&lt;&gt;"OK"),"TAN wrong format; ","")&amp;IF(AG968="","PAN missing; ","")&amp;IF(AP968="","Entity type missing; ","")&amp;IF(AND(AN968&lt;&gt;"",COUNTIF($AN$6:$AN$1005,AN968)&gt;1),"GSTIN repeated in this sheet; ","")&amp;IF(AND(AG968&lt;&gt;"",COUNTIF($AG$6:$AG$1005,AG968)&gt;1),"PAN repeated in this sheet (same client? put extra GSTINs in Other GSTINs); ","")&amp;IF(AND(AR968&gt;0,V968=""),"Financial year missing; ","")&amp;IF(AND(AR968=0,V968&lt;&gt;""),"Financial year given but no service is Yes; ","")&amp;IF(AND(W968="Yes",AN968=""),"GST needs a GSTIN; ","")&amp;IF(AND(W968="Yes",X968=""),"GST return frequency missing; ","")&amp;IF(AND(Y968="Yes",TRIM(H968)=""),"TDS needs a TAN; ","")&amp;IF(AND(AA968="Yes",AQ968&lt;&gt;"",AQ968&lt;&gt;"company",AQ968&lt;&gt;"llp"),"ROC is only for a company / LLP; ","")&amp;IF(AND(AA968="Yes",OR(AQ968="company",AQ968="llp"),TRIM(I968)=""),"ROC needs the CIN / LLPIN; ","")</f>
        <v/>
      </c>
    </row>
    <row r="969">
      <c r="A969" s="30" t="n"/>
      <c r="B969" s="31" t="n"/>
      <c r="C969" s="31" t="n"/>
      <c r="D969" s="31" t="n"/>
      <c r="E969" s="30" t="n"/>
      <c r="F969" s="30" t="n"/>
      <c r="G969" s="30" t="n"/>
      <c r="H969" s="30" t="n"/>
      <c r="I969" s="30" t="n"/>
      <c r="J969" s="32" t="n"/>
      <c r="K969" s="31" t="n"/>
      <c r="L969" s="30" t="n"/>
      <c r="M969" s="31" t="n"/>
      <c r="N969" s="31" t="n"/>
      <c r="O969" s="31" t="n"/>
      <c r="P969" s="30" t="n"/>
      <c r="Q969" s="31" t="n"/>
      <c r="R969" s="31" t="n"/>
      <c r="S969" s="31" t="n"/>
      <c r="T969" s="31" t="n"/>
      <c r="U969" s="30" t="n"/>
      <c r="V969" s="31" t="n"/>
      <c r="W969" s="31" t="n"/>
      <c r="X969" s="31" t="n"/>
      <c r="Y969" s="31" t="n"/>
      <c r="Z969" s="31" t="n"/>
      <c r="AA969" s="31" t="n"/>
      <c r="AB969" s="31" t="n"/>
      <c r="AC969" s="31" t="n"/>
      <c r="AD969" s="31" t="n"/>
      <c r="AE969" s="31" t="n"/>
      <c r="AF969" s="27">
        <f>IF(NOT(COUNTA(A969:AE969)&gt;0),"",IF(A969="","New client","Update"))</f>
        <v/>
      </c>
      <c r="AG969" s="27">
        <f>IF(AO969&lt;&gt;"",AO969,IF(LEN(AN969)=15,MID(AN969,3,10),""))</f>
        <v/>
      </c>
      <c r="AH969" s="27">
        <f>IF(AP969="","",AP969&amp;IF(D969="","  (guessed from PAN)",""))</f>
        <v/>
      </c>
      <c r="AI969" s="27">
        <f>IF(AN969="","",IFERROR(INDEX(Lists!$L$2:$L$38,MATCH(LEFT(AN969,2),Lists!$K$2:$K$38,0)),"Unknown code"))</f>
        <v/>
      </c>
      <c r="AJ969" s="27">
        <f>IF(AN969="","",IFERROR(IF(NOT(AND(LEN(AN969)=15,ISNUMBER(MATCH(LEFT(AN969,2),Lists!$K$2:$K$38,0)),SUMPRODUCT(--ISERROR(FIND(MID(MID(AN969,3,10),{1,2,3,4,5,10},1),"ABCDEFGHIJKLMNOPQRSTUVWXYZ")))=0,SUMPRODUCT(--ISERROR(FIND(MID(MID(AN969,3,10),{6,7,8,9},1),"0123456789")))=0,ISNUMBER(FIND(MID(AN969,13,1),"123456789ABCDEFGHIJKLMNOPQRSTUVWXYZ")),MID(AN969,14,1)="Z")),"Wrong format",IF(MID("0123456789ABCDEFGHIJKLMNOPQRSTUVWXYZ",MOD(36-MOD(SUMPRODUCT(INT((FIND(MID(AN969,{1,2,3,4,5,6,7,8,9,10,11,12,13,14},1),"0123456789ABCDEFGHIJKLMNOPQRSTUVWXYZ")-1)*{1,2,1,2,1,2,1,2,1,2,1,2,1,2}/36)+MOD((FIND(MID(AN969,{1,2,3,4,5,6,7,8,9,10,11,12,13,14},1),"0123456789ABCDEFGHIJKLMNOPQRSTUVWXYZ")-1)*{1,2,1,2,1,2,1,2,1,2,1,2,1,2},36)),36),36)+1,1)=MID(AN969,15,1),"OK","Typo? check digit wrong")),"Wrong format"))</f>
        <v/>
      </c>
      <c r="AK969" s="27">
        <f>IF(AO969="","",IF(AND(LEN(AO969)=10,SUMPRODUCT(--ISERROR(FIND(MID(AO969,{1,2,3,4,5,10},1),"ABCDEFGHIJKLMNOPQRSTUVWXYZ")))=0,SUMPRODUCT(--ISERROR(FIND(MID(AO969,{6,7,8,9},1),"0123456789")))=0),"OK","Wrong format"))</f>
        <v/>
      </c>
      <c r="AL969" s="27">
        <f>IF(TRIM(H969)="","",IF(AND(LEN(UPPER(TRIM(H969)))=10,SUMPRODUCT(--ISERROR(FIND(MID(UPPER(TRIM(H969)),{1,2,3,4,10},1),"ABCDEFGHIJKLMNOPQRSTUVWXYZ")))=0,SUMPRODUCT(--ISERROR(FIND(MID(UPPER(TRIM(H969)),{5,6,7,8,9},1),"0123456789")))=0),"OK","Wrong format"))</f>
        <v/>
      </c>
      <c r="AM969" s="28">
        <f>IF(NOT(COUNTA(A969:AE969)&gt;0),"",IF(AS969&lt;&gt;"","✖ "&amp;LEFT(AS969,LEN(AS969)-2),IF(AR969&gt;0,"✔ Ready — client + "&amp;AR969&amp;" service(s)","✔ Ready — client only")))</f>
        <v/>
      </c>
      <c r="AN969" s="29">
        <f>UPPER(SUBSTITUTE(TRIM(F969)," ",""))</f>
        <v/>
      </c>
      <c r="AO969" s="29">
        <f>UPPER(SUBSTITUTE(TRIM(E969)," ",""))</f>
        <v/>
      </c>
      <c r="AP969" s="29">
        <f>IF(D969&lt;&gt;"",D969,IFERROR(VLOOKUP(MID(AG969,4,1),Lists!$E$2:$F$8,2,FALSE),""))</f>
        <v/>
      </c>
      <c r="AQ969" s="29">
        <f>IFERROR(VLOOKUP(AP969,Lists!$A$2:$C$12,3,FALSE),"")</f>
        <v/>
      </c>
      <c r="AR969" s="29">
        <f>COUNTIF(W969:AC969,"Yes")</f>
        <v/>
      </c>
      <c r="AS969" s="29">
        <f>IF(TRIM(B969)="","Legal name missing; ","")&amp;IF(AND(AJ969&lt;&gt;"",AJ969&lt;&gt;"OK"),"GSTIN: "&amp;AJ969&amp;"; ","")&amp;IF(AND(AK969&lt;&gt;"",AK969&lt;&gt;"OK"),"PAN wrong format; ","")&amp;IF(AND(AO969&lt;&gt;"",LEN(AN969)=15,MID(AN969,3,10)&lt;&gt;AO969),"PAN does not match GSTIN; ","")&amp;IF(AND(AL969&lt;&gt;"",AL969&lt;&gt;"OK"),"TAN wrong format; ","")&amp;IF(AG969="","PAN missing; ","")&amp;IF(AP969="","Entity type missing; ","")&amp;IF(AND(AN969&lt;&gt;"",COUNTIF($AN$6:$AN$1005,AN969)&gt;1),"GSTIN repeated in this sheet; ","")&amp;IF(AND(AG969&lt;&gt;"",COUNTIF($AG$6:$AG$1005,AG969)&gt;1),"PAN repeated in this sheet (same client? put extra GSTINs in Other GSTINs); ","")&amp;IF(AND(AR969&gt;0,V969=""),"Financial year missing; ","")&amp;IF(AND(AR969=0,V969&lt;&gt;""),"Financial year given but no service is Yes; ","")&amp;IF(AND(W969="Yes",AN969=""),"GST needs a GSTIN; ","")&amp;IF(AND(W969="Yes",X969=""),"GST return frequency missing; ","")&amp;IF(AND(Y969="Yes",TRIM(H969)=""),"TDS needs a TAN; ","")&amp;IF(AND(AA969="Yes",AQ969&lt;&gt;"",AQ969&lt;&gt;"company",AQ969&lt;&gt;"llp"),"ROC is only for a company / LLP; ","")&amp;IF(AND(AA969="Yes",OR(AQ969="company",AQ969="llp"),TRIM(I969)=""),"ROC needs the CIN / LLPIN; ","")</f>
        <v/>
      </c>
    </row>
    <row r="970">
      <c r="A970" s="30" t="n"/>
      <c r="B970" s="31" t="n"/>
      <c r="C970" s="31" t="n"/>
      <c r="D970" s="31" t="n"/>
      <c r="E970" s="30" t="n"/>
      <c r="F970" s="30" t="n"/>
      <c r="G970" s="30" t="n"/>
      <c r="H970" s="30" t="n"/>
      <c r="I970" s="30" t="n"/>
      <c r="J970" s="32" t="n"/>
      <c r="K970" s="31" t="n"/>
      <c r="L970" s="30" t="n"/>
      <c r="M970" s="31" t="n"/>
      <c r="N970" s="31" t="n"/>
      <c r="O970" s="31" t="n"/>
      <c r="P970" s="30" t="n"/>
      <c r="Q970" s="31" t="n"/>
      <c r="R970" s="31" t="n"/>
      <c r="S970" s="31" t="n"/>
      <c r="T970" s="31" t="n"/>
      <c r="U970" s="30" t="n"/>
      <c r="V970" s="31" t="n"/>
      <c r="W970" s="31" t="n"/>
      <c r="X970" s="31" t="n"/>
      <c r="Y970" s="31" t="n"/>
      <c r="Z970" s="31" t="n"/>
      <c r="AA970" s="31" t="n"/>
      <c r="AB970" s="31" t="n"/>
      <c r="AC970" s="31" t="n"/>
      <c r="AD970" s="31" t="n"/>
      <c r="AE970" s="31" t="n"/>
      <c r="AF970" s="27">
        <f>IF(NOT(COUNTA(A970:AE970)&gt;0),"",IF(A970="","New client","Update"))</f>
        <v/>
      </c>
      <c r="AG970" s="27">
        <f>IF(AO970&lt;&gt;"",AO970,IF(LEN(AN970)=15,MID(AN970,3,10),""))</f>
        <v/>
      </c>
      <c r="AH970" s="27">
        <f>IF(AP970="","",AP970&amp;IF(D970="","  (guessed from PAN)",""))</f>
        <v/>
      </c>
      <c r="AI970" s="27">
        <f>IF(AN970="","",IFERROR(INDEX(Lists!$L$2:$L$38,MATCH(LEFT(AN970,2),Lists!$K$2:$K$38,0)),"Unknown code"))</f>
        <v/>
      </c>
      <c r="AJ970" s="27">
        <f>IF(AN970="","",IFERROR(IF(NOT(AND(LEN(AN970)=15,ISNUMBER(MATCH(LEFT(AN970,2),Lists!$K$2:$K$38,0)),SUMPRODUCT(--ISERROR(FIND(MID(MID(AN970,3,10),{1,2,3,4,5,10},1),"ABCDEFGHIJKLMNOPQRSTUVWXYZ")))=0,SUMPRODUCT(--ISERROR(FIND(MID(MID(AN970,3,10),{6,7,8,9},1),"0123456789")))=0,ISNUMBER(FIND(MID(AN970,13,1),"123456789ABCDEFGHIJKLMNOPQRSTUVWXYZ")),MID(AN970,14,1)="Z")),"Wrong format",IF(MID("0123456789ABCDEFGHIJKLMNOPQRSTUVWXYZ",MOD(36-MOD(SUMPRODUCT(INT((FIND(MID(AN970,{1,2,3,4,5,6,7,8,9,10,11,12,13,14},1),"0123456789ABCDEFGHIJKLMNOPQRSTUVWXYZ")-1)*{1,2,1,2,1,2,1,2,1,2,1,2,1,2}/36)+MOD((FIND(MID(AN970,{1,2,3,4,5,6,7,8,9,10,11,12,13,14},1),"0123456789ABCDEFGHIJKLMNOPQRSTUVWXYZ")-1)*{1,2,1,2,1,2,1,2,1,2,1,2,1,2},36)),36),36)+1,1)=MID(AN970,15,1),"OK","Typo? check digit wrong")),"Wrong format"))</f>
        <v/>
      </c>
      <c r="AK970" s="27">
        <f>IF(AO970="","",IF(AND(LEN(AO970)=10,SUMPRODUCT(--ISERROR(FIND(MID(AO970,{1,2,3,4,5,10},1),"ABCDEFGHIJKLMNOPQRSTUVWXYZ")))=0,SUMPRODUCT(--ISERROR(FIND(MID(AO970,{6,7,8,9},1),"0123456789")))=0),"OK","Wrong format"))</f>
        <v/>
      </c>
      <c r="AL970" s="27">
        <f>IF(TRIM(H970)="","",IF(AND(LEN(UPPER(TRIM(H970)))=10,SUMPRODUCT(--ISERROR(FIND(MID(UPPER(TRIM(H970)),{1,2,3,4,10},1),"ABCDEFGHIJKLMNOPQRSTUVWXYZ")))=0,SUMPRODUCT(--ISERROR(FIND(MID(UPPER(TRIM(H970)),{5,6,7,8,9},1),"0123456789")))=0),"OK","Wrong format"))</f>
        <v/>
      </c>
      <c r="AM970" s="28">
        <f>IF(NOT(COUNTA(A970:AE970)&gt;0),"",IF(AS970&lt;&gt;"","✖ "&amp;LEFT(AS970,LEN(AS970)-2),IF(AR970&gt;0,"✔ Ready — client + "&amp;AR970&amp;" service(s)","✔ Ready — client only")))</f>
        <v/>
      </c>
      <c r="AN970" s="29">
        <f>UPPER(SUBSTITUTE(TRIM(F970)," ",""))</f>
        <v/>
      </c>
      <c r="AO970" s="29">
        <f>UPPER(SUBSTITUTE(TRIM(E970)," ",""))</f>
        <v/>
      </c>
      <c r="AP970" s="29">
        <f>IF(D970&lt;&gt;"",D970,IFERROR(VLOOKUP(MID(AG970,4,1),Lists!$E$2:$F$8,2,FALSE),""))</f>
        <v/>
      </c>
      <c r="AQ970" s="29">
        <f>IFERROR(VLOOKUP(AP970,Lists!$A$2:$C$12,3,FALSE),"")</f>
        <v/>
      </c>
      <c r="AR970" s="29">
        <f>COUNTIF(W970:AC970,"Yes")</f>
        <v/>
      </c>
      <c r="AS970" s="29">
        <f>IF(TRIM(B970)="","Legal name missing; ","")&amp;IF(AND(AJ970&lt;&gt;"",AJ970&lt;&gt;"OK"),"GSTIN: "&amp;AJ970&amp;"; ","")&amp;IF(AND(AK970&lt;&gt;"",AK970&lt;&gt;"OK"),"PAN wrong format; ","")&amp;IF(AND(AO970&lt;&gt;"",LEN(AN970)=15,MID(AN970,3,10)&lt;&gt;AO970),"PAN does not match GSTIN; ","")&amp;IF(AND(AL970&lt;&gt;"",AL970&lt;&gt;"OK"),"TAN wrong format; ","")&amp;IF(AG970="","PAN missing; ","")&amp;IF(AP970="","Entity type missing; ","")&amp;IF(AND(AN970&lt;&gt;"",COUNTIF($AN$6:$AN$1005,AN970)&gt;1),"GSTIN repeated in this sheet; ","")&amp;IF(AND(AG970&lt;&gt;"",COUNTIF($AG$6:$AG$1005,AG970)&gt;1),"PAN repeated in this sheet (same client? put extra GSTINs in Other GSTINs); ","")&amp;IF(AND(AR970&gt;0,V970=""),"Financial year missing; ","")&amp;IF(AND(AR970=0,V970&lt;&gt;""),"Financial year given but no service is Yes; ","")&amp;IF(AND(W970="Yes",AN970=""),"GST needs a GSTIN; ","")&amp;IF(AND(W970="Yes",X970=""),"GST return frequency missing; ","")&amp;IF(AND(Y970="Yes",TRIM(H970)=""),"TDS needs a TAN; ","")&amp;IF(AND(AA970="Yes",AQ970&lt;&gt;"",AQ970&lt;&gt;"company",AQ970&lt;&gt;"llp"),"ROC is only for a company / LLP; ","")&amp;IF(AND(AA970="Yes",OR(AQ970="company",AQ970="llp"),TRIM(I970)=""),"ROC needs the CIN / LLPIN; ","")</f>
        <v/>
      </c>
    </row>
    <row r="971">
      <c r="A971" s="30" t="n"/>
      <c r="B971" s="31" t="n"/>
      <c r="C971" s="31" t="n"/>
      <c r="D971" s="31" t="n"/>
      <c r="E971" s="30" t="n"/>
      <c r="F971" s="30" t="n"/>
      <c r="G971" s="30" t="n"/>
      <c r="H971" s="30" t="n"/>
      <c r="I971" s="30" t="n"/>
      <c r="J971" s="32" t="n"/>
      <c r="K971" s="31" t="n"/>
      <c r="L971" s="30" t="n"/>
      <c r="M971" s="31" t="n"/>
      <c r="N971" s="31" t="n"/>
      <c r="O971" s="31" t="n"/>
      <c r="P971" s="30" t="n"/>
      <c r="Q971" s="31" t="n"/>
      <c r="R971" s="31" t="n"/>
      <c r="S971" s="31" t="n"/>
      <c r="T971" s="31" t="n"/>
      <c r="U971" s="30" t="n"/>
      <c r="V971" s="31" t="n"/>
      <c r="W971" s="31" t="n"/>
      <c r="X971" s="31" t="n"/>
      <c r="Y971" s="31" t="n"/>
      <c r="Z971" s="31" t="n"/>
      <c r="AA971" s="31" t="n"/>
      <c r="AB971" s="31" t="n"/>
      <c r="AC971" s="31" t="n"/>
      <c r="AD971" s="31" t="n"/>
      <c r="AE971" s="31" t="n"/>
      <c r="AF971" s="27">
        <f>IF(NOT(COUNTA(A971:AE971)&gt;0),"",IF(A971="","New client","Update"))</f>
        <v/>
      </c>
      <c r="AG971" s="27">
        <f>IF(AO971&lt;&gt;"",AO971,IF(LEN(AN971)=15,MID(AN971,3,10),""))</f>
        <v/>
      </c>
      <c r="AH971" s="27">
        <f>IF(AP971="","",AP971&amp;IF(D971="","  (guessed from PAN)",""))</f>
        <v/>
      </c>
      <c r="AI971" s="27">
        <f>IF(AN971="","",IFERROR(INDEX(Lists!$L$2:$L$38,MATCH(LEFT(AN971,2),Lists!$K$2:$K$38,0)),"Unknown code"))</f>
        <v/>
      </c>
      <c r="AJ971" s="27">
        <f>IF(AN971="","",IFERROR(IF(NOT(AND(LEN(AN971)=15,ISNUMBER(MATCH(LEFT(AN971,2),Lists!$K$2:$K$38,0)),SUMPRODUCT(--ISERROR(FIND(MID(MID(AN971,3,10),{1,2,3,4,5,10},1),"ABCDEFGHIJKLMNOPQRSTUVWXYZ")))=0,SUMPRODUCT(--ISERROR(FIND(MID(MID(AN971,3,10),{6,7,8,9},1),"0123456789")))=0,ISNUMBER(FIND(MID(AN971,13,1),"123456789ABCDEFGHIJKLMNOPQRSTUVWXYZ")),MID(AN971,14,1)="Z")),"Wrong format",IF(MID("0123456789ABCDEFGHIJKLMNOPQRSTUVWXYZ",MOD(36-MOD(SUMPRODUCT(INT((FIND(MID(AN971,{1,2,3,4,5,6,7,8,9,10,11,12,13,14},1),"0123456789ABCDEFGHIJKLMNOPQRSTUVWXYZ")-1)*{1,2,1,2,1,2,1,2,1,2,1,2,1,2}/36)+MOD((FIND(MID(AN971,{1,2,3,4,5,6,7,8,9,10,11,12,13,14},1),"0123456789ABCDEFGHIJKLMNOPQRSTUVWXYZ")-1)*{1,2,1,2,1,2,1,2,1,2,1,2,1,2},36)),36),36)+1,1)=MID(AN971,15,1),"OK","Typo? check digit wrong")),"Wrong format"))</f>
        <v/>
      </c>
      <c r="AK971" s="27">
        <f>IF(AO971="","",IF(AND(LEN(AO971)=10,SUMPRODUCT(--ISERROR(FIND(MID(AO971,{1,2,3,4,5,10},1),"ABCDEFGHIJKLMNOPQRSTUVWXYZ")))=0,SUMPRODUCT(--ISERROR(FIND(MID(AO971,{6,7,8,9},1),"0123456789")))=0),"OK","Wrong format"))</f>
        <v/>
      </c>
      <c r="AL971" s="27">
        <f>IF(TRIM(H971)="","",IF(AND(LEN(UPPER(TRIM(H971)))=10,SUMPRODUCT(--ISERROR(FIND(MID(UPPER(TRIM(H971)),{1,2,3,4,10},1),"ABCDEFGHIJKLMNOPQRSTUVWXYZ")))=0,SUMPRODUCT(--ISERROR(FIND(MID(UPPER(TRIM(H971)),{5,6,7,8,9},1),"0123456789")))=0),"OK","Wrong format"))</f>
        <v/>
      </c>
      <c r="AM971" s="28">
        <f>IF(NOT(COUNTA(A971:AE971)&gt;0),"",IF(AS971&lt;&gt;"","✖ "&amp;LEFT(AS971,LEN(AS971)-2),IF(AR971&gt;0,"✔ Ready — client + "&amp;AR971&amp;" service(s)","✔ Ready — client only")))</f>
        <v/>
      </c>
      <c r="AN971" s="29">
        <f>UPPER(SUBSTITUTE(TRIM(F971)," ",""))</f>
        <v/>
      </c>
      <c r="AO971" s="29">
        <f>UPPER(SUBSTITUTE(TRIM(E971)," ",""))</f>
        <v/>
      </c>
      <c r="AP971" s="29">
        <f>IF(D971&lt;&gt;"",D971,IFERROR(VLOOKUP(MID(AG971,4,1),Lists!$E$2:$F$8,2,FALSE),""))</f>
        <v/>
      </c>
      <c r="AQ971" s="29">
        <f>IFERROR(VLOOKUP(AP971,Lists!$A$2:$C$12,3,FALSE),"")</f>
        <v/>
      </c>
      <c r="AR971" s="29">
        <f>COUNTIF(W971:AC971,"Yes")</f>
        <v/>
      </c>
      <c r="AS971" s="29">
        <f>IF(TRIM(B971)="","Legal name missing; ","")&amp;IF(AND(AJ971&lt;&gt;"",AJ971&lt;&gt;"OK"),"GSTIN: "&amp;AJ971&amp;"; ","")&amp;IF(AND(AK971&lt;&gt;"",AK971&lt;&gt;"OK"),"PAN wrong format; ","")&amp;IF(AND(AO971&lt;&gt;"",LEN(AN971)=15,MID(AN971,3,10)&lt;&gt;AO971),"PAN does not match GSTIN; ","")&amp;IF(AND(AL971&lt;&gt;"",AL971&lt;&gt;"OK"),"TAN wrong format; ","")&amp;IF(AG971="","PAN missing; ","")&amp;IF(AP971="","Entity type missing; ","")&amp;IF(AND(AN971&lt;&gt;"",COUNTIF($AN$6:$AN$1005,AN971)&gt;1),"GSTIN repeated in this sheet; ","")&amp;IF(AND(AG971&lt;&gt;"",COUNTIF($AG$6:$AG$1005,AG971)&gt;1),"PAN repeated in this sheet (same client? put extra GSTINs in Other GSTINs); ","")&amp;IF(AND(AR971&gt;0,V971=""),"Financial year missing; ","")&amp;IF(AND(AR971=0,V971&lt;&gt;""),"Financial year given but no service is Yes; ","")&amp;IF(AND(W971="Yes",AN971=""),"GST needs a GSTIN; ","")&amp;IF(AND(W971="Yes",X971=""),"GST return frequency missing; ","")&amp;IF(AND(Y971="Yes",TRIM(H971)=""),"TDS needs a TAN; ","")&amp;IF(AND(AA971="Yes",AQ971&lt;&gt;"",AQ971&lt;&gt;"company",AQ971&lt;&gt;"llp"),"ROC is only for a company / LLP; ","")&amp;IF(AND(AA971="Yes",OR(AQ971="company",AQ971="llp"),TRIM(I971)=""),"ROC needs the CIN / LLPIN; ","")</f>
        <v/>
      </c>
    </row>
    <row r="972">
      <c r="A972" s="30" t="n"/>
      <c r="B972" s="31" t="n"/>
      <c r="C972" s="31" t="n"/>
      <c r="D972" s="31" t="n"/>
      <c r="E972" s="30" t="n"/>
      <c r="F972" s="30" t="n"/>
      <c r="G972" s="30" t="n"/>
      <c r="H972" s="30" t="n"/>
      <c r="I972" s="30" t="n"/>
      <c r="J972" s="32" t="n"/>
      <c r="K972" s="31" t="n"/>
      <c r="L972" s="30" t="n"/>
      <c r="M972" s="31" t="n"/>
      <c r="N972" s="31" t="n"/>
      <c r="O972" s="31" t="n"/>
      <c r="P972" s="30" t="n"/>
      <c r="Q972" s="31" t="n"/>
      <c r="R972" s="31" t="n"/>
      <c r="S972" s="31" t="n"/>
      <c r="T972" s="31" t="n"/>
      <c r="U972" s="30" t="n"/>
      <c r="V972" s="31" t="n"/>
      <c r="W972" s="31" t="n"/>
      <c r="X972" s="31" t="n"/>
      <c r="Y972" s="31" t="n"/>
      <c r="Z972" s="31" t="n"/>
      <c r="AA972" s="31" t="n"/>
      <c r="AB972" s="31" t="n"/>
      <c r="AC972" s="31" t="n"/>
      <c r="AD972" s="31" t="n"/>
      <c r="AE972" s="31" t="n"/>
      <c r="AF972" s="27">
        <f>IF(NOT(COUNTA(A972:AE972)&gt;0),"",IF(A972="","New client","Update"))</f>
        <v/>
      </c>
      <c r="AG972" s="27">
        <f>IF(AO972&lt;&gt;"",AO972,IF(LEN(AN972)=15,MID(AN972,3,10),""))</f>
        <v/>
      </c>
      <c r="AH972" s="27">
        <f>IF(AP972="","",AP972&amp;IF(D972="","  (guessed from PAN)",""))</f>
        <v/>
      </c>
      <c r="AI972" s="27">
        <f>IF(AN972="","",IFERROR(INDEX(Lists!$L$2:$L$38,MATCH(LEFT(AN972,2),Lists!$K$2:$K$38,0)),"Unknown code"))</f>
        <v/>
      </c>
      <c r="AJ972" s="27">
        <f>IF(AN972="","",IFERROR(IF(NOT(AND(LEN(AN972)=15,ISNUMBER(MATCH(LEFT(AN972,2),Lists!$K$2:$K$38,0)),SUMPRODUCT(--ISERROR(FIND(MID(MID(AN972,3,10),{1,2,3,4,5,10},1),"ABCDEFGHIJKLMNOPQRSTUVWXYZ")))=0,SUMPRODUCT(--ISERROR(FIND(MID(MID(AN972,3,10),{6,7,8,9},1),"0123456789")))=0,ISNUMBER(FIND(MID(AN972,13,1),"123456789ABCDEFGHIJKLMNOPQRSTUVWXYZ")),MID(AN972,14,1)="Z")),"Wrong format",IF(MID("0123456789ABCDEFGHIJKLMNOPQRSTUVWXYZ",MOD(36-MOD(SUMPRODUCT(INT((FIND(MID(AN972,{1,2,3,4,5,6,7,8,9,10,11,12,13,14},1),"0123456789ABCDEFGHIJKLMNOPQRSTUVWXYZ")-1)*{1,2,1,2,1,2,1,2,1,2,1,2,1,2}/36)+MOD((FIND(MID(AN972,{1,2,3,4,5,6,7,8,9,10,11,12,13,14},1),"0123456789ABCDEFGHIJKLMNOPQRSTUVWXYZ")-1)*{1,2,1,2,1,2,1,2,1,2,1,2,1,2},36)),36),36)+1,1)=MID(AN972,15,1),"OK","Typo? check digit wrong")),"Wrong format"))</f>
        <v/>
      </c>
      <c r="AK972" s="27">
        <f>IF(AO972="","",IF(AND(LEN(AO972)=10,SUMPRODUCT(--ISERROR(FIND(MID(AO972,{1,2,3,4,5,10},1),"ABCDEFGHIJKLMNOPQRSTUVWXYZ")))=0,SUMPRODUCT(--ISERROR(FIND(MID(AO972,{6,7,8,9},1),"0123456789")))=0),"OK","Wrong format"))</f>
        <v/>
      </c>
      <c r="AL972" s="27">
        <f>IF(TRIM(H972)="","",IF(AND(LEN(UPPER(TRIM(H972)))=10,SUMPRODUCT(--ISERROR(FIND(MID(UPPER(TRIM(H972)),{1,2,3,4,10},1),"ABCDEFGHIJKLMNOPQRSTUVWXYZ")))=0,SUMPRODUCT(--ISERROR(FIND(MID(UPPER(TRIM(H972)),{5,6,7,8,9},1),"0123456789")))=0),"OK","Wrong format"))</f>
        <v/>
      </c>
      <c r="AM972" s="28">
        <f>IF(NOT(COUNTA(A972:AE972)&gt;0),"",IF(AS972&lt;&gt;"","✖ "&amp;LEFT(AS972,LEN(AS972)-2),IF(AR972&gt;0,"✔ Ready — client + "&amp;AR972&amp;" service(s)","✔ Ready — client only")))</f>
        <v/>
      </c>
      <c r="AN972" s="29">
        <f>UPPER(SUBSTITUTE(TRIM(F972)," ",""))</f>
        <v/>
      </c>
      <c r="AO972" s="29">
        <f>UPPER(SUBSTITUTE(TRIM(E972)," ",""))</f>
        <v/>
      </c>
      <c r="AP972" s="29">
        <f>IF(D972&lt;&gt;"",D972,IFERROR(VLOOKUP(MID(AG972,4,1),Lists!$E$2:$F$8,2,FALSE),""))</f>
        <v/>
      </c>
      <c r="AQ972" s="29">
        <f>IFERROR(VLOOKUP(AP972,Lists!$A$2:$C$12,3,FALSE),"")</f>
        <v/>
      </c>
      <c r="AR972" s="29">
        <f>COUNTIF(W972:AC972,"Yes")</f>
        <v/>
      </c>
      <c r="AS972" s="29">
        <f>IF(TRIM(B972)="","Legal name missing; ","")&amp;IF(AND(AJ972&lt;&gt;"",AJ972&lt;&gt;"OK"),"GSTIN: "&amp;AJ972&amp;"; ","")&amp;IF(AND(AK972&lt;&gt;"",AK972&lt;&gt;"OK"),"PAN wrong format; ","")&amp;IF(AND(AO972&lt;&gt;"",LEN(AN972)=15,MID(AN972,3,10)&lt;&gt;AO972),"PAN does not match GSTIN; ","")&amp;IF(AND(AL972&lt;&gt;"",AL972&lt;&gt;"OK"),"TAN wrong format; ","")&amp;IF(AG972="","PAN missing; ","")&amp;IF(AP972="","Entity type missing; ","")&amp;IF(AND(AN972&lt;&gt;"",COUNTIF($AN$6:$AN$1005,AN972)&gt;1),"GSTIN repeated in this sheet; ","")&amp;IF(AND(AG972&lt;&gt;"",COUNTIF($AG$6:$AG$1005,AG972)&gt;1),"PAN repeated in this sheet (same client? put extra GSTINs in Other GSTINs); ","")&amp;IF(AND(AR972&gt;0,V972=""),"Financial year missing; ","")&amp;IF(AND(AR972=0,V972&lt;&gt;""),"Financial year given but no service is Yes; ","")&amp;IF(AND(W972="Yes",AN972=""),"GST needs a GSTIN; ","")&amp;IF(AND(W972="Yes",X972=""),"GST return frequency missing; ","")&amp;IF(AND(Y972="Yes",TRIM(H972)=""),"TDS needs a TAN; ","")&amp;IF(AND(AA972="Yes",AQ972&lt;&gt;"",AQ972&lt;&gt;"company",AQ972&lt;&gt;"llp"),"ROC is only for a company / LLP; ","")&amp;IF(AND(AA972="Yes",OR(AQ972="company",AQ972="llp"),TRIM(I972)=""),"ROC needs the CIN / LLPIN; ","")</f>
        <v/>
      </c>
    </row>
    <row r="973">
      <c r="A973" s="30" t="n"/>
      <c r="B973" s="31" t="n"/>
      <c r="C973" s="31" t="n"/>
      <c r="D973" s="31" t="n"/>
      <c r="E973" s="30" t="n"/>
      <c r="F973" s="30" t="n"/>
      <c r="G973" s="30" t="n"/>
      <c r="H973" s="30" t="n"/>
      <c r="I973" s="30" t="n"/>
      <c r="J973" s="32" t="n"/>
      <c r="K973" s="31" t="n"/>
      <c r="L973" s="30" t="n"/>
      <c r="M973" s="31" t="n"/>
      <c r="N973" s="31" t="n"/>
      <c r="O973" s="31" t="n"/>
      <c r="P973" s="30" t="n"/>
      <c r="Q973" s="31" t="n"/>
      <c r="R973" s="31" t="n"/>
      <c r="S973" s="31" t="n"/>
      <c r="T973" s="31" t="n"/>
      <c r="U973" s="30" t="n"/>
      <c r="V973" s="31" t="n"/>
      <c r="W973" s="31" t="n"/>
      <c r="X973" s="31" t="n"/>
      <c r="Y973" s="31" t="n"/>
      <c r="Z973" s="31" t="n"/>
      <c r="AA973" s="31" t="n"/>
      <c r="AB973" s="31" t="n"/>
      <c r="AC973" s="31" t="n"/>
      <c r="AD973" s="31" t="n"/>
      <c r="AE973" s="31" t="n"/>
      <c r="AF973" s="27">
        <f>IF(NOT(COUNTA(A973:AE973)&gt;0),"",IF(A973="","New client","Update"))</f>
        <v/>
      </c>
      <c r="AG973" s="27">
        <f>IF(AO973&lt;&gt;"",AO973,IF(LEN(AN973)=15,MID(AN973,3,10),""))</f>
        <v/>
      </c>
      <c r="AH973" s="27">
        <f>IF(AP973="","",AP973&amp;IF(D973="","  (guessed from PAN)",""))</f>
        <v/>
      </c>
      <c r="AI973" s="27">
        <f>IF(AN973="","",IFERROR(INDEX(Lists!$L$2:$L$38,MATCH(LEFT(AN973,2),Lists!$K$2:$K$38,0)),"Unknown code"))</f>
        <v/>
      </c>
      <c r="AJ973" s="27">
        <f>IF(AN973="","",IFERROR(IF(NOT(AND(LEN(AN973)=15,ISNUMBER(MATCH(LEFT(AN973,2),Lists!$K$2:$K$38,0)),SUMPRODUCT(--ISERROR(FIND(MID(MID(AN973,3,10),{1,2,3,4,5,10},1),"ABCDEFGHIJKLMNOPQRSTUVWXYZ")))=0,SUMPRODUCT(--ISERROR(FIND(MID(MID(AN973,3,10),{6,7,8,9},1),"0123456789")))=0,ISNUMBER(FIND(MID(AN973,13,1),"123456789ABCDEFGHIJKLMNOPQRSTUVWXYZ")),MID(AN973,14,1)="Z")),"Wrong format",IF(MID("0123456789ABCDEFGHIJKLMNOPQRSTUVWXYZ",MOD(36-MOD(SUMPRODUCT(INT((FIND(MID(AN973,{1,2,3,4,5,6,7,8,9,10,11,12,13,14},1),"0123456789ABCDEFGHIJKLMNOPQRSTUVWXYZ")-1)*{1,2,1,2,1,2,1,2,1,2,1,2,1,2}/36)+MOD((FIND(MID(AN973,{1,2,3,4,5,6,7,8,9,10,11,12,13,14},1),"0123456789ABCDEFGHIJKLMNOPQRSTUVWXYZ")-1)*{1,2,1,2,1,2,1,2,1,2,1,2,1,2},36)),36),36)+1,1)=MID(AN973,15,1),"OK","Typo? check digit wrong")),"Wrong format"))</f>
        <v/>
      </c>
      <c r="AK973" s="27">
        <f>IF(AO973="","",IF(AND(LEN(AO973)=10,SUMPRODUCT(--ISERROR(FIND(MID(AO973,{1,2,3,4,5,10},1),"ABCDEFGHIJKLMNOPQRSTUVWXYZ")))=0,SUMPRODUCT(--ISERROR(FIND(MID(AO973,{6,7,8,9},1),"0123456789")))=0),"OK","Wrong format"))</f>
        <v/>
      </c>
      <c r="AL973" s="27">
        <f>IF(TRIM(H973)="","",IF(AND(LEN(UPPER(TRIM(H973)))=10,SUMPRODUCT(--ISERROR(FIND(MID(UPPER(TRIM(H973)),{1,2,3,4,10},1),"ABCDEFGHIJKLMNOPQRSTUVWXYZ")))=0,SUMPRODUCT(--ISERROR(FIND(MID(UPPER(TRIM(H973)),{5,6,7,8,9},1),"0123456789")))=0),"OK","Wrong format"))</f>
        <v/>
      </c>
      <c r="AM973" s="28">
        <f>IF(NOT(COUNTA(A973:AE973)&gt;0),"",IF(AS973&lt;&gt;"","✖ "&amp;LEFT(AS973,LEN(AS973)-2),IF(AR973&gt;0,"✔ Ready — client + "&amp;AR973&amp;" service(s)","✔ Ready — client only")))</f>
        <v/>
      </c>
      <c r="AN973" s="29">
        <f>UPPER(SUBSTITUTE(TRIM(F973)," ",""))</f>
        <v/>
      </c>
      <c r="AO973" s="29">
        <f>UPPER(SUBSTITUTE(TRIM(E973)," ",""))</f>
        <v/>
      </c>
      <c r="AP973" s="29">
        <f>IF(D973&lt;&gt;"",D973,IFERROR(VLOOKUP(MID(AG973,4,1),Lists!$E$2:$F$8,2,FALSE),""))</f>
        <v/>
      </c>
      <c r="AQ973" s="29">
        <f>IFERROR(VLOOKUP(AP973,Lists!$A$2:$C$12,3,FALSE),"")</f>
        <v/>
      </c>
      <c r="AR973" s="29">
        <f>COUNTIF(W973:AC973,"Yes")</f>
        <v/>
      </c>
      <c r="AS973" s="29">
        <f>IF(TRIM(B973)="","Legal name missing; ","")&amp;IF(AND(AJ973&lt;&gt;"",AJ973&lt;&gt;"OK"),"GSTIN: "&amp;AJ973&amp;"; ","")&amp;IF(AND(AK973&lt;&gt;"",AK973&lt;&gt;"OK"),"PAN wrong format; ","")&amp;IF(AND(AO973&lt;&gt;"",LEN(AN973)=15,MID(AN973,3,10)&lt;&gt;AO973),"PAN does not match GSTIN; ","")&amp;IF(AND(AL973&lt;&gt;"",AL973&lt;&gt;"OK"),"TAN wrong format; ","")&amp;IF(AG973="","PAN missing; ","")&amp;IF(AP973="","Entity type missing; ","")&amp;IF(AND(AN973&lt;&gt;"",COUNTIF($AN$6:$AN$1005,AN973)&gt;1),"GSTIN repeated in this sheet; ","")&amp;IF(AND(AG973&lt;&gt;"",COUNTIF($AG$6:$AG$1005,AG973)&gt;1),"PAN repeated in this sheet (same client? put extra GSTINs in Other GSTINs); ","")&amp;IF(AND(AR973&gt;0,V973=""),"Financial year missing; ","")&amp;IF(AND(AR973=0,V973&lt;&gt;""),"Financial year given but no service is Yes; ","")&amp;IF(AND(W973="Yes",AN973=""),"GST needs a GSTIN; ","")&amp;IF(AND(W973="Yes",X973=""),"GST return frequency missing; ","")&amp;IF(AND(Y973="Yes",TRIM(H973)=""),"TDS needs a TAN; ","")&amp;IF(AND(AA973="Yes",AQ973&lt;&gt;"",AQ973&lt;&gt;"company",AQ973&lt;&gt;"llp"),"ROC is only for a company / LLP; ","")&amp;IF(AND(AA973="Yes",OR(AQ973="company",AQ973="llp"),TRIM(I973)=""),"ROC needs the CIN / LLPIN; ","")</f>
        <v/>
      </c>
    </row>
    <row r="974">
      <c r="A974" s="30" t="n"/>
      <c r="B974" s="31" t="n"/>
      <c r="C974" s="31" t="n"/>
      <c r="D974" s="31" t="n"/>
      <c r="E974" s="30" t="n"/>
      <c r="F974" s="30" t="n"/>
      <c r="G974" s="30" t="n"/>
      <c r="H974" s="30" t="n"/>
      <c r="I974" s="30" t="n"/>
      <c r="J974" s="32" t="n"/>
      <c r="K974" s="31" t="n"/>
      <c r="L974" s="30" t="n"/>
      <c r="M974" s="31" t="n"/>
      <c r="N974" s="31" t="n"/>
      <c r="O974" s="31" t="n"/>
      <c r="P974" s="30" t="n"/>
      <c r="Q974" s="31" t="n"/>
      <c r="R974" s="31" t="n"/>
      <c r="S974" s="31" t="n"/>
      <c r="T974" s="31" t="n"/>
      <c r="U974" s="30" t="n"/>
      <c r="V974" s="31" t="n"/>
      <c r="W974" s="31" t="n"/>
      <c r="X974" s="31" t="n"/>
      <c r="Y974" s="31" t="n"/>
      <c r="Z974" s="31" t="n"/>
      <c r="AA974" s="31" t="n"/>
      <c r="AB974" s="31" t="n"/>
      <c r="AC974" s="31" t="n"/>
      <c r="AD974" s="31" t="n"/>
      <c r="AE974" s="31" t="n"/>
      <c r="AF974" s="27">
        <f>IF(NOT(COUNTA(A974:AE974)&gt;0),"",IF(A974="","New client","Update"))</f>
        <v/>
      </c>
      <c r="AG974" s="27">
        <f>IF(AO974&lt;&gt;"",AO974,IF(LEN(AN974)=15,MID(AN974,3,10),""))</f>
        <v/>
      </c>
      <c r="AH974" s="27">
        <f>IF(AP974="","",AP974&amp;IF(D974="","  (guessed from PAN)",""))</f>
        <v/>
      </c>
      <c r="AI974" s="27">
        <f>IF(AN974="","",IFERROR(INDEX(Lists!$L$2:$L$38,MATCH(LEFT(AN974,2),Lists!$K$2:$K$38,0)),"Unknown code"))</f>
        <v/>
      </c>
      <c r="AJ974" s="27">
        <f>IF(AN974="","",IFERROR(IF(NOT(AND(LEN(AN974)=15,ISNUMBER(MATCH(LEFT(AN974,2),Lists!$K$2:$K$38,0)),SUMPRODUCT(--ISERROR(FIND(MID(MID(AN974,3,10),{1,2,3,4,5,10},1),"ABCDEFGHIJKLMNOPQRSTUVWXYZ")))=0,SUMPRODUCT(--ISERROR(FIND(MID(MID(AN974,3,10),{6,7,8,9},1),"0123456789")))=0,ISNUMBER(FIND(MID(AN974,13,1),"123456789ABCDEFGHIJKLMNOPQRSTUVWXYZ")),MID(AN974,14,1)="Z")),"Wrong format",IF(MID("0123456789ABCDEFGHIJKLMNOPQRSTUVWXYZ",MOD(36-MOD(SUMPRODUCT(INT((FIND(MID(AN974,{1,2,3,4,5,6,7,8,9,10,11,12,13,14},1),"0123456789ABCDEFGHIJKLMNOPQRSTUVWXYZ")-1)*{1,2,1,2,1,2,1,2,1,2,1,2,1,2}/36)+MOD((FIND(MID(AN974,{1,2,3,4,5,6,7,8,9,10,11,12,13,14},1),"0123456789ABCDEFGHIJKLMNOPQRSTUVWXYZ")-1)*{1,2,1,2,1,2,1,2,1,2,1,2,1,2},36)),36),36)+1,1)=MID(AN974,15,1),"OK","Typo? check digit wrong")),"Wrong format"))</f>
        <v/>
      </c>
      <c r="AK974" s="27">
        <f>IF(AO974="","",IF(AND(LEN(AO974)=10,SUMPRODUCT(--ISERROR(FIND(MID(AO974,{1,2,3,4,5,10},1),"ABCDEFGHIJKLMNOPQRSTUVWXYZ")))=0,SUMPRODUCT(--ISERROR(FIND(MID(AO974,{6,7,8,9},1),"0123456789")))=0),"OK","Wrong format"))</f>
        <v/>
      </c>
      <c r="AL974" s="27">
        <f>IF(TRIM(H974)="","",IF(AND(LEN(UPPER(TRIM(H974)))=10,SUMPRODUCT(--ISERROR(FIND(MID(UPPER(TRIM(H974)),{1,2,3,4,10},1),"ABCDEFGHIJKLMNOPQRSTUVWXYZ")))=0,SUMPRODUCT(--ISERROR(FIND(MID(UPPER(TRIM(H974)),{5,6,7,8,9},1),"0123456789")))=0),"OK","Wrong format"))</f>
        <v/>
      </c>
      <c r="AM974" s="28">
        <f>IF(NOT(COUNTA(A974:AE974)&gt;0),"",IF(AS974&lt;&gt;"","✖ "&amp;LEFT(AS974,LEN(AS974)-2),IF(AR974&gt;0,"✔ Ready — client + "&amp;AR974&amp;" service(s)","✔ Ready — client only")))</f>
        <v/>
      </c>
      <c r="AN974" s="29">
        <f>UPPER(SUBSTITUTE(TRIM(F974)," ",""))</f>
        <v/>
      </c>
      <c r="AO974" s="29">
        <f>UPPER(SUBSTITUTE(TRIM(E974)," ",""))</f>
        <v/>
      </c>
      <c r="AP974" s="29">
        <f>IF(D974&lt;&gt;"",D974,IFERROR(VLOOKUP(MID(AG974,4,1),Lists!$E$2:$F$8,2,FALSE),""))</f>
        <v/>
      </c>
      <c r="AQ974" s="29">
        <f>IFERROR(VLOOKUP(AP974,Lists!$A$2:$C$12,3,FALSE),"")</f>
        <v/>
      </c>
      <c r="AR974" s="29">
        <f>COUNTIF(W974:AC974,"Yes")</f>
        <v/>
      </c>
      <c r="AS974" s="29">
        <f>IF(TRIM(B974)="","Legal name missing; ","")&amp;IF(AND(AJ974&lt;&gt;"",AJ974&lt;&gt;"OK"),"GSTIN: "&amp;AJ974&amp;"; ","")&amp;IF(AND(AK974&lt;&gt;"",AK974&lt;&gt;"OK"),"PAN wrong format; ","")&amp;IF(AND(AO974&lt;&gt;"",LEN(AN974)=15,MID(AN974,3,10)&lt;&gt;AO974),"PAN does not match GSTIN; ","")&amp;IF(AND(AL974&lt;&gt;"",AL974&lt;&gt;"OK"),"TAN wrong format; ","")&amp;IF(AG974="","PAN missing; ","")&amp;IF(AP974="","Entity type missing; ","")&amp;IF(AND(AN974&lt;&gt;"",COUNTIF($AN$6:$AN$1005,AN974)&gt;1),"GSTIN repeated in this sheet; ","")&amp;IF(AND(AG974&lt;&gt;"",COUNTIF($AG$6:$AG$1005,AG974)&gt;1),"PAN repeated in this sheet (same client? put extra GSTINs in Other GSTINs); ","")&amp;IF(AND(AR974&gt;0,V974=""),"Financial year missing; ","")&amp;IF(AND(AR974=0,V974&lt;&gt;""),"Financial year given but no service is Yes; ","")&amp;IF(AND(W974="Yes",AN974=""),"GST needs a GSTIN; ","")&amp;IF(AND(W974="Yes",X974=""),"GST return frequency missing; ","")&amp;IF(AND(Y974="Yes",TRIM(H974)=""),"TDS needs a TAN; ","")&amp;IF(AND(AA974="Yes",AQ974&lt;&gt;"",AQ974&lt;&gt;"company",AQ974&lt;&gt;"llp"),"ROC is only for a company / LLP; ","")&amp;IF(AND(AA974="Yes",OR(AQ974="company",AQ974="llp"),TRIM(I974)=""),"ROC needs the CIN / LLPIN; ","")</f>
        <v/>
      </c>
    </row>
    <row r="975">
      <c r="A975" s="30" t="n"/>
      <c r="B975" s="31" t="n"/>
      <c r="C975" s="31" t="n"/>
      <c r="D975" s="31" t="n"/>
      <c r="E975" s="30" t="n"/>
      <c r="F975" s="30" t="n"/>
      <c r="G975" s="30" t="n"/>
      <c r="H975" s="30" t="n"/>
      <c r="I975" s="30" t="n"/>
      <c r="J975" s="32" t="n"/>
      <c r="K975" s="31" t="n"/>
      <c r="L975" s="30" t="n"/>
      <c r="M975" s="31" t="n"/>
      <c r="N975" s="31" t="n"/>
      <c r="O975" s="31" t="n"/>
      <c r="P975" s="30" t="n"/>
      <c r="Q975" s="31" t="n"/>
      <c r="R975" s="31" t="n"/>
      <c r="S975" s="31" t="n"/>
      <c r="T975" s="31" t="n"/>
      <c r="U975" s="30" t="n"/>
      <c r="V975" s="31" t="n"/>
      <c r="W975" s="31" t="n"/>
      <c r="X975" s="31" t="n"/>
      <c r="Y975" s="31" t="n"/>
      <c r="Z975" s="31" t="n"/>
      <c r="AA975" s="31" t="n"/>
      <c r="AB975" s="31" t="n"/>
      <c r="AC975" s="31" t="n"/>
      <c r="AD975" s="31" t="n"/>
      <c r="AE975" s="31" t="n"/>
      <c r="AF975" s="27">
        <f>IF(NOT(COUNTA(A975:AE975)&gt;0),"",IF(A975="","New client","Update"))</f>
        <v/>
      </c>
      <c r="AG975" s="27">
        <f>IF(AO975&lt;&gt;"",AO975,IF(LEN(AN975)=15,MID(AN975,3,10),""))</f>
        <v/>
      </c>
      <c r="AH975" s="27">
        <f>IF(AP975="","",AP975&amp;IF(D975="","  (guessed from PAN)",""))</f>
        <v/>
      </c>
      <c r="AI975" s="27">
        <f>IF(AN975="","",IFERROR(INDEX(Lists!$L$2:$L$38,MATCH(LEFT(AN975,2),Lists!$K$2:$K$38,0)),"Unknown code"))</f>
        <v/>
      </c>
      <c r="AJ975" s="27">
        <f>IF(AN975="","",IFERROR(IF(NOT(AND(LEN(AN975)=15,ISNUMBER(MATCH(LEFT(AN975,2),Lists!$K$2:$K$38,0)),SUMPRODUCT(--ISERROR(FIND(MID(MID(AN975,3,10),{1,2,3,4,5,10},1),"ABCDEFGHIJKLMNOPQRSTUVWXYZ")))=0,SUMPRODUCT(--ISERROR(FIND(MID(MID(AN975,3,10),{6,7,8,9},1),"0123456789")))=0,ISNUMBER(FIND(MID(AN975,13,1),"123456789ABCDEFGHIJKLMNOPQRSTUVWXYZ")),MID(AN975,14,1)="Z")),"Wrong format",IF(MID("0123456789ABCDEFGHIJKLMNOPQRSTUVWXYZ",MOD(36-MOD(SUMPRODUCT(INT((FIND(MID(AN975,{1,2,3,4,5,6,7,8,9,10,11,12,13,14},1),"0123456789ABCDEFGHIJKLMNOPQRSTUVWXYZ")-1)*{1,2,1,2,1,2,1,2,1,2,1,2,1,2}/36)+MOD((FIND(MID(AN975,{1,2,3,4,5,6,7,8,9,10,11,12,13,14},1),"0123456789ABCDEFGHIJKLMNOPQRSTUVWXYZ")-1)*{1,2,1,2,1,2,1,2,1,2,1,2,1,2},36)),36),36)+1,1)=MID(AN975,15,1),"OK","Typo? check digit wrong")),"Wrong format"))</f>
        <v/>
      </c>
      <c r="AK975" s="27">
        <f>IF(AO975="","",IF(AND(LEN(AO975)=10,SUMPRODUCT(--ISERROR(FIND(MID(AO975,{1,2,3,4,5,10},1),"ABCDEFGHIJKLMNOPQRSTUVWXYZ")))=0,SUMPRODUCT(--ISERROR(FIND(MID(AO975,{6,7,8,9},1),"0123456789")))=0),"OK","Wrong format"))</f>
        <v/>
      </c>
      <c r="AL975" s="27">
        <f>IF(TRIM(H975)="","",IF(AND(LEN(UPPER(TRIM(H975)))=10,SUMPRODUCT(--ISERROR(FIND(MID(UPPER(TRIM(H975)),{1,2,3,4,10},1),"ABCDEFGHIJKLMNOPQRSTUVWXYZ")))=0,SUMPRODUCT(--ISERROR(FIND(MID(UPPER(TRIM(H975)),{5,6,7,8,9},1),"0123456789")))=0),"OK","Wrong format"))</f>
        <v/>
      </c>
      <c r="AM975" s="28">
        <f>IF(NOT(COUNTA(A975:AE975)&gt;0),"",IF(AS975&lt;&gt;"","✖ "&amp;LEFT(AS975,LEN(AS975)-2),IF(AR975&gt;0,"✔ Ready — client + "&amp;AR975&amp;" service(s)","✔ Ready — client only")))</f>
        <v/>
      </c>
      <c r="AN975" s="29">
        <f>UPPER(SUBSTITUTE(TRIM(F975)," ",""))</f>
        <v/>
      </c>
      <c r="AO975" s="29">
        <f>UPPER(SUBSTITUTE(TRIM(E975)," ",""))</f>
        <v/>
      </c>
      <c r="AP975" s="29">
        <f>IF(D975&lt;&gt;"",D975,IFERROR(VLOOKUP(MID(AG975,4,1),Lists!$E$2:$F$8,2,FALSE),""))</f>
        <v/>
      </c>
      <c r="AQ975" s="29">
        <f>IFERROR(VLOOKUP(AP975,Lists!$A$2:$C$12,3,FALSE),"")</f>
        <v/>
      </c>
      <c r="AR975" s="29">
        <f>COUNTIF(W975:AC975,"Yes")</f>
        <v/>
      </c>
      <c r="AS975" s="29">
        <f>IF(TRIM(B975)="","Legal name missing; ","")&amp;IF(AND(AJ975&lt;&gt;"",AJ975&lt;&gt;"OK"),"GSTIN: "&amp;AJ975&amp;"; ","")&amp;IF(AND(AK975&lt;&gt;"",AK975&lt;&gt;"OK"),"PAN wrong format; ","")&amp;IF(AND(AO975&lt;&gt;"",LEN(AN975)=15,MID(AN975,3,10)&lt;&gt;AO975),"PAN does not match GSTIN; ","")&amp;IF(AND(AL975&lt;&gt;"",AL975&lt;&gt;"OK"),"TAN wrong format; ","")&amp;IF(AG975="","PAN missing; ","")&amp;IF(AP975="","Entity type missing; ","")&amp;IF(AND(AN975&lt;&gt;"",COUNTIF($AN$6:$AN$1005,AN975)&gt;1),"GSTIN repeated in this sheet; ","")&amp;IF(AND(AG975&lt;&gt;"",COUNTIF($AG$6:$AG$1005,AG975)&gt;1),"PAN repeated in this sheet (same client? put extra GSTINs in Other GSTINs); ","")&amp;IF(AND(AR975&gt;0,V975=""),"Financial year missing; ","")&amp;IF(AND(AR975=0,V975&lt;&gt;""),"Financial year given but no service is Yes; ","")&amp;IF(AND(W975="Yes",AN975=""),"GST needs a GSTIN; ","")&amp;IF(AND(W975="Yes",X975=""),"GST return frequency missing; ","")&amp;IF(AND(Y975="Yes",TRIM(H975)=""),"TDS needs a TAN; ","")&amp;IF(AND(AA975="Yes",AQ975&lt;&gt;"",AQ975&lt;&gt;"company",AQ975&lt;&gt;"llp"),"ROC is only for a company / LLP; ","")&amp;IF(AND(AA975="Yes",OR(AQ975="company",AQ975="llp"),TRIM(I975)=""),"ROC needs the CIN / LLPIN; ","")</f>
        <v/>
      </c>
    </row>
    <row r="976">
      <c r="A976" s="30" t="n"/>
      <c r="B976" s="31" t="n"/>
      <c r="C976" s="31" t="n"/>
      <c r="D976" s="31" t="n"/>
      <c r="E976" s="30" t="n"/>
      <c r="F976" s="30" t="n"/>
      <c r="G976" s="30" t="n"/>
      <c r="H976" s="30" t="n"/>
      <c r="I976" s="30" t="n"/>
      <c r="J976" s="32" t="n"/>
      <c r="K976" s="31" t="n"/>
      <c r="L976" s="30" t="n"/>
      <c r="M976" s="31" t="n"/>
      <c r="N976" s="31" t="n"/>
      <c r="O976" s="31" t="n"/>
      <c r="P976" s="30" t="n"/>
      <c r="Q976" s="31" t="n"/>
      <c r="R976" s="31" t="n"/>
      <c r="S976" s="31" t="n"/>
      <c r="T976" s="31" t="n"/>
      <c r="U976" s="30" t="n"/>
      <c r="V976" s="31" t="n"/>
      <c r="W976" s="31" t="n"/>
      <c r="X976" s="31" t="n"/>
      <c r="Y976" s="31" t="n"/>
      <c r="Z976" s="31" t="n"/>
      <c r="AA976" s="31" t="n"/>
      <c r="AB976" s="31" t="n"/>
      <c r="AC976" s="31" t="n"/>
      <c r="AD976" s="31" t="n"/>
      <c r="AE976" s="31" t="n"/>
      <c r="AF976" s="27">
        <f>IF(NOT(COUNTA(A976:AE976)&gt;0),"",IF(A976="","New client","Update"))</f>
        <v/>
      </c>
      <c r="AG976" s="27">
        <f>IF(AO976&lt;&gt;"",AO976,IF(LEN(AN976)=15,MID(AN976,3,10),""))</f>
        <v/>
      </c>
      <c r="AH976" s="27">
        <f>IF(AP976="","",AP976&amp;IF(D976="","  (guessed from PAN)",""))</f>
        <v/>
      </c>
      <c r="AI976" s="27">
        <f>IF(AN976="","",IFERROR(INDEX(Lists!$L$2:$L$38,MATCH(LEFT(AN976,2),Lists!$K$2:$K$38,0)),"Unknown code"))</f>
        <v/>
      </c>
      <c r="AJ976" s="27">
        <f>IF(AN976="","",IFERROR(IF(NOT(AND(LEN(AN976)=15,ISNUMBER(MATCH(LEFT(AN976,2),Lists!$K$2:$K$38,0)),SUMPRODUCT(--ISERROR(FIND(MID(MID(AN976,3,10),{1,2,3,4,5,10},1),"ABCDEFGHIJKLMNOPQRSTUVWXYZ")))=0,SUMPRODUCT(--ISERROR(FIND(MID(MID(AN976,3,10),{6,7,8,9},1),"0123456789")))=0,ISNUMBER(FIND(MID(AN976,13,1),"123456789ABCDEFGHIJKLMNOPQRSTUVWXYZ")),MID(AN976,14,1)="Z")),"Wrong format",IF(MID("0123456789ABCDEFGHIJKLMNOPQRSTUVWXYZ",MOD(36-MOD(SUMPRODUCT(INT((FIND(MID(AN976,{1,2,3,4,5,6,7,8,9,10,11,12,13,14},1),"0123456789ABCDEFGHIJKLMNOPQRSTUVWXYZ")-1)*{1,2,1,2,1,2,1,2,1,2,1,2,1,2}/36)+MOD((FIND(MID(AN976,{1,2,3,4,5,6,7,8,9,10,11,12,13,14},1),"0123456789ABCDEFGHIJKLMNOPQRSTUVWXYZ")-1)*{1,2,1,2,1,2,1,2,1,2,1,2,1,2},36)),36),36)+1,1)=MID(AN976,15,1),"OK","Typo? check digit wrong")),"Wrong format"))</f>
        <v/>
      </c>
      <c r="AK976" s="27">
        <f>IF(AO976="","",IF(AND(LEN(AO976)=10,SUMPRODUCT(--ISERROR(FIND(MID(AO976,{1,2,3,4,5,10},1),"ABCDEFGHIJKLMNOPQRSTUVWXYZ")))=0,SUMPRODUCT(--ISERROR(FIND(MID(AO976,{6,7,8,9},1),"0123456789")))=0),"OK","Wrong format"))</f>
        <v/>
      </c>
      <c r="AL976" s="27">
        <f>IF(TRIM(H976)="","",IF(AND(LEN(UPPER(TRIM(H976)))=10,SUMPRODUCT(--ISERROR(FIND(MID(UPPER(TRIM(H976)),{1,2,3,4,10},1),"ABCDEFGHIJKLMNOPQRSTUVWXYZ")))=0,SUMPRODUCT(--ISERROR(FIND(MID(UPPER(TRIM(H976)),{5,6,7,8,9},1),"0123456789")))=0),"OK","Wrong format"))</f>
        <v/>
      </c>
      <c r="AM976" s="28">
        <f>IF(NOT(COUNTA(A976:AE976)&gt;0),"",IF(AS976&lt;&gt;"","✖ "&amp;LEFT(AS976,LEN(AS976)-2),IF(AR976&gt;0,"✔ Ready — client + "&amp;AR976&amp;" service(s)","✔ Ready — client only")))</f>
        <v/>
      </c>
      <c r="AN976" s="29">
        <f>UPPER(SUBSTITUTE(TRIM(F976)," ",""))</f>
        <v/>
      </c>
      <c r="AO976" s="29">
        <f>UPPER(SUBSTITUTE(TRIM(E976)," ",""))</f>
        <v/>
      </c>
      <c r="AP976" s="29">
        <f>IF(D976&lt;&gt;"",D976,IFERROR(VLOOKUP(MID(AG976,4,1),Lists!$E$2:$F$8,2,FALSE),""))</f>
        <v/>
      </c>
      <c r="AQ976" s="29">
        <f>IFERROR(VLOOKUP(AP976,Lists!$A$2:$C$12,3,FALSE),"")</f>
        <v/>
      </c>
      <c r="AR976" s="29">
        <f>COUNTIF(W976:AC976,"Yes")</f>
        <v/>
      </c>
      <c r="AS976" s="29">
        <f>IF(TRIM(B976)="","Legal name missing; ","")&amp;IF(AND(AJ976&lt;&gt;"",AJ976&lt;&gt;"OK"),"GSTIN: "&amp;AJ976&amp;"; ","")&amp;IF(AND(AK976&lt;&gt;"",AK976&lt;&gt;"OK"),"PAN wrong format; ","")&amp;IF(AND(AO976&lt;&gt;"",LEN(AN976)=15,MID(AN976,3,10)&lt;&gt;AO976),"PAN does not match GSTIN; ","")&amp;IF(AND(AL976&lt;&gt;"",AL976&lt;&gt;"OK"),"TAN wrong format; ","")&amp;IF(AG976="","PAN missing; ","")&amp;IF(AP976="","Entity type missing; ","")&amp;IF(AND(AN976&lt;&gt;"",COUNTIF($AN$6:$AN$1005,AN976)&gt;1),"GSTIN repeated in this sheet; ","")&amp;IF(AND(AG976&lt;&gt;"",COUNTIF($AG$6:$AG$1005,AG976)&gt;1),"PAN repeated in this sheet (same client? put extra GSTINs in Other GSTINs); ","")&amp;IF(AND(AR976&gt;0,V976=""),"Financial year missing; ","")&amp;IF(AND(AR976=0,V976&lt;&gt;""),"Financial year given but no service is Yes; ","")&amp;IF(AND(W976="Yes",AN976=""),"GST needs a GSTIN; ","")&amp;IF(AND(W976="Yes",X976=""),"GST return frequency missing; ","")&amp;IF(AND(Y976="Yes",TRIM(H976)=""),"TDS needs a TAN; ","")&amp;IF(AND(AA976="Yes",AQ976&lt;&gt;"",AQ976&lt;&gt;"company",AQ976&lt;&gt;"llp"),"ROC is only for a company / LLP; ","")&amp;IF(AND(AA976="Yes",OR(AQ976="company",AQ976="llp"),TRIM(I976)=""),"ROC needs the CIN / LLPIN; ","")</f>
        <v/>
      </c>
    </row>
    <row r="977">
      <c r="A977" s="30" t="n"/>
      <c r="B977" s="31" t="n"/>
      <c r="C977" s="31" t="n"/>
      <c r="D977" s="31" t="n"/>
      <c r="E977" s="30" t="n"/>
      <c r="F977" s="30" t="n"/>
      <c r="G977" s="30" t="n"/>
      <c r="H977" s="30" t="n"/>
      <c r="I977" s="30" t="n"/>
      <c r="J977" s="32" t="n"/>
      <c r="K977" s="31" t="n"/>
      <c r="L977" s="30" t="n"/>
      <c r="M977" s="31" t="n"/>
      <c r="N977" s="31" t="n"/>
      <c r="O977" s="31" t="n"/>
      <c r="P977" s="30" t="n"/>
      <c r="Q977" s="31" t="n"/>
      <c r="R977" s="31" t="n"/>
      <c r="S977" s="31" t="n"/>
      <c r="T977" s="31" t="n"/>
      <c r="U977" s="30" t="n"/>
      <c r="V977" s="31" t="n"/>
      <c r="W977" s="31" t="n"/>
      <c r="X977" s="31" t="n"/>
      <c r="Y977" s="31" t="n"/>
      <c r="Z977" s="31" t="n"/>
      <c r="AA977" s="31" t="n"/>
      <c r="AB977" s="31" t="n"/>
      <c r="AC977" s="31" t="n"/>
      <c r="AD977" s="31" t="n"/>
      <c r="AE977" s="31" t="n"/>
      <c r="AF977" s="27">
        <f>IF(NOT(COUNTA(A977:AE977)&gt;0),"",IF(A977="","New client","Update"))</f>
        <v/>
      </c>
      <c r="AG977" s="27">
        <f>IF(AO977&lt;&gt;"",AO977,IF(LEN(AN977)=15,MID(AN977,3,10),""))</f>
        <v/>
      </c>
      <c r="AH977" s="27">
        <f>IF(AP977="","",AP977&amp;IF(D977="","  (guessed from PAN)",""))</f>
        <v/>
      </c>
      <c r="AI977" s="27">
        <f>IF(AN977="","",IFERROR(INDEX(Lists!$L$2:$L$38,MATCH(LEFT(AN977,2),Lists!$K$2:$K$38,0)),"Unknown code"))</f>
        <v/>
      </c>
      <c r="AJ977" s="27">
        <f>IF(AN977="","",IFERROR(IF(NOT(AND(LEN(AN977)=15,ISNUMBER(MATCH(LEFT(AN977,2),Lists!$K$2:$K$38,0)),SUMPRODUCT(--ISERROR(FIND(MID(MID(AN977,3,10),{1,2,3,4,5,10},1),"ABCDEFGHIJKLMNOPQRSTUVWXYZ")))=0,SUMPRODUCT(--ISERROR(FIND(MID(MID(AN977,3,10),{6,7,8,9},1),"0123456789")))=0,ISNUMBER(FIND(MID(AN977,13,1),"123456789ABCDEFGHIJKLMNOPQRSTUVWXYZ")),MID(AN977,14,1)="Z")),"Wrong format",IF(MID("0123456789ABCDEFGHIJKLMNOPQRSTUVWXYZ",MOD(36-MOD(SUMPRODUCT(INT((FIND(MID(AN977,{1,2,3,4,5,6,7,8,9,10,11,12,13,14},1),"0123456789ABCDEFGHIJKLMNOPQRSTUVWXYZ")-1)*{1,2,1,2,1,2,1,2,1,2,1,2,1,2}/36)+MOD((FIND(MID(AN977,{1,2,3,4,5,6,7,8,9,10,11,12,13,14},1),"0123456789ABCDEFGHIJKLMNOPQRSTUVWXYZ")-1)*{1,2,1,2,1,2,1,2,1,2,1,2,1,2},36)),36),36)+1,1)=MID(AN977,15,1),"OK","Typo? check digit wrong")),"Wrong format"))</f>
        <v/>
      </c>
      <c r="AK977" s="27">
        <f>IF(AO977="","",IF(AND(LEN(AO977)=10,SUMPRODUCT(--ISERROR(FIND(MID(AO977,{1,2,3,4,5,10},1),"ABCDEFGHIJKLMNOPQRSTUVWXYZ")))=0,SUMPRODUCT(--ISERROR(FIND(MID(AO977,{6,7,8,9},1),"0123456789")))=0),"OK","Wrong format"))</f>
        <v/>
      </c>
      <c r="AL977" s="27">
        <f>IF(TRIM(H977)="","",IF(AND(LEN(UPPER(TRIM(H977)))=10,SUMPRODUCT(--ISERROR(FIND(MID(UPPER(TRIM(H977)),{1,2,3,4,10},1),"ABCDEFGHIJKLMNOPQRSTUVWXYZ")))=0,SUMPRODUCT(--ISERROR(FIND(MID(UPPER(TRIM(H977)),{5,6,7,8,9},1),"0123456789")))=0),"OK","Wrong format"))</f>
        <v/>
      </c>
      <c r="AM977" s="28">
        <f>IF(NOT(COUNTA(A977:AE977)&gt;0),"",IF(AS977&lt;&gt;"","✖ "&amp;LEFT(AS977,LEN(AS977)-2),IF(AR977&gt;0,"✔ Ready — client + "&amp;AR977&amp;" service(s)","✔ Ready — client only")))</f>
        <v/>
      </c>
      <c r="AN977" s="29">
        <f>UPPER(SUBSTITUTE(TRIM(F977)," ",""))</f>
        <v/>
      </c>
      <c r="AO977" s="29">
        <f>UPPER(SUBSTITUTE(TRIM(E977)," ",""))</f>
        <v/>
      </c>
      <c r="AP977" s="29">
        <f>IF(D977&lt;&gt;"",D977,IFERROR(VLOOKUP(MID(AG977,4,1),Lists!$E$2:$F$8,2,FALSE),""))</f>
        <v/>
      </c>
      <c r="AQ977" s="29">
        <f>IFERROR(VLOOKUP(AP977,Lists!$A$2:$C$12,3,FALSE),"")</f>
        <v/>
      </c>
      <c r="AR977" s="29">
        <f>COUNTIF(W977:AC977,"Yes")</f>
        <v/>
      </c>
      <c r="AS977" s="29">
        <f>IF(TRIM(B977)="","Legal name missing; ","")&amp;IF(AND(AJ977&lt;&gt;"",AJ977&lt;&gt;"OK"),"GSTIN: "&amp;AJ977&amp;"; ","")&amp;IF(AND(AK977&lt;&gt;"",AK977&lt;&gt;"OK"),"PAN wrong format; ","")&amp;IF(AND(AO977&lt;&gt;"",LEN(AN977)=15,MID(AN977,3,10)&lt;&gt;AO977),"PAN does not match GSTIN; ","")&amp;IF(AND(AL977&lt;&gt;"",AL977&lt;&gt;"OK"),"TAN wrong format; ","")&amp;IF(AG977="","PAN missing; ","")&amp;IF(AP977="","Entity type missing; ","")&amp;IF(AND(AN977&lt;&gt;"",COUNTIF($AN$6:$AN$1005,AN977)&gt;1),"GSTIN repeated in this sheet; ","")&amp;IF(AND(AG977&lt;&gt;"",COUNTIF($AG$6:$AG$1005,AG977)&gt;1),"PAN repeated in this sheet (same client? put extra GSTINs in Other GSTINs); ","")&amp;IF(AND(AR977&gt;0,V977=""),"Financial year missing; ","")&amp;IF(AND(AR977=0,V977&lt;&gt;""),"Financial year given but no service is Yes; ","")&amp;IF(AND(W977="Yes",AN977=""),"GST needs a GSTIN; ","")&amp;IF(AND(W977="Yes",X977=""),"GST return frequency missing; ","")&amp;IF(AND(Y977="Yes",TRIM(H977)=""),"TDS needs a TAN; ","")&amp;IF(AND(AA977="Yes",AQ977&lt;&gt;"",AQ977&lt;&gt;"company",AQ977&lt;&gt;"llp"),"ROC is only for a company / LLP; ","")&amp;IF(AND(AA977="Yes",OR(AQ977="company",AQ977="llp"),TRIM(I977)=""),"ROC needs the CIN / LLPIN; ","")</f>
        <v/>
      </c>
    </row>
    <row r="978">
      <c r="A978" s="30" t="n"/>
      <c r="B978" s="31" t="n"/>
      <c r="C978" s="31" t="n"/>
      <c r="D978" s="31" t="n"/>
      <c r="E978" s="30" t="n"/>
      <c r="F978" s="30" t="n"/>
      <c r="G978" s="30" t="n"/>
      <c r="H978" s="30" t="n"/>
      <c r="I978" s="30" t="n"/>
      <c r="J978" s="32" t="n"/>
      <c r="K978" s="31" t="n"/>
      <c r="L978" s="30" t="n"/>
      <c r="M978" s="31" t="n"/>
      <c r="N978" s="31" t="n"/>
      <c r="O978" s="31" t="n"/>
      <c r="P978" s="30" t="n"/>
      <c r="Q978" s="31" t="n"/>
      <c r="R978" s="31" t="n"/>
      <c r="S978" s="31" t="n"/>
      <c r="T978" s="31" t="n"/>
      <c r="U978" s="30" t="n"/>
      <c r="V978" s="31" t="n"/>
      <c r="W978" s="31" t="n"/>
      <c r="X978" s="31" t="n"/>
      <c r="Y978" s="31" t="n"/>
      <c r="Z978" s="31" t="n"/>
      <c r="AA978" s="31" t="n"/>
      <c r="AB978" s="31" t="n"/>
      <c r="AC978" s="31" t="n"/>
      <c r="AD978" s="31" t="n"/>
      <c r="AE978" s="31" t="n"/>
      <c r="AF978" s="27">
        <f>IF(NOT(COUNTA(A978:AE978)&gt;0),"",IF(A978="","New client","Update"))</f>
        <v/>
      </c>
      <c r="AG978" s="27">
        <f>IF(AO978&lt;&gt;"",AO978,IF(LEN(AN978)=15,MID(AN978,3,10),""))</f>
        <v/>
      </c>
      <c r="AH978" s="27">
        <f>IF(AP978="","",AP978&amp;IF(D978="","  (guessed from PAN)",""))</f>
        <v/>
      </c>
      <c r="AI978" s="27">
        <f>IF(AN978="","",IFERROR(INDEX(Lists!$L$2:$L$38,MATCH(LEFT(AN978,2),Lists!$K$2:$K$38,0)),"Unknown code"))</f>
        <v/>
      </c>
      <c r="AJ978" s="27">
        <f>IF(AN978="","",IFERROR(IF(NOT(AND(LEN(AN978)=15,ISNUMBER(MATCH(LEFT(AN978,2),Lists!$K$2:$K$38,0)),SUMPRODUCT(--ISERROR(FIND(MID(MID(AN978,3,10),{1,2,3,4,5,10},1),"ABCDEFGHIJKLMNOPQRSTUVWXYZ")))=0,SUMPRODUCT(--ISERROR(FIND(MID(MID(AN978,3,10),{6,7,8,9},1),"0123456789")))=0,ISNUMBER(FIND(MID(AN978,13,1),"123456789ABCDEFGHIJKLMNOPQRSTUVWXYZ")),MID(AN978,14,1)="Z")),"Wrong format",IF(MID("0123456789ABCDEFGHIJKLMNOPQRSTUVWXYZ",MOD(36-MOD(SUMPRODUCT(INT((FIND(MID(AN978,{1,2,3,4,5,6,7,8,9,10,11,12,13,14},1),"0123456789ABCDEFGHIJKLMNOPQRSTUVWXYZ")-1)*{1,2,1,2,1,2,1,2,1,2,1,2,1,2}/36)+MOD((FIND(MID(AN978,{1,2,3,4,5,6,7,8,9,10,11,12,13,14},1),"0123456789ABCDEFGHIJKLMNOPQRSTUVWXYZ")-1)*{1,2,1,2,1,2,1,2,1,2,1,2,1,2},36)),36),36)+1,1)=MID(AN978,15,1),"OK","Typo? check digit wrong")),"Wrong format"))</f>
        <v/>
      </c>
      <c r="AK978" s="27">
        <f>IF(AO978="","",IF(AND(LEN(AO978)=10,SUMPRODUCT(--ISERROR(FIND(MID(AO978,{1,2,3,4,5,10},1),"ABCDEFGHIJKLMNOPQRSTUVWXYZ")))=0,SUMPRODUCT(--ISERROR(FIND(MID(AO978,{6,7,8,9},1),"0123456789")))=0),"OK","Wrong format"))</f>
        <v/>
      </c>
      <c r="AL978" s="27">
        <f>IF(TRIM(H978)="","",IF(AND(LEN(UPPER(TRIM(H978)))=10,SUMPRODUCT(--ISERROR(FIND(MID(UPPER(TRIM(H978)),{1,2,3,4,10},1),"ABCDEFGHIJKLMNOPQRSTUVWXYZ")))=0,SUMPRODUCT(--ISERROR(FIND(MID(UPPER(TRIM(H978)),{5,6,7,8,9},1),"0123456789")))=0),"OK","Wrong format"))</f>
        <v/>
      </c>
      <c r="AM978" s="28">
        <f>IF(NOT(COUNTA(A978:AE978)&gt;0),"",IF(AS978&lt;&gt;"","✖ "&amp;LEFT(AS978,LEN(AS978)-2),IF(AR978&gt;0,"✔ Ready — client + "&amp;AR978&amp;" service(s)","✔ Ready — client only")))</f>
        <v/>
      </c>
      <c r="AN978" s="29">
        <f>UPPER(SUBSTITUTE(TRIM(F978)," ",""))</f>
        <v/>
      </c>
      <c r="AO978" s="29">
        <f>UPPER(SUBSTITUTE(TRIM(E978)," ",""))</f>
        <v/>
      </c>
      <c r="AP978" s="29">
        <f>IF(D978&lt;&gt;"",D978,IFERROR(VLOOKUP(MID(AG978,4,1),Lists!$E$2:$F$8,2,FALSE),""))</f>
        <v/>
      </c>
      <c r="AQ978" s="29">
        <f>IFERROR(VLOOKUP(AP978,Lists!$A$2:$C$12,3,FALSE),"")</f>
        <v/>
      </c>
      <c r="AR978" s="29">
        <f>COUNTIF(W978:AC978,"Yes")</f>
        <v/>
      </c>
      <c r="AS978" s="29">
        <f>IF(TRIM(B978)="","Legal name missing; ","")&amp;IF(AND(AJ978&lt;&gt;"",AJ978&lt;&gt;"OK"),"GSTIN: "&amp;AJ978&amp;"; ","")&amp;IF(AND(AK978&lt;&gt;"",AK978&lt;&gt;"OK"),"PAN wrong format; ","")&amp;IF(AND(AO978&lt;&gt;"",LEN(AN978)=15,MID(AN978,3,10)&lt;&gt;AO978),"PAN does not match GSTIN; ","")&amp;IF(AND(AL978&lt;&gt;"",AL978&lt;&gt;"OK"),"TAN wrong format; ","")&amp;IF(AG978="","PAN missing; ","")&amp;IF(AP978="","Entity type missing; ","")&amp;IF(AND(AN978&lt;&gt;"",COUNTIF($AN$6:$AN$1005,AN978)&gt;1),"GSTIN repeated in this sheet; ","")&amp;IF(AND(AG978&lt;&gt;"",COUNTIF($AG$6:$AG$1005,AG978)&gt;1),"PAN repeated in this sheet (same client? put extra GSTINs in Other GSTINs); ","")&amp;IF(AND(AR978&gt;0,V978=""),"Financial year missing; ","")&amp;IF(AND(AR978=0,V978&lt;&gt;""),"Financial year given but no service is Yes; ","")&amp;IF(AND(W978="Yes",AN978=""),"GST needs a GSTIN; ","")&amp;IF(AND(W978="Yes",X978=""),"GST return frequency missing; ","")&amp;IF(AND(Y978="Yes",TRIM(H978)=""),"TDS needs a TAN; ","")&amp;IF(AND(AA978="Yes",AQ978&lt;&gt;"",AQ978&lt;&gt;"company",AQ978&lt;&gt;"llp"),"ROC is only for a company / LLP; ","")&amp;IF(AND(AA978="Yes",OR(AQ978="company",AQ978="llp"),TRIM(I978)=""),"ROC needs the CIN / LLPIN; ","")</f>
        <v/>
      </c>
    </row>
    <row r="979">
      <c r="A979" s="30" t="n"/>
      <c r="B979" s="31" t="n"/>
      <c r="C979" s="31" t="n"/>
      <c r="D979" s="31" t="n"/>
      <c r="E979" s="30" t="n"/>
      <c r="F979" s="30" t="n"/>
      <c r="G979" s="30" t="n"/>
      <c r="H979" s="30" t="n"/>
      <c r="I979" s="30" t="n"/>
      <c r="J979" s="32" t="n"/>
      <c r="K979" s="31" t="n"/>
      <c r="L979" s="30" t="n"/>
      <c r="M979" s="31" t="n"/>
      <c r="N979" s="31" t="n"/>
      <c r="O979" s="31" t="n"/>
      <c r="P979" s="30" t="n"/>
      <c r="Q979" s="31" t="n"/>
      <c r="R979" s="31" t="n"/>
      <c r="S979" s="31" t="n"/>
      <c r="T979" s="31" t="n"/>
      <c r="U979" s="30" t="n"/>
      <c r="V979" s="31" t="n"/>
      <c r="W979" s="31" t="n"/>
      <c r="X979" s="31" t="n"/>
      <c r="Y979" s="31" t="n"/>
      <c r="Z979" s="31" t="n"/>
      <c r="AA979" s="31" t="n"/>
      <c r="AB979" s="31" t="n"/>
      <c r="AC979" s="31" t="n"/>
      <c r="AD979" s="31" t="n"/>
      <c r="AE979" s="31" t="n"/>
      <c r="AF979" s="27">
        <f>IF(NOT(COUNTA(A979:AE979)&gt;0),"",IF(A979="","New client","Update"))</f>
        <v/>
      </c>
      <c r="AG979" s="27">
        <f>IF(AO979&lt;&gt;"",AO979,IF(LEN(AN979)=15,MID(AN979,3,10),""))</f>
        <v/>
      </c>
      <c r="AH979" s="27">
        <f>IF(AP979="","",AP979&amp;IF(D979="","  (guessed from PAN)",""))</f>
        <v/>
      </c>
      <c r="AI979" s="27">
        <f>IF(AN979="","",IFERROR(INDEX(Lists!$L$2:$L$38,MATCH(LEFT(AN979,2),Lists!$K$2:$K$38,0)),"Unknown code"))</f>
        <v/>
      </c>
      <c r="AJ979" s="27">
        <f>IF(AN979="","",IFERROR(IF(NOT(AND(LEN(AN979)=15,ISNUMBER(MATCH(LEFT(AN979,2),Lists!$K$2:$K$38,0)),SUMPRODUCT(--ISERROR(FIND(MID(MID(AN979,3,10),{1,2,3,4,5,10},1),"ABCDEFGHIJKLMNOPQRSTUVWXYZ")))=0,SUMPRODUCT(--ISERROR(FIND(MID(MID(AN979,3,10),{6,7,8,9},1),"0123456789")))=0,ISNUMBER(FIND(MID(AN979,13,1),"123456789ABCDEFGHIJKLMNOPQRSTUVWXYZ")),MID(AN979,14,1)="Z")),"Wrong format",IF(MID("0123456789ABCDEFGHIJKLMNOPQRSTUVWXYZ",MOD(36-MOD(SUMPRODUCT(INT((FIND(MID(AN979,{1,2,3,4,5,6,7,8,9,10,11,12,13,14},1),"0123456789ABCDEFGHIJKLMNOPQRSTUVWXYZ")-1)*{1,2,1,2,1,2,1,2,1,2,1,2,1,2}/36)+MOD((FIND(MID(AN979,{1,2,3,4,5,6,7,8,9,10,11,12,13,14},1),"0123456789ABCDEFGHIJKLMNOPQRSTUVWXYZ")-1)*{1,2,1,2,1,2,1,2,1,2,1,2,1,2},36)),36),36)+1,1)=MID(AN979,15,1),"OK","Typo? check digit wrong")),"Wrong format"))</f>
        <v/>
      </c>
      <c r="AK979" s="27">
        <f>IF(AO979="","",IF(AND(LEN(AO979)=10,SUMPRODUCT(--ISERROR(FIND(MID(AO979,{1,2,3,4,5,10},1),"ABCDEFGHIJKLMNOPQRSTUVWXYZ")))=0,SUMPRODUCT(--ISERROR(FIND(MID(AO979,{6,7,8,9},1),"0123456789")))=0),"OK","Wrong format"))</f>
        <v/>
      </c>
      <c r="AL979" s="27">
        <f>IF(TRIM(H979)="","",IF(AND(LEN(UPPER(TRIM(H979)))=10,SUMPRODUCT(--ISERROR(FIND(MID(UPPER(TRIM(H979)),{1,2,3,4,10},1),"ABCDEFGHIJKLMNOPQRSTUVWXYZ")))=0,SUMPRODUCT(--ISERROR(FIND(MID(UPPER(TRIM(H979)),{5,6,7,8,9},1),"0123456789")))=0),"OK","Wrong format"))</f>
        <v/>
      </c>
      <c r="AM979" s="28">
        <f>IF(NOT(COUNTA(A979:AE979)&gt;0),"",IF(AS979&lt;&gt;"","✖ "&amp;LEFT(AS979,LEN(AS979)-2),IF(AR979&gt;0,"✔ Ready — client + "&amp;AR979&amp;" service(s)","✔ Ready — client only")))</f>
        <v/>
      </c>
      <c r="AN979" s="29">
        <f>UPPER(SUBSTITUTE(TRIM(F979)," ",""))</f>
        <v/>
      </c>
      <c r="AO979" s="29">
        <f>UPPER(SUBSTITUTE(TRIM(E979)," ",""))</f>
        <v/>
      </c>
      <c r="AP979" s="29">
        <f>IF(D979&lt;&gt;"",D979,IFERROR(VLOOKUP(MID(AG979,4,1),Lists!$E$2:$F$8,2,FALSE),""))</f>
        <v/>
      </c>
      <c r="AQ979" s="29">
        <f>IFERROR(VLOOKUP(AP979,Lists!$A$2:$C$12,3,FALSE),"")</f>
        <v/>
      </c>
      <c r="AR979" s="29">
        <f>COUNTIF(W979:AC979,"Yes")</f>
        <v/>
      </c>
      <c r="AS979" s="29">
        <f>IF(TRIM(B979)="","Legal name missing; ","")&amp;IF(AND(AJ979&lt;&gt;"",AJ979&lt;&gt;"OK"),"GSTIN: "&amp;AJ979&amp;"; ","")&amp;IF(AND(AK979&lt;&gt;"",AK979&lt;&gt;"OK"),"PAN wrong format; ","")&amp;IF(AND(AO979&lt;&gt;"",LEN(AN979)=15,MID(AN979,3,10)&lt;&gt;AO979),"PAN does not match GSTIN; ","")&amp;IF(AND(AL979&lt;&gt;"",AL979&lt;&gt;"OK"),"TAN wrong format; ","")&amp;IF(AG979="","PAN missing; ","")&amp;IF(AP979="","Entity type missing; ","")&amp;IF(AND(AN979&lt;&gt;"",COUNTIF($AN$6:$AN$1005,AN979)&gt;1),"GSTIN repeated in this sheet; ","")&amp;IF(AND(AG979&lt;&gt;"",COUNTIF($AG$6:$AG$1005,AG979)&gt;1),"PAN repeated in this sheet (same client? put extra GSTINs in Other GSTINs); ","")&amp;IF(AND(AR979&gt;0,V979=""),"Financial year missing; ","")&amp;IF(AND(AR979=0,V979&lt;&gt;""),"Financial year given but no service is Yes; ","")&amp;IF(AND(W979="Yes",AN979=""),"GST needs a GSTIN; ","")&amp;IF(AND(W979="Yes",X979=""),"GST return frequency missing; ","")&amp;IF(AND(Y979="Yes",TRIM(H979)=""),"TDS needs a TAN; ","")&amp;IF(AND(AA979="Yes",AQ979&lt;&gt;"",AQ979&lt;&gt;"company",AQ979&lt;&gt;"llp"),"ROC is only for a company / LLP; ","")&amp;IF(AND(AA979="Yes",OR(AQ979="company",AQ979="llp"),TRIM(I979)=""),"ROC needs the CIN / LLPIN; ","")</f>
        <v/>
      </c>
    </row>
    <row r="980">
      <c r="A980" s="30" t="n"/>
      <c r="B980" s="31" t="n"/>
      <c r="C980" s="31" t="n"/>
      <c r="D980" s="31" t="n"/>
      <c r="E980" s="30" t="n"/>
      <c r="F980" s="30" t="n"/>
      <c r="G980" s="30" t="n"/>
      <c r="H980" s="30" t="n"/>
      <c r="I980" s="30" t="n"/>
      <c r="J980" s="32" t="n"/>
      <c r="K980" s="31" t="n"/>
      <c r="L980" s="30" t="n"/>
      <c r="M980" s="31" t="n"/>
      <c r="N980" s="31" t="n"/>
      <c r="O980" s="31" t="n"/>
      <c r="P980" s="30" t="n"/>
      <c r="Q980" s="31" t="n"/>
      <c r="R980" s="31" t="n"/>
      <c r="S980" s="31" t="n"/>
      <c r="T980" s="31" t="n"/>
      <c r="U980" s="30" t="n"/>
      <c r="V980" s="31" t="n"/>
      <c r="W980" s="31" t="n"/>
      <c r="X980" s="31" t="n"/>
      <c r="Y980" s="31" t="n"/>
      <c r="Z980" s="31" t="n"/>
      <c r="AA980" s="31" t="n"/>
      <c r="AB980" s="31" t="n"/>
      <c r="AC980" s="31" t="n"/>
      <c r="AD980" s="31" t="n"/>
      <c r="AE980" s="31" t="n"/>
      <c r="AF980" s="27">
        <f>IF(NOT(COUNTA(A980:AE980)&gt;0),"",IF(A980="","New client","Update"))</f>
        <v/>
      </c>
      <c r="AG980" s="27">
        <f>IF(AO980&lt;&gt;"",AO980,IF(LEN(AN980)=15,MID(AN980,3,10),""))</f>
        <v/>
      </c>
      <c r="AH980" s="27">
        <f>IF(AP980="","",AP980&amp;IF(D980="","  (guessed from PAN)",""))</f>
        <v/>
      </c>
      <c r="AI980" s="27">
        <f>IF(AN980="","",IFERROR(INDEX(Lists!$L$2:$L$38,MATCH(LEFT(AN980,2),Lists!$K$2:$K$38,0)),"Unknown code"))</f>
        <v/>
      </c>
      <c r="AJ980" s="27">
        <f>IF(AN980="","",IFERROR(IF(NOT(AND(LEN(AN980)=15,ISNUMBER(MATCH(LEFT(AN980,2),Lists!$K$2:$K$38,0)),SUMPRODUCT(--ISERROR(FIND(MID(MID(AN980,3,10),{1,2,3,4,5,10},1),"ABCDEFGHIJKLMNOPQRSTUVWXYZ")))=0,SUMPRODUCT(--ISERROR(FIND(MID(MID(AN980,3,10),{6,7,8,9},1),"0123456789")))=0,ISNUMBER(FIND(MID(AN980,13,1),"123456789ABCDEFGHIJKLMNOPQRSTUVWXYZ")),MID(AN980,14,1)="Z")),"Wrong format",IF(MID("0123456789ABCDEFGHIJKLMNOPQRSTUVWXYZ",MOD(36-MOD(SUMPRODUCT(INT((FIND(MID(AN980,{1,2,3,4,5,6,7,8,9,10,11,12,13,14},1),"0123456789ABCDEFGHIJKLMNOPQRSTUVWXYZ")-1)*{1,2,1,2,1,2,1,2,1,2,1,2,1,2}/36)+MOD((FIND(MID(AN980,{1,2,3,4,5,6,7,8,9,10,11,12,13,14},1),"0123456789ABCDEFGHIJKLMNOPQRSTUVWXYZ")-1)*{1,2,1,2,1,2,1,2,1,2,1,2,1,2},36)),36),36)+1,1)=MID(AN980,15,1),"OK","Typo? check digit wrong")),"Wrong format"))</f>
        <v/>
      </c>
      <c r="AK980" s="27">
        <f>IF(AO980="","",IF(AND(LEN(AO980)=10,SUMPRODUCT(--ISERROR(FIND(MID(AO980,{1,2,3,4,5,10},1),"ABCDEFGHIJKLMNOPQRSTUVWXYZ")))=0,SUMPRODUCT(--ISERROR(FIND(MID(AO980,{6,7,8,9},1),"0123456789")))=0),"OK","Wrong format"))</f>
        <v/>
      </c>
      <c r="AL980" s="27">
        <f>IF(TRIM(H980)="","",IF(AND(LEN(UPPER(TRIM(H980)))=10,SUMPRODUCT(--ISERROR(FIND(MID(UPPER(TRIM(H980)),{1,2,3,4,10},1),"ABCDEFGHIJKLMNOPQRSTUVWXYZ")))=0,SUMPRODUCT(--ISERROR(FIND(MID(UPPER(TRIM(H980)),{5,6,7,8,9},1),"0123456789")))=0),"OK","Wrong format"))</f>
        <v/>
      </c>
      <c r="AM980" s="28">
        <f>IF(NOT(COUNTA(A980:AE980)&gt;0),"",IF(AS980&lt;&gt;"","✖ "&amp;LEFT(AS980,LEN(AS980)-2),IF(AR980&gt;0,"✔ Ready — client + "&amp;AR980&amp;" service(s)","✔ Ready — client only")))</f>
        <v/>
      </c>
      <c r="AN980" s="29">
        <f>UPPER(SUBSTITUTE(TRIM(F980)," ",""))</f>
        <v/>
      </c>
      <c r="AO980" s="29">
        <f>UPPER(SUBSTITUTE(TRIM(E980)," ",""))</f>
        <v/>
      </c>
      <c r="AP980" s="29">
        <f>IF(D980&lt;&gt;"",D980,IFERROR(VLOOKUP(MID(AG980,4,1),Lists!$E$2:$F$8,2,FALSE),""))</f>
        <v/>
      </c>
      <c r="AQ980" s="29">
        <f>IFERROR(VLOOKUP(AP980,Lists!$A$2:$C$12,3,FALSE),"")</f>
        <v/>
      </c>
      <c r="AR980" s="29">
        <f>COUNTIF(W980:AC980,"Yes")</f>
        <v/>
      </c>
      <c r="AS980" s="29">
        <f>IF(TRIM(B980)="","Legal name missing; ","")&amp;IF(AND(AJ980&lt;&gt;"",AJ980&lt;&gt;"OK"),"GSTIN: "&amp;AJ980&amp;"; ","")&amp;IF(AND(AK980&lt;&gt;"",AK980&lt;&gt;"OK"),"PAN wrong format; ","")&amp;IF(AND(AO980&lt;&gt;"",LEN(AN980)=15,MID(AN980,3,10)&lt;&gt;AO980),"PAN does not match GSTIN; ","")&amp;IF(AND(AL980&lt;&gt;"",AL980&lt;&gt;"OK"),"TAN wrong format; ","")&amp;IF(AG980="","PAN missing; ","")&amp;IF(AP980="","Entity type missing; ","")&amp;IF(AND(AN980&lt;&gt;"",COUNTIF($AN$6:$AN$1005,AN980)&gt;1),"GSTIN repeated in this sheet; ","")&amp;IF(AND(AG980&lt;&gt;"",COUNTIF($AG$6:$AG$1005,AG980)&gt;1),"PAN repeated in this sheet (same client? put extra GSTINs in Other GSTINs); ","")&amp;IF(AND(AR980&gt;0,V980=""),"Financial year missing; ","")&amp;IF(AND(AR980=0,V980&lt;&gt;""),"Financial year given but no service is Yes; ","")&amp;IF(AND(W980="Yes",AN980=""),"GST needs a GSTIN; ","")&amp;IF(AND(W980="Yes",X980=""),"GST return frequency missing; ","")&amp;IF(AND(Y980="Yes",TRIM(H980)=""),"TDS needs a TAN; ","")&amp;IF(AND(AA980="Yes",AQ980&lt;&gt;"",AQ980&lt;&gt;"company",AQ980&lt;&gt;"llp"),"ROC is only for a company / LLP; ","")&amp;IF(AND(AA980="Yes",OR(AQ980="company",AQ980="llp"),TRIM(I980)=""),"ROC needs the CIN / LLPIN; ","")</f>
        <v/>
      </c>
    </row>
    <row r="981">
      <c r="A981" s="30" t="n"/>
      <c r="B981" s="31" t="n"/>
      <c r="C981" s="31" t="n"/>
      <c r="D981" s="31" t="n"/>
      <c r="E981" s="30" t="n"/>
      <c r="F981" s="30" t="n"/>
      <c r="G981" s="30" t="n"/>
      <c r="H981" s="30" t="n"/>
      <c r="I981" s="30" t="n"/>
      <c r="J981" s="32" t="n"/>
      <c r="K981" s="31" t="n"/>
      <c r="L981" s="30" t="n"/>
      <c r="M981" s="31" t="n"/>
      <c r="N981" s="31" t="n"/>
      <c r="O981" s="31" t="n"/>
      <c r="P981" s="30" t="n"/>
      <c r="Q981" s="31" t="n"/>
      <c r="R981" s="31" t="n"/>
      <c r="S981" s="31" t="n"/>
      <c r="T981" s="31" t="n"/>
      <c r="U981" s="30" t="n"/>
      <c r="V981" s="31" t="n"/>
      <c r="W981" s="31" t="n"/>
      <c r="X981" s="31" t="n"/>
      <c r="Y981" s="31" t="n"/>
      <c r="Z981" s="31" t="n"/>
      <c r="AA981" s="31" t="n"/>
      <c r="AB981" s="31" t="n"/>
      <c r="AC981" s="31" t="n"/>
      <c r="AD981" s="31" t="n"/>
      <c r="AE981" s="31" t="n"/>
      <c r="AF981" s="27">
        <f>IF(NOT(COUNTA(A981:AE981)&gt;0),"",IF(A981="","New client","Update"))</f>
        <v/>
      </c>
      <c r="AG981" s="27">
        <f>IF(AO981&lt;&gt;"",AO981,IF(LEN(AN981)=15,MID(AN981,3,10),""))</f>
        <v/>
      </c>
      <c r="AH981" s="27">
        <f>IF(AP981="","",AP981&amp;IF(D981="","  (guessed from PAN)",""))</f>
        <v/>
      </c>
      <c r="AI981" s="27">
        <f>IF(AN981="","",IFERROR(INDEX(Lists!$L$2:$L$38,MATCH(LEFT(AN981,2),Lists!$K$2:$K$38,0)),"Unknown code"))</f>
        <v/>
      </c>
      <c r="AJ981" s="27">
        <f>IF(AN981="","",IFERROR(IF(NOT(AND(LEN(AN981)=15,ISNUMBER(MATCH(LEFT(AN981,2),Lists!$K$2:$K$38,0)),SUMPRODUCT(--ISERROR(FIND(MID(MID(AN981,3,10),{1,2,3,4,5,10},1),"ABCDEFGHIJKLMNOPQRSTUVWXYZ")))=0,SUMPRODUCT(--ISERROR(FIND(MID(MID(AN981,3,10),{6,7,8,9},1),"0123456789")))=0,ISNUMBER(FIND(MID(AN981,13,1),"123456789ABCDEFGHIJKLMNOPQRSTUVWXYZ")),MID(AN981,14,1)="Z")),"Wrong format",IF(MID("0123456789ABCDEFGHIJKLMNOPQRSTUVWXYZ",MOD(36-MOD(SUMPRODUCT(INT((FIND(MID(AN981,{1,2,3,4,5,6,7,8,9,10,11,12,13,14},1),"0123456789ABCDEFGHIJKLMNOPQRSTUVWXYZ")-1)*{1,2,1,2,1,2,1,2,1,2,1,2,1,2}/36)+MOD((FIND(MID(AN981,{1,2,3,4,5,6,7,8,9,10,11,12,13,14},1),"0123456789ABCDEFGHIJKLMNOPQRSTUVWXYZ")-1)*{1,2,1,2,1,2,1,2,1,2,1,2,1,2},36)),36),36)+1,1)=MID(AN981,15,1),"OK","Typo? check digit wrong")),"Wrong format"))</f>
        <v/>
      </c>
      <c r="AK981" s="27">
        <f>IF(AO981="","",IF(AND(LEN(AO981)=10,SUMPRODUCT(--ISERROR(FIND(MID(AO981,{1,2,3,4,5,10},1),"ABCDEFGHIJKLMNOPQRSTUVWXYZ")))=0,SUMPRODUCT(--ISERROR(FIND(MID(AO981,{6,7,8,9},1),"0123456789")))=0),"OK","Wrong format"))</f>
        <v/>
      </c>
      <c r="AL981" s="27">
        <f>IF(TRIM(H981)="","",IF(AND(LEN(UPPER(TRIM(H981)))=10,SUMPRODUCT(--ISERROR(FIND(MID(UPPER(TRIM(H981)),{1,2,3,4,10},1),"ABCDEFGHIJKLMNOPQRSTUVWXYZ")))=0,SUMPRODUCT(--ISERROR(FIND(MID(UPPER(TRIM(H981)),{5,6,7,8,9},1),"0123456789")))=0),"OK","Wrong format"))</f>
        <v/>
      </c>
      <c r="AM981" s="28">
        <f>IF(NOT(COUNTA(A981:AE981)&gt;0),"",IF(AS981&lt;&gt;"","✖ "&amp;LEFT(AS981,LEN(AS981)-2),IF(AR981&gt;0,"✔ Ready — client + "&amp;AR981&amp;" service(s)","✔ Ready — client only")))</f>
        <v/>
      </c>
      <c r="AN981" s="29">
        <f>UPPER(SUBSTITUTE(TRIM(F981)," ",""))</f>
        <v/>
      </c>
      <c r="AO981" s="29">
        <f>UPPER(SUBSTITUTE(TRIM(E981)," ",""))</f>
        <v/>
      </c>
      <c r="AP981" s="29">
        <f>IF(D981&lt;&gt;"",D981,IFERROR(VLOOKUP(MID(AG981,4,1),Lists!$E$2:$F$8,2,FALSE),""))</f>
        <v/>
      </c>
      <c r="AQ981" s="29">
        <f>IFERROR(VLOOKUP(AP981,Lists!$A$2:$C$12,3,FALSE),"")</f>
        <v/>
      </c>
      <c r="AR981" s="29">
        <f>COUNTIF(W981:AC981,"Yes")</f>
        <v/>
      </c>
      <c r="AS981" s="29">
        <f>IF(TRIM(B981)="","Legal name missing; ","")&amp;IF(AND(AJ981&lt;&gt;"",AJ981&lt;&gt;"OK"),"GSTIN: "&amp;AJ981&amp;"; ","")&amp;IF(AND(AK981&lt;&gt;"",AK981&lt;&gt;"OK"),"PAN wrong format; ","")&amp;IF(AND(AO981&lt;&gt;"",LEN(AN981)=15,MID(AN981,3,10)&lt;&gt;AO981),"PAN does not match GSTIN; ","")&amp;IF(AND(AL981&lt;&gt;"",AL981&lt;&gt;"OK"),"TAN wrong format; ","")&amp;IF(AG981="","PAN missing; ","")&amp;IF(AP981="","Entity type missing; ","")&amp;IF(AND(AN981&lt;&gt;"",COUNTIF($AN$6:$AN$1005,AN981)&gt;1),"GSTIN repeated in this sheet; ","")&amp;IF(AND(AG981&lt;&gt;"",COUNTIF($AG$6:$AG$1005,AG981)&gt;1),"PAN repeated in this sheet (same client? put extra GSTINs in Other GSTINs); ","")&amp;IF(AND(AR981&gt;0,V981=""),"Financial year missing; ","")&amp;IF(AND(AR981=0,V981&lt;&gt;""),"Financial year given but no service is Yes; ","")&amp;IF(AND(W981="Yes",AN981=""),"GST needs a GSTIN; ","")&amp;IF(AND(W981="Yes",X981=""),"GST return frequency missing; ","")&amp;IF(AND(Y981="Yes",TRIM(H981)=""),"TDS needs a TAN; ","")&amp;IF(AND(AA981="Yes",AQ981&lt;&gt;"",AQ981&lt;&gt;"company",AQ981&lt;&gt;"llp"),"ROC is only for a company / LLP; ","")&amp;IF(AND(AA981="Yes",OR(AQ981="company",AQ981="llp"),TRIM(I981)=""),"ROC needs the CIN / LLPIN; ","")</f>
        <v/>
      </c>
    </row>
    <row r="982">
      <c r="A982" s="30" t="n"/>
      <c r="B982" s="31" t="n"/>
      <c r="C982" s="31" t="n"/>
      <c r="D982" s="31" t="n"/>
      <c r="E982" s="30" t="n"/>
      <c r="F982" s="30" t="n"/>
      <c r="G982" s="30" t="n"/>
      <c r="H982" s="30" t="n"/>
      <c r="I982" s="30" t="n"/>
      <c r="J982" s="32" t="n"/>
      <c r="K982" s="31" t="n"/>
      <c r="L982" s="30" t="n"/>
      <c r="M982" s="31" t="n"/>
      <c r="N982" s="31" t="n"/>
      <c r="O982" s="31" t="n"/>
      <c r="P982" s="30" t="n"/>
      <c r="Q982" s="31" t="n"/>
      <c r="R982" s="31" t="n"/>
      <c r="S982" s="31" t="n"/>
      <c r="T982" s="31" t="n"/>
      <c r="U982" s="30" t="n"/>
      <c r="V982" s="31" t="n"/>
      <c r="W982" s="31" t="n"/>
      <c r="X982" s="31" t="n"/>
      <c r="Y982" s="31" t="n"/>
      <c r="Z982" s="31" t="n"/>
      <c r="AA982" s="31" t="n"/>
      <c r="AB982" s="31" t="n"/>
      <c r="AC982" s="31" t="n"/>
      <c r="AD982" s="31" t="n"/>
      <c r="AE982" s="31" t="n"/>
      <c r="AF982" s="27">
        <f>IF(NOT(COUNTA(A982:AE982)&gt;0),"",IF(A982="","New client","Update"))</f>
        <v/>
      </c>
      <c r="AG982" s="27">
        <f>IF(AO982&lt;&gt;"",AO982,IF(LEN(AN982)=15,MID(AN982,3,10),""))</f>
        <v/>
      </c>
      <c r="AH982" s="27">
        <f>IF(AP982="","",AP982&amp;IF(D982="","  (guessed from PAN)",""))</f>
        <v/>
      </c>
      <c r="AI982" s="27">
        <f>IF(AN982="","",IFERROR(INDEX(Lists!$L$2:$L$38,MATCH(LEFT(AN982,2),Lists!$K$2:$K$38,0)),"Unknown code"))</f>
        <v/>
      </c>
      <c r="AJ982" s="27">
        <f>IF(AN982="","",IFERROR(IF(NOT(AND(LEN(AN982)=15,ISNUMBER(MATCH(LEFT(AN982,2),Lists!$K$2:$K$38,0)),SUMPRODUCT(--ISERROR(FIND(MID(MID(AN982,3,10),{1,2,3,4,5,10},1),"ABCDEFGHIJKLMNOPQRSTUVWXYZ")))=0,SUMPRODUCT(--ISERROR(FIND(MID(MID(AN982,3,10),{6,7,8,9},1),"0123456789")))=0,ISNUMBER(FIND(MID(AN982,13,1),"123456789ABCDEFGHIJKLMNOPQRSTUVWXYZ")),MID(AN982,14,1)="Z")),"Wrong format",IF(MID("0123456789ABCDEFGHIJKLMNOPQRSTUVWXYZ",MOD(36-MOD(SUMPRODUCT(INT((FIND(MID(AN982,{1,2,3,4,5,6,7,8,9,10,11,12,13,14},1),"0123456789ABCDEFGHIJKLMNOPQRSTUVWXYZ")-1)*{1,2,1,2,1,2,1,2,1,2,1,2,1,2}/36)+MOD((FIND(MID(AN982,{1,2,3,4,5,6,7,8,9,10,11,12,13,14},1),"0123456789ABCDEFGHIJKLMNOPQRSTUVWXYZ")-1)*{1,2,1,2,1,2,1,2,1,2,1,2,1,2},36)),36),36)+1,1)=MID(AN982,15,1),"OK","Typo? check digit wrong")),"Wrong format"))</f>
        <v/>
      </c>
      <c r="AK982" s="27">
        <f>IF(AO982="","",IF(AND(LEN(AO982)=10,SUMPRODUCT(--ISERROR(FIND(MID(AO982,{1,2,3,4,5,10},1),"ABCDEFGHIJKLMNOPQRSTUVWXYZ")))=0,SUMPRODUCT(--ISERROR(FIND(MID(AO982,{6,7,8,9},1),"0123456789")))=0),"OK","Wrong format"))</f>
        <v/>
      </c>
      <c r="AL982" s="27">
        <f>IF(TRIM(H982)="","",IF(AND(LEN(UPPER(TRIM(H982)))=10,SUMPRODUCT(--ISERROR(FIND(MID(UPPER(TRIM(H982)),{1,2,3,4,10},1),"ABCDEFGHIJKLMNOPQRSTUVWXYZ")))=0,SUMPRODUCT(--ISERROR(FIND(MID(UPPER(TRIM(H982)),{5,6,7,8,9},1),"0123456789")))=0),"OK","Wrong format"))</f>
        <v/>
      </c>
      <c r="AM982" s="28">
        <f>IF(NOT(COUNTA(A982:AE982)&gt;0),"",IF(AS982&lt;&gt;"","✖ "&amp;LEFT(AS982,LEN(AS982)-2),IF(AR982&gt;0,"✔ Ready — client + "&amp;AR982&amp;" service(s)","✔ Ready — client only")))</f>
        <v/>
      </c>
      <c r="AN982" s="29">
        <f>UPPER(SUBSTITUTE(TRIM(F982)," ",""))</f>
        <v/>
      </c>
      <c r="AO982" s="29">
        <f>UPPER(SUBSTITUTE(TRIM(E982)," ",""))</f>
        <v/>
      </c>
      <c r="AP982" s="29">
        <f>IF(D982&lt;&gt;"",D982,IFERROR(VLOOKUP(MID(AG982,4,1),Lists!$E$2:$F$8,2,FALSE),""))</f>
        <v/>
      </c>
      <c r="AQ982" s="29">
        <f>IFERROR(VLOOKUP(AP982,Lists!$A$2:$C$12,3,FALSE),"")</f>
        <v/>
      </c>
      <c r="AR982" s="29">
        <f>COUNTIF(W982:AC982,"Yes")</f>
        <v/>
      </c>
      <c r="AS982" s="29">
        <f>IF(TRIM(B982)="","Legal name missing; ","")&amp;IF(AND(AJ982&lt;&gt;"",AJ982&lt;&gt;"OK"),"GSTIN: "&amp;AJ982&amp;"; ","")&amp;IF(AND(AK982&lt;&gt;"",AK982&lt;&gt;"OK"),"PAN wrong format; ","")&amp;IF(AND(AO982&lt;&gt;"",LEN(AN982)=15,MID(AN982,3,10)&lt;&gt;AO982),"PAN does not match GSTIN; ","")&amp;IF(AND(AL982&lt;&gt;"",AL982&lt;&gt;"OK"),"TAN wrong format; ","")&amp;IF(AG982="","PAN missing; ","")&amp;IF(AP982="","Entity type missing; ","")&amp;IF(AND(AN982&lt;&gt;"",COUNTIF($AN$6:$AN$1005,AN982)&gt;1),"GSTIN repeated in this sheet; ","")&amp;IF(AND(AG982&lt;&gt;"",COUNTIF($AG$6:$AG$1005,AG982)&gt;1),"PAN repeated in this sheet (same client? put extra GSTINs in Other GSTINs); ","")&amp;IF(AND(AR982&gt;0,V982=""),"Financial year missing; ","")&amp;IF(AND(AR982=0,V982&lt;&gt;""),"Financial year given but no service is Yes; ","")&amp;IF(AND(W982="Yes",AN982=""),"GST needs a GSTIN; ","")&amp;IF(AND(W982="Yes",X982=""),"GST return frequency missing; ","")&amp;IF(AND(Y982="Yes",TRIM(H982)=""),"TDS needs a TAN; ","")&amp;IF(AND(AA982="Yes",AQ982&lt;&gt;"",AQ982&lt;&gt;"company",AQ982&lt;&gt;"llp"),"ROC is only for a company / LLP; ","")&amp;IF(AND(AA982="Yes",OR(AQ982="company",AQ982="llp"),TRIM(I982)=""),"ROC needs the CIN / LLPIN; ","")</f>
        <v/>
      </c>
    </row>
    <row r="983">
      <c r="A983" s="30" t="n"/>
      <c r="B983" s="31" t="n"/>
      <c r="C983" s="31" t="n"/>
      <c r="D983" s="31" t="n"/>
      <c r="E983" s="30" t="n"/>
      <c r="F983" s="30" t="n"/>
      <c r="G983" s="30" t="n"/>
      <c r="H983" s="30" t="n"/>
      <c r="I983" s="30" t="n"/>
      <c r="J983" s="32" t="n"/>
      <c r="K983" s="31" t="n"/>
      <c r="L983" s="30" t="n"/>
      <c r="M983" s="31" t="n"/>
      <c r="N983" s="31" t="n"/>
      <c r="O983" s="31" t="n"/>
      <c r="P983" s="30" t="n"/>
      <c r="Q983" s="31" t="n"/>
      <c r="R983" s="31" t="n"/>
      <c r="S983" s="31" t="n"/>
      <c r="T983" s="31" t="n"/>
      <c r="U983" s="30" t="n"/>
      <c r="V983" s="31" t="n"/>
      <c r="W983" s="31" t="n"/>
      <c r="X983" s="31" t="n"/>
      <c r="Y983" s="31" t="n"/>
      <c r="Z983" s="31" t="n"/>
      <c r="AA983" s="31" t="n"/>
      <c r="AB983" s="31" t="n"/>
      <c r="AC983" s="31" t="n"/>
      <c r="AD983" s="31" t="n"/>
      <c r="AE983" s="31" t="n"/>
      <c r="AF983" s="27">
        <f>IF(NOT(COUNTA(A983:AE983)&gt;0),"",IF(A983="","New client","Update"))</f>
        <v/>
      </c>
      <c r="AG983" s="27">
        <f>IF(AO983&lt;&gt;"",AO983,IF(LEN(AN983)=15,MID(AN983,3,10),""))</f>
        <v/>
      </c>
      <c r="AH983" s="27">
        <f>IF(AP983="","",AP983&amp;IF(D983="","  (guessed from PAN)",""))</f>
        <v/>
      </c>
      <c r="AI983" s="27">
        <f>IF(AN983="","",IFERROR(INDEX(Lists!$L$2:$L$38,MATCH(LEFT(AN983,2),Lists!$K$2:$K$38,0)),"Unknown code"))</f>
        <v/>
      </c>
      <c r="AJ983" s="27">
        <f>IF(AN983="","",IFERROR(IF(NOT(AND(LEN(AN983)=15,ISNUMBER(MATCH(LEFT(AN983,2),Lists!$K$2:$K$38,0)),SUMPRODUCT(--ISERROR(FIND(MID(MID(AN983,3,10),{1,2,3,4,5,10},1),"ABCDEFGHIJKLMNOPQRSTUVWXYZ")))=0,SUMPRODUCT(--ISERROR(FIND(MID(MID(AN983,3,10),{6,7,8,9},1),"0123456789")))=0,ISNUMBER(FIND(MID(AN983,13,1),"123456789ABCDEFGHIJKLMNOPQRSTUVWXYZ")),MID(AN983,14,1)="Z")),"Wrong format",IF(MID("0123456789ABCDEFGHIJKLMNOPQRSTUVWXYZ",MOD(36-MOD(SUMPRODUCT(INT((FIND(MID(AN983,{1,2,3,4,5,6,7,8,9,10,11,12,13,14},1),"0123456789ABCDEFGHIJKLMNOPQRSTUVWXYZ")-1)*{1,2,1,2,1,2,1,2,1,2,1,2,1,2}/36)+MOD((FIND(MID(AN983,{1,2,3,4,5,6,7,8,9,10,11,12,13,14},1),"0123456789ABCDEFGHIJKLMNOPQRSTUVWXYZ")-1)*{1,2,1,2,1,2,1,2,1,2,1,2,1,2},36)),36),36)+1,1)=MID(AN983,15,1),"OK","Typo? check digit wrong")),"Wrong format"))</f>
        <v/>
      </c>
      <c r="AK983" s="27">
        <f>IF(AO983="","",IF(AND(LEN(AO983)=10,SUMPRODUCT(--ISERROR(FIND(MID(AO983,{1,2,3,4,5,10},1),"ABCDEFGHIJKLMNOPQRSTUVWXYZ")))=0,SUMPRODUCT(--ISERROR(FIND(MID(AO983,{6,7,8,9},1),"0123456789")))=0),"OK","Wrong format"))</f>
        <v/>
      </c>
      <c r="AL983" s="27">
        <f>IF(TRIM(H983)="","",IF(AND(LEN(UPPER(TRIM(H983)))=10,SUMPRODUCT(--ISERROR(FIND(MID(UPPER(TRIM(H983)),{1,2,3,4,10},1),"ABCDEFGHIJKLMNOPQRSTUVWXYZ")))=0,SUMPRODUCT(--ISERROR(FIND(MID(UPPER(TRIM(H983)),{5,6,7,8,9},1),"0123456789")))=0),"OK","Wrong format"))</f>
        <v/>
      </c>
      <c r="AM983" s="28">
        <f>IF(NOT(COUNTA(A983:AE983)&gt;0),"",IF(AS983&lt;&gt;"","✖ "&amp;LEFT(AS983,LEN(AS983)-2),IF(AR983&gt;0,"✔ Ready — client + "&amp;AR983&amp;" service(s)","✔ Ready — client only")))</f>
        <v/>
      </c>
      <c r="AN983" s="29">
        <f>UPPER(SUBSTITUTE(TRIM(F983)," ",""))</f>
        <v/>
      </c>
      <c r="AO983" s="29">
        <f>UPPER(SUBSTITUTE(TRIM(E983)," ",""))</f>
        <v/>
      </c>
      <c r="AP983" s="29">
        <f>IF(D983&lt;&gt;"",D983,IFERROR(VLOOKUP(MID(AG983,4,1),Lists!$E$2:$F$8,2,FALSE),""))</f>
        <v/>
      </c>
      <c r="AQ983" s="29">
        <f>IFERROR(VLOOKUP(AP983,Lists!$A$2:$C$12,3,FALSE),"")</f>
        <v/>
      </c>
      <c r="AR983" s="29">
        <f>COUNTIF(W983:AC983,"Yes")</f>
        <v/>
      </c>
      <c r="AS983" s="29">
        <f>IF(TRIM(B983)="","Legal name missing; ","")&amp;IF(AND(AJ983&lt;&gt;"",AJ983&lt;&gt;"OK"),"GSTIN: "&amp;AJ983&amp;"; ","")&amp;IF(AND(AK983&lt;&gt;"",AK983&lt;&gt;"OK"),"PAN wrong format; ","")&amp;IF(AND(AO983&lt;&gt;"",LEN(AN983)=15,MID(AN983,3,10)&lt;&gt;AO983),"PAN does not match GSTIN; ","")&amp;IF(AND(AL983&lt;&gt;"",AL983&lt;&gt;"OK"),"TAN wrong format; ","")&amp;IF(AG983="","PAN missing; ","")&amp;IF(AP983="","Entity type missing; ","")&amp;IF(AND(AN983&lt;&gt;"",COUNTIF($AN$6:$AN$1005,AN983)&gt;1),"GSTIN repeated in this sheet; ","")&amp;IF(AND(AG983&lt;&gt;"",COUNTIF($AG$6:$AG$1005,AG983)&gt;1),"PAN repeated in this sheet (same client? put extra GSTINs in Other GSTINs); ","")&amp;IF(AND(AR983&gt;0,V983=""),"Financial year missing; ","")&amp;IF(AND(AR983=0,V983&lt;&gt;""),"Financial year given but no service is Yes; ","")&amp;IF(AND(W983="Yes",AN983=""),"GST needs a GSTIN; ","")&amp;IF(AND(W983="Yes",X983=""),"GST return frequency missing; ","")&amp;IF(AND(Y983="Yes",TRIM(H983)=""),"TDS needs a TAN; ","")&amp;IF(AND(AA983="Yes",AQ983&lt;&gt;"",AQ983&lt;&gt;"company",AQ983&lt;&gt;"llp"),"ROC is only for a company / LLP; ","")&amp;IF(AND(AA983="Yes",OR(AQ983="company",AQ983="llp"),TRIM(I983)=""),"ROC needs the CIN / LLPIN; ","")</f>
        <v/>
      </c>
    </row>
    <row r="984">
      <c r="A984" s="30" t="n"/>
      <c r="B984" s="31" t="n"/>
      <c r="C984" s="31" t="n"/>
      <c r="D984" s="31" t="n"/>
      <c r="E984" s="30" t="n"/>
      <c r="F984" s="30" t="n"/>
      <c r="G984" s="30" t="n"/>
      <c r="H984" s="30" t="n"/>
      <c r="I984" s="30" t="n"/>
      <c r="J984" s="32" t="n"/>
      <c r="K984" s="31" t="n"/>
      <c r="L984" s="30" t="n"/>
      <c r="M984" s="31" t="n"/>
      <c r="N984" s="31" t="n"/>
      <c r="O984" s="31" t="n"/>
      <c r="P984" s="30" t="n"/>
      <c r="Q984" s="31" t="n"/>
      <c r="R984" s="31" t="n"/>
      <c r="S984" s="31" t="n"/>
      <c r="T984" s="31" t="n"/>
      <c r="U984" s="30" t="n"/>
      <c r="V984" s="31" t="n"/>
      <c r="W984" s="31" t="n"/>
      <c r="X984" s="31" t="n"/>
      <c r="Y984" s="31" t="n"/>
      <c r="Z984" s="31" t="n"/>
      <c r="AA984" s="31" t="n"/>
      <c r="AB984" s="31" t="n"/>
      <c r="AC984" s="31" t="n"/>
      <c r="AD984" s="31" t="n"/>
      <c r="AE984" s="31" t="n"/>
      <c r="AF984" s="27">
        <f>IF(NOT(COUNTA(A984:AE984)&gt;0),"",IF(A984="","New client","Update"))</f>
        <v/>
      </c>
      <c r="AG984" s="27">
        <f>IF(AO984&lt;&gt;"",AO984,IF(LEN(AN984)=15,MID(AN984,3,10),""))</f>
        <v/>
      </c>
      <c r="AH984" s="27">
        <f>IF(AP984="","",AP984&amp;IF(D984="","  (guessed from PAN)",""))</f>
        <v/>
      </c>
      <c r="AI984" s="27">
        <f>IF(AN984="","",IFERROR(INDEX(Lists!$L$2:$L$38,MATCH(LEFT(AN984,2),Lists!$K$2:$K$38,0)),"Unknown code"))</f>
        <v/>
      </c>
      <c r="AJ984" s="27">
        <f>IF(AN984="","",IFERROR(IF(NOT(AND(LEN(AN984)=15,ISNUMBER(MATCH(LEFT(AN984,2),Lists!$K$2:$K$38,0)),SUMPRODUCT(--ISERROR(FIND(MID(MID(AN984,3,10),{1,2,3,4,5,10},1),"ABCDEFGHIJKLMNOPQRSTUVWXYZ")))=0,SUMPRODUCT(--ISERROR(FIND(MID(MID(AN984,3,10),{6,7,8,9},1),"0123456789")))=0,ISNUMBER(FIND(MID(AN984,13,1),"123456789ABCDEFGHIJKLMNOPQRSTUVWXYZ")),MID(AN984,14,1)="Z")),"Wrong format",IF(MID("0123456789ABCDEFGHIJKLMNOPQRSTUVWXYZ",MOD(36-MOD(SUMPRODUCT(INT((FIND(MID(AN984,{1,2,3,4,5,6,7,8,9,10,11,12,13,14},1),"0123456789ABCDEFGHIJKLMNOPQRSTUVWXYZ")-1)*{1,2,1,2,1,2,1,2,1,2,1,2,1,2}/36)+MOD((FIND(MID(AN984,{1,2,3,4,5,6,7,8,9,10,11,12,13,14},1),"0123456789ABCDEFGHIJKLMNOPQRSTUVWXYZ")-1)*{1,2,1,2,1,2,1,2,1,2,1,2,1,2},36)),36),36)+1,1)=MID(AN984,15,1),"OK","Typo? check digit wrong")),"Wrong format"))</f>
        <v/>
      </c>
      <c r="AK984" s="27">
        <f>IF(AO984="","",IF(AND(LEN(AO984)=10,SUMPRODUCT(--ISERROR(FIND(MID(AO984,{1,2,3,4,5,10},1),"ABCDEFGHIJKLMNOPQRSTUVWXYZ")))=0,SUMPRODUCT(--ISERROR(FIND(MID(AO984,{6,7,8,9},1),"0123456789")))=0),"OK","Wrong format"))</f>
        <v/>
      </c>
      <c r="AL984" s="27">
        <f>IF(TRIM(H984)="","",IF(AND(LEN(UPPER(TRIM(H984)))=10,SUMPRODUCT(--ISERROR(FIND(MID(UPPER(TRIM(H984)),{1,2,3,4,10},1),"ABCDEFGHIJKLMNOPQRSTUVWXYZ")))=0,SUMPRODUCT(--ISERROR(FIND(MID(UPPER(TRIM(H984)),{5,6,7,8,9},1),"0123456789")))=0),"OK","Wrong format"))</f>
        <v/>
      </c>
      <c r="AM984" s="28">
        <f>IF(NOT(COUNTA(A984:AE984)&gt;0),"",IF(AS984&lt;&gt;"","✖ "&amp;LEFT(AS984,LEN(AS984)-2),IF(AR984&gt;0,"✔ Ready — client + "&amp;AR984&amp;" service(s)","✔ Ready — client only")))</f>
        <v/>
      </c>
      <c r="AN984" s="29">
        <f>UPPER(SUBSTITUTE(TRIM(F984)," ",""))</f>
        <v/>
      </c>
      <c r="AO984" s="29">
        <f>UPPER(SUBSTITUTE(TRIM(E984)," ",""))</f>
        <v/>
      </c>
      <c r="AP984" s="29">
        <f>IF(D984&lt;&gt;"",D984,IFERROR(VLOOKUP(MID(AG984,4,1),Lists!$E$2:$F$8,2,FALSE),""))</f>
        <v/>
      </c>
      <c r="AQ984" s="29">
        <f>IFERROR(VLOOKUP(AP984,Lists!$A$2:$C$12,3,FALSE),"")</f>
        <v/>
      </c>
      <c r="AR984" s="29">
        <f>COUNTIF(W984:AC984,"Yes")</f>
        <v/>
      </c>
      <c r="AS984" s="29">
        <f>IF(TRIM(B984)="","Legal name missing; ","")&amp;IF(AND(AJ984&lt;&gt;"",AJ984&lt;&gt;"OK"),"GSTIN: "&amp;AJ984&amp;"; ","")&amp;IF(AND(AK984&lt;&gt;"",AK984&lt;&gt;"OK"),"PAN wrong format; ","")&amp;IF(AND(AO984&lt;&gt;"",LEN(AN984)=15,MID(AN984,3,10)&lt;&gt;AO984),"PAN does not match GSTIN; ","")&amp;IF(AND(AL984&lt;&gt;"",AL984&lt;&gt;"OK"),"TAN wrong format; ","")&amp;IF(AG984="","PAN missing; ","")&amp;IF(AP984="","Entity type missing; ","")&amp;IF(AND(AN984&lt;&gt;"",COUNTIF($AN$6:$AN$1005,AN984)&gt;1),"GSTIN repeated in this sheet; ","")&amp;IF(AND(AG984&lt;&gt;"",COUNTIF($AG$6:$AG$1005,AG984)&gt;1),"PAN repeated in this sheet (same client? put extra GSTINs in Other GSTINs); ","")&amp;IF(AND(AR984&gt;0,V984=""),"Financial year missing; ","")&amp;IF(AND(AR984=0,V984&lt;&gt;""),"Financial year given but no service is Yes; ","")&amp;IF(AND(W984="Yes",AN984=""),"GST needs a GSTIN; ","")&amp;IF(AND(W984="Yes",X984=""),"GST return frequency missing; ","")&amp;IF(AND(Y984="Yes",TRIM(H984)=""),"TDS needs a TAN; ","")&amp;IF(AND(AA984="Yes",AQ984&lt;&gt;"",AQ984&lt;&gt;"company",AQ984&lt;&gt;"llp"),"ROC is only for a company / LLP; ","")&amp;IF(AND(AA984="Yes",OR(AQ984="company",AQ984="llp"),TRIM(I984)=""),"ROC needs the CIN / LLPIN; ","")</f>
        <v/>
      </c>
    </row>
    <row r="985">
      <c r="A985" s="30" t="n"/>
      <c r="B985" s="31" t="n"/>
      <c r="C985" s="31" t="n"/>
      <c r="D985" s="31" t="n"/>
      <c r="E985" s="30" t="n"/>
      <c r="F985" s="30" t="n"/>
      <c r="G985" s="30" t="n"/>
      <c r="H985" s="30" t="n"/>
      <c r="I985" s="30" t="n"/>
      <c r="J985" s="32" t="n"/>
      <c r="K985" s="31" t="n"/>
      <c r="L985" s="30" t="n"/>
      <c r="M985" s="31" t="n"/>
      <c r="N985" s="31" t="n"/>
      <c r="O985" s="31" t="n"/>
      <c r="P985" s="30" t="n"/>
      <c r="Q985" s="31" t="n"/>
      <c r="R985" s="31" t="n"/>
      <c r="S985" s="31" t="n"/>
      <c r="T985" s="31" t="n"/>
      <c r="U985" s="30" t="n"/>
      <c r="V985" s="31" t="n"/>
      <c r="W985" s="31" t="n"/>
      <c r="X985" s="31" t="n"/>
      <c r="Y985" s="31" t="n"/>
      <c r="Z985" s="31" t="n"/>
      <c r="AA985" s="31" t="n"/>
      <c r="AB985" s="31" t="n"/>
      <c r="AC985" s="31" t="n"/>
      <c r="AD985" s="31" t="n"/>
      <c r="AE985" s="31" t="n"/>
      <c r="AF985" s="27">
        <f>IF(NOT(COUNTA(A985:AE985)&gt;0),"",IF(A985="","New client","Update"))</f>
        <v/>
      </c>
      <c r="AG985" s="27">
        <f>IF(AO985&lt;&gt;"",AO985,IF(LEN(AN985)=15,MID(AN985,3,10),""))</f>
        <v/>
      </c>
      <c r="AH985" s="27">
        <f>IF(AP985="","",AP985&amp;IF(D985="","  (guessed from PAN)",""))</f>
        <v/>
      </c>
      <c r="AI985" s="27">
        <f>IF(AN985="","",IFERROR(INDEX(Lists!$L$2:$L$38,MATCH(LEFT(AN985,2),Lists!$K$2:$K$38,0)),"Unknown code"))</f>
        <v/>
      </c>
      <c r="AJ985" s="27">
        <f>IF(AN985="","",IFERROR(IF(NOT(AND(LEN(AN985)=15,ISNUMBER(MATCH(LEFT(AN985,2),Lists!$K$2:$K$38,0)),SUMPRODUCT(--ISERROR(FIND(MID(MID(AN985,3,10),{1,2,3,4,5,10},1),"ABCDEFGHIJKLMNOPQRSTUVWXYZ")))=0,SUMPRODUCT(--ISERROR(FIND(MID(MID(AN985,3,10),{6,7,8,9},1),"0123456789")))=0,ISNUMBER(FIND(MID(AN985,13,1),"123456789ABCDEFGHIJKLMNOPQRSTUVWXYZ")),MID(AN985,14,1)="Z")),"Wrong format",IF(MID("0123456789ABCDEFGHIJKLMNOPQRSTUVWXYZ",MOD(36-MOD(SUMPRODUCT(INT((FIND(MID(AN985,{1,2,3,4,5,6,7,8,9,10,11,12,13,14},1),"0123456789ABCDEFGHIJKLMNOPQRSTUVWXYZ")-1)*{1,2,1,2,1,2,1,2,1,2,1,2,1,2}/36)+MOD((FIND(MID(AN985,{1,2,3,4,5,6,7,8,9,10,11,12,13,14},1),"0123456789ABCDEFGHIJKLMNOPQRSTUVWXYZ")-1)*{1,2,1,2,1,2,1,2,1,2,1,2,1,2},36)),36),36)+1,1)=MID(AN985,15,1),"OK","Typo? check digit wrong")),"Wrong format"))</f>
        <v/>
      </c>
      <c r="AK985" s="27">
        <f>IF(AO985="","",IF(AND(LEN(AO985)=10,SUMPRODUCT(--ISERROR(FIND(MID(AO985,{1,2,3,4,5,10},1),"ABCDEFGHIJKLMNOPQRSTUVWXYZ")))=0,SUMPRODUCT(--ISERROR(FIND(MID(AO985,{6,7,8,9},1),"0123456789")))=0),"OK","Wrong format"))</f>
        <v/>
      </c>
      <c r="AL985" s="27">
        <f>IF(TRIM(H985)="","",IF(AND(LEN(UPPER(TRIM(H985)))=10,SUMPRODUCT(--ISERROR(FIND(MID(UPPER(TRIM(H985)),{1,2,3,4,10},1),"ABCDEFGHIJKLMNOPQRSTUVWXYZ")))=0,SUMPRODUCT(--ISERROR(FIND(MID(UPPER(TRIM(H985)),{5,6,7,8,9},1),"0123456789")))=0),"OK","Wrong format"))</f>
        <v/>
      </c>
      <c r="AM985" s="28">
        <f>IF(NOT(COUNTA(A985:AE985)&gt;0),"",IF(AS985&lt;&gt;"","✖ "&amp;LEFT(AS985,LEN(AS985)-2),IF(AR985&gt;0,"✔ Ready — client + "&amp;AR985&amp;" service(s)","✔ Ready — client only")))</f>
        <v/>
      </c>
      <c r="AN985" s="29">
        <f>UPPER(SUBSTITUTE(TRIM(F985)," ",""))</f>
        <v/>
      </c>
      <c r="AO985" s="29">
        <f>UPPER(SUBSTITUTE(TRIM(E985)," ",""))</f>
        <v/>
      </c>
      <c r="AP985" s="29">
        <f>IF(D985&lt;&gt;"",D985,IFERROR(VLOOKUP(MID(AG985,4,1),Lists!$E$2:$F$8,2,FALSE),""))</f>
        <v/>
      </c>
      <c r="AQ985" s="29">
        <f>IFERROR(VLOOKUP(AP985,Lists!$A$2:$C$12,3,FALSE),"")</f>
        <v/>
      </c>
      <c r="AR985" s="29">
        <f>COUNTIF(W985:AC985,"Yes")</f>
        <v/>
      </c>
      <c r="AS985" s="29">
        <f>IF(TRIM(B985)="","Legal name missing; ","")&amp;IF(AND(AJ985&lt;&gt;"",AJ985&lt;&gt;"OK"),"GSTIN: "&amp;AJ985&amp;"; ","")&amp;IF(AND(AK985&lt;&gt;"",AK985&lt;&gt;"OK"),"PAN wrong format; ","")&amp;IF(AND(AO985&lt;&gt;"",LEN(AN985)=15,MID(AN985,3,10)&lt;&gt;AO985),"PAN does not match GSTIN; ","")&amp;IF(AND(AL985&lt;&gt;"",AL985&lt;&gt;"OK"),"TAN wrong format; ","")&amp;IF(AG985="","PAN missing; ","")&amp;IF(AP985="","Entity type missing; ","")&amp;IF(AND(AN985&lt;&gt;"",COUNTIF($AN$6:$AN$1005,AN985)&gt;1),"GSTIN repeated in this sheet; ","")&amp;IF(AND(AG985&lt;&gt;"",COUNTIF($AG$6:$AG$1005,AG985)&gt;1),"PAN repeated in this sheet (same client? put extra GSTINs in Other GSTINs); ","")&amp;IF(AND(AR985&gt;0,V985=""),"Financial year missing; ","")&amp;IF(AND(AR985=0,V985&lt;&gt;""),"Financial year given but no service is Yes; ","")&amp;IF(AND(W985="Yes",AN985=""),"GST needs a GSTIN; ","")&amp;IF(AND(W985="Yes",X985=""),"GST return frequency missing; ","")&amp;IF(AND(Y985="Yes",TRIM(H985)=""),"TDS needs a TAN; ","")&amp;IF(AND(AA985="Yes",AQ985&lt;&gt;"",AQ985&lt;&gt;"company",AQ985&lt;&gt;"llp"),"ROC is only for a company / LLP; ","")&amp;IF(AND(AA985="Yes",OR(AQ985="company",AQ985="llp"),TRIM(I985)=""),"ROC needs the CIN / LLPIN; ","")</f>
        <v/>
      </c>
    </row>
    <row r="986">
      <c r="A986" s="30" t="n"/>
      <c r="B986" s="31" t="n"/>
      <c r="C986" s="31" t="n"/>
      <c r="D986" s="31" t="n"/>
      <c r="E986" s="30" t="n"/>
      <c r="F986" s="30" t="n"/>
      <c r="G986" s="30" t="n"/>
      <c r="H986" s="30" t="n"/>
      <c r="I986" s="30" t="n"/>
      <c r="J986" s="32" t="n"/>
      <c r="K986" s="31" t="n"/>
      <c r="L986" s="30" t="n"/>
      <c r="M986" s="31" t="n"/>
      <c r="N986" s="31" t="n"/>
      <c r="O986" s="31" t="n"/>
      <c r="P986" s="30" t="n"/>
      <c r="Q986" s="31" t="n"/>
      <c r="R986" s="31" t="n"/>
      <c r="S986" s="31" t="n"/>
      <c r="T986" s="31" t="n"/>
      <c r="U986" s="30" t="n"/>
      <c r="V986" s="31" t="n"/>
      <c r="W986" s="31" t="n"/>
      <c r="X986" s="31" t="n"/>
      <c r="Y986" s="31" t="n"/>
      <c r="Z986" s="31" t="n"/>
      <c r="AA986" s="31" t="n"/>
      <c r="AB986" s="31" t="n"/>
      <c r="AC986" s="31" t="n"/>
      <c r="AD986" s="31" t="n"/>
      <c r="AE986" s="31" t="n"/>
      <c r="AF986" s="27">
        <f>IF(NOT(COUNTA(A986:AE986)&gt;0),"",IF(A986="","New client","Update"))</f>
        <v/>
      </c>
      <c r="AG986" s="27">
        <f>IF(AO986&lt;&gt;"",AO986,IF(LEN(AN986)=15,MID(AN986,3,10),""))</f>
        <v/>
      </c>
      <c r="AH986" s="27">
        <f>IF(AP986="","",AP986&amp;IF(D986="","  (guessed from PAN)",""))</f>
        <v/>
      </c>
      <c r="AI986" s="27">
        <f>IF(AN986="","",IFERROR(INDEX(Lists!$L$2:$L$38,MATCH(LEFT(AN986,2),Lists!$K$2:$K$38,0)),"Unknown code"))</f>
        <v/>
      </c>
      <c r="AJ986" s="27">
        <f>IF(AN986="","",IFERROR(IF(NOT(AND(LEN(AN986)=15,ISNUMBER(MATCH(LEFT(AN986,2),Lists!$K$2:$K$38,0)),SUMPRODUCT(--ISERROR(FIND(MID(MID(AN986,3,10),{1,2,3,4,5,10},1),"ABCDEFGHIJKLMNOPQRSTUVWXYZ")))=0,SUMPRODUCT(--ISERROR(FIND(MID(MID(AN986,3,10),{6,7,8,9},1),"0123456789")))=0,ISNUMBER(FIND(MID(AN986,13,1),"123456789ABCDEFGHIJKLMNOPQRSTUVWXYZ")),MID(AN986,14,1)="Z")),"Wrong format",IF(MID("0123456789ABCDEFGHIJKLMNOPQRSTUVWXYZ",MOD(36-MOD(SUMPRODUCT(INT((FIND(MID(AN986,{1,2,3,4,5,6,7,8,9,10,11,12,13,14},1),"0123456789ABCDEFGHIJKLMNOPQRSTUVWXYZ")-1)*{1,2,1,2,1,2,1,2,1,2,1,2,1,2}/36)+MOD((FIND(MID(AN986,{1,2,3,4,5,6,7,8,9,10,11,12,13,14},1),"0123456789ABCDEFGHIJKLMNOPQRSTUVWXYZ")-1)*{1,2,1,2,1,2,1,2,1,2,1,2,1,2},36)),36),36)+1,1)=MID(AN986,15,1),"OK","Typo? check digit wrong")),"Wrong format"))</f>
        <v/>
      </c>
      <c r="AK986" s="27">
        <f>IF(AO986="","",IF(AND(LEN(AO986)=10,SUMPRODUCT(--ISERROR(FIND(MID(AO986,{1,2,3,4,5,10},1),"ABCDEFGHIJKLMNOPQRSTUVWXYZ")))=0,SUMPRODUCT(--ISERROR(FIND(MID(AO986,{6,7,8,9},1),"0123456789")))=0),"OK","Wrong format"))</f>
        <v/>
      </c>
      <c r="AL986" s="27">
        <f>IF(TRIM(H986)="","",IF(AND(LEN(UPPER(TRIM(H986)))=10,SUMPRODUCT(--ISERROR(FIND(MID(UPPER(TRIM(H986)),{1,2,3,4,10},1),"ABCDEFGHIJKLMNOPQRSTUVWXYZ")))=0,SUMPRODUCT(--ISERROR(FIND(MID(UPPER(TRIM(H986)),{5,6,7,8,9},1),"0123456789")))=0),"OK","Wrong format"))</f>
        <v/>
      </c>
      <c r="AM986" s="28">
        <f>IF(NOT(COUNTA(A986:AE986)&gt;0),"",IF(AS986&lt;&gt;"","✖ "&amp;LEFT(AS986,LEN(AS986)-2),IF(AR986&gt;0,"✔ Ready — client + "&amp;AR986&amp;" service(s)","✔ Ready — client only")))</f>
        <v/>
      </c>
      <c r="AN986" s="29">
        <f>UPPER(SUBSTITUTE(TRIM(F986)," ",""))</f>
        <v/>
      </c>
      <c r="AO986" s="29">
        <f>UPPER(SUBSTITUTE(TRIM(E986)," ",""))</f>
        <v/>
      </c>
      <c r="AP986" s="29">
        <f>IF(D986&lt;&gt;"",D986,IFERROR(VLOOKUP(MID(AG986,4,1),Lists!$E$2:$F$8,2,FALSE),""))</f>
        <v/>
      </c>
      <c r="AQ986" s="29">
        <f>IFERROR(VLOOKUP(AP986,Lists!$A$2:$C$12,3,FALSE),"")</f>
        <v/>
      </c>
      <c r="AR986" s="29">
        <f>COUNTIF(W986:AC986,"Yes")</f>
        <v/>
      </c>
      <c r="AS986" s="29">
        <f>IF(TRIM(B986)="","Legal name missing; ","")&amp;IF(AND(AJ986&lt;&gt;"",AJ986&lt;&gt;"OK"),"GSTIN: "&amp;AJ986&amp;"; ","")&amp;IF(AND(AK986&lt;&gt;"",AK986&lt;&gt;"OK"),"PAN wrong format; ","")&amp;IF(AND(AO986&lt;&gt;"",LEN(AN986)=15,MID(AN986,3,10)&lt;&gt;AO986),"PAN does not match GSTIN; ","")&amp;IF(AND(AL986&lt;&gt;"",AL986&lt;&gt;"OK"),"TAN wrong format; ","")&amp;IF(AG986="","PAN missing; ","")&amp;IF(AP986="","Entity type missing; ","")&amp;IF(AND(AN986&lt;&gt;"",COUNTIF($AN$6:$AN$1005,AN986)&gt;1),"GSTIN repeated in this sheet; ","")&amp;IF(AND(AG986&lt;&gt;"",COUNTIF($AG$6:$AG$1005,AG986)&gt;1),"PAN repeated in this sheet (same client? put extra GSTINs in Other GSTINs); ","")&amp;IF(AND(AR986&gt;0,V986=""),"Financial year missing; ","")&amp;IF(AND(AR986=0,V986&lt;&gt;""),"Financial year given but no service is Yes; ","")&amp;IF(AND(W986="Yes",AN986=""),"GST needs a GSTIN; ","")&amp;IF(AND(W986="Yes",X986=""),"GST return frequency missing; ","")&amp;IF(AND(Y986="Yes",TRIM(H986)=""),"TDS needs a TAN; ","")&amp;IF(AND(AA986="Yes",AQ986&lt;&gt;"",AQ986&lt;&gt;"company",AQ986&lt;&gt;"llp"),"ROC is only for a company / LLP; ","")&amp;IF(AND(AA986="Yes",OR(AQ986="company",AQ986="llp"),TRIM(I986)=""),"ROC needs the CIN / LLPIN; ","")</f>
        <v/>
      </c>
    </row>
    <row r="987">
      <c r="A987" s="30" t="n"/>
      <c r="B987" s="31" t="n"/>
      <c r="C987" s="31" t="n"/>
      <c r="D987" s="31" t="n"/>
      <c r="E987" s="30" t="n"/>
      <c r="F987" s="30" t="n"/>
      <c r="G987" s="30" t="n"/>
      <c r="H987" s="30" t="n"/>
      <c r="I987" s="30" t="n"/>
      <c r="J987" s="32" t="n"/>
      <c r="K987" s="31" t="n"/>
      <c r="L987" s="30" t="n"/>
      <c r="M987" s="31" t="n"/>
      <c r="N987" s="31" t="n"/>
      <c r="O987" s="31" t="n"/>
      <c r="P987" s="30" t="n"/>
      <c r="Q987" s="31" t="n"/>
      <c r="R987" s="31" t="n"/>
      <c r="S987" s="31" t="n"/>
      <c r="T987" s="31" t="n"/>
      <c r="U987" s="30" t="n"/>
      <c r="V987" s="31" t="n"/>
      <c r="W987" s="31" t="n"/>
      <c r="X987" s="31" t="n"/>
      <c r="Y987" s="31" t="n"/>
      <c r="Z987" s="31" t="n"/>
      <c r="AA987" s="31" t="n"/>
      <c r="AB987" s="31" t="n"/>
      <c r="AC987" s="31" t="n"/>
      <c r="AD987" s="31" t="n"/>
      <c r="AE987" s="31" t="n"/>
      <c r="AF987" s="27">
        <f>IF(NOT(COUNTA(A987:AE987)&gt;0),"",IF(A987="","New client","Update"))</f>
        <v/>
      </c>
      <c r="AG987" s="27">
        <f>IF(AO987&lt;&gt;"",AO987,IF(LEN(AN987)=15,MID(AN987,3,10),""))</f>
        <v/>
      </c>
      <c r="AH987" s="27">
        <f>IF(AP987="","",AP987&amp;IF(D987="","  (guessed from PAN)",""))</f>
        <v/>
      </c>
      <c r="AI987" s="27">
        <f>IF(AN987="","",IFERROR(INDEX(Lists!$L$2:$L$38,MATCH(LEFT(AN987,2),Lists!$K$2:$K$38,0)),"Unknown code"))</f>
        <v/>
      </c>
      <c r="AJ987" s="27">
        <f>IF(AN987="","",IFERROR(IF(NOT(AND(LEN(AN987)=15,ISNUMBER(MATCH(LEFT(AN987,2),Lists!$K$2:$K$38,0)),SUMPRODUCT(--ISERROR(FIND(MID(MID(AN987,3,10),{1,2,3,4,5,10},1),"ABCDEFGHIJKLMNOPQRSTUVWXYZ")))=0,SUMPRODUCT(--ISERROR(FIND(MID(MID(AN987,3,10),{6,7,8,9},1),"0123456789")))=0,ISNUMBER(FIND(MID(AN987,13,1),"123456789ABCDEFGHIJKLMNOPQRSTUVWXYZ")),MID(AN987,14,1)="Z")),"Wrong format",IF(MID("0123456789ABCDEFGHIJKLMNOPQRSTUVWXYZ",MOD(36-MOD(SUMPRODUCT(INT((FIND(MID(AN987,{1,2,3,4,5,6,7,8,9,10,11,12,13,14},1),"0123456789ABCDEFGHIJKLMNOPQRSTUVWXYZ")-1)*{1,2,1,2,1,2,1,2,1,2,1,2,1,2}/36)+MOD((FIND(MID(AN987,{1,2,3,4,5,6,7,8,9,10,11,12,13,14},1),"0123456789ABCDEFGHIJKLMNOPQRSTUVWXYZ")-1)*{1,2,1,2,1,2,1,2,1,2,1,2,1,2},36)),36),36)+1,1)=MID(AN987,15,1),"OK","Typo? check digit wrong")),"Wrong format"))</f>
        <v/>
      </c>
      <c r="AK987" s="27">
        <f>IF(AO987="","",IF(AND(LEN(AO987)=10,SUMPRODUCT(--ISERROR(FIND(MID(AO987,{1,2,3,4,5,10},1),"ABCDEFGHIJKLMNOPQRSTUVWXYZ")))=0,SUMPRODUCT(--ISERROR(FIND(MID(AO987,{6,7,8,9},1),"0123456789")))=0),"OK","Wrong format"))</f>
        <v/>
      </c>
      <c r="AL987" s="27">
        <f>IF(TRIM(H987)="","",IF(AND(LEN(UPPER(TRIM(H987)))=10,SUMPRODUCT(--ISERROR(FIND(MID(UPPER(TRIM(H987)),{1,2,3,4,10},1),"ABCDEFGHIJKLMNOPQRSTUVWXYZ")))=0,SUMPRODUCT(--ISERROR(FIND(MID(UPPER(TRIM(H987)),{5,6,7,8,9},1),"0123456789")))=0),"OK","Wrong format"))</f>
        <v/>
      </c>
      <c r="AM987" s="28">
        <f>IF(NOT(COUNTA(A987:AE987)&gt;0),"",IF(AS987&lt;&gt;"","✖ "&amp;LEFT(AS987,LEN(AS987)-2),IF(AR987&gt;0,"✔ Ready — client + "&amp;AR987&amp;" service(s)","✔ Ready — client only")))</f>
        <v/>
      </c>
      <c r="AN987" s="29">
        <f>UPPER(SUBSTITUTE(TRIM(F987)," ",""))</f>
        <v/>
      </c>
      <c r="AO987" s="29">
        <f>UPPER(SUBSTITUTE(TRIM(E987)," ",""))</f>
        <v/>
      </c>
      <c r="AP987" s="29">
        <f>IF(D987&lt;&gt;"",D987,IFERROR(VLOOKUP(MID(AG987,4,1),Lists!$E$2:$F$8,2,FALSE),""))</f>
        <v/>
      </c>
      <c r="AQ987" s="29">
        <f>IFERROR(VLOOKUP(AP987,Lists!$A$2:$C$12,3,FALSE),"")</f>
        <v/>
      </c>
      <c r="AR987" s="29">
        <f>COUNTIF(W987:AC987,"Yes")</f>
        <v/>
      </c>
      <c r="AS987" s="29">
        <f>IF(TRIM(B987)="","Legal name missing; ","")&amp;IF(AND(AJ987&lt;&gt;"",AJ987&lt;&gt;"OK"),"GSTIN: "&amp;AJ987&amp;"; ","")&amp;IF(AND(AK987&lt;&gt;"",AK987&lt;&gt;"OK"),"PAN wrong format; ","")&amp;IF(AND(AO987&lt;&gt;"",LEN(AN987)=15,MID(AN987,3,10)&lt;&gt;AO987),"PAN does not match GSTIN; ","")&amp;IF(AND(AL987&lt;&gt;"",AL987&lt;&gt;"OK"),"TAN wrong format; ","")&amp;IF(AG987="","PAN missing; ","")&amp;IF(AP987="","Entity type missing; ","")&amp;IF(AND(AN987&lt;&gt;"",COUNTIF($AN$6:$AN$1005,AN987)&gt;1),"GSTIN repeated in this sheet; ","")&amp;IF(AND(AG987&lt;&gt;"",COUNTIF($AG$6:$AG$1005,AG987)&gt;1),"PAN repeated in this sheet (same client? put extra GSTINs in Other GSTINs); ","")&amp;IF(AND(AR987&gt;0,V987=""),"Financial year missing; ","")&amp;IF(AND(AR987=0,V987&lt;&gt;""),"Financial year given but no service is Yes; ","")&amp;IF(AND(W987="Yes",AN987=""),"GST needs a GSTIN; ","")&amp;IF(AND(W987="Yes",X987=""),"GST return frequency missing; ","")&amp;IF(AND(Y987="Yes",TRIM(H987)=""),"TDS needs a TAN; ","")&amp;IF(AND(AA987="Yes",AQ987&lt;&gt;"",AQ987&lt;&gt;"company",AQ987&lt;&gt;"llp"),"ROC is only for a company / LLP; ","")&amp;IF(AND(AA987="Yes",OR(AQ987="company",AQ987="llp"),TRIM(I987)=""),"ROC needs the CIN / LLPIN; ","")</f>
        <v/>
      </c>
    </row>
    <row r="988">
      <c r="A988" s="30" t="n"/>
      <c r="B988" s="31" t="n"/>
      <c r="C988" s="31" t="n"/>
      <c r="D988" s="31" t="n"/>
      <c r="E988" s="30" t="n"/>
      <c r="F988" s="30" t="n"/>
      <c r="G988" s="30" t="n"/>
      <c r="H988" s="30" t="n"/>
      <c r="I988" s="30" t="n"/>
      <c r="J988" s="32" t="n"/>
      <c r="K988" s="31" t="n"/>
      <c r="L988" s="30" t="n"/>
      <c r="M988" s="31" t="n"/>
      <c r="N988" s="31" t="n"/>
      <c r="O988" s="31" t="n"/>
      <c r="P988" s="30" t="n"/>
      <c r="Q988" s="31" t="n"/>
      <c r="R988" s="31" t="n"/>
      <c r="S988" s="31" t="n"/>
      <c r="T988" s="31" t="n"/>
      <c r="U988" s="30" t="n"/>
      <c r="V988" s="31" t="n"/>
      <c r="W988" s="31" t="n"/>
      <c r="X988" s="31" t="n"/>
      <c r="Y988" s="31" t="n"/>
      <c r="Z988" s="31" t="n"/>
      <c r="AA988" s="31" t="n"/>
      <c r="AB988" s="31" t="n"/>
      <c r="AC988" s="31" t="n"/>
      <c r="AD988" s="31" t="n"/>
      <c r="AE988" s="31" t="n"/>
      <c r="AF988" s="27">
        <f>IF(NOT(COUNTA(A988:AE988)&gt;0),"",IF(A988="","New client","Update"))</f>
        <v/>
      </c>
      <c r="AG988" s="27">
        <f>IF(AO988&lt;&gt;"",AO988,IF(LEN(AN988)=15,MID(AN988,3,10),""))</f>
        <v/>
      </c>
      <c r="AH988" s="27">
        <f>IF(AP988="","",AP988&amp;IF(D988="","  (guessed from PAN)",""))</f>
        <v/>
      </c>
      <c r="AI988" s="27">
        <f>IF(AN988="","",IFERROR(INDEX(Lists!$L$2:$L$38,MATCH(LEFT(AN988,2),Lists!$K$2:$K$38,0)),"Unknown code"))</f>
        <v/>
      </c>
      <c r="AJ988" s="27">
        <f>IF(AN988="","",IFERROR(IF(NOT(AND(LEN(AN988)=15,ISNUMBER(MATCH(LEFT(AN988,2),Lists!$K$2:$K$38,0)),SUMPRODUCT(--ISERROR(FIND(MID(MID(AN988,3,10),{1,2,3,4,5,10},1),"ABCDEFGHIJKLMNOPQRSTUVWXYZ")))=0,SUMPRODUCT(--ISERROR(FIND(MID(MID(AN988,3,10),{6,7,8,9},1),"0123456789")))=0,ISNUMBER(FIND(MID(AN988,13,1),"123456789ABCDEFGHIJKLMNOPQRSTUVWXYZ")),MID(AN988,14,1)="Z")),"Wrong format",IF(MID("0123456789ABCDEFGHIJKLMNOPQRSTUVWXYZ",MOD(36-MOD(SUMPRODUCT(INT((FIND(MID(AN988,{1,2,3,4,5,6,7,8,9,10,11,12,13,14},1),"0123456789ABCDEFGHIJKLMNOPQRSTUVWXYZ")-1)*{1,2,1,2,1,2,1,2,1,2,1,2,1,2}/36)+MOD((FIND(MID(AN988,{1,2,3,4,5,6,7,8,9,10,11,12,13,14},1),"0123456789ABCDEFGHIJKLMNOPQRSTUVWXYZ")-1)*{1,2,1,2,1,2,1,2,1,2,1,2,1,2},36)),36),36)+1,1)=MID(AN988,15,1),"OK","Typo? check digit wrong")),"Wrong format"))</f>
        <v/>
      </c>
      <c r="AK988" s="27">
        <f>IF(AO988="","",IF(AND(LEN(AO988)=10,SUMPRODUCT(--ISERROR(FIND(MID(AO988,{1,2,3,4,5,10},1),"ABCDEFGHIJKLMNOPQRSTUVWXYZ")))=0,SUMPRODUCT(--ISERROR(FIND(MID(AO988,{6,7,8,9},1),"0123456789")))=0),"OK","Wrong format"))</f>
        <v/>
      </c>
      <c r="AL988" s="27">
        <f>IF(TRIM(H988)="","",IF(AND(LEN(UPPER(TRIM(H988)))=10,SUMPRODUCT(--ISERROR(FIND(MID(UPPER(TRIM(H988)),{1,2,3,4,10},1),"ABCDEFGHIJKLMNOPQRSTUVWXYZ")))=0,SUMPRODUCT(--ISERROR(FIND(MID(UPPER(TRIM(H988)),{5,6,7,8,9},1),"0123456789")))=0),"OK","Wrong format"))</f>
        <v/>
      </c>
      <c r="AM988" s="28">
        <f>IF(NOT(COUNTA(A988:AE988)&gt;0),"",IF(AS988&lt;&gt;"","✖ "&amp;LEFT(AS988,LEN(AS988)-2),IF(AR988&gt;0,"✔ Ready — client + "&amp;AR988&amp;" service(s)","✔ Ready — client only")))</f>
        <v/>
      </c>
      <c r="AN988" s="29">
        <f>UPPER(SUBSTITUTE(TRIM(F988)," ",""))</f>
        <v/>
      </c>
      <c r="AO988" s="29">
        <f>UPPER(SUBSTITUTE(TRIM(E988)," ",""))</f>
        <v/>
      </c>
      <c r="AP988" s="29">
        <f>IF(D988&lt;&gt;"",D988,IFERROR(VLOOKUP(MID(AG988,4,1),Lists!$E$2:$F$8,2,FALSE),""))</f>
        <v/>
      </c>
      <c r="AQ988" s="29">
        <f>IFERROR(VLOOKUP(AP988,Lists!$A$2:$C$12,3,FALSE),"")</f>
        <v/>
      </c>
      <c r="AR988" s="29">
        <f>COUNTIF(W988:AC988,"Yes")</f>
        <v/>
      </c>
      <c r="AS988" s="29">
        <f>IF(TRIM(B988)="","Legal name missing; ","")&amp;IF(AND(AJ988&lt;&gt;"",AJ988&lt;&gt;"OK"),"GSTIN: "&amp;AJ988&amp;"; ","")&amp;IF(AND(AK988&lt;&gt;"",AK988&lt;&gt;"OK"),"PAN wrong format; ","")&amp;IF(AND(AO988&lt;&gt;"",LEN(AN988)=15,MID(AN988,3,10)&lt;&gt;AO988),"PAN does not match GSTIN; ","")&amp;IF(AND(AL988&lt;&gt;"",AL988&lt;&gt;"OK"),"TAN wrong format; ","")&amp;IF(AG988="","PAN missing; ","")&amp;IF(AP988="","Entity type missing; ","")&amp;IF(AND(AN988&lt;&gt;"",COUNTIF($AN$6:$AN$1005,AN988)&gt;1),"GSTIN repeated in this sheet; ","")&amp;IF(AND(AG988&lt;&gt;"",COUNTIF($AG$6:$AG$1005,AG988)&gt;1),"PAN repeated in this sheet (same client? put extra GSTINs in Other GSTINs); ","")&amp;IF(AND(AR988&gt;0,V988=""),"Financial year missing; ","")&amp;IF(AND(AR988=0,V988&lt;&gt;""),"Financial year given but no service is Yes; ","")&amp;IF(AND(W988="Yes",AN988=""),"GST needs a GSTIN; ","")&amp;IF(AND(W988="Yes",X988=""),"GST return frequency missing; ","")&amp;IF(AND(Y988="Yes",TRIM(H988)=""),"TDS needs a TAN; ","")&amp;IF(AND(AA988="Yes",AQ988&lt;&gt;"",AQ988&lt;&gt;"company",AQ988&lt;&gt;"llp"),"ROC is only for a company / LLP; ","")&amp;IF(AND(AA988="Yes",OR(AQ988="company",AQ988="llp"),TRIM(I988)=""),"ROC needs the CIN / LLPIN; ","")</f>
        <v/>
      </c>
    </row>
    <row r="989">
      <c r="A989" s="30" t="n"/>
      <c r="B989" s="31" t="n"/>
      <c r="C989" s="31" t="n"/>
      <c r="D989" s="31" t="n"/>
      <c r="E989" s="30" t="n"/>
      <c r="F989" s="30" t="n"/>
      <c r="G989" s="30" t="n"/>
      <c r="H989" s="30" t="n"/>
      <c r="I989" s="30" t="n"/>
      <c r="J989" s="32" t="n"/>
      <c r="K989" s="31" t="n"/>
      <c r="L989" s="30" t="n"/>
      <c r="M989" s="31" t="n"/>
      <c r="N989" s="31" t="n"/>
      <c r="O989" s="31" t="n"/>
      <c r="P989" s="30" t="n"/>
      <c r="Q989" s="31" t="n"/>
      <c r="R989" s="31" t="n"/>
      <c r="S989" s="31" t="n"/>
      <c r="T989" s="31" t="n"/>
      <c r="U989" s="30" t="n"/>
      <c r="V989" s="31" t="n"/>
      <c r="W989" s="31" t="n"/>
      <c r="X989" s="31" t="n"/>
      <c r="Y989" s="31" t="n"/>
      <c r="Z989" s="31" t="n"/>
      <c r="AA989" s="31" t="n"/>
      <c r="AB989" s="31" t="n"/>
      <c r="AC989" s="31" t="n"/>
      <c r="AD989" s="31" t="n"/>
      <c r="AE989" s="31" t="n"/>
      <c r="AF989" s="27">
        <f>IF(NOT(COUNTA(A989:AE989)&gt;0),"",IF(A989="","New client","Update"))</f>
        <v/>
      </c>
      <c r="AG989" s="27">
        <f>IF(AO989&lt;&gt;"",AO989,IF(LEN(AN989)=15,MID(AN989,3,10),""))</f>
        <v/>
      </c>
      <c r="AH989" s="27">
        <f>IF(AP989="","",AP989&amp;IF(D989="","  (guessed from PAN)",""))</f>
        <v/>
      </c>
      <c r="AI989" s="27">
        <f>IF(AN989="","",IFERROR(INDEX(Lists!$L$2:$L$38,MATCH(LEFT(AN989,2),Lists!$K$2:$K$38,0)),"Unknown code"))</f>
        <v/>
      </c>
      <c r="AJ989" s="27">
        <f>IF(AN989="","",IFERROR(IF(NOT(AND(LEN(AN989)=15,ISNUMBER(MATCH(LEFT(AN989,2),Lists!$K$2:$K$38,0)),SUMPRODUCT(--ISERROR(FIND(MID(MID(AN989,3,10),{1,2,3,4,5,10},1),"ABCDEFGHIJKLMNOPQRSTUVWXYZ")))=0,SUMPRODUCT(--ISERROR(FIND(MID(MID(AN989,3,10),{6,7,8,9},1),"0123456789")))=0,ISNUMBER(FIND(MID(AN989,13,1),"123456789ABCDEFGHIJKLMNOPQRSTUVWXYZ")),MID(AN989,14,1)="Z")),"Wrong format",IF(MID("0123456789ABCDEFGHIJKLMNOPQRSTUVWXYZ",MOD(36-MOD(SUMPRODUCT(INT((FIND(MID(AN989,{1,2,3,4,5,6,7,8,9,10,11,12,13,14},1),"0123456789ABCDEFGHIJKLMNOPQRSTUVWXYZ")-1)*{1,2,1,2,1,2,1,2,1,2,1,2,1,2}/36)+MOD((FIND(MID(AN989,{1,2,3,4,5,6,7,8,9,10,11,12,13,14},1),"0123456789ABCDEFGHIJKLMNOPQRSTUVWXYZ")-1)*{1,2,1,2,1,2,1,2,1,2,1,2,1,2},36)),36),36)+1,1)=MID(AN989,15,1),"OK","Typo? check digit wrong")),"Wrong format"))</f>
        <v/>
      </c>
      <c r="AK989" s="27">
        <f>IF(AO989="","",IF(AND(LEN(AO989)=10,SUMPRODUCT(--ISERROR(FIND(MID(AO989,{1,2,3,4,5,10},1),"ABCDEFGHIJKLMNOPQRSTUVWXYZ")))=0,SUMPRODUCT(--ISERROR(FIND(MID(AO989,{6,7,8,9},1),"0123456789")))=0),"OK","Wrong format"))</f>
        <v/>
      </c>
      <c r="AL989" s="27">
        <f>IF(TRIM(H989)="","",IF(AND(LEN(UPPER(TRIM(H989)))=10,SUMPRODUCT(--ISERROR(FIND(MID(UPPER(TRIM(H989)),{1,2,3,4,10},1),"ABCDEFGHIJKLMNOPQRSTUVWXYZ")))=0,SUMPRODUCT(--ISERROR(FIND(MID(UPPER(TRIM(H989)),{5,6,7,8,9},1),"0123456789")))=0),"OK","Wrong format"))</f>
        <v/>
      </c>
      <c r="AM989" s="28">
        <f>IF(NOT(COUNTA(A989:AE989)&gt;0),"",IF(AS989&lt;&gt;"","✖ "&amp;LEFT(AS989,LEN(AS989)-2),IF(AR989&gt;0,"✔ Ready — client + "&amp;AR989&amp;" service(s)","✔ Ready — client only")))</f>
        <v/>
      </c>
      <c r="AN989" s="29">
        <f>UPPER(SUBSTITUTE(TRIM(F989)," ",""))</f>
        <v/>
      </c>
      <c r="AO989" s="29">
        <f>UPPER(SUBSTITUTE(TRIM(E989)," ",""))</f>
        <v/>
      </c>
      <c r="AP989" s="29">
        <f>IF(D989&lt;&gt;"",D989,IFERROR(VLOOKUP(MID(AG989,4,1),Lists!$E$2:$F$8,2,FALSE),""))</f>
        <v/>
      </c>
      <c r="AQ989" s="29">
        <f>IFERROR(VLOOKUP(AP989,Lists!$A$2:$C$12,3,FALSE),"")</f>
        <v/>
      </c>
      <c r="AR989" s="29">
        <f>COUNTIF(W989:AC989,"Yes")</f>
        <v/>
      </c>
      <c r="AS989" s="29">
        <f>IF(TRIM(B989)="","Legal name missing; ","")&amp;IF(AND(AJ989&lt;&gt;"",AJ989&lt;&gt;"OK"),"GSTIN: "&amp;AJ989&amp;"; ","")&amp;IF(AND(AK989&lt;&gt;"",AK989&lt;&gt;"OK"),"PAN wrong format; ","")&amp;IF(AND(AO989&lt;&gt;"",LEN(AN989)=15,MID(AN989,3,10)&lt;&gt;AO989),"PAN does not match GSTIN; ","")&amp;IF(AND(AL989&lt;&gt;"",AL989&lt;&gt;"OK"),"TAN wrong format; ","")&amp;IF(AG989="","PAN missing; ","")&amp;IF(AP989="","Entity type missing; ","")&amp;IF(AND(AN989&lt;&gt;"",COUNTIF($AN$6:$AN$1005,AN989)&gt;1),"GSTIN repeated in this sheet; ","")&amp;IF(AND(AG989&lt;&gt;"",COUNTIF($AG$6:$AG$1005,AG989)&gt;1),"PAN repeated in this sheet (same client? put extra GSTINs in Other GSTINs); ","")&amp;IF(AND(AR989&gt;0,V989=""),"Financial year missing; ","")&amp;IF(AND(AR989=0,V989&lt;&gt;""),"Financial year given but no service is Yes; ","")&amp;IF(AND(W989="Yes",AN989=""),"GST needs a GSTIN; ","")&amp;IF(AND(W989="Yes",X989=""),"GST return frequency missing; ","")&amp;IF(AND(Y989="Yes",TRIM(H989)=""),"TDS needs a TAN; ","")&amp;IF(AND(AA989="Yes",AQ989&lt;&gt;"",AQ989&lt;&gt;"company",AQ989&lt;&gt;"llp"),"ROC is only for a company / LLP; ","")&amp;IF(AND(AA989="Yes",OR(AQ989="company",AQ989="llp"),TRIM(I989)=""),"ROC needs the CIN / LLPIN; ","")</f>
        <v/>
      </c>
    </row>
    <row r="990">
      <c r="A990" s="30" t="n"/>
      <c r="B990" s="31" t="n"/>
      <c r="C990" s="31" t="n"/>
      <c r="D990" s="31" t="n"/>
      <c r="E990" s="30" t="n"/>
      <c r="F990" s="30" t="n"/>
      <c r="G990" s="30" t="n"/>
      <c r="H990" s="30" t="n"/>
      <c r="I990" s="30" t="n"/>
      <c r="J990" s="32" t="n"/>
      <c r="K990" s="31" t="n"/>
      <c r="L990" s="30" t="n"/>
      <c r="M990" s="31" t="n"/>
      <c r="N990" s="31" t="n"/>
      <c r="O990" s="31" t="n"/>
      <c r="P990" s="30" t="n"/>
      <c r="Q990" s="31" t="n"/>
      <c r="R990" s="31" t="n"/>
      <c r="S990" s="31" t="n"/>
      <c r="T990" s="31" t="n"/>
      <c r="U990" s="30" t="n"/>
      <c r="V990" s="31" t="n"/>
      <c r="W990" s="31" t="n"/>
      <c r="X990" s="31" t="n"/>
      <c r="Y990" s="31" t="n"/>
      <c r="Z990" s="31" t="n"/>
      <c r="AA990" s="31" t="n"/>
      <c r="AB990" s="31" t="n"/>
      <c r="AC990" s="31" t="n"/>
      <c r="AD990" s="31" t="n"/>
      <c r="AE990" s="31" t="n"/>
      <c r="AF990" s="27">
        <f>IF(NOT(COUNTA(A990:AE990)&gt;0),"",IF(A990="","New client","Update"))</f>
        <v/>
      </c>
      <c r="AG990" s="27">
        <f>IF(AO990&lt;&gt;"",AO990,IF(LEN(AN990)=15,MID(AN990,3,10),""))</f>
        <v/>
      </c>
      <c r="AH990" s="27">
        <f>IF(AP990="","",AP990&amp;IF(D990="","  (guessed from PAN)",""))</f>
        <v/>
      </c>
      <c r="AI990" s="27">
        <f>IF(AN990="","",IFERROR(INDEX(Lists!$L$2:$L$38,MATCH(LEFT(AN990,2),Lists!$K$2:$K$38,0)),"Unknown code"))</f>
        <v/>
      </c>
      <c r="AJ990" s="27">
        <f>IF(AN990="","",IFERROR(IF(NOT(AND(LEN(AN990)=15,ISNUMBER(MATCH(LEFT(AN990,2),Lists!$K$2:$K$38,0)),SUMPRODUCT(--ISERROR(FIND(MID(MID(AN990,3,10),{1,2,3,4,5,10},1),"ABCDEFGHIJKLMNOPQRSTUVWXYZ")))=0,SUMPRODUCT(--ISERROR(FIND(MID(MID(AN990,3,10),{6,7,8,9},1),"0123456789")))=0,ISNUMBER(FIND(MID(AN990,13,1),"123456789ABCDEFGHIJKLMNOPQRSTUVWXYZ")),MID(AN990,14,1)="Z")),"Wrong format",IF(MID("0123456789ABCDEFGHIJKLMNOPQRSTUVWXYZ",MOD(36-MOD(SUMPRODUCT(INT((FIND(MID(AN990,{1,2,3,4,5,6,7,8,9,10,11,12,13,14},1),"0123456789ABCDEFGHIJKLMNOPQRSTUVWXYZ")-1)*{1,2,1,2,1,2,1,2,1,2,1,2,1,2}/36)+MOD((FIND(MID(AN990,{1,2,3,4,5,6,7,8,9,10,11,12,13,14},1),"0123456789ABCDEFGHIJKLMNOPQRSTUVWXYZ")-1)*{1,2,1,2,1,2,1,2,1,2,1,2,1,2},36)),36),36)+1,1)=MID(AN990,15,1),"OK","Typo? check digit wrong")),"Wrong format"))</f>
        <v/>
      </c>
      <c r="AK990" s="27">
        <f>IF(AO990="","",IF(AND(LEN(AO990)=10,SUMPRODUCT(--ISERROR(FIND(MID(AO990,{1,2,3,4,5,10},1),"ABCDEFGHIJKLMNOPQRSTUVWXYZ")))=0,SUMPRODUCT(--ISERROR(FIND(MID(AO990,{6,7,8,9},1),"0123456789")))=0),"OK","Wrong format"))</f>
        <v/>
      </c>
      <c r="AL990" s="27">
        <f>IF(TRIM(H990)="","",IF(AND(LEN(UPPER(TRIM(H990)))=10,SUMPRODUCT(--ISERROR(FIND(MID(UPPER(TRIM(H990)),{1,2,3,4,10},1),"ABCDEFGHIJKLMNOPQRSTUVWXYZ")))=0,SUMPRODUCT(--ISERROR(FIND(MID(UPPER(TRIM(H990)),{5,6,7,8,9},1),"0123456789")))=0),"OK","Wrong format"))</f>
        <v/>
      </c>
      <c r="AM990" s="28">
        <f>IF(NOT(COUNTA(A990:AE990)&gt;0),"",IF(AS990&lt;&gt;"","✖ "&amp;LEFT(AS990,LEN(AS990)-2),IF(AR990&gt;0,"✔ Ready — client + "&amp;AR990&amp;" service(s)","✔ Ready — client only")))</f>
        <v/>
      </c>
      <c r="AN990" s="29">
        <f>UPPER(SUBSTITUTE(TRIM(F990)," ",""))</f>
        <v/>
      </c>
      <c r="AO990" s="29">
        <f>UPPER(SUBSTITUTE(TRIM(E990)," ",""))</f>
        <v/>
      </c>
      <c r="AP990" s="29">
        <f>IF(D990&lt;&gt;"",D990,IFERROR(VLOOKUP(MID(AG990,4,1),Lists!$E$2:$F$8,2,FALSE),""))</f>
        <v/>
      </c>
      <c r="AQ990" s="29">
        <f>IFERROR(VLOOKUP(AP990,Lists!$A$2:$C$12,3,FALSE),"")</f>
        <v/>
      </c>
      <c r="AR990" s="29">
        <f>COUNTIF(W990:AC990,"Yes")</f>
        <v/>
      </c>
      <c r="AS990" s="29">
        <f>IF(TRIM(B990)="","Legal name missing; ","")&amp;IF(AND(AJ990&lt;&gt;"",AJ990&lt;&gt;"OK"),"GSTIN: "&amp;AJ990&amp;"; ","")&amp;IF(AND(AK990&lt;&gt;"",AK990&lt;&gt;"OK"),"PAN wrong format; ","")&amp;IF(AND(AO990&lt;&gt;"",LEN(AN990)=15,MID(AN990,3,10)&lt;&gt;AO990),"PAN does not match GSTIN; ","")&amp;IF(AND(AL990&lt;&gt;"",AL990&lt;&gt;"OK"),"TAN wrong format; ","")&amp;IF(AG990="","PAN missing; ","")&amp;IF(AP990="","Entity type missing; ","")&amp;IF(AND(AN990&lt;&gt;"",COUNTIF($AN$6:$AN$1005,AN990)&gt;1),"GSTIN repeated in this sheet; ","")&amp;IF(AND(AG990&lt;&gt;"",COUNTIF($AG$6:$AG$1005,AG990)&gt;1),"PAN repeated in this sheet (same client? put extra GSTINs in Other GSTINs); ","")&amp;IF(AND(AR990&gt;0,V990=""),"Financial year missing; ","")&amp;IF(AND(AR990=0,V990&lt;&gt;""),"Financial year given but no service is Yes; ","")&amp;IF(AND(W990="Yes",AN990=""),"GST needs a GSTIN; ","")&amp;IF(AND(W990="Yes",X990=""),"GST return frequency missing; ","")&amp;IF(AND(Y990="Yes",TRIM(H990)=""),"TDS needs a TAN; ","")&amp;IF(AND(AA990="Yes",AQ990&lt;&gt;"",AQ990&lt;&gt;"company",AQ990&lt;&gt;"llp"),"ROC is only for a company / LLP; ","")&amp;IF(AND(AA990="Yes",OR(AQ990="company",AQ990="llp"),TRIM(I990)=""),"ROC needs the CIN / LLPIN; ","")</f>
        <v/>
      </c>
    </row>
    <row r="991">
      <c r="A991" s="30" t="n"/>
      <c r="B991" s="31" t="n"/>
      <c r="C991" s="31" t="n"/>
      <c r="D991" s="31" t="n"/>
      <c r="E991" s="30" t="n"/>
      <c r="F991" s="30" t="n"/>
      <c r="G991" s="30" t="n"/>
      <c r="H991" s="30" t="n"/>
      <c r="I991" s="30" t="n"/>
      <c r="J991" s="32" t="n"/>
      <c r="K991" s="31" t="n"/>
      <c r="L991" s="30" t="n"/>
      <c r="M991" s="31" t="n"/>
      <c r="N991" s="31" t="n"/>
      <c r="O991" s="31" t="n"/>
      <c r="P991" s="30" t="n"/>
      <c r="Q991" s="31" t="n"/>
      <c r="R991" s="31" t="n"/>
      <c r="S991" s="31" t="n"/>
      <c r="T991" s="31" t="n"/>
      <c r="U991" s="30" t="n"/>
      <c r="V991" s="31" t="n"/>
      <c r="W991" s="31" t="n"/>
      <c r="X991" s="31" t="n"/>
      <c r="Y991" s="31" t="n"/>
      <c r="Z991" s="31" t="n"/>
      <c r="AA991" s="31" t="n"/>
      <c r="AB991" s="31" t="n"/>
      <c r="AC991" s="31" t="n"/>
      <c r="AD991" s="31" t="n"/>
      <c r="AE991" s="31" t="n"/>
      <c r="AF991" s="27">
        <f>IF(NOT(COUNTA(A991:AE991)&gt;0),"",IF(A991="","New client","Update"))</f>
        <v/>
      </c>
      <c r="AG991" s="27">
        <f>IF(AO991&lt;&gt;"",AO991,IF(LEN(AN991)=15,MID(AN991,3,10),""))</f>
        <v/>
      </c>
      <c r="AH991" s="27">
        <f>IF(AP991="","",AP991&amp;IF(D991="","  (guessed from PAN)",""))</f>
        <v/>
      </c>
      <c r="AI991" s="27">
        <f>IF(AN991="","",IFERROR(INDEX(Lists!$L$2:$L$38,MATCH(LEFT(AN991,2),Lists!$K$2:$K$38,0)),"Unknown code"))</f>
        <v/>
      </c>
      <c r="AJ991" s="27">
        <f>IF(AN991="","",IFERROR(IF(NOT(AND(LEN(AN991)=15,ISNUMBER(MATCH(LEFT(AN991,2),Lists!$K$2:$K$38,0)),SUMPRODUCT(--ISERROR(FIND(MID(MID(AN991,3,10),{1,2,3,4,5,10},1),"ABCDEFGHIJKLMNOPQRSTUVWXYZ")))=0,SUMPRODUCT(--ISERROR(FIND(MID(MID(AN991,3,10),{6,7,8,9},1),"0123456789")))=0,ISNUMBER(FIND(MID(AN991,13,1),"123456789ABCDEFGHIJKLMNOPQRSTUVWXYZ")),MID(AN991,14,1)="Z")),"Wrong format",IF(MID("0123456789ABCDEFGHIJKLMNOPQRSTUVWXYZ",MOD(36-MOD(SUMPRODUCT(INT((FIND(MID(AN991,{1,2,3,4,5,6,7,8,9,10,11,12,13,14},1),"0123456789ABCDEFGHIJKLMNOPQRSTUVWXYZ")-1)*{1,2,1,2,1,2,1,2,1,2,1,2,1,2}/36)+MOD((FIND(MID(AN991,{1,2,3,4,5,6,7,8,9,10,11,12,13,14},1),"0123456789ABCDEFGHIJKLMNOPQRSTUVWXYZ")-1)*{1,2,1,2,1,2,1,2,1,2,1,2,1,2},36)),36),36)+1,1)=MID(AN991,15,1),"OK","Typo? check digit wrong")),"Wrong format"))</f>
        <v/>
      </c>
      <c r="AK991" s="27">
        <f>IF(AO991="","",IF(AND(LEN(AO991)=10,SUMPRODUCT(--ISERROR(FIND(MID(AO991,{1,2,3,4,5,10},1),"ABCDEFGHIJKLMNOPQRSTUVWXYZ")))=0,SUMPRODUCT(--ISERROR(FIND(MID(AO991,{6,7,8,9},1),"0123456789")))=0),"OK","Wrong format"))</f>
        <v/>
      </c>
      <c r="AL991" s="27">
        <f>IF(TRIM(H991)="","",IF(AND(LEN(UPPER(TRIM(H991)))=10,SUMPRODUCT(--ISERROR(FIND(MID(UPPER(TRIM(H991)),{1,2,3,4,10},1),"ABCDEFGHIJKLMNOPQRSTUVWXYZ")))=0,SUMPRODUCT(--ISERROR(FIND(MID(UPPER(TRIM(H991)),{5,6,7,8,9},1),"0123456789")))=0),"OK","Wrong format"))</f>
        <v/>
      </c>
      <c r="AM991" s="28">
        <f>IF(NOT(COUNTA(A991:AE991)&gt;0),"",IF(AS991&lt;&gt;"","✖ "&amp;LEFT(AS991,LEN(AS991)-2),IF(AR991&gt;0,"✔ Ready — client + "&amp;AR991&amp;" service(s)","✔ Ready — client only")))</f>
        <v/>
      </c>
      <c r="AN991" s="29">
        <f>UPPER(SUBSTITUTE(TRIM(F991)," ",""))</f>
        <v/>
      </c>
      <c r="AO991" s="29">
        <f>UPPER(SUBSTITUTE(TRIM(E991)," ",""))</f>
        <v/>
      </c>
      <c r="AP991" s="29">
        <f>IF(D991&lt;&gt;"",D991,IFERROR(VLOOKUP(MID(AG991,4,1),Lists!$E$2:$F$8,2,FALSE),""))</f>
        <v/>
      </c>
      <c r="AQ991" s="29">
        <f>IFERROR(VLOOKUP(AP991,Lists!$A$2:$C$12,3,FALSE),"")</f>
        <v/>
      </c>
      <c r="AR991" s="29">
        <f>COUNTIF(W991:AC991,"Yes")</f>
        <v/>
      </c>
      <c r="AS991" s="29">
        <f>IF(TRIM(B991)="","Legal name missing; ","")&amp;IF(AND(AJ991&lt;&gt;"",AJ991&lt;&gt;"OK"),"GSTIN: "&amp;AJ991&amp;"; ","")&amp;IF(AND(AK991&lt;&gt;"",AK991&lt;&gt;"OK"),"PAN wrong format; ","")&amp;IF(AND(AO991&lt;&gt;"",LEN(AN991)=15,MID(AN991,3,10)&lt;&gt;AO991),"PAN does not match GSTIN; ","")&amp;IF(AND(AL991&lt;&gt;"",AL991&lt;&gt;"OK"),"TAN wrong format; ","")&amp;IF(AG991="","PAN missing; ","")&amp;IF(AP991="","Entity type missing; ","")&amp;IF(AND(AN991&lt;&gt;"",COUNTIF($AN$6:$AN$1005,AN991)&gt;1),"GSTIN repeated in this sheet; ","")&amp;IF(AND(AG991&lt;&gt;"",COUNTIF($AG$6:$AG$1005,AG991)&gt;1),"PAN repeated in this sheet (same client? put extra GSTINs in Other GSTINs); ","")&amp;IF(AND(AR991&gt;0,V991=""),"Financial year missing; ","")&amp;IF(AND(AR991=0,V991&lt;&gt;""),"Financial year given but no service is Yes; ","")&amp;IF(AND(W991="Yes",AN991=""),"GST needs a GSTIN; ","")&amp;IF(AND(W991="Yes",X991=""),"GST return frequency missing; ","")&amp;IF(AND(Y991="Yes",TRIM(H991)=""),"TDS needs a TAN; ","")&amp;IF(AND(AA991="Yes",AQ991&lt;&gt;"",AQ991&lt;&gt;"company",AQ991&lt;&gt;"llp"),"ROC is only for a company / LLP; ","")&amp;IF(AND(AA991="Yes",OR(AQ991="company",AQ991="llp"),TRIM(I991)=""),"ROC needs the CIN / LLPIN; ","")</f>
        <v/>
      </c>
    </row>
    <row r="992">
      <c r="A992" s="30" t="n"/>
      <c r="B992" s="31" t="n"/>
      <c r="C992" s="31" t="n"/>
      <c r="D992" s="31" t="n"/>
      <c r="E992" s="30" t="n"/>
      <c r="F992" s="30" t="n"/>
      <c r="G992" s="30" t="n"/>
      <c r="H992" s="30" t="n"/>
      <c r="I992" s="30" t="n"/>
      <c r="J992" s="32" t="n"/>
      <c r="K992" s="31" t="n"/>
      <c r="L992" s="30" t="n"/>
      <c r="M992" s="31" t="n"/>
      <c r="N992" s="31" t="n"/>
      <c r="O992" s="31" t="n"/>
      <c r="P992" s="30" t="n"/>
      <c r="Q992" s="31" t="n"/>
      <c r="R992" s="31" t="n"/>
      <c r="S992" s="31" t="n"/>
      <c r="T992" s="31" t="n"/>
      <c r="U992" s="30" t="n"/>
      <c r="V992" s="31" t="n"/>
      <c r="W992" s="31" t="n"/>
      <c r="X992" s="31" t="n"/>
      <c r="Y992" s="31" t="n"/>
      <c r="Z992" s="31" t="n"/>
      <c r="AA992" s="31" t="n"/>
      <c r="AB992" s="31" t="n"/>
      <c r="AC992" s="31" t="n"/>
      <c r="AD992" s="31" t="n"/>
      <c r="AE992" s="31" t="n"/>
      <c r="AF992" s="27">
        <f>IF(NOT(COUNTA(A992:AE992)&gt;0),"",IF(A992="","New client","Update"))</f>
        <v/>
      </c>
      <c r="AG992" s="27">
        <f>IF(AO992&lt;&gt;"",AO992,IF(LEN(AN992)=15,MID(AN992,3,10),""))</f>
        <v/>
      </c>
      <c r="AH992" s="27">
        <f>IF(AP992="","",AP992&amp;IF(D992="","  (guessed from PAN)",""))</f>
        <v/>
      </c>
      <c r="AI992" s="27">
        <f>IF(AN992="","",IFERROR(INDEX(Lists!$L$2:$L$38,MATCH(LEFT(AN992,2),Lists!$K$2:$K$38,0)),"Unknown code"))</f>
        <v/>
      </c>
      <c r="AJ992" s="27">
        <f>IF(AN992="","",IFERROR(IF(NOT(AND(LEN(AN992)=15,ISNUMBER(MATCH(LEFT(AN992,2),Lists!$K$2:$K$38,0)),SUMPRODUCT(--ISERROR(FIND(MID(MID(AN992,3,10),{1,2,3,4,5,10},1),"ABCDEFGHIJKLMNOPQRSTUVWXYZ")))=0,SUMPRODUCT(--ISERROR(FIND(MID(MID(AN992,3,10),{6,7,8,9},1),"0123456789")))=0,ISNUMBER(FIND(MID(AN992,13,1),"123456789ABCDEFGHIJKLMNOPQRSTUVWXYZ")),MID(AN992,14,1)="Z")),"Wrong format",IF(MID("0123456789ABCDEFGHIJKLMNOPQRSTUVWXYZ",MOD(36-MOD(SUMPRODUCT(INT((FIND(MID(AN992,{1,2,3,4,5,6,7,8,9,10,11,12,13,14},1),"0123456789ABCDEFGHIJKLMNOPQRSTUVWXYZ")-1)*{1,2,1,2,1,2,1,2,1,2,1,2,1,2}/36)+MOD((FIND(MID(AN992,{1,2,3,4,5,6,7,8,9,10,11,12,13,14},1),"0123456789ABCDEFGHIJKLMNOPQRSTUVWXYZ")-1)*{1,2,1,2,1,2,1,2,1,2,1,2,1,2},36)),36),36)+1,1)=MID(AN992,15,1),"OK","Typo? check digit wrong")),"Wrong format"))</f>
        <v/>
      </c>
      <c r="AK992" s="27">
        <f>IF(AO992="","",IF(AND(LEN(AO992)=10,SUMPRODUCT(--ISERROR(FIND(MID(AO992,{1,2,3,4,5,10},1),"ABCDEFGHIJKLMNOPQRSTUVWXYZ")))=0,SUMPRODUCT(--ISERROR(FIND(MID(AO992,{6,7,8,9},1),"0123456789")))=0),"OK","Wrong format"))</f>
        <v/>
      </c>
      <c r="AL992" s="27">
        <f>IF(TRIM(H992)="","",IF(AND(LEN(UPPER(TRIM(H992)))=10,SUMPRODUCT(--ISERROR(FIND(MID(UPPER(TRIM(H992)),{1,2,3,4,10},1),"ABCDEFGHIJKLMNOPQRSTUVWXYZ")))=0,SUMPRODUCT(--ISERROR(FIND(MID(UPPER(TRIM(H992)),{5,6,7,8,9},1),"0123456789")))=0),"OK","Wrong format"))</f>
        <v/>
      </c>
      <c r="AM992" s="28">
        <f>IF(NOT(COUNTA(A992:AE992)&gt;0),"",IF(AS992&lt;&gt;"","✖ "&amp;LEFT(AS992,LEN(AS992)-2),IF(AR992&gt;0,"✔ Ready — client + "&amp;AR992&amp;" service(s)","✔ Ready — client only")))</f>
        <v/>
      </c>
      <c r="AN992" s="29">
        <f>UPPER(SUBSTITUTE(TRIM(F992)," ",""))</f>
        <v/>
      </c>
      <c r="AO992" s="29">
        <f>UPPER(SUBSTITUTE(TRIM(E992)," ",""))</f>
        <v/>
      </c>
      <c r="AP992" s="29">
        <f>IF(D992&lt;&gt;"",D992,IFERROR(VLOOKUP(MID(AG992,4,1),Lists!$E$2:$F$8,2,FALSE),""))</f>
        <v/>
      </c>
      <c r="AQ992" s="29">
        <f>IFERROR(VLOOKUP(AP992,Lists!$A$2:$C$12,3,FALSE),"")</f>
        <v/>
      </c>
      <c r="AR992" s="29">
        <f>COUNTIF(W992:AC992,"Yes")</f>
        <v/>
      </c>
      <c r="AS992" s="29">
        <f>IF(TRIM(B992)="","Legal name missing; ","")&amp;IF(AND(AJ992&lt;&gt;"",AJ992&lt;&gt;"OK"),"GSTIN: "&amp;AJ992&amp;"; ","")&amp;IF(AND(AK992&lt;&gt;"",AK992&lt;&gt;"OK"),"PAN wrong format; ","")&amp;IF(AND(AO992&lt;&gt;"",LEN(AN992)=15,MID(AN992,3,10)&lt;&gt;AO992),"PAN does not match GSTIN; ","")&amp;IF(AND(AL992&lt;&gt;"",AL992&lt;&gt;"OK"),"TAN wrong format; ","")&amp;IF(AG992="","PAN missing; ","")&amp;IF(AP992="","Entity type missing; ","")&amp;IF(AND(AN992&lt;&gt;"",COUNTIF($AN$6:$AN$1005,AN992)&gt;1),"GSTIN repeated in this sheet; ","")&amp;IF(AND(AG992&lt;&gt;"",COUNTIF($AG$6:$AG$1005,AG992)&gt;1),"PAN repeated in this sheet (same client? put extra GSTINs in Other GSTINs); ","")&amp;IF(AND(AR992&gt;0,V992=""),"Financial year missing; ","")&amp;IF(AND(AR992=0,V992&lt;&gt;""),"Financial year given but no service is Yes; ","")&amp;IF(AND(W992="Yes",AN992=""),"GST needs a GSTIN; ","")&amp;IF(AND(W992="Yes",X992=""),"GST return frequency missing; ","")&amp;IF(AND(Y992="Yes",TRIM(H992)=""),"TDS needs a TAN; ","")&amp;IF(AND(AA992="Yes",AQ992&lt;&gt;"",AQ992&lt;&gt;"company",AQ992&lt;&gt;"llp"),"ROC is only for a company / LLP; ","")&amp;IF(AND(AA992="Yes",OR(AQ992="company",AQ992="llp"),TRIM(I992)=""),"ROC needs the CIN / LLPIN; ","")</f>
        <v/>
      </c>
    </row>
    <row r="993">
      <c r="A993" s="30" t="n"/>
      <c r="B993" s="31" t="n"/>
      <c r="C993" s="31" t="n"/>
      <c r="D993" s="31" t="n"/>
      <c r="E993" s="30" t="n"/>
      <c r="F993" s="30" t="n"/>
      <c r="G993" s="30" t="n"/>
      <c r="H993" s="30" t="n"/>
      <c r="I993" s="30" t="n"/>
      <c r="J993" s="32" t="n"/>
      <c r="K993" s="31" t="n"/>
      <c r="L993" s="30" t="n"/>
      <c r="M993" s="31" t="n"/>
      <c r="N993" s="31" t="n"/>
      <c r="O993" s="31" t="n"/>
      <c r="P993" s="30" t="n"/>
      <c r="Q993" s="31" t="n"/>
      <c r="R993" s="31" t="n"/>
      <c r="S993" s="31" t="n"/>
      <c r="T993" s="31" t="n"/>
      <c r="U993" s="30" t="n"/>
      <c r="V993" s="31" t="n"/>
      <c r="W993" s="31" t="n"/>
      <c r="X993" s="31" t="n"/>
      <c r="Y993" s="31" t="n"/>
      <c r="Z993" s="31" t="n"/>
      <c r="AA993" s="31" t="n"/>
      <c r="AB993" s="31" t="n"/>
      <c r="AC993" s="31" t="n"/>
      <c r="AD993" s="31" t="n"/>
      <c r="AE993" s="31" t="n"/>
      <c r="AF993" s="27">
        <f>IF(NOT(COUNTA(A993:AE993)&gt;0),"",IF(A993="","New client","Update"))</f>
        <v/>
      </c>
      <c r="AG993" s="27">
        <f>IF(AO993&lt;&gt;"",AO993,IF(LEN(AN993)=15,MID(AN993,3,10),""))</f>
        <v/>
      </c>
      <c r="AH993" s="27">
        <f>IF(AP993="","",AP993&amp;IF(D993="","  (guessed from PAN)",""))</f>
        <v/>
      </c>
      <c r="AI993" s="27">
        <f>IF(AN993="","",IFERROR(INDEX(Lists!$L$2:$L$38,MATCH(LEFT(AN993,2),Lists!$K$2:$K$38,0)),"Unknown code"))</f>
        <v/>
      </c>
      <c r="AJ993" s="27">
        <f>IF(AN993="","",IFERROR(IF(NOT(AND(LEN(AN993)=15,ISNUMBER(MATCH(LEFT(AN993,2),Lists!$K$2:$K$38,0)),SUMPRODUCT(--ISERROR(FIND(MID(MID(AN993,3,10),{1,2,3,4,5,10},1),"ABCDEFGHIJKLMNOPQRSTUVWXYZ")))=0,SUMPRODUCT(--ISERROR(FIND(MID(MID(AN993,3,10),{6,7,8,9},1),"0123456789")))=0,ISNUMBER(FIND(MID(AN993,13,1),"123456789ABCDEFGHIJKLMNOPQRSTUVWXYZ")),MID(AN993,14,1)="Z")),"Wrong format",IF(MID("0123456789ABCDEFGHIJKLMNOPQRSTUVWXYZ",MOD(36-MOD(SUMPRODUCT(INT((FIND(MID(AN993,{1,2,3,4,5,6,7,8,9,10,11,12,13,14},1),"0123456789ABCDEFGHIJKLMNOPQRSTUVWXYZ")-1)*{1,2,1,2,1,2,1,2,1,2,1,2,1,2}/36)+MOD((FIND(MID(AN993,{1,2,3,4,5,6,7,8,9,10,11,12,13,14},1),"0123456789ABCDEFGHIJKLMNOPQRSTUVWXYZ")-1)*{1,2,1,2,1,2,1,2,1,2,1,2,1,2},36)),36),36)+1,1)=MID(AN993,15,1),"OK","Typo? check digit wrong")),"Wrong format"))</f>
        <v/>
      </c>
      <c r="AK993" s="27">
        <f>IF(AO993="","",IF(AND(LEN(AO993)=10,SUMPRODUCT(--ISERROR(FIND(MID(AO993,{1,2,3,4,5,10},1),"ABCDEFGHIJKLMNOPQRSTUVWXYZ")))=0,SUMPRODUCT(--ISERROR(FIND(MID(AO993,{6,7,8,9},1),"0123456789")))=0),"OK","Wrong format"))</f>
        <v/>
      </c>
      <c r="AL993" s="27">
        <f>IF(TRIM(H993)="","",IF(AND(LEN(UPPER(TRIM(H993)))=10,SUMPRODUCT(--ISERROR(FIND(MID(UPPER(TRIM(H993)),{1,2,3,4,10},1),"ABCDEFGHIJKLMNOPQRSTUVWXYZ")))=0,SUMPRODUCT(--ISERROR(FIND(MID(UPPER(TRIM(H993)),{5,6,7,8,9},1),"0123456789")))=0),"OK","Wrong format"))</f>
        <v/>
      </c>
      <c r="AM993" s="28">
        <f>IF(NOT(COUNTA(A993:AE993)&gt;0),"",IF(AS993&lt;&gt;"","✖ "&amp;LEFT(AS993,LEN(AS993)-2),IF(AR993&gt;0,"✔ Ready — client + "&amp;AR993&amp;" service(s)","✔ Ready — client only")))</f>
        <v/>
      </c>
      <c r="AN993" s="29">
        <f>UPPER(SUBSTITUTE(TRIM(F993)," ",""))</f>
        <v/>
      </c>
      <c r="AO993" s="29">
        <f>UPPER(SUBSTITUTE(TRIM(E993)," ",""))</f>
        <v/>
      </c>
      <c r="AP993" s="29">
        <f>IF(D993&lt;&gt;"",D993,IFERROR(VLOOKUP(MID(AG993,4,1),Lists!$E$2:$F$8,2,FALSE),""))</f>
        <v/>
      </c>
      <c r="AQ993" s="29">
        <f>IFERROR(VLOOKUP(AP993,Lists!$A$2:$C$12,3,FALSE),"")</f>
        <v/>
      </c>
      <c r="AR993" s="29">
        <f>COUNTIF(W993:AC993,"Yes")</f>
        <v/>
      </c>
      <c r="AS993" s="29">
        <f>IF(TRIM(B993)="","Legal name missing; ","")&amp;IF(AND(AJ993&lt;&gt;"",AJ993&lt;&gt;"OK"),"GSTIN: "&amp;AJ993&amp;"; ","")&amp;IF(AND(AK993&lt;&gt;"",AK993&lt;&gt;"OK"),"PAN wrong format; ","")&amp;IF(AND(AO993&lt;&gt;"",LEN(AN993)=15,MID(AN993,3,10)&lt;&gt;AO993),"PAN does not match GSTIN; ","")&amp;IF(AND(AL993&lt;&gt;"",AL993&lt;&gt;"OK"),"TAN wrong format; ","")&amp;IF(AG993="","PAN missing; ","")&amp;IF(AP993="","Entity type missing; ","")&amp;IF(AND(AN993&lt;&gt;"",COUNTIF($AN$6:$AN$1005,AN993)&gt;1),"GSTIN repeated in this sheet; ","")&amp;IF(AND(AG993&lt;&gt;"",COUNTIF($AG$6:$AG$1005,AG993)&gt;1),"PAN repeated in this sheet (same client? put extra GSTINs in Other GSTINs); ","")&amp;IF(AND(AR993&gt;0,V993=""),"Financial year missing; ","")&amp;IF(AND(AR993=0,V993&lt;&gt;""),"Financial year given but no service is Yes; ","")&amp;IF(AND(W993="Yes",AN993=""),"GST needs a GSTIN; ","")&amp;IF(AND(W993="Yes",X993=""),"GST return frequency missing; ","")&amp;IF(AND(Y993="Yes",TRIM(H993)=""),"TDS needs a TAN; ","")&amp;IF(AND(AA993="Yes",AQ993&lt;&gt;"",AQ993&lt;&gt;"company",AQ993&lt;&gt;"llp"),"ROC is only for a company / LLP; ","")&amp;IF(AND(AA993="Yes",OR(AQ993="company",AQ993="llp"),TRIM(I993)=""),"ROC needs the CIN / LLPIN; ","")</f>
        <v/>
      </c>
    </row>
    <row r="994">
      <c r="A994" s="30" t="n"/>
      <c r="B994" s="31" t="n"/>
      <c r="C994" s="31" t="n"/>
      <c r="D994" s="31" t="n"/>
      <c r="E994" s="30" t="n"/>
      <c r="F994" s="30" t="n"/>
      <c r="G994" s="30" t="n"/>
      <c r="H994" s="30" t="n"/>
      <c r="I994" s="30" t="n"/>
      <c r="J994" s="32" t="n"/>
      <c r="K994" s="31" t="n"/>
      <c r="L994" s="30" t="n"/>
      <c r="M994" s="31" t="n"/>
      <c r="N994" s="31" t="n"/>
      <c r="O994" s="31" t="n"/>
      <c r="P994" s="30" t="n"/>
      <c r="Q994" s="31" t="n"/>
      <c r="R994" s="31" t="n"/>
      <c r="S994" s="31" t="n"/>
      <c r="T994" s="31" t="n"/>
      <c r="U994" s="30" t="n"/>
      <c r="V994" s="31" t="n"/>
      <c r="W994" s="31" t="n"/>
      <c r="X994" s="31" t="n"/>
      <c r="Y994" s="31" t="n"/>
      <c r="Z994" s="31" t="n"/>
      <c r="AA994" s="31" t="n"/>
      <c r="AB994" s="31" t="n"/>
      <c r="AC994" s="31" t="n"/>
      <c r="AD994" s="31" t="n"/>
      <c r="AE994" s="31" t="n"/>
      <c r="AF994" s="27">
        <f>IF(NOT(COUNTA(A994:AE994)&gt;0),"",IF(A994="","New client","Update"))</f>
        <v/>
      </c>
      <c r="AG994" s="27">
        <f>IF(AO994&lt;&gt;"",AO994,IF(LEN(AN994)=15,MID(AN994,3,10),""))</f>
        <v/>
      </c>
      <c r="AH994" s="27">
        <f>IF(AP994="","",AP994&amp;IF(D994="","  (guessed from PAN)",""))</f>
        <v/>
      </c>
      <c r="AI994" s="27">
        <f>IF(AN994="","",IFERROR(INDEX(Lists!$L$2:$L$38,MATCH(LEFT(AN994,2),Lists!$K$2:$K$38,0)),"Unknown code"))</f>
        <v/>
      </c>
      <c r="AJ994" s="27">
        <f>IF(AN994="","",IFERROR(IF(NOT(AND(LEN(AN994)=15,ISNUMBER(MATCH(LEFT(AN994,2),Lists!$K$2:$K$38,0)),SUMPRODUCT(--ISERROR(FIND(MID(MID(AN994,3,10),{1,2,3,4,5,10},1),"ABCDEFGHIJKLMNOPQRSTUVWXYZ")))=0,SUMPRODUCT(--ISERROR(FIND(MID(MID(AN994,3,10),{6,7,8,9},1),"0123456789")))=0,ISNUMBER(FIND(MID(AN994,13,1),"123456789ABCDEFGHIJKLMNOPQRSTUVWXYZ")),MID(AN994,14,1)="Z")),"Wrong format",IF(MID("0123456789ABCDEFGHIJKLMNOPQRSTUVWXYZ",MOD(36-MOD(SUMPRODUCT(INT((FIND(MID(AN994,{1,2,3,4,5,6,7,8,9,10,11,12,13,14},1),"0123456789ABCDEFGHIJKLMNOPQRSTUVWXYZ")-1)*{1,2,1,2,1,2,1,2,1,2,1,2,1,2}/36)+MOD((FIND(MID(AN994,{1,2,3,4,5,6,7,8,9,10,11,12,13,14},1),"0123456789ABCDEFGHIJKLMNOPQRSTUVWXYZ")-1)*{1,2,1,2,1,2,1,2,1,2,1,2,1,2},36)),36),36)+1,1)=MID(AN994,15,1),"OK","Typo? check digit wrong")),"Wrong format"))</f>
        <v/>
      </c>
      <c r="AK994" s="27">
        <f>IF(AO994="","",IF(AND(LEN(AO994)=10,SUMPRODUCT(--ISERROR(FIND(MID(AO994,{1,2,3,4,5,10},1),"ABCDEFGHIJKLMNOPQRSTUVWXYZ")))=0,SUMPRODUCT(--ISERROR(FIND(MID(AO994,{6,7,8,9},1),"0123456789")))=0),"OK","Wrong format"))</f>
        <v/>
      </c>
      <c r="AL994" s="27">
        <f>IF(TRIM(H994)="","",IF(AND(LEN(UPPER(TRIM(H994)))=10,SUMPRODUCT(--ISERROR(FIND(MID(UPPER(TRIM(H994)),{1,2,3,4,10},1),"ABCDEFGHIJKLMNOPQRSTUVWXYZ")))=0,SUMPRODUCT(--ISERROR(FIND(MID(UPPER(TRIM(H994)),{5,6,7,8,9},1),"0123456789")))=0),"OK","Wrong format"))</f>
        <v/>
      </c>
      <c r="AM994" s="28">
        <f>IF(NOT(COUNTA(A994:AE994)&gt;0),"",IF(AS994&lt;&gt;"","✖ "&amp;LEFT(AS994,LEN(AS994)-2),IF(AR994&gt;0,"✔ Ready — client + "&amp;AR994&amp;" service(s)","✔ Ready — client only")))</f>
        <v/>
      </c>
      <c r="AN994" s="29">
        <f>UPPER(SUBSTITUTE(TRIM(F994)," ",""))</f>
        <v/>
      </c>
      <c r="AO994" s="29">
        <f>UPPER(SUBSTITUTE(TRIM(E994)," ",""))</f>
        <v/>
      </c>
      <c r="AP994" s="29">
        <f>IF(D994&lt;&gt;"",D994,IFERROR(VLOOKUP(MID(AG994,4,1),Lists!$E$2:$F$8,2,FALSE),""))</f>
        <v/>
      </c>
      <c r="AQ994" s="29">
        <f>IFERROR(VLOOKUP(AP994,Lists!$A$2:$C$12,3,FALSE),"")</f>
        <v/>
      </c>
      <c r="AR994" s="29">
        <f>COUNTIF(W994:AC994,"Yes")</f>
        <v/>
      </c>
      <c r="AS994" s="29">
        <f>IF(TRIM(B994)="","Legal name missing; ","")&amp;IF(AND(AJ994&lt;&gt;"",AJ994&lt;&gt;"OK"),"GSTIN: "&amp;AJ994&amp;"; ","")&amp;IF(AND(AK994&lt;&gt;"",AK994&lt;&gt;"OK"),"PAN wrong format; ","")&amp;IF(AND(AO994&lt;&gt;"",LEN(AN994)=15,MID(AN994,3,10)&lt;&gt;AO994),"PAN does not match GSTIN; ","")&amp;IF(AND(AL994&lt;&gt;"",AL994&lt;&gt;"OK"),"TAN wrong format; ","")&amp;IF(AG994="","PAN missing; ","")&amp;IF(AP994="","Entity type missing; ","")&amp;IF(AND(AN994&lt;&gt;"",COUNTIF($AN$6:$AN$1005,AN994)&gt;1),"GSTIN repeated in this sheet; ","")&amp;IF(AND(AG994&lt;&gt;"",COUNTIF($AG$6:$AG$1005,AG994)&gt;1),"PAN repeated in this sheet (same client? put extra GSTINs in Other GSTINs); ","")&amp;IF(AND(AR994&gt;0,V994=""),"Financial year missing; ","")&amp;IF(AND(AR994=0,V994&lt;&gt;""),"Financial year given but no service is Yes; ","")&amp;IF(AND(W994="Yes",AN994=""),"GST needs a GSTIN; ","")&amp;IF(AND(W994="Yes",X994=""),"GST return frequency missing; ","")&amp;IF(AND(Y994="Yes",TRIM(H994)=""),"TDS needs a TAN; ","")&amp;IF(AND(AA994="Yes",AQ994&lt;&gt;"",AQ994&lt;&gt;"company",AQ994&lt;&gt;"llp"),"ROC is only for a company / LLP; ","")&amp;IF(AND(AA994="Yes",OR(AQ994="company",AQ994="llp"),TRIM(I994)=""),"ROC needs the CIN / LLPIN; ","")</f>
        <v/>
      </c>
    </row>
    <row r="995">
      <c r="A995" s="30" t="n"/>
      <c r="B995" s="31" t="n"/>
      <c r="C995" s="31" t="n"/>
      <c r="D995" s="31" t="n"/>
      <c r="E995" s="30" t="n"/>
      <c r="F995" s="30" t="n"/>
      <c r="G995" s="30" t="n"/>
      <c r="H995" s="30" t="n"/>
      <c r="I995" s="30" t="n"/>
      <c r="J995" s="32" t="n"/>
      <c r="K995" s="31" t="n"/>
      <c r="L995" s="30" t="n"/>
      <c r="M995" s="31" t="n"/>
      <c r="N995" s="31" t="n"/>
      <c r="O995" s="31" t="n"/>
      <c r="P995" s="30" t="n"/>
      <c r="Q995" s="31" t="n"/>
      <c r="R995" s="31" t="n"/>
      <c r="S995" s="31" t="n"/>
      <c r="T995" s="31" t="n"/>
      <c r="U995" s="30" t="n"/>
      <c r="V995" s="31" t="n"/>
      <c r="W995" s="31" t="n"/>
      <c r="X995" s="31" t="n"/>
      <c r="Y995" s="31" t="n"/>
      <c r="Z995" s="31" t="n"/>
      <c r="AA995" s="31" t="n"/>
      <c r="AB995" s="31" t="n"/>
      <c r="AC995" s="31" t="n"/>
      <c r="AD995" s="31" t="n"/>
      <c r="AE995" s="31" t="n"/>
      <c r="AF995" s="27">
        <f>IF(NOT(COUNTA(A995:AE995)&gt;0),"",IF(A995="","New client","Update"))</f>
        <v/>
      </c>
      <c r="AG995" s="27">
        <f>IF(AO995&lt;&gt;"",AO995,IF(LEN(AN995)=15,MID(AN995,3,10),""))</f>
        <v/>
      </c>
      <c r="AH995" s="27">
        <f>IF(AP995="","",AP995&amp;IF(D995="","  (guessed from PAN)",""))</f>
        <v/>
      </c>
      <c r="AI995" s="27">
        <f>IF(AN995="","",IFERROR(INDEX(Lists!$L$2:$L$38,MATCH(LEFT(AN995,2),Lists!$K$2:$K$38,0)),"Unknown code"))</f>
        <v/>
      </c>
      <c r="AJ995" s="27">
        <f>IF(AN995="","",IFERROR(IF(NOT(AND(LEN(AN995)=15,ISNUMBER(MATCH(LEFT(AN995,2),Lists!$K$2:$K$38,0)),SUMPRODUCT(--ISERROR(FIND(MID(MID(AN995,3,10),{1,2,3,4,5,10},1),"ABCDEFGHIJKLMNOPQRSTUVWXYZ")))=0,SUMPRODUCT(--ISERROR(FIND(MID(MID(AN995,3,10),{6,7,8,9},1),"0123456789")))=0,ISNUMBER(FIND(MID(AN995,13,1),"123456789ABCDEFGHIJKLMNOPQRSTUVWXYZ")),MID(AN995,14,1)="Z")),"Wrong format",IF(MID("0123456789ABCDEFGHIJKLMNOPQRSTUVWXYZ",MOD(36-MOD(SUMPRODUCT(INT((FIND(MID(AN995,{1,2,3,4,5,6,7,8,9,10,11,12,13,14},1),"0123456789ABCDEFGHIJKLMNOPQRSTUVWXYZ")-1)*{1,2,1,2,1,2,1,2,1,2,1,2,1,2}/36)+MOD((FIND(MID(AN995,{1,2,3,4,5,6,7,8,9,10,11,12,13,14},1),"0123456789ABCDEFGHIJKLMNOPQRSTUVWXYZ")-1)*{1,2,1,2,1,2,1,2,1,2,1,2,1,2},36)),36),36)+1,1)=MID(AN995,15,1),"OK","Typo? check digit wrong")),"Wrong format"))</f>
        <v/>
      </c>
      <c r="AK995" s="27">
        <f>IF(AO995="","",IF(AND(LEN(AO995)=10,SUMPRODUCT(--ISERROR(FIND(MID(AO995,{1,2,3,4,5,10},1),"ABCDEFGHIJKLMNOPQRSTUVWXYZ")))=0,SUMPRODUCT(--ISERROR(FIND(MID(AO995,{6,7,8,9},1),"0123456789")))=0),"OK","Wrong format"))</f>
        <v/>
      </c>
      <c r="AL995" s="27">
        <f>IF(TRIM(H995)="","",IF(AND(LEN(UPPER(TRIM(H995)))=10,SUMPRODUCT(--ISERROR(FIND(MID(UPPER(TRIM(H995)),{1,2,3,4,10},1),"ABCDEFGHIJKLMNOPQRSTUVWXYZ")))=0,SUMPRODUCT(--ISERROR(FIND(MID(UPPER(TRIM(H995)),{5,6,7,8,9},1),"0123456789")))=0),"OK","Wrong format"))</f>
        <v/>
      </c>
      <c r="AM995" s="28">
        <f>IF(NOT(COUNTA(A995:AE995)&gt;0),"",IF(AS995&lt;&gt;"","✖ "&amp;LEFT(AS995,LEN(AS995)-2),IF(AR995&gt;0,"✔ Ready — client + "&amp;AR995&amp;" service(s)","✔ Ready — client only")))</f>
        <v/>
      </c>
      <c r="AN995" s="29">
        <f>UPPER(SUBSTITUTE(TRIM(F995)," ",""))</f>
        <v/>
      </c>
      <c r="AO995" s="29">
        <f>UPPER(SUBSTITUTE(TRIM(E995)," ",""))</f>
        <v/>
      </c>
      <c r="AP995" s="29">
        <f>IF(D995&lt;&gt;"",D995,IFERROR(VLOOKUP(MID(AG995,4,1),Lists!$E$2:$F$8,2,FALSE),""))</f>
        <v/>
      </c>
      <c r="AQ995" s="29">
        <f>IFERROR(VLOOKUP(AP995,Lists!$A$2:$C$12,3,FALSE),"")</f>
        <v/>
      </c>
      <c r="AR995" s="29">
        <f>COUNTIF(W995:AC995,"Yes")</f>
        <v/>
      </c>
      <c r="AS995" s="29">
        <f>IF(TRIM(B995)="","Legal name missing; ","")&amp;IF(AND(AJ995&lt;&gt;"",AJ995&lt;&gt;"OK"),"GSTIN: "&amp;AJ995&amp;"; ","")&amp;IF(AND(AK995&lt;&gt;"",AK995&lt;&gt;"OK"),"PAN wrong format; ","")&amp;IF(AND(AO995&lt;&gt;"",LEN(AN995)=15,MID(AN995,3,10)&lt;&gt;AO995),"PAN does not match GSTIN; ","")&amp;IF(AND(AL995&lt;&gt;"",AL995&lt;&gt;"OK"),"TAN wrong format; ","")&amp;IF(AG995="","PAN missing; ","")&amp;IF(AP995="","Entity type missing; ","")&amp;IF(AND(AN995&lt;&gt;"",COUNTIF($AN$6:$AN$1005,AN995)&gt;1),"GSTIN repeated in this sheet; ","")&amp;IF(AND(AG995&lt;&gt;"",COUNTIF($AG$6:$AG$1005,AG995)&gt;1),"PAN repeated in this sheet (same client? put extra GSTINs in Other GSTINs); ","")&amp;IF(AND(AR995&gt;0,V995=""),"Financial year missing; ","")&amp;IF(AND(AR995=0,V995&lt;&gt;""),"Financial year given but no service is Yes; ","")&amp;IF(AND(W995="Yes",AN995=""),"GST needs a GSTIN; ","")&amp;IF(AND(W995="Yes",X995=""),"GST return frequency missing; ","")&amp;IF(AND(Y995="Yes",TRIM(H995)=""),"TDS needs a TAN; ","")&amp;IF(AND(AA995="Yes",AQ995&lt;&gt;"",AQ995&lt;&gt;"company",AQ995&lt;&gt;"llp"),"ROC is only for a company / LLP; ","")&amp;IF(AND(AA995="Yes",OR(AQ995="company",AQ995="llp"),TRIM(I995)=""),"ROC needs the CIN / LLPIN; ","")</f>
        <v/>
      </c>
    </row>
    <row r="996">
      <c r="A996" s="30" t="n"/>
      <c r="B996" s="31" t="n"/>
      <c r="C996" s="31" t="n"/>
      <c r="D996" s="31" t="n"/>
      <c r="E996" s="30" t="n"/>
      <c r="F996" s="30" t="n"/>
      <c r="G996" s="30" t="n"/>
      <c r="H996" s="30" t="n"/>
      <c r="I996" s="30" t="n"/>
      <c r="J996" s="32" t="n"/>
      <c r="K996" s="31" t="n"/>
      <c r="L996" s="30" t="n"/>
      <c r="M996" s="31" t="n"/>
      <c r="N996" s="31" t="n"/>
      <c r="O996" s="31" t="n"/>
      <c r="P996" s="30" t="n"/>
      <c r="Q996" s="31" t="n"/>
      <c r="R996" s="31" t="n"/>
      <c r="S996" s="31" t="n"/>
      <c r="T996" s="31" t="n"/>
      <c r="U996" s="30" t="n"/>
      <c r="V996" s="31" t="n"/>
      <c r="W996" s="31" t="n"/>
      <c r="X996" s="31" t="n"/>
      <c r="Y996" s="31" t="n"/>
      <c r="Z996" s="31" t="n"/>
      <c r="AA996" s="31" t="n"/>
      <c r="AB996" s="31" t="n"/>
      <c r="AC996" s="31" t="n"/>
      <c r="AD996" s="31" t="n"/>
      <c r="AE996" s="31" t="n"/>
      <c r="AF996" s="27">
        <f>IF(NOT(COUNTA(A996:AE996)&gt;0),"",IF(A996="","New client","Update"))</f>
        <v/>
      </c>
      <c r="AG996" s="27">
        <f>IF(AO996&lt;&gt;"",AO996,IF(LEN(AN996)=15,MID(AN996,3,10),""))</f>
        <v/>
      </c>
      <c r="AH996" s="27">
        <f>IF(AP996="","",AP996&amp;IF(D996="","  (guessed from PAN)",""))</f>
        <v/>
      </c>
      <c r="AI996" s="27">
        <f>IF(AN996="","",IFERROR(INDEX(Lists!$L$2:$L$38,MATCH(LEFT(AN996,2),Lists!$K$2:$K$38,0)),"Unknown code"))</f>
        <v/>
      </c>
      <c r="AJ996" s="27">
        <f>IF(AN996="","",IFERROR(IF(NOT(AND(LEN(AN996)=15,ISNUMBER(MATCH(LEFT(AN996,2),Lists!$K$2:$K$38,0)),SUMPRODUCT(--ISERROR(FIND(MID(MID(AN996,3,10),{1,2,3,4,5,10},1),"ABCDEFGHIJKLMNOPQRSTUVWXYZ")))=0,SUMPRODUCT(--ISERROR(FIND(MID(MID(AN996,3,10),{6,7,8,9},1),"0123456789")))=0,ISNUMBER(FIND(MID(AN996,13,1),"123456789ABCDEFGHIJKLMNOPQRSTUVWXYZ")),MID(AN996,14,1)="Z")),"Wrong format",IF(MID("0123456789ABCDEFGHIJKLMNOPQRSTUVWXYZ",MOD(36-MOD(SUMPRODUCT(INT((FIND(MID(AN996,{1,2,3,4,5,6,7,8,9,10,11,12,13,14},1),"0123456789ABCDEFGHIJKLMNOPQRSTUVWXYZ")-1)*{1,2,1,2,1,2,1,2,1,2,1,2,1,2}/36)+MOD((FIND(MID(AN996,{1,2,3,4,5,6,7,8,9,10,11,12,13,14},1),"0123456789ABCDEFGHIJKLMNOPQRSTUVWXYZ")-1)*{1,2,1,2,1,2,1,2,1,2,1,2,1,2},36)),36),36)+1,1)=MID(AN996,15,1),"OK","Typo? check digit wrong")),"Wrong format"))</f>
        <v/>
      </c>
      <c r="AK996" s="27">
        <f>IF(AO996="","",IF(AND(LEN(AO996)=10,SUMPRODUCT(--ISERROR(FIND(MID(AO996,{1,2,3,4,5,10},1),"ABCDEFGHIJKLMNOPQRSTUVWXYZ")))=0,SUMPRODUCT(--ISERROR(FIND(MID(AO996,{6,7,8,9},1),"0123456789")))=0),"OK","Wrong format"))</f>
        <v/>
      </c>
      <c r="AL996" s="27">
        <f>IF(TRIM(H996)="","",IF(AND(LEN(UPPER(TRIM(H996)))=10,SUMPRODUCT(--ISERROR(FIND(MID(UPPER(TRIM(H996)),{1,2,3,4,10},1),"ABCDEFGHIJKLMNOPQRSTUVWXYZ")))=0,SUMPRODUCT(--ISERROR(FIND(MID(UPPER(TRIM(H996)),{5,6,7,8,9},1),"0123456789")))=0),"OK","Wrong format"))</f>
        <v/>
      </c>
      <c r="AM996" s="28">
        <f>IF(NOT(COUNTA(A996:AE996)&gt;0),"",IF(AS996&lt;&gt;"","✖ "&amp;LEFT(AS996,LEN(AS996)-2),IF(AR996&gt;0,"✔ Ready — client + "&amp;AR996&amp;" service(s)","✔ Ready — client only")))</f>
        <v/>
      </c>
      <c r="AN996" s="29">
        <f>UPPER(SUBSTITUTE(TRIM(F996)," ",""))</f>
        <v/>
      </c>
      <c r="AO996" s="29">
        <f>UPPER(SUBSTITUTE(TRIM(E996)," ",""))</f>
        <v/>
      </c>
      <c r="AP996" s="29">
        <f>IF(D996&lt;&gt;"",D996,IFERROR(VLOOKUP(MID(AG996,4,1),Lists!$E$2:$F$8,2,FALSE),""))</f>
        <v/>
      </c>
      <c r="AQ996" s="29">
        <f>IFERROR(VLOOKUP(AP996,Lists!$A$2:$C$12,3,FALSE),"")</f>
        <v/>
      </c>
      <c r="AR996" s="29">
        <f>COUNTIF(W996:AC996,"Yes")</f>
        <v/>
      </c>
      <c r="AS996" s="29">
        <f>IF(TRIM(B996)="","Legal name missing; ","")&amp;IF(AND(AJ996&lt;&gt;"",AJ996&lt;&gt;"OK"),"GSTIN: "&amp;AJ996&amp;"; ","")&amp;IF(AND(AK996&lt;&gt;"",AK996&lt;&gt;"OK"),"PAN wrong format; ","")&amp;IF(AND(AO996&lt;&gt;"",LEN(AN996)=15,MID(AN996,3,10)&lt;&gt;AO996),"PAN does not match GSTIN; ","")&amp;IF(AND(AL996&lt;&gt;"",AL996&lt;&gt;"OK"),"TAN wrong format; ","")&amp;IF(AG996="","PAN missing; ","")&amp;IF(AP996="","Entity type missing; ","")&amp;IF(AND(AN996&lt;&gt;"",COUNTIF($AN$6:$AN$1005,AN996)&gt;1),"GSTIN repeated in this sheet; ","")&amp;IF(AND(AG996&lt;&gt;"",COUNTIF($AG$6:$AG$1005,AG996)&gt;1),"PAN repeated in this sheet (same client? put extra GSTINs in Other GSTINs); ","")&amp;IF(AND(AR996&gt;0,V996=""),"Financial year missing; ","")&amp;IF(AND(AR996=0,V996&lt;&gt;""),"Financial year given but no service is Yes; ","")&amp;IF(AND(W996="Yes",AN996=""),"GST needs a GSTIN; ","")&amp;IF(AND(W996="Yes",X996=""),"GST return frequency missing; ","")&amp;IF(AND(Y996="Yes",TRIM(H996)=""),"TDS needs a TAN; ","")&amp;IF(AND(AA996="Yes",AQ996&lt;&gt;"",AQ996&lt;&gt;"company",AQ996&lt;&gt;"llp"),"ROC is only for a company / LLP; ","")&amp;IF(AND(AA996="Yes",OR(AQ996="company",AQ996="llp"),TRIM(I996)=""),"ROC needs the CIN / LLPIN; ","")</f>
        <v/>
      </c>
    </row>
    <row r="997">
      <c r="A997" s="30" t="n"/>
      <c r="B997" s="31" t="n"/>
      <c r="C997" s="31" t="n"/>
      <c r="D997" s="31" t="n"/>
      <c r="E997" s="30" t="n"/>
      <c r="F997" s="30" t="n"/>
      <c r="G997" s="30" t="n"/>
      <c r="H997" s="30" t="n"/>
      <c r="I997" s="30" t="n"/>
      <c r="J997" s="32" t="n"/>
      <c r="K997" s="31" t="n"/>
      <c r="L997" s="30" t="n"/>
      <c r="M997" s="31" t="n"/>
      <c r="N997" s="31" t="n"/>
      <c r="O997" s="31" t="n"/>
      <c r="P997" s="30" t="n"/>
      <c r="Q997" s="31" t="n"/>
      <c r="R997" s="31" t="n"/>
      <c r="S997" s="31" t="n"/>
      <c r="T997" s="31" t="n"/>
      <c r="U997" s="30" t="n"/>
      <c r="V997" s="31" t="n"/>
      <c r="W997" s="31" t="n"/>
      <c r="X997" s="31" t="n"/>
      <c r="Y997" s="31" t="n"/>
      <c r="Z997" s="31" t="n"/>
      <c r="AA997" s="31" t="n"/>
      <c r="AB997" s="31" t="n"/>
      <c r="AC997" s="31" t="n"/>
      <c r="AD997" s="31" t="n"/>
      <c r="AE997" s="31" t="n"/>
      <c r="AF997" s="27">
        <f>IF(NOT(COUNTA(A997:AE997)&gt;0),"",IF(A997="","New client","Update"))</f>
        <v/>
      </c>
      <c r="AG997" s="27">
        <f>IF(AO997&lt;&gt;"",AO997,IF(LEN(AN997)=15,MID(AN997,3,10),""))</f>
        <v/>
      </c>
      <c r="AH997" s="27">
        <f>IF(AP997="","",AP997&amp;IF(D997="","  (guessed from PAN)",""))</f>
        <v/>
      </c>
      <c r="AI997" s="27">
        <f>IF(AN997="","",IFERROR(INDEX(Lists!$L$2:$L$38,MATCH(LEFT(AN997,2),Lists!$K$2:$K$38,0)),"Unknown code"))</f>
        <v/>
      </c>
      <c r="AJ997" s="27">
        <f>IF(AN997="","",IFERROR(IF(NOT(AND(LEN(AN997)=15,ISNUMBER(MATCH(LEFT(AN997,2),Lists!$K$2:$K$38,0)),SUMPRODUCT(--ISERROR(FIND(MID(MID(AN997,3,10),{1,2,3,4,5,10},1),"ABCDEFGHIJKLMNOPQRSTUVWXYZ")))=0,SUMPRODUCT(--ISERROR(FIND(MID(MID(AN997,3,10),{6,7,8,9},1),"0123456789")))=0,ISNUMBER(FIND(MID(AN997,13,1),"123456789ABCDEFGHIJKLMNOPQRSTUVWXYZ")),MID(AN997,14,1)="Z")),"Wrong format",IF(MID("0123456789ABCDEFGHIJKLMNOPQRSTUVWXYZ",MOD(36-MOD(SUMPRODUCT(INT((FIND(MID(AN997,{1,2,3,4,5,6,7,8,9,10,11,12,13,14},1),"0123456789ABCDEFGHIJKLMNOPQRSTUVWXYZ")-1)*{1,2,1,2,1,2,1,2,1,2,1,2,1,2}/36)+MOD((FIND(MID(AN997,{1,2,3,4,5,6,7,8,9,10,11,12,13,14},1),"0123456789ABCDEFGHIJKLMNOPQRSTUVWXYZ")-1)*{1,2,1,2,1,2,1,2,1,2,1,2,1,2},36)),36),36)+1,1)=MID(AN997,15,1),"OK","Typo? check digit wrong")),"Wrong format"))</f>
        <v/>
      </c>
      <c r="AK997" s="27">
        <f>IF(AO997="","",IF(AND(LEN(AO997)=10,SUMPRODUCT(--ISERROR(FIND(MID(AO997,{1,2,3,4,5,10},1),"ABCDEFGHIJKLMNOPQRSTUVWXYZ")))=0,SUMPRODUCT(--ISERROR(FIND(MID(AO997,{6,7,8,9},1),"0123456789")))=0),"OK","Wrong format"))</f>
        <v/>
      </c>
      <c r="AL997" s="27">
        <f>IF(TRIM(H997)="","",IF(AND(LEN(UPPER(TRIM(H997)))=10,SUMPRODUCT(--ISERROR(FIND(MID(UPPER(TRIM(H997)),{1,2,3,4,10},1),"ABCDEFGHIJKLMNOPQRSTUVWXYZ")))=0,SUMPRODUCT(--ISERROR(FIND(MID(UPPER(TRIM(H997)),{5,6,7,8,9},1),"0123456789")))=0),"OK","Wrong format"))</f>
        <v/>
      </c>
      <c r="AM997" s="28">
        <f>IF(NOT(COUNTA(A997:AE997)&gt;0),"",IF(AS997&lt;&gt;"","✖ "&amp;LEFT(AS997,LEN(AS997)-2),IF(AR997&gt;0,"✔ Ready — client + "&amp;AR997&amp;" service(s)","✔ Ready — client only")))</f>
        <v/>
      </c>
      <c r="AN997" s="29">
        <f>UPPER(SUBSTITUTE(TRIM(F997)," ",""))</f>
        <v/>
      </c>
      <c r="AO997" s="29">
        <f>UPPER(SUBSTITUTE(TRIM(E997)," ",""))</f>
        <v/>
      </c>
      <c r="AP997" s="29">
        <f>IF(D997&lt;&gt;"",D997,IFERROR(VLOOKUP(MID(AG997,4,1),Lists!$E$2:$F$8,2,FALSE),""))</f>
        <v/>
      </c>
      <c r="AQ997" s="29">
        <f>IFERROR(VLOOKUP(AP997,Lists!$A$2:$C$12,3,FALSE),"")</f>
        <v/>
      </c>
      <c r="AR997" s="29">
        <f>COUNTIF(W997:AC997,"Yes")</f>
        <v/>
      </c>
      <c r="AS997" s="29">
        <f>IF(TRIM(B997)="","Legal name missing; ","")&amp;IF(AND(AJ997&lt;&gt;"",AJ997&lt;&gt;"OK"),"GSTIN: "&amp;AJ997&amp;"; ","")&amp;IF(AND(AK997&lt;&gt;"",AK997&lt;&gt;"OK"),"PAN wrong format; ","")&amp;IF(AND(AO997&lt;&gt;"",LEN(AN997)=15,MID(AN997,3,10)&lt;&gt;AO997),"PAN does not match GSTIN; ","")&amp;IF(AND(AL997&lt;&gt;"",AL997&lt;&gt;"OK"),"TAN wrong format; ","")&amp;IF(AG997="","PAN missing; ","")&amp;IF(AP997="","Entity type missing; ","")&amp;IF(AND(AN997&lt;&gt;"",COUNTIF($AN$6:$AN$1005,AN997)&gt;1),"GSTIN repeated in this sheet; ","")&amp;IF(AND(AG997&lt;&gt;"",COUNTIF($AG$6:$AG$1005,AG997)&gt;1),"PAN repeated in this sheet (same client? put extra GSTINs in Other GSTINs); ","")&amp;IF(AND(AR997&gt;0,V997=""),"Financial year missing; ","")&amp;IF(AND(AR997=0,V997&lt;&gt;""),"Financial year given but no service is Yes; ","")&amp;IF(AND(W997="Yes",AN997=""),"GST needs a GSTIN; ","")&amp;IF(AND(W997="Yes",X997=""),"GST return frequency missing; ","")&amp;IF(AND(Y997="Yes",TRIM(H997)=""),"TDS needs a TAN; ","")&amp;IF(AND(AA997="Yes",AQ997&lt;&gt;"",AQ997&lt;&gt;"company",AQ997&lt;&gt;"llp"),"ROC is only for a company / LLP; ","")&amp;IF(AND(AA997="Yes",OR(AQ997="company",AQ997="llp"),TRIM(I997)=""),"ROC needs the CIN / LLPIN; ","")</f>
        <v/>
      </c>
    </row>
    <row r="998">
      <c r="A998" s="30" t="n"/>
      <c r="B998" s="31" t="n"/>
      <c r="C998" s="31" t="n"/>
      <c r="D998" s="31" t="n"/>
      <c r="E998" s="30" t="n"/>
      <c r="F998" s="30" t="n"/>
      <c r="G998" s="30" t="n"/>
      <c r="H998" s="30" t="n"/>
      <c r="I998" s="30" t="n"/>
      <c r="J998" s="32" t="n"/>
      <c r="K998" s="31" t="n"/>
      <c r="L998" s="30" t="n"/>
      <c r="M998" s="31" t="n"/>
      <c r="N998" s="31" t="n"/>
      <c r="O998" s="31" t="n"/>
      <c r="P998" s="30" t="n"/>
      <c r="Q998" s="31" t="n"/>
      <c r="R998" s="31" t="n"/>
      <c r="S998" s="31" t="n"/>
      <c r="T998" s="31" t="n"/>
      <c r="U998" s="30" t="n"/>
      <c r="V998" s="31" t="n"/>
      <c r="W998" s="31" t="n"/>
      <c r="X998" s="31" t="n"/>
      <c r="Y998" s="31" t="n"/>
      <c r="Z998" s="31" t="n"/>
      <c r="AA998" s="31" t="n"/>
      <c r="AB998" s="31" t="n"/>
      <c r="AC998" s="31" t="n"/>
      <c r="AD998" s="31" t="n"/>
      <c r="AE998" s="31" t="n"/>
      <c r="AF998" s="27">
        <f>IF(NOT(COUNTA(A998:AE998)&gt;0),"",IF(A998="","New client","Update"))</f>
        <v/>
      </c>
      <c r="AG998" s="27">
        <f>IF(AO998&lt;&gt;"",AO998,IF(LEN(AN998)=15,MID(AN998,3,10),""))</f>
        <v/>
      </c>
      <c r="AH998" s="27">
        <f>IF(AP998="","",AP998&amp;IF(D998="","  (guessed from PAN)",""))</f>
        <v/>
      </c>
      <c r="AI998" s="27">
        <f>IF(AN998="","",IFERROR(INDEX(Lists!$L$2:$L$38,MATCH(LEFT(AN998,2),Lists!$K$2:$K$38,0)),"Unknown code"))</f>
        <v/>
      </c>
      <c r="AJ998" s="27">
        <f>IF(AN998="","",IFERROR(IF(NOT(AND(LEN(AN998)=15,ISNUMBER(MATCH(LEFT(AN998,2),Lists!$K$2:$K$38,0)),SUMPRODUCT(--ISERROR(FIND(MID(MID(AN998,3,10),{1,2,3,4,5,10},1),"ABCDEFGHIJKLMNOPQRSTUVWXYZ")))=0,SUMPRODUCT(--ISERROR(FIND(MID(MID(AN998,3,10),{6,7,8,9},1),"0123456789")))=0,ISNUMBER(FIND(MID(AN998,13,1),"123456789ABCDEFGHIJKLMNOPQRSTUVWXYZ")),MID(AN998,14,1)="Z")),"Wrong format",IF(MID("0123456789ABCDEFGHIJKLMNOPQRSTUVWXYZ",MOD(36-MOD(SUMPRODUCT(INT((FIND(MID(AN998,{1,2,3,4,5,6,7,8,9,10,11,12,13,14},1),"0123456789ABCDEFGHIJKLMNOPQRSTUVWXYZ")-1)*{1,2,1,2,1,2,1,2,1,2,1,2,1,2}/36)+MOD((FIND(MID(AN998,{1,2,3,4,5,6,7,8,9,10,11,12,13,14},1),"0123456789ABCDEFGHIJKLMNOPQRSTUVWXYZ")-1)*{1,2,1,2,1,2,1,2,1,2,1,2,1,2},36)),36),36)+1,1)=MID(AN998,15,1),"OK","Typo? check digit wrong")),"Wrong format"))</f>
        <v/>
      </c>
      <c r="AK998" s="27">
        <f>IF(AO998="","",IF(AND(LEN(AO998)=10,SUMPRODUCT(--ISERROR(FIND(MID(AO998,{1,2,3,4,5,10},1),"ABCDEFGHIJKLMNOPQRSTUVWXYZ")))=0,SUMPRODUCT(--ISERROR(FIND(MID(AO998,{6,7,8,9},1),"0123456789")))=0),"OK","Wrong format"))</f>
        <v/>
      </c>
      <c r="AL998" s="27">
        <f>IF(TRIM(H998)="","",IF(AND(LEN(UPPER(TRIM(H998)))=10,SUMPRODUCT(--ISERROR(FIND(MID(UPPER(TRIM(H998)),{1,2,3,4,10},1),"ABCDEFGHIJKLMNOPQRSTUVWXYZ")))=0,SUMPRODUCT(--ISERROR(FIND(MID(UPPER(TRIM(H998)),{5,6,7,8,9},1),"0123456789")))=0),"OK","Wrong format"))</f>
        <v/>
      </c>
      <c r="AM998" s="28">
        <f>IF(NOT(COUNTA(A998:AE998)&gt;0),"",IF(AS998&lt;&gt;"","✖ "&amp;LEFT(AS998,LEN(AS998)-2),IF(AR998&gt;0,"✔ Ready — client + "&amp;AR998&amp;" service(s)","✔ Ready — client only")))</f>
        <v/>
      </c>
      <c r="AN998" s="29">
        <f>UPPER(SUBSTITUTE(TRIM(F998)," ",""))</f>
        <v/>
      </c>
      <c r="AO998" s="29">
        <f>UPPER(SUBSTITUTE(TRIM(E998)," ",""))</f>
        <v/>
      </c>
      <c r="AP998" s="29">
        <f>IF(D998&lt;&gt;"",D998,IFERROR(VLOOKUP(MID(AG998,4,1),Lists!$E$2:$F$8,2,FALSE),""))</f>
        <v/>
      </c>
      <c r="AQ998" s="29">
        <f>IFERROR(VLOOKUP(AP998,Lists!$A$2:$C$12,3,FALSE),"")</f>
        <v/>
      </c>
      <c r="AR998" s="29">
        <f>COUNTIF(W998:AC998,"Yes")</f>
        <v/>
      </c>
      <c r="AS998" s="29">
        <f>IF(TRIM(B998)="","Legal name missing; ","")&amp;IF(AND(AJ998&lt;&gt;"",AJ998&lt;&gt;"OK"),"GSTIN: "&amp;AJ998&amp;"; ","")&amp;IF(AND(AK998&lt;&gt;"",AK998&lt;&gt;"OK"),"PAN wrong format; ","")&amp;IF(AND(AO998&lt;&gt;"",LEN(AN998)=15,MID(AN998,3,10)&lt;&gt;AO998),"PAN does not match GSTIN; ","")&amp;IF(AND(AL998&lt;&gt;"",AL998&lt;&gt;"OK"),"TAN wrong format; ","")&amp;IF(AG998="","PAN missing; ","")&amp;IF(AP998="","Entity type missing; ","")&amp;IF(AND(AN998&lt;&gt;"",COUNTIF($AN$6:$AN$1005,AN998)&gt;1),"GSTIN repeated in this sheet; ","")&amp;IF(AND(AG998&lt;&gt;"",COUNTIF($AG$6:$AG$1005,AG998)&gt;1),"PAN repeated in this sheet (same client? put extra GSTINs in Other GSTINs); ","")&amp;IF(AND(AR998&gt;0,V998=""),"Financial year missing; ","")&amp;IF(AND(AR998=0,V998&lt;&gt;""),"Financial year given but no service is Yes; ","")&amp;IF(AND(W998="Yes",AN998=""),"GST needs a GSTIN; ","")&amp;IF(AND(W998="Yes",X998=""),"GST return frequency missing; ","")&amp;IF(AND(Y998="Yes",TRIM(H998)=""),"TDS needs a TAN; ","")&amp;IF(AND(AA998="Yes",AQ998&lt;&gt;"",AQ998&lt;&gt;"company",AQ998&lt;&gt;"llp"),"ROC is only for a company / LLP; ","")&amp;IF(AND(AA998="Yes",OR(AQ998="company",AQ998="llp"),TRIM(I998)=""),"ROC needs the CIN / LLPIN; ","")</f>
        <v/>
      </c>
    </row>
    <row r="999">
      <c r="A999" s="30" t="n"/>
      <c r="B999" s="31" t="n"/>
      <c r="C999" s="31" t="n"/>
      <c r="D999" s="31" t="n"/>
      <c r="E999" s="30" t="n"/>
      <c r="F999" s="30" t="n"/>
      <c r="G999" s="30" t="n"/>
      <c r="H999" s="30" t="n"/>
      <c r="I999" s="30" t="n"/>
      <c r="J999" s="32" t="n"/>
      <c r="K999" s="31" t="n"/>
      <c r="L999" s="30" t="n"/>
      <c r="M999" s="31" t="n"/>
      <c r="N999" s="31" t="n"/>
      <c r="O999" s="31" t="n"/>
      <c r="P999" s="30" t="n"/>
      <c r="Q999" s="31" t="n"/>
      <c r="R999" s="31" t="n"/>
      <c r="S999" s="31" t="n"/>
      <c r="T999" s="31" t="n"/>
      <c r="U999" s="30" t="n"/>
      <c r="V999" s="31" t="n"/>
      <c r="W999" s="31" t="n"/>
      <c r="X999" s="31" t="n"/>
      <c r="Y999" s="31" t="n"/>
      <c r="Z999" s="31" t="n"/>
      <c r="AA999" s="31" t="n"/>
      <c r="AB999" s="31" t="n"/>
      <c r="AC999" s="31" t="n"/>
      <c r="AD999" s="31" t="n"/>
      <c r="AE999" s="31" t="n"/>
      <c r="AF999" s="27">
        <f>IF(NOT(COUNTA(A999:AE999)&gt;0),"",IF(A999="","New client","Update"))</f>
        <v/>
      </c>
      <c r="AG999" s="27">
        <f>IF(AO999&lt;&gt;"",AO999,IF(LEN(AN999)=15,MID(AN999,3,10),""))</f>
        <v/>
      </c>
      <c r="AH999" s="27">
        <f>IF(AP999="","",AP999&amp;IF(D999="","  (guessed from PAN)",""))</f>
        <v/>
      </c>
      <c r="AI999" s="27">
        <f>IF(AN999="","",IFERROR(INDEX(Lists!$L$2:$L$38,MATCH(LEFT(AN999,2),Lists!$K$2:$K$38,0)),"Unknown code"))</f>
        <v/>
      </c>
      <c r="AJ999" s="27">
        <f>IF(AN999="","",IFERROR(IF(NOT(AND(LEN(AN999)=15,ISNUMBER(MATCH(LEFT(AN999,2),Lists!$K$2:$K$38,0)),SUMPRODUCT(--ISERROR(FIND(MID(MID(AN999,3,10),{1,2,3,4,5,10},1),"ABCDEFGHIJKLMNOPQRSTUVWXYZ")))=0,SUMPRODUCT(--ISERROR(FIND(MID(MID(AN999,3,10),{6,7,8,9},1),"0123456789")))=0,ISNUMBER(FIND(MID(AN999,13,1),"123456789ABCDEFGHIJKLMNOPQRSTUVWXYZ")),MID(AN999,14,1)="Z")),"Wrong format",IF(MID("0123456789ABCDEFGHIJKLMNOPQRSTUVWXYZ",MOD(36-MOD(SUMPRODUCT(INT((FIND(MID(AN999,{1,2,3,4,5,6,7,8,9,10,11,12,13,14},1),"0123456789ABCDEFGHIJKLMNOPQRSTUVWXYZ")-1)*{1,2,1,2,1,2,1,2,1,2,1,2,1,2}/36)+MOD((FIND(MID(AN999,{1,2,3,4,5,6,7,8,9,10,11,12,13,14},1),"0123456789ABCDEFGHIJKLMNOPQRSTUVWXYZ")-1)*{1,2,1,2,1,2,1,2,1,2,1,2,1,2},36)),36),36)+1,1)=MID(AN999,15,1),"OK","Typo? check digit wrong")),"Wrong format"))</f>
        <v/>
      </c>
      <c r="AK999" s="27">
        <f>IF(AO999="","",IF(AND(LEN(AO999)=10,SUMPRODUCT(--ISERROR(FIND(MID(AO999,{1,2,3,4,5,10},1),"ABCDEFGHIJKLMNOPQRSTUVWXYZ")))=0,SUMPRODUCT(--ISERROR(FIND(MID(AO999,{6,7,8,9},1),"0123456789")))=0),"OK","Wrong format"))</f>
        <v/>
      </c>
      <c r="AL999" s="27">
        <f>IF(TRIM(H999)="","",IF(AND(LEN(UPPER(TRIM(H999)))=10,SUMPRODUCT(--ISERROR(FIND(MID(UPPER(TRIM(H999)),{1,2,3,4,10},1),"ABCDEFGHIJKLMNOPQRSTUVWXYZ")))=0,SUMPRODUCT(--ISERROR(FIND(MID(UPPER(TRIM(H999)),{5,6,7,8,9},1),"0123456789")))=0),"OK","Wrong format"))</f>
        <v/>
      </c>
      <c r="AM999" s="28">
        <f>IF(NOT(COUNTA(A999:AE999)&gt;0),"",IF(AS999&lt;&gt;"","✖ "&amp;LEFT(AS999,LEN(AS999)-2),IF(AR999&gt;0,"✔ Ready — client + "&amp;AR999&amp;" service(s)","✔ Ready — client only")))</f>
        <v/>
      </c>
      <c r="AN999" s="29">
        <f>UPPER(SUBSTITUTE(TRIM(F999)," ",""))</f>
        <v/>
      </c>
      <c r="AO999" s="29">
        <f>UPPER(SUBSTITUTE(TRIM(E999)," ",""))</f>
        <v/>
      </c>
      <c r="AP999" s="29">
        <f>IF(D999&lt;&gt;"",D999,IFERROR(VLOOKUP(MID(AG999,4,1),Lists!$E$2:$F$8,2,FALSE),""))</f>
        <v/>
      </c>
      <c r="AQ999" s="29">
        <f>IFERROR(VLOOKUP(AP999,Lists!$A$2:$C$12,3,FALSE),"")</f>
        <v/>
      </c>
      <c r="AR999" s="29">
        <f>COUNTIF(W999:AC999,"Yes")</f>
        <v/>
      </c>
      <c r="AS999" s="29">
        <f>IF(TRIM(B999)="","Legal name missing; ","")&amp;IF(AND(AJ999&lt;&gt;"",AJ999&lt;&gt;"OK"),"GSTIN: "&amp;AJ999&amp;"; ","")&amp;IF(AND(AK999&lt;&gt;"",AK999&lt;&gt;"OK"),"PAN wrong format; ","")&amp;IF(AND(AO999&lt;&gt;"",LEN(AN999)=15,MID(AN999,3,10)&lt;&gt;AO999),"PAN does not match GSTIN; ","")&amp;IF(AND(AL999&lt;&gt;"",AL999&lt;&gt;"OK"),"TAN wrong format; ","")&amp;IF(AG999="","PAN missing; ","")&amp;IF(AP999="","Entity type missing; ","")&amp;IF(AND(AN999&lt;&gt;"",COUNTIF($AN$6:$AN$1005,AN999)&gt;1),"GSTIN repeated in this sheet; ","")&amp;IF(AND(AG999&lt;&gt;"",COUNTIF($AG$6:$AG$1005,AG999)&gt;1),"PAN repeated in this sheet (same client? put extra GSTINs in Other GSTINs); ","")&amp;IF(AND(AR999&gt;0,V999=""),"Financial year missing; ","")&amp;IF(AND(AR999=0,V999&lt;&gt;""),"Financial year given but no service is Yes; ","")&amp;IF(AND(W999="Yes",AN999=""),"GST needs a GSTIN; ","")&amp;IF(AND(W999="Yes",X999=""),"GST return frequency missing; ","")&amp;IF(AND(Y999="Yes",TRIM(H999)=""),"TDS needs a TAN; ","")&amp;IF(AND(AA999="Yes",AQ999&lt;&gt;"",AQ999&lt;&gt;"company",AQ999&lt;&gt;"llp"),"ROC is only for a company / LLP; ","")&amp;IF(AND(AA999="Yes",OR(AQ999="company",AQ999="llp"),TRIM(I999)=""),"ROC needs the CIN / LLPIN; ","")</f>
        <v/>
      </c>
    </row>
    <row r="1000">
      <c r="A1000" s="30" t="n"/>
      <c r="B1000" s="31" t="n"/>
      <c r="C1000" s="31" t="n"/>
      <c r="D1000" s="31" t="n"/>
      <c r="E1000" s="30" t="n"/>
      <c r="F1000" s="30" t="n"/>
      <c r="G1000" s="30" t="n"/>
      <c r="H1000" s="30" t="n"/>
      <c r="I1000" s="30" t="n"/>
      <c r="J1000" s="32" t="n"/>
      <c r="K1000" s="31" t="n"/>
      <c r="L1000" s="30" t="n"/>
      <c r="M1000" s="31" t="n"/>
      <c r="N1000" s="31" t="n"/>
      <c r="O1000" s="31" t="n"/>
      <c r="P1000" s="30" t="n"/>
      <c r="Q1000" s="31" t="n"/>
      <c r="R1000" s="31" t="n"/>
      <c r="S1000" s="31" t="n"/>
      <c r="T1000" s="31" t="n"/>
      <c r="U1000" s="30" t="n"/>
      <c r="V1000" s="31" t="n"/>
      <c r="W1000" s="31" t="n"/>
      <c r="X1000" s="31" t="n"/>
      <c r="Y1000" s="31" t="n"/>
      <c r="Z1000" s="31" t="n"/>
      <c r="AA1000" s="31" t="n"/>
      <c r="AB1000" s="31" t="n"/>
      <c r="AC1000" s="31" t="n"/>
      <c r="AD1000" s="31" t="n"/>
      <c r="AE1000" s="31" t="n"/>
      <c r="AF1000" s="27">
        <f>IF(NOT(COUNTA(A1000:AE1000)&gt;0),"",IF(A1000="","New client","Update"))</f>
        <v/>
      </c>
      <c r="AG1000" s="27">
        <f>IF(AO1000&lt;&gt;"",AO1000,IF(LEN(AN1000)=15,MID(AN1000,3,10),""))</f>
        <v/>
      </c>
      <c r="AH1000" s="27">
        <f>IF(AP1000="","",AP1000&amp;IF(D1000="","  (guessed from PAN)",""))</f>
        <v/>
      </c>
      <c r="AI1000" s="27">
        <f>IF(AN1000="","",IFERROR(INDEX(Lists!$L$2:$L$38,MATCH(LEFT(AN1000,2),Lists!$K$2:$K$38,0)),"Unknown code"))</f>
        <v/>
      </c>
      <c r="AJ1000" s="27">
        <f>IF(AN1000="","",IFERROR(IF(NOT(AND(LEN(AN1000)=15,ISNUMBER(MATCH(LEFT(AN1000,2),Lists!$K$2:$K$38,0)),SUMPRODUCT(--ISERROR(FIND(MID(MID(AN1000,3,10),{1,2,3,4,5,10},1),"ABCDEFGHIJKLMNOPQRSTUVWXYZ")))=0,SUMPRODUCT(--ISERROR(FIND(MID(MID(AN1000,3,10),{6,7,8,9},1),"0123456789")))=0,ISNUMBER(FIND(MID(AN1000,13,1),"123456789ABCDEFGHIJKLMNOPQRSTUVWXYZ")),MID(AN1000,14,1)="Z")),"Wrong format",IF(MID("0123456789ABCDEFGHIJKLMNOPQRSTUVWXYZ",MOD(36-MOD(SUMPRODUCT(INT((FIND(MID(AN1000,{1,2,3,4,5,6,7,8,9,10,11,12,13,14},1),"0123456789ABCDEFGHIJKLMNOPQRSTUVWXYZ")-1)*{1,2,1,2,1,2,1,2,1,2,1,2,1,2}/36)+MOD((FIND(MID(AN1000,{1,2,3,4,5,6,7,8,9,10,11,12,13,14},1),"0123456789ABCDEFGHIJKLMNOPQRSTUVWXYZ")-1)*{1,2,1,2,1,2,1,2,1,2,1,2,1,2},36)),36),36)+1,1)=MID(AN1000,15,1),"OK","Typo? check digit wrong")),"Wrong format"))</f>
        <v/>
      </c>
      <c r="AK1000" s="27">
        <f>IF(AO1000="","",IF(AND(LEN(AO1000)=10,SUMPRODUCT(--ISERROR(FIND(MID(AO1000,{1,2,3,4,5,10},1),"ABCDEFGHIJKLMNOPQRSTUVWXYZ")))=0,SUMPRODUCT(--ISERROR(FIND(MID(AO1000,{6,7,8,9},1),"0123456789")))=0),"OK","Wrong format"))</f>
        <v/>
      </c>
      <c r="AL1000" s="27">
        <f>IF(TRIM(H1000)="","",IF(AND(LEN(UPPER(TRIM(H1000)))=10,SUMPRODUCT(--ISERROR(FIND(MID(UPPER(TRIM(H1000)),{1,2,3,4,10},1),"ABCDEFGHIJKLMNOPQRSTUVWXYZ")))=0,SUMPRODUCT(--ISERROR(FIND(MID(UPPER(TRIM(H1000)),{5,6,7,8,9},1),"0123456789")))=0),"OK","Wrong format"))</f>
        <v/>
      </c>
      <c r="AM1000" s="28">
        <f>IF(NOT(COUNTA(A1000:AE1000)&gt;0),"",IF(AS1000&lt;&gt;"","✖ "&amp;LEFT(AS1000,LEN(AS1000)-2),IF(AR1000&gt;0,"✔ Ready — client + "&amp;AR1000&amp;" service(s)","✔ Ready — client only")))</f>
        <v/>
      </c>
      <c r="AN1000" s="29">
        <f>UPPER(SUBSTITUTE(TRIM(F1000)," ",""))</f>
        <v/>
      </c>
      <c r="AO1000" s="29">
        <f>UPPER(SUBSTITUTE(TRIM(E1000)," ",""))</f>
        <v/>
      </c>
      <c r="AP1000" s="29">
        <f>IF(D1000&lt;&gt;"",D1000,IFERROR(VLOOKUP(MID(AG1000,4,1),Lists!$E$2:$F$8,2,FALSE),""))</f>
        <v/>
      </c>
      <c r="AQ1000" s="29">
        <f>IFERROR(VLOOKUP(AP1000,Lists!$A$2:$C$12,3,FALSE),"")</f>
        <v/>
      </c>
      <c r="AR1000" s="29">
        <f>COUNTIF(W1000:AC1000,"Yes")</f>
        <v/>
      </c>
      <c r="AS1000" s="29">
        <f>IF(TRIM(B1000)="","Legal name missing; ","")&amp;IF(AND(AJ1000&lt;&gt;"",AJ1000&lt;&gt;"OK"),"GSTIN: "&amp;AJ1000&amp;"; ","")&amp;IF(AND(AK1000&lt;&gt;"",AK1000&lt;&gt;"OK"),"PAN wrong format; ","")&amp;IF(AND(AO1000&lt;&gt;"",LEN(AN1000)=15,MID(AN1000,3,10)&lt;&gt;AO1000),"PAN does not match GSTIN; ","")&amp;IF(AND(AL1000&lt;&gt;"",AL1000&lt;&gt;"OK"),"TAN wrong format; ","")&amp;IF(AG1000="","PAN missing; ","")&amp;IF(AP1000="","Entity type missing; ","")&amp;IF(AND(AN1000&lt;&gt;"",COUNTIF($AN$6:$AN$1005,AN1000)&gt;1),"GSTIN repeated in this sheet; ","")&amp;IF(AND(AG1000&lt;&gt;"",COUNTIF($AG$6:$AG$1005,AG1000)&gt;1),"PAN repeated in this sheet (same client? put extra GSTINs in Other GSTINs); ","")&amp;IF(AND(AR1000&gt;0,V1000=""),"Financial year missing; ","")&amp;IF(AND(AR1000=0,V1000&lt;&gt;""),"Financial year given but no service is Yes; ","")&amp;IF(AND(W1000="Yes",AN1000=""),"GST needs a GSTIN; ","")&amp;IF(AND(W1000="Yes",X1000=""),"GST return frequency missing; ","")&amp;IF(AND(Y1000="Yes",TRIM(H1000)=""),"TDS needs a TAN; ","")&amp;IF(AND(AA1000="Yes",AQ1000&lt;&gt;"",AQ1000&lt;&gt;"company",AQ1000&lt;&gt;"llp"),"ROC is only for a company / LLP; ","")&amp;IF(AND(AA1000="Yes",OR(AQ1000="company",AQ1000="llp"),TRIM(I1000)=""),"ROC needs the CIN / LLPIN; ","")</f>
        <v/>
      </c>
    </row>
    <row r="1001">
      <c r="A1001" s="30" t="n"/>
      <c r="B1001" s="31" t="n"/>
      <c r="C1001" s="31" t="n"/>
      <c r="D1001" s="31" t="n"/>
      <c r="E1001" s="30" t="n"/>
      <c r="F1001" s="30" t="n"/>
      <c r="G1001" s="30" t="n"/>
      <c r="H1001" s="30" t="n"/>
      <c r="I1001" s="30" t="n"/>
      <c r="J1001" s="32" t="n"/>
      <c r="K1001" s="31" t="n"/>
      <c r="L1001" s="30" t="n"/>
      <c r="M1001" s="31" t="n"/>
      <c r="N1001" s="31" t="n"/>
      <c r="O1001" s="31" t="n"/>
      <c r="P1001" s="30" t="n"/>
      <c r="Q1001" s="31" t="n"/>
      <c r="R1001" s="31" t="n"/>
      <c r="S1001" s="31" t="n"/>
      <c r="T1001" s="31" t="n"/>
      <c r="U1001" s="30" t="n"/>
      <c r="V1001" s="31" t="n"/>
      <c r="W1001" s="31" t="n"/>
      <c r="X1001" s="31" t="n"/>
      <c r="Y1001" s="31" t="n"/>
      <c r="Z1001" s="31" t="n"/>
      <c r="AA1001" s="31" t="n"/>
      <c r="AB1001" s="31" t="n"/>
      <c r="AC1001" s="31" t="n"/>
      <c r="AD1001" s="31" t="n"/>
      <c r="AE1001" s="31" t="n"/>
      <c r="AF1001" s="27">
        <f>IF(NOT(COUNTA(A1001:AE1001)&gt;0),"",IF(A1001="","New client","Update"))</f>
        <v/>
      </c>
      <c r="AG1001" s="27">
        <f>IF(AO1001&lt;&gt;"",AO1001,IF(LEN(AN1001)=15,MID(AN1001,3,10),""))</f>
        <v/>
      </c>
      <c r="AH1001" s="27">
        <f>IF(AP1001="","",AP1001&amp;IF(D1001="","  (guessed from PAN)",""))</f>
        <v/>
      </c>
      <c r="AI1001" s="27">
        <f>IF(AN1001="","",IFERROR(INDEX(Lists!$L$2:$L$38,MATCH(LEFT(AN1001,2),Lists!$K$2:$K$38,0)),"Unknown code"))</f>
        <v/>
      </c>
      <c r="AJ1001" s="27">
        <f>IF(AN1001="","",IFERROR(IF(NOT(AND(LEN(AN1001)=15,ISNUMBER(MATCH(LEFT(AN1001,2),Lists!$K$2:$K$38,0)),SUMPRODUCT(--ISERROR(FIND(MID(MID(AN1001,3,10),{1,2,3,4,5,10},1),"ABCDEFGHIJKLMNOPQRSTUVWXYZ")))=0,SUMPRODUCT(--ISERROR(FIND(MID(MID(AN1001,3,10),{6,7,8,9},1),"0123456789")))=0,ISNUMBER(FIND(MID(AN1001,13,1),"123456789ABCDEFGHIJKLMNOPQRSTUVWXYZ")),MID(AN1001,14,1)="Z")),"Wrong format",IF(MID("0123456789ABCDEFGHIJKLMNOPQRSTUVWXYZ",MOD(36-MOD(SUMPRODUCT(INT((FIND(MID(AN1001,{1,2,3,4,5,6,7,8,9,10,11,12,13,14},1),"0123456789ABCDEFGHIJKLMNOPQRSTUVWXYZ")-1)*{1,2,1,2,1,2,1,2,1,2,1,2,1,2}/36)+MOD((FIND(MID(AN1001,{1,2,3,4,5,6,7,8,9,10,11,12,13,14},1),"0123456789ABCDEFGHIJKLMNOPQRSTUVWXYZ")-1)*{1,2,1,2,1,2,1,2,1,2,1,2,1,2},36)),36),36)+1,1)=MID(AN1001,15,1),"OK","Typo? check digit wrong")),"Wrong format"))</f>
        <v/>
      </c>
      <c r="AK1001" s="27">
        <f>IF(AO1001="","",IF(AND(LEN(AO1001)=10,SUMPRODUCT(--ISERROR(FIND(MID(AO1001,{1,2,3,4,5,10},1),"ABCDEFGHIJKLMNOPQRSTUVWXYZ")))=0,SUMPRODUCT(--ISERROR(FIND(MID(AO1001,{6,7,8,9},1),"0123456789")))=0),"OK","Wrong format"))</f>
        <v/>
      </c>
      <c r="AL1001" s="27">
        <f>IF(TRIM(H1001)="","",IF(AND(LEN(UPPER(TRIM(H1001)))=10,SUMPRODUCT(--ISERROR(FIND(MID(UPPER(TRIM(H1001)),{1,2,3,4,10},1),"ABCDEFGHIJKLMNOPQRSTUVWXYZ")))=0,SUMPRODUCT(--ISERROR(FIND(MID(UPPER(TRIM(H1001)),{5,6,7,8,9},1),"0123456789")))=0),"OK","Wrong format"))</f>
        <v/>
      </c>
      <c r="AM1001" s="28">
        <f>IF(NOT(COUNTA(A1001:AE1001)&gt;0),"",IF(AS1001&lt;&gt;"","✖ "&amp;LEFT(AS1001,LEN(AS1001)-2),IF(AR1001&gt;0,"✔ Ready — client + "&amp;AR1001&amp;" service(s)","✔ Ready — client only")))</f>
        <v/>
      </c>
      <c r="AN1001" s="29">
        <f>UPPER(SUBSTITUTE(TRIM(F1001)," ",""))</f>
        <v/>
      </c>
      <c r="AO1001" s="29">
        <f>UPPER(SUBSTITUTE(TRIM(E1001)," ",""))</f>
        <v/>
      </c>
      <c r="AP1001" s="29">
        <f>IF(D1001&lt;&gt;"",D1001,IFERROR(VLOOKUP(MID(AG1001,4,1),Lists!$E$2:$F$8,2,FALSE),""))</f>
        <v/>
      </c>
      <c r="AQ1001" s="29">
        <f>IFERROR(VLOOKUP(AP1001,Lists!$A$2:$C$12,3,FALSE),"")</f>
        <v/>
      </c>
      <c r="AR1001" s="29">
        <f>COUNTIF(W1001:AC1001,"Yes")</f>
        <v/>
      </c>
      <c r="AS1001" s="29">
        <f>IF(TRIM(B1001)="","Legal name missing; ","")&amp;IF(AND(AJ1001&lt;&gt;"",AJ1001&lt;&gt;"OK"),"GSTIN: "&amp;AJ1001&amp;"; ","")&amp;IF(AND(AK1001&lt;&gt;"",AK1001&lt;&gt;"OK"),"PAN wrong format; ","")&amp;IF(AND(AO1001&lt;&gt;"",LEN(AN1001)=15,MID(AN1001,3,10)&lt;&gt;AO1001),"PAN does not match GSTIN; ","")&amp;IF(AND(AL1001&lt;&gt;"",AL1001&lt;&gt;"OK"),"TAN wrong format; ","")&amp;IF(AG1001="","PAN missing; ","")&amp;IF(AP1001="","Entity type missing; ","")&amp;IF(AND(AN1001&lt;&gt;"",COUNTIF($AN$6:$AN$1005,AN1001)&gt;1),"GSTIN repeated in this sheet; ","")&amp;IF(AND(AG1001&lt;&gt;"",COUNTIF($AG$6:$AG$1005,AG1001)&gt;1),"PAN repeated in this sheet (same client? put extra GSTINs in Other GSTINs); ","")&amp;IF(AND(AR1001&gt;0,V1001=""),"Financial year missing; ","")&amp;IF(AND(AR1001=0,V1001&lt;&gt;""),"Financial year given but no service is Yes; ","")&amp;IF(AND(W1001="Yes",AN1001=""),"GST needs a GSTIN; ","")&amp;IF(AND(W1001="Yes",X1001=""),"GST return frequency missing; ","")&amp;IF(AND(Y1001="Yes",TRIM(H1001)=""),"TDS needs a TAN; ","")&amp;IF(AND(AA1001="Yes",AQ1001&lt;&gt;"",AQ1001&lt;&gt;"company",AQ1001&lt;&gt;"llp"),"ROC is only for a company / LLP; ","")&amp;IF(AND(AA1001="Yes",OR(AQ1001="company",AQ1001="llp"),TRIM(I1001)=""),"ROC needs the CIN / LLPIN; ","")</f>
        <v/>
      </c>
    </row>
    <row r="1002">
      <c r="A1002" s="30" t="n"/>
      <c r="B1002" s="31" t="n"/>
      <c r="C1002" s="31" t="n"/>
      <c r="D1002" s="31" t="n"/>
      <c r="E1002" s="30" t="n"/>
      <c r="F1002" s="30" t="n"/>
      <c r="G1002" s="30" t="n"/>
      <c r="H1002" s="30" t="n"/>
      <c r="I1002" s="30" t="n"/>
      <c r="J1002" s="32" t="n"/>
      <c r="K1002" s="31" t="n"/>
      <c r="L1002" s="30" t="n"/>
      <c r="M1002" s="31" t="n"/>
      <c r="N1002" s="31" t="n"/>
      <c r="O1002" s="31" t="n"/>
      <c r="P1002" s="30" t="n"/>
      <c r="Q1002" s="31" t="n"/>
      <c r="R1002" s="31" t="n"/>
      <c r="S1002" s="31" t="n"/>
      <c r="T1002" s="31" t="n"/>
      <c r="U1002" s="30" t="n"/>
      <c r="V1002" s="31" t="n"/>
      <c r="W1002" s="31" t="n"/>
      <c r="X1002" s="31" t="n"/>
      <c r="Y1002" s="31" t="n"/>
      <c r="Z1002" s="31" t="n"/>
      <c r="AA1002" s="31" t="n"/>
      <c r="AB1002" s="31" t="n"/>
      <c r="AC1002" s="31" t="n"/>
      <c r="AD1002" s="31" t="n"/>
      <c r="AE1002" s="31" t="n"/>
      <c r="AF1002" s="27">
        <f>IF(NOT(COUNTA(A1002:AE1002)&gt;0),"",IF(A1002="","New client","Update"))</f>
        <v/>
      </c>
      <c r="AG1002" s="27">
        <f>IF(AO1002&lt;&gt;"",AO1002,IF(LEN(AN1002)=15,MID(AN1002,3,10),""))</f>
        <v/>
      </c>
      <c r="AH1002" s="27">
        <f>IF(AP1002="","",AP1002&amp;IF(D1002="","  (guessed from PAN)",""))</f>
        <v/>
      </c>
      <c r="AI1002" s="27">
        <f>IF(AN1002="","",IFERROR(INDEX(Lists!$L$2:$L$38,MATCH(LEFT(AN1002,2),Lists!$K$2:$K$38,0)),"Unknown code"))</f>
        <v/>
      </c>
      <c r="AJ1002" s="27">
        <f>IF(AN1002="","",IFERROR(IF(NOT(AND(LEN(AN1002)=15,ISNUMBER(MATCH(LEFT(AN1002,2),Lists!$K$2:$K$38,0)),SUMPRODUCT(--ISERROR(FIND(MID(MID(AN1002,3,10),{1,2,3,4,5,10},1),"ABCDEFGHIJKLMNOPQRSTUVWXYZ")))=0,SUMPRODUCT(--ISERROR(FIND(MID(MID(AN1002,3,10),{6,7,8,9},1),"0123456789")))=0,ISNUMBER(FIND(MID(AN1002,13,1),"123456789ABCDEFGHIJKLMNOPQRSTUVWXYZ")),MID(AN1002,14,1)="Z")),"Wrong format",IF(MID("0123456789ABCDEFGHIJKLMNOPQRSTUVWXYZ",MOD(36-MOD(SUMPRODUCT(INT((FIND(MID(AN1002,{1,2,3,4,5,6,7,8,9,10,11,12,13,14},1),"0123456789ABCDEFGHIJKLMNOPQRSTUVWXYZ")-1)*{1,2,1,2,1,2,1,2,1,2,1,2,1,2}/36)+MOD((FIND(MID(AN1002,{1,2,3,4,5,6,7,8,9,10,11,12,13,14},1),"0123456789ABCDEFGHIJKLMNOPQRSTUVWXYZ")-1)*{1,2,1,2,1,2,1,2,1,2,1,2,1,2},36)),36),36)+1,1)=MID(AN1002,15,1),"OK","Typo? check digit wrong")),"Wrong format"))</f>
        <v/>
      </c>
      <c r="AK1002" s="27">
        <f>IF(AO1002="","",IF(AND(LEN(AO1002)=10,SUMPRODUCT(--ISERROR(FIND(MID(AO1002,{1,2,3,4,5,10},1),"ABCDEFGHIJKLMNOPQRSTUVWXYZ")))=0,SUMPRODUCT(--ISERROR(FIND(MID(AO1002,{6,7,8,9},1),"0123456789")))=0),"OK","Wrong format"))</f>
        <v/>
      </c>
      <c r="AL1002" s="27">
        <f>IF(TRIM(H1002)="","",IF(AND(LEN(UPPER(TRIM(H1002)))=10,SUMPRODUCT(--ISERROR(FIND(MID(UPPER(TRIM(H1002)),{1,2,3,4,10},1),"ABCDEFGHIJKLMNOPQRSTUVWXYZ")))=0,SUMPRODUCT(--ISERROR(FIND(MID(UPPER(TRIM(H1002)),{5,6,7,8,9},1),"0123456789")))=0),"OK","Wrong format"))</f>
        <v/>
      </c>
      <c r="AM1002" s="28">
        <f>IF(NOT(COUNTA(A1002:AE1002)&gt;0),"",IF(AS1002&lt;&gt;"","✖ "&amp;LEFT(AS1002,LEN(AS1002)-2),IF(AR1002&gt;0,"✔ Ready — client + "&amp;AR1002&amp;" service(s)","✔ Ready — client only")))</f>
        <v/>
      </c>
      <c r="AN1002" s="29">
        <f>UPPER(SUBSTITUTE(TRIM(F1002)," ",""))</f>
        <v/>
      </c>
      <c r="AO1002" s="29">
        <f>UPPER(SUBSTITUTE(TRIM(E1002)," ",""))</f>
        <v/>
      </c>
      <c r="AP1002" s="29">
        <f>IF(D1002&lt;&gt;"",D1002,IFERROR(VLOOKUP(MID(AG1002,4,1),Lists!$E$2:$F$8,2,FALSE),""))</f>
        <v/>
      </c>
      <c r="AQ1002" s="29">
        <f>IFERROR(VLOOKUP(AP1002,Lists!$A$2:$C$12,3,FALSE),"")</f>
        <v/>
      </c>
      <c r="AR1002" s="29">
        <f>COUNTIF(W1002:AC1002,"Yes")</f>
        <v/>
      </c>
      <c r="AS1002" s="29">
        <f>IF(TRIM(B1002)="","Legal name missing; ","")&amp;IF(AND(AJ1002&lt;&gt;"",AJ1002&lt;&gt;"OK"),"GSTIN: "&amp;AJ1002&amp;"; ","")&amp;IF(AND(AK1002&lt;&gt;"",AK1002&lt;&gt;"OK"),"PAN wrong format; ","")&amp;IF(AND(AO1002&lt;&gt;"",LEN(AN1002)=15,MID(AN1002,3,10)&lt;&gt;AO1002),"PAN does not match GSTIN; ","")&amp;IF(AND(AL1002&lt;&gt;"",AL1002&lt;&gt;"OK"),"TAN wrong format; ","")&amp;IF(AG1002="","PAN missing; ","")&amp;IF(AP1002="","Entity type missing; ","")&amp;IF(AND(AN1002&lt;&gt;"",COUNTIF($AN$6:$AN$1005,AN1002)&gt;1),"GSTIN repeated in this sheet; ","")&amp;IF(AND(AG1002&lt;&gt;"",COUNTIF($AG$6:$AG$1005,AG1002)&gt;1),"PAN repeated in this sheet (same client? put extra GSTINs in Other GSTINs); ","")&amp;IF(AND(AR1002&gt;0,V1002=""),"Financial year missing; ","")&amp;IF(AND(AR1002=0,V1002&lt;&gt;""),"Financial year given but no service is Yes; ","")&amp;IF(AND(W1002="Yes",AN1002=""),"GST needs a GSTIN; ","")&amp;IF(AND(W1002="Yes",X1002=""),"GST return frequency missing; ","")&amp;IF(AND(Y1002="Yes",TRIM(H1002)=""),"TDS needs a TAN; ","")&amp;IF(AND(AA1002="Yes",AQ1002&lt;&gt;"",AQ1002&lt;&gt;"company",AQ1002&lt;&gt;"llp"),"ROC is only for a company / LLP; ","")&amp;IF(AND(AA1002="Yes",OR(AQ1002="company",AQ1002="llp"),TRIM(I1002)=""),"ROC needs the CIN / LLPIN; ","")</f>
        <v/>
      </c>
    </row>
    <row r="1003">
      <c r="A1003" s="30" t="n"/>
      <c r="B1003" s="31" t="n"/>
      <c r="C1003" s="31" t="n"/>
      <c r="D1003" s="31" t="n"/>
      <c r="E1003" s="30" t="n"/>
      <c r="F1003" s="30" t="n"/>
      <c r="G1003" s="30" t="n"/>
      <c r="H1003" s="30" t="n"/>
      <c r="I1003" s="30" t="n"/>
      <c r="J1003" s="32" t="n"/>
      <c r="K1003" s="31" t="n"/>
      <c r="L1003" s="30" t="n"/>
      <c r="M1003" s="31" t="n"/>
      <c r="N1003" s="31" t="n"/>
      <c r="O1003" s="31" t="n"/>
      <c r="P1003" s="30" t="n"/>
      <c r="Q1003" s="31" t="n"/>
      <c r="R1003" s="31" t="n"/>
      <c r="S1003" s="31" t="n"/>
      <c r="T1003" s="31" t="n"/>
      <c r="U1003" s="30" t="n"/>
      <c r="V1003" s="31" t="n"/>
      <c r="W1003" s="31" t="n"/>
      <c r="X1003" s="31" t="n"/>
      <c r="Y1003" s="31" t="n"/>
      <c r="Z1003" s="31" t="n"/>
      <c r="AA1003" s="31" t="n"/>
      <c r="AB1003" s="31" t="n"/>
      <c r="AC1003" s="31" t="n"/>
      <c r="AD1003" s="31" t="n"/>
      <c r="AE1003" s="31" t="n"/>
      <c r="AF1003" s="27">
        <f>IF(NOT(COUNTA(A1003:AE1003)&gt;0),"",IF(A1003="","New client","Update"))</f>
        <v/>
      </c>
      <c r="AG1003" s="27">
        <f>IF(AO1003&lt;&gt;"",AO1003,IF(LEN(AN1003)=15,MID(AN1003,3,10),""))</f>
        <v/>
      </c>
      <c r="AH1003" s="27">
        <f>IF(AP1003="","",AP1003&amp;IF(D1003="","  (guessed from PAN)",""))</f>
        <v/>
      </c>
      <c r="AI1003" s="27">
        <f>IF(AN1003="","",IFERROR(INDEX(Lists!$L$2:$L$38,MATCH(LEFT(AN1003,2),Lists!$K$2:$K$38,0)),"Unknown code"))</f>
        <v/>
      </c>
      <c r="AJ1003" s="27">
        <f>IF(AN1003="","",IFERROR(IF(NOT(AND(LEN(AN1003)=15,ISNUMBER(MATCH(LEFT(AN1003,2),Lists!$K$2:$K$38,0)),SUMPRODUCT(--ISERROR(FIND(MID(MID(AN1003,3,10),{1,2,3,4,5,10},1),"ABCDEFGHIJKLMNOPQRSTUVWXYZ")))=0,SUMPRODUCT(--ISERROR(FIND(MID(MID(AN1003,3,10),{6,7,8,9},1),"0123456789")))=0,ISNUMBER(FIND(MID(AN1003,13,1),"123456789ABCDEFGHIJKLMNOPQRSTUVWXYZ")),MID(AN1003,14,1)="Z")),"Wrong format",IF(MID("0123456789ABCDEFGHIJKLMNOPQRSTUVWXYZ",MOD(36-MOD(SUMPRODUCT(INT((FIND(MID(AN1003,{1,2,3,4,5,6,7,8,9,10,11,12,13,14},1),"0123456789ABCDEFGHIJKLMNOPQRSTUVWXYZ")-1)*{1,2,1,2,1,2,1,2,1,2,1,2,1,2}/36)+MOD((FIND(MID(AN1003,{1,2,3,4,5,6,7,8,9,10,11,12,13,14},1),"0123456789ABCDEFGHIJKLMNOPQRSTUVWXYZ")-1)*{1,2,1,2,1,2,1,2,1,2,1,2,1,2},36)),36),36)+1,1)=MID(AN1003,15,1),"OK","Typo? check digit wrong")),"Wrong format"))</f>
        <v/>
      </c>
      <c r="AK1003" s="27">
        <f>IF(AO1003="","",IF(AND(LEN(AO1003)=10,SUMPRODUCT(--ISERROR(FIND(MID(AO1003,{1,2,3,4,5,10},1),"ABCDEFGHIJKLMNOPQRSTUVWXYZ")))=0,SUMPRODUCT(--ISERROR(FIND(MID(AO1003,{6,7,8,9},1),"0123456789")))=0),"OK","Wrong format"))</f>
        <v/>
      </c>
      <c r="AL1003" s="27">
        <f>IF(TRIM(H1003)="","",IF(AND(LEN(UPPER(TRIM(H1003)))=10,SUMPRODUCT(--ISERROR(FIND(MID(UPPER(TRIM(H1003)),{1,2,3,4,10},1),"ABCDEFGHIJKLMNOPQRSTUVWXYZ")))=0,SUMPRODUCT(--ISERROR(FIND(MID(UPPER(TRIM(H1003)),{5,6,7,8,9},1),"0123456789")))=0),"OK","Wrong format"))</f>
        <v/>
      </c>
      <c r="AM1003" s="28">
        <f>IF(NOT(COUNTA(A1003:AE1003)&gt;0),"",IF(AS1003&lt;&gt;"","✖ "&amp;LEFT(AS1003,LEN(AS1003)-2),IF(AR1003&gt;0,"✔ Ready — client + "&amp;AR1003&amp;" service(s)","✔ Ready — client only")))</f>
        <v/>
      </c>
      <c r="AN1003" s="29">
        <f>UPPER(SUBSTITUTE(TRIM(F1003)," ",""))</f>
        <v/>
      </c>
      <c r="AO1003" s="29">
        <f>UPPER(SUBSTITUTE(TRIM(E1003)," ",""))</f>
        <v/>
      </c>
      <c r="AP1003" s="29">
        <f>IF(D1003&lt;&gt;"",D1003,IFERROR(VLOOKUP(MID(AG1003,4,1),Lists!$E$2:$F$8,2,FALSE),""))</f>
        <v/>
      </c>
      <c r="AQ1003" s="29">
        <f>IFERROR(VLOOKUP(AP1003,Lists!$A$2:$C$12,3,FALSE),"")</f>
        <v/>
      </c>
      <c r="AR1003" s="29">
        <f>COUNTIF(W1003:AC1003,"Yes")</f>
        <v/>
      </c>
      <c r="AS1003" s="29">
        <f>IF(TRIM(B1003)="","Legal name missing; ","")&amp;IF(AND(AJ1003&lt;&gt;"",AJ1003&lt;&gt;"OK"),"GSTIN: "&amp;AJ1003&amp;"; ","")&amp;IF(AND(AK1003&lt;&gt;"",AK1003&lt;&gt;"OK"),"PAN wrong format; ","")&amp;IF(AND(AO1003&lt;&gt;"",LEN(AN1003)=15,MID(AN1003,3,10)&lt;&gt;AO1003),"PAN does not match GSTIN; ","")&amp;IF(AND(AL1003&lt;&gt;"",AL1003&lt;&gt;"OK"),"TAN wrong format; ","")&amp;IF(AG1003="","PAN missing; ","")&amp;IF(AP1003="","Entity type missing; ","")&amp;IF(AND(AN1003&lt;&gt;"",COUNTIF($AN$6:$AN$1005,AN1003)&gt;1),"GSTIN repeated in this sheet; ","")&amp;IF(AND(AG1003&lt;&gt;"",COUNTIF($AG$6:$AG$1005,AG1003)&gt;1),"PAN repeated in this sheet (same client? put extra GSTINs in Other GSTINs); ","")&amp;IF(AND(AR1003&gt;0,V1003=""),"Financial year missing; ","")&amp;IF(AND(AR1003=0,V1003&lt;&gt;""),"Financial year given but no service is Yes; ","")&amp;IF(AND(W1003="Yes",AN1003=""),"GST needs a GSTIN; ","")&amp;IF(AND(W1003="Yes",X1003=""),"GST return frequency missing; ","")&amp;IF(AND(Y1003="Yes",TRIM(H1003)=""),"TDS needs a TAN; ","")&amp;IF(AND(AA1003="Yes",AQ1003&lt;&gt;"",AQ1003&lt;&gt;"company",AQ1003&lt;&gt;"llp"),"ROC is only for a company / LLP; ","")&amp;IF(AND(AA1003="Yes",OR(AQ1003="company",AQ1003="llp"),TRIM(I1003)=""),"ROC needs the CIN / LLPIN; ","")</f>
        <v/>
      </c>
    </row>
    <row r="1004">
      <c r="A1004" s="30" t="n"/>
      <c r="B1004" s="31" t="n"/>
      <c r="C1004" s="31" t="n"/>
      <c r="D1004" s="31" t="n"/>
      <c r="E1004" s="30" t="n"/>
      <c r="F1004" s="30" t="n"/>
      <c r="G1004" s="30" t="n"/>
      <c r="H1004" s="30" t="n"/>
      <c r="I1004" s="30" t="n"/>
      <c r="J1004" s="32" t="n"/>
      <c r="K1004" s="31" t="n"/>
      <c r="L1004" s="30" t="n"/>
      <c r="M1004" s="31" t="n"/>
      <c r="N1004" s="31" t="n"/>
      <c r="O1004" s="31" t="n"/>
      <c r="P1004" s="30" t="n"/>
      <c r="Q1004" s="31" t="n"/>
      <c r="R1004" s="31" t="n"/>
      <c r="S1004" s="31" t="n"/>
      <c r="T1004" s="31" t="n"/>
      <c r="U1004" s="30" t="n"/>
      <c r="V1004" s="31" t="n"/>
      <c r="W1004" s="31" t="n"/>
      <c r="X1004" s="31" t="n"/>
      <c r="Y1004" s="31" t="n"/>
      <c r="Z1004" s="31" t="n"/>
      <c r="AA1004" s="31" t="n"/>
      <c r="AB1004" s="31" t="n"/>
      <c r="AC1004" s="31" t="n"/>
      <c r="AD1004" s="31" t="n"/>
      <c r="AE1004" s="31" t="n"/>
      <c r="AF1004" s="27">
        <f>IF(NOT(COUNTA(A1004:AE1004)&gt;0),"",IF(A1004="","New client","Update"))</f>
        <v/>
      </c>
      <c r="AG1004" s="27">
        <f>IF(AO1004&lt;&gt;"",AO1004,IF(LEN(AN1004)=15,MID(AN1004,3,10),""))</f>
        <v/>
      </c>
      <c r="AH1004" s="27">
        <f>IF(AP1004="","",AP1004&amp;IF(D1004="","  (guessed from PAN)",""))</f>
        <v/>
      </c>
      <c r="AI1004" s="27">
        <f>IF(AN1004="","",IFERROR(INDEX(Lists!$L$2:$L$38,MATCH(LEFT(AN1004,2),Lists!$K$2:$K$38,0)),"Unknown code"))</f>
        <v/>
      </c>
      <c r="AJ1004" s="27">
        <f>IF(AN1004="","",IFERROR(IF(NOT(AND(LEN(AN1004)=15,ISNUMBER(MATCH(LEFT(AN1004,2),Lists!$K$2:$K$38,0)),SUMPRODUCT(--ISERROR(FIND(MID(MID(AN1004,3,10),{1,2,3,4,5,10},1),"ABCDEFGHIJKLMNOPQRSTUVWXYZ")))=0,SUMPRODUCT(--ISERROR(FIND(MID(MID(AN1004,3,10),{6,7,8,9},1),"0123456789")))=0,ISNUMBER(FIND(MID(AN1004,13,1),"123456789ABCDEFGHIJKLMNOPQRSTUVWXYZ")),MID(AN1004,14,1)="Z")),"Wrong format",IF(MID("0123456789ABCDEFGHIJKLMNOPQRSTUVWXYZ",MOD(36-MOD(SUMPRODUCT(INT((FIND(MID(AN1004,{1,2,3,4,5,6,7,8,9,10,11,12,13,14},1),"0123456789ABCDEFGHIJKLMNOPQRSTUVWXYZ")-1)*{1,2,1,2,1,2,1,2,1,2,1,2,1,2}/36)+MOD((FIND(MID(AN1004,{1,2,3,4,5,6,7,8,9,10,11,12,13,14},1),"0123456789ABCDEFGHIJKLMNOPQRSTUVWXYZ")-1)*{1,2,1,2,1,2,1,2,1,2,1,2,1,2},36)),36),36)+1,1)=MID(AN1004,15,1),"OK","Typo? check digit wrong")),"Wrong format"))</f>
        <v/>
      </c>
      <c r="AK1004" s="27">
        <f>IF(AO1004="","",IF(AND(LEN(AO1004)=10,SUMPRODUCT(--ISERROR(FIND(MID(AO1004,{1,2,3,4,5,10},1),"ABCDEFGHIJKLMNOPQRSTUVWXYZ")))=0,SUMPRODUCT(--ISERROR(FIND(MID(AO1004,{6,7,8,9},1),"0123456789")))=0),"OK","Wrong format"))</f>
        <v/>
      </c>
      <c r="AL1004" s="27">
        <f>IF(TRIM(H1004)="","",IF(AND(LEN(UPPER(TRIM(H1004)))=10,SUMPRODUCT(--ISERROR(FIND(MID(UPPER(TRIM(H1004)),{1,2,3,4,10},1),"ABCDEFGHIJKLMNOPQRSTUVWXYZ")))=0,SUMPRODUCT(--ISERROR(FIND(MID(UPPER(TRIM(H1004)),{5,6,7,8,9},1),"0123456789")))=0),"OK","Wrong format"))</f>
        <v/>
      </c>
      <c r="AM1004" s="28">
        <f>IF(NOT(COUNTA(A1004:AE1004)&gt;0),"",IF(AS1004&lt;&gt;"","✖ "&amp;LEFT(AS1004,LEN(AS1004)-2),IF(AR1004&gt;0,"✔ Ready — client + "&amp;AR1004&amp;" service(s)","✔ Ready — client only")))</f>
        <v/>
      </c>
      <c r="AN1004" s="29">
        <f>UPPER(SUBSTITUTE(TRIM(F1004)," ",""))</f>
        <v/>
      </c>
      <c r="AO1004" s="29">
        <f>UPPER(SUBSTITUTE(TRIM(E1004)," ",""))</f>
        <v/>
      </c>
      <c r="AP1004" s="29">
        <f>IF(D1004&lt;&gt;"",D1004,IFERROR(VLOOKUP(MID(AG1004,4,1),Lists!$E$2:$F$8,2,FALSE),""))</f>
        <v/>
      </c>
      <c r="AQ1004" s="29">
        <f>IFERROR(VLOOKUP(AP1004,Lists!$A$2:$C$12,3,FALSE),"")</f>
        <v/>
      </c>
      <c r="AR1004" s="29">
        <f>COUNTIF(W1004:AC1004,"Yes")</f>
        <v/>
      </c>
      <c r="AS1004" s="29">
        <f>IF(TRIM(B1004)="","Legal name missing; ","")&amp;IF(AND(AJ1004&lt;&gt;"",AJ1004&lt;&gt;"OK"),"GSTIN: "&amp;AJ1004&amp;"; ","")&amp;IF(AND(AK1004&lt;&gt;"",AK1004&lt;&gt;"OK"),"PAN wrong format; ","")&amp;IF(AND(AO1004&lt;&gt;"",LEN(AN1004)=15,MID(AN1004,3,10)&lt;&gt;AO1004),"PAN does not match GSTIN; ","")&amp;IF(AND(AL1004&lt;&gt;"",AL1004&lt;&gt;"OK"),"TAN wrong format; ","")&amp;IF(AG1004="","PAN missing; ","")&amp;IF(AP1004="","Entity type missing; ","")&amp;IF(AND(AN1004&lt;&gt;"",COUNTIF($AN$6:$AN$1005,AN1004)&gt;1),"GSTIN repeated in this sheet; ","")&amp;IF(AND(AG1004&lt;&gt;"",COUNTIF($AG$6:$AG$1005,AG1004)&gt;1),"PAN repeated in this sheet (same client? put extra GSTINs in Other GSTINs); ","")&amp;IF(AND(AR1004&gt;0,V1004=""),"Financial year missing; ","")&amp;IF(AND(AR1004=0,V1004&lt;&gt;""),"Financial year given but no service is Yes; ","")&amp;IF(AND(W1004="Yes",AN1004=""),"GST needs a GSTIN; ","")&amp;IF(AND(W1004="Yes",X1004=""),"GST return frequency missing; ","")&amp;IF(AND(Y1004="Yes",TRIM(H1004)=""),"TDS needs a TAN; ","")&amp;IF(AND(AA1004="Yes",AQ1004&lt;&gt;"",AQ1004&lt;&gt;"company",AQ1004&lt;&gt;"llp"),"ROC is only for a company / LLP; ","")&amp;IF(AND(AA1004="Yes",OR(AQ1004="company",AQ1004="llp"),TRIM(I1004)=""),"ROC needs the CIN / LLPIN; ","")</f>
        <v/>
      </c>
    </row>
    <row r="1005">
      <c r="A1005" s="30" t="n"/>
      <c r="B1005" s="31" t="n"/>
      <c r="C1005" s="31" t="n"/>
      <c r="D1005" s="31" t="n"/>
      <c r="E1005" s="30" t="n"/>
      <c r="F1005" s="30" t="n"/>
      <c r="G1005" s="30" t="n"/>
      <c r="H1005" s="30" t="n"/>
      <c r="I1005" s="30" t="n"/>
      <c r="J1005" s="32" t="n"/>
      <c r="K1005" s="31" t="n"/>
      <c r="L1005" s="30" t="n"/>
      <c r="M1005" s="31" t="n"/>
      <c r="N1005" s="31" t="n"/>
      <c r="O1005" s="31" t="n"/>
      <c r="P1005" s="30" t="n"/>
      <c r="Q1005" s="31" t="n"/>
      <c r="R1005" s="31" t="n"/>
      <c r="S1005" s="31" t="n"/>
      <c r="T1005" s="31" t="n"/>
      <c r="U1005" s="30" t="n"/>
      <c r="V1005" s="31" t="n"/>
      <c r="W1005" s="31" t="n"/>
      <c r="X1005" s="31" t="n"/>
      <c r="Y1005" s="31" t="n"/>
      <c r="Z1005" s="31" t="n"/>
      <c r="AA1005" s="31" t="n"/>
      <c r="AB1005" s="31" t="n"/>
      <c r="AC1005" s="31" t="n"/>
      <c r="AD1005" s="31" t="n"/>
      <c r="AE1005" s="31" t="n"/>
      <c r="AF1005" s="27">
        <f>IF(NOT(COUNTA(A1005:AE1005)&gt;0),"",IF(A1005="","New client","Update"))</f>
        <v/>
      </c>
      <c r="AG1005" s="27">
        <f>IF(AO1005&lt;&gt;"",AO1005,IF(LEN(AN1005)=15,MID(AN1005,3,10),""))</f>
        <v/>
      </c>
      <c r="AH1005" s="27">
        <f>IF(AP1005="","",AP1005&amp;IF(D1005="","  (guessed from PAN)",""))</f>
        <v/>
      </c>
      <c r="AI1005" s="27">
        <f>IF(AN1005="","",IFERROR(INDEX(Lists!$L$2:$L$38,MATCH(LEFT(AN1005,2),Lists!$K$2:$K$38,0)),"Unknown code"))</f>
        <v/>
      </c>
      <c r="AJ1005" s="27">
        <f>IF(AN1005="","",IFERROR(IF(NOT(AND(LEN(AN1005)=15,ISNUMBER(MATCH(LEFT(AN1005,2),Lists!$K$2:$K$38,0)),SUMPRODUCT(--ISERROR(FIND(MID(MID(AN1005,3,10),{1,2,3,4,5,10},1),"ABCDEFGHIJKLMNOPQRSTUVWXYZ")))=0,SUMPRODUCT(--ISERROR(FIND(MID(MID(AN1005,3,10),{6,7,8,9},1),"0123456789")))=0,ISNUMBER(FIND(MID(AN1005,13,1),"123456789ABCDEFGHIJKLMNOPQRSTUVWXYZ")),MID(AN1005,14,1)="Z")),"Wrong format",IF(MID("0123456789ABCDEFGHIJKLMNOPQRSTUVWXYZ",MOD(36-MOD(SUMPRODUCT(INT((FIND(MID(AN1005,{1,2,3,4,5,6,7,8,9,10,11,12,13,14},1),"0123456789ABCDEFGHIJKLMNOPQRSTUVWXYZ")-1)*{1,2,1,2,1,2,1,2,1,2,1,2,1,2}/36)+MOD((FIND(MID(AN1005,{1,2,3,4,5,6,7,8,9,10,11,12,13,14},1),"0123456789ABCDEFGHIJKLMNOPQRSTUVWXYZ")-1)*{1,2,1,2,1,2,1,2,1,2,1,2,1,2},36)),36),36)+1,1)=MID(AN1005,15,1),"OK","Typo? check digit wrong")),"Wrong format"))</f>
        <v/>
      </c>
      <c r="AK1005" s="27">
        <f>IF(AO1005="","",IF(AND(LEN(AO1005)=10,SUMPRODUCT(--ISERROR(FIND(MID(AO1005,{1,2,3,4,5,10},1),"ABCDEFGHIJKLMNOPQRSTUVWXYZ")))=0,SUMPRODUCT(--ISERROR(FIND(MID(AO1005,{6,7,8,9},1),"0123456789")))=0),"OK","Wrong format"))</f>
        <v/>
      </c>
      <c r="AL1005" s="27">
        <f>IF(TRIM(H1005)="","",IF(AND(LEN(UPPER(TRIM(H1005)))=10,SUMPRODUCT(--ISERROR(FIND(MID(UPPER(TRIM(H1005)),{1,2,3,4,10},1),"ABCDEFGHIJKLMNOPQRSTUVWXYZ")))=0,SUMPRODUCT(--ISERROR(FIND(MID(UPPER(TRIM(H1005)),{5,6,7,8,9},1),"0123456789")))=0),"OK","Wrong format"))</f>
        <v/>
      </c>
      <c r="AM1005" s="28">
        <f>IF(NOT(COUNTA(A1005:AE1005)&gt;0),"",IF(AS1005&lt;&gt;"","✖ "&amp;LEFT(AS1005,LEN(AS1005)-2),IF(AR1005&gt;0,"✔ Ready — client + "&amp;AR1005&amp;" service(s)","✔ Ready — client only")))</f>
        <v/>
      </c>
      <c r="AN1005" s="29">
        <f>UPPER(SUBSTITUTE(TRIM(F1005)," ",""))</f>
        <v/>
      </c>
      <c r="AO1005" s="29">
        <f>UPPER(SUBSTITUTE(TRIM(E1005)," ",""))</f>
        <v/>
      </c>
      <c r="AP1005" s="29">
        <f>IF(D1005&lt;&gt;"",D1005,IFERROR(VLOOKUP(MID(AG1005,4,1),Lists!$E$2:$F$8,2,FALSE),""))</f>
        <v/>
      </c>
      <c r="AQ1005" s="29">
        <f>IFERROR(VLOOKUP(AP1005,Lists!$A$2:$C$12,3,FALSE),"")</f>
        <v/>
      </c>
      <c r="AR1005" s="29">
        <f>COUNTIF(W1005:AC1005,"Yes")</f>
        <v/>
      </c>
      <c r="AS1005" s="29">
        <f>IF(TRIM(B1005)="","Legal name missing; ","")&amp;IF(AND(AJ1005&lt;&gt;"",AJ1005&lt;&gt;"OK"),"GSTIN: "&amp;AJ1005&amp;"; ","")&amp;IF(AND(AK1005&lt;&gt;"",AK1005&lt;&gt;"OK"),"PAN wrong format; ","")&amp;IF(AND(AO1005&lt;&gt;"",LEN(AN1005)=15,MID(AN1005,3,10)&lt;&gt;AO1005),"PAN does not match GSTIN; ","")&amp;IF(AND(AL1005&lt;&gt;"",AL1005&lt;&gt;"OK"),"TAN wrong format; ","")&amp;IF(AG1005="","PAN missing; ","")&amp;IF(AP1005="","Entity type missing; ","")&amp;IF(AND(AN1005&lt;&gt;"",COUNTIF($AN$6:$AN$1005,AN1005)&gt;1),"GSTIN repeated in this sheet; ","")&amp;IF(AND(AG1005&lt;&gt;"",COUNTIF($AG$6:$AG$1005,AG1005)&gt;1),"PAN repeated in this sheet (same client? put extra GSTINs in Other GSTINs); ","")&amp;IF(AND(AR1005&gt;0,V1005=""),"Financial year missing; ","")&amp;IF(AND(AR1005=0,V1005&lt;&gt;""),"Financial year given but no service is Yes; ","")&amp;IF(AND(W1005="Yes",AN1005=""),"GST needs a GSTIN; ","")&amp;IF(AND(W1005="Yes",X1005=""),"GST return frequency missing; ","")&amp;IF(AND(Y1005="Yes",TRIM(H1005)=""),"TDS needs a TAN; ","")&amp;IF(AND(AA1005="Yes",AQ1005&lt;&gt;"",AQ1005&lt;&gt;"company",AQ1005&lt;&gt;"llp"),"ROC is only for a company / LLP; ","")&amp;IF(AND(AA1005="Yes",OR(AQ1005="company",AQ1005="llp"),TRIM(I1005)=""),"ROC needs the CIN / LLPIN; ","")</f>
        <v/>
      </c>
    </row>
  </sheetData>
  <autoFilter ref="A4:AM1005"/>
  <mergeCells count="8">
    <mergeCell ref="A1:AM1"/>
    <mergeCell ref="AF3:AM3"/>
    <mergeCell ref="E3:L3"/>
    <mergeCell ref="M3:P3"/>
    <mergeCell ref="Q3:U3"/>
    <mergeCell ref="A3:D3"/>
    <mergeCell ref="V3:AE3"/>
    <mergeCell ref="A2:AM2"/>
  </mergeCells>
  <conditionalFormatting sqref="AM5:AM1005">
    <cfRule type="expression" priority="1" dxfId="0">
      <formula>LEFT(AM5,1)="✔"</formula>
    </cfRule>
    <cfRule type="expression" priority="2" dxfId="1">
      <formula>LEFT(AM5,1)="✖"</formula>
    </cfRule>
  </conditionalFormatting>
  <conditionalFormatting sqref="AJ5:AJ1005">
    <cfRule type="expression" priority="3" dxfId="2">
      <formula>AJ5="OK"</formula>
    </cfRule>
    <cfRule type="expression" priority="4" dxfId="3">
      <formula>AND(AJ5&lt;&gt;"",AJ5&lt;&gt;"OK")</formula>
    </cfRule>
  </conditionalFormatting>
  <conditionalFormatting sqref="AK5:AK1005">
    <cfRule type="expression" priority="5" dxfId="2">
      <formula>AK5="OK"</formula>
    </cfRule>
    <cfRule type="expression" priority="6" dxfId="3">
      <formula>AND(AK5&lt;&gt;"",AK5&lt;&gt;"OK")</formula>
    </cfRule>
  </conditionalFormatting>
  <conditionalFormatting sqref="AL5:AL1005">
    <cfRule type="expression" priority="7" dxfId="2">
      <formula>AL5="OK"</formula>
    </cfRule>
    <cfRule type="expression" priority="8" dxfId="3">
      <formula>AND(AL5&lt;&gt;"",AL5&lt;&gt;"OK")</formula>
    </cfRule>
  </conditionalFormatting>
  <conditionalFormatting sqref="AH5:AH1005">
    <cfRule type="expression" priority="9" dxfId="4">
      <formula>ISNUMBER(SEARCH("guessed",AH5))</formula>
    </cfRule>
  </conditionalFormatting>
  <dataValidations count="16">
    <dataValidation sqref="D5:D1005" showDropDown="0" showInputMessage="0" showErrorMessage="1" allowBlank="1" errorTitle="Not in the list" error="Pick a value from the list." type="list">
      <formula1>=Lists!$A$2:$A$12</formula1>
    </dataValidation>
    <dataValidation sqref="K5:K1005" showDropDown="0" showInputMessage="0" showErrorMessage="1" allowBlank="1" errorTitle="Not in the list" error="Pick a value from the list." type="list">
      <formula1>=Lists!$H$2:$H$9</formula1>
    </dataValidation>
    <dataValidation sqref="T5:T1005" showDropDown="0" showInputMessage="0" showErrorMessage="1" allowBlank="1" errorTitle="Not in the list" error="Pick a value from the list." type="list">
      <formula1>=Lists!$L$2:$L$38</formula1>
    </dataValidation>
    <dataValidation sqref="V5:V1005" showDropDown="0" showInputMessage="0" showErrorMessage="1" allowBlank="1" errorTitle="Not in the list" error="Pick a value from the list." type="list">
      <formula1>=Lists!$N$2:$N$5</formula1>
    </dataValidation>
    <dataValidation sqref="X5:X1005" showDropDown="0" showInputMessage="0" showErrorMessage="1" allowBlank="1" errorTitle="Not in the list" error="Pick a value from the list." type="list">
      <formula1>=Lists!$R$2:$R$3</formula1>
    </dataValidation>
    <dataValidation sqref="W5:W1005" showDropDown="0" showInputMessage="0" showErrorMessage="1" allowBlank="1" errorTitle="Not in the list" error="Pick a value from the list." type="list">
      <formula1>=Lists!$P$2:$P$3</formula1>
    </dataValidation>
    <dataValidation sqref="Y5:Y1005" showDropDown="0" showInputMessage="0" showErrorMessage="1" allowBlank="1" errorTitle="Not in the list" error="Pick a value from the list." type="list">
      <formula1>=Lists!$P$2:$P$3</formula1>
    </dataValidation>
    <dataValidation sqref="Z5:Z1005" showDropDown="0" showInputMessage="0" showErrorMessage="1" allowBlank="1" errorTitle="Not in the list" error="Pick a value from the list." type="list">
      <formula1>=Lists!$P$2:$P$3</formula1>
    </dataValidation>
    <dataValidation sqref="AA5:AA1005" showDropDown="0" showInputMessage="0" showErrorMessage="1" allowBlank="1" errorTitle="Not in the list" error="Pick a value from the list." type="list">
      <formula1>=Lists!$P$2:$P$3</formula1>
    </dataValidation>
    <dataValidation sqref="AB5:AB1005" showDropDown="0" showInputMessage="0" showErrorMessage="1" allowBlank="1" errorTitle="Not in the list" error="Pick a value from the list." type="list">
      <formula1>=Lists!$P$2:$P$3</formula1>
    </dataValidation>
    <dataValidation sqref="AC5:AC1005" showDropDown="0" showInputMessage="0" showErrorMessage="1" allowBlank="1" errorTitle="Not in the list" error="Pick a value from the list." type="list">
      <formula1>=Lists!$P$2:$P$3</formula1>
    </dataValidation>
    <dataValidation sqref="J5:J1005" showDropDown="0" showInputMessage="0" showErrorMessage="1" allowBlank="1" errorTitle="Not a date" error="Type a date, e.g. 10-04-2015." type="date" operator="between">
      <formula1>DATE(1900,1,1)</formula1>
      <formula2>DATE(2100,12,31)</formula2>
    </dataValidation>
    <dataValidation sqref="E5:E1005" showDropDown="0" showInputMessage="0" showErrorMessage="1" allowBlank="1" errorTitle="Too long" error="PAN is 10 characters." type="textLength" operator="lessThanOrEqual">
      <formula1>12</formula1>
    </dataValidation>
    <dataValidation sqref="F5:F1005" showDropDown="0" showInputMessage="0" showErrorMessage="1" allowBlank="1" errorTitle="Too long" error="GSTIN (main) is 15 characters." type="textLength" operator="lessThanOrEqual">
      <formula1>17</formula1>
    </dataValidation>
    <dataValidation sqref="H5:H1005" showDropDown="0" showInputMessage="0" showErrorMessage="1" allowBlank="1" errorTitle="Too long" error="TAN is 10 characters." type="textLength" operator="lessThanOrEqual">
      <formula1>12</formula1>
    </dataValidation>
    <dataValidation sqref="U5:U1005" showDropDown="0" showInputMessage="0" showErrorMessage="1" allowBlank="1" errorTitle="Too long" error="Pincode is 6 characters." type="textLength" operator="lessThanOrEqual">
      <formula1>8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5B4B8A"/>
    <outlinePr summaryBelow="1" summaryRight="1"/>
    <pageSetUpPr fitToPage="1"/>
  </sheetPr>
  <dimension ref="A1:G1503"/>
  <sheetViews>
    <sheetView zoomScale="10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18" customWidth="1" min="3" max="3"/>
    <col width="18" customWidth="1" min="4" max="4"/>
    <col width="22" customWidth="1" min="5" max="5"/>
    <col width="18" customWidth="1" min="6" max="6"/>
    <col width="34" customWidth="1" min="7" max="7"/>
  </cols>
  <sheetData>
    <row r="1">
      <c r="A1" s="33" t="inlineStr">
        <is>
          <t>Portal logins (optional) — one row per login</t>
        </is>
      </c>
    </row>
    <row r="2" ht="30" customHeight="1">
      <c r="A2" s="34" t="inlineStr">
        <is>
          <t>Passwords are sealed (encrypted) when imported. Export NEVER writes passwords — this sheet comes out with user IDs masked. Keep this file private and delete the passwords once imported.</t>
        </is>
      </c>
    </row>
    <row r="3">
      <c r="A3" s="17" t="inlineStr">
        <is>
          <t>Client code</t>
        </is>
      </c>
      <c r="B3" s="17" t="inlineStr">
        <is>
          <t>Legal name (as on Clients)</t>
        </is>
      </c>
      <c r="C3" s="17" t="inlineStr">
        <is>
          <t>Portal</t>
        </is>
      </c>
      <c r="D3" s="17" t="inlineStr">
        <is>
          <t>For GSTIN / TAN</t>
        </is>
      </c>
      <c r="E3" s="17" t="inlineStr">
        <is>
          <t>User ID</t>
        </is>
      </c>
      <c r="F3" s="17" t="inlineStr">
        <is>
          <t>Password</t>
        </is>
      </c>
      <c r="G3" s="22" t="inlineStr">
        <is>
          <t>Check</t>
        </is>
      </c>
    </row>
    <row r="4">
      <c r="A4" s="35" t="inlineStr">
        <is>
          <t>EXAMPLE</t>
        </is>
      </c>
      <c r="B4" s="36" t="inlineStr">
        <is>
          <t>Sharma Traders</t>
        </is>
      </c>
      <c r="C4" s="36" t="inlineStr">
        <is>
          <t>GST</t>
        </is>
      </c>
      <c r="D4" s="35" t="inlineStr">
        <is>
          <t>07ABCPS1234K1ZO</t>
        </is>
      </c>
      <c r="E4" s="35" t="inlineStr">
        <is>
          <t>sharma_gst</t>
        </is>
      </c>
      <c r="F4" s="35" t="inlineStr">
        <is>
          <t>••••••••</t>
        </is>
      </c>
      <c r="G4" s="37">
        <f>IF(COUNTA(A4:F4)=0,"",IF(A4="EXAMPLE","Example (skipped)",IF(OR(C4="",E4="",F4=""),"✖ Portal, User ID and Password are all needed",IF(AND(A4="",COUNTIF(Clients!$B$5:$B$1005,B4)=0),"Not on Clients — will match a portal client by name",IF(AND(C4="GST",D4&lt;&gt;"",COUNTIF(Clients!$AN$5:$AN$1005,UPPER(D4))=0,COUNTIF(Clients!$G$5:$G$1005,"*"&amp;UPPER(D4)&amp;"*")=0),"GSTIN not on Clients — will be checked in the portal","✔ OK")))))</f>
        <v/>
      </c>
    </row>
    <row r="5">
      <c r="A5" s="38" t="n"/>
      <c r="B5" s="39" t="n"/>
      <c r="C5" s="39" t="n"/>
      <c r="D5" s="38" t="n"/>
      <c r="E5" s="38" t="n"/>
      <c r="F5" s="38" t="n"/>
      <c r="G5" s="37">
        <f>IF(COUNTA(A5:F5)=0,"",IF(A5="EXAMPLE","Example (skipped)",IF(OR(C5="",E5="",F5=""),"✖ Portal, User ID and Password are all needed",IF(AND(A5="",COUNTIF(Clients!$B$5:$B$1005,B5)=0),"Not on Clients — will match a portal client by name",IF(AND(C5="GST",D5&lt;&gt;"",COUNTIF(Clients!$AN$5:$AN$1005,UPPER(D5))=0,COUNTIF(Clients!$G$5:$G$1005,"*"&amp;UPPER(D5)&amp;"*")=0),"GSTIN not on Clients — will be checked in the portal","✔ OK")))))</f>
        <v/>
      </c>
    </row>
    <row r="6">
      <c r="A6" s="38" t="n"/>
      <c r="B6" s="39" t="n"/>
      <c r="C6" s="39" t="n"/>
      <c r="D6" s="38" t="n"/>
      <c r="E6" s="38" t="n"/>
      <c r="F6" s="38" t="n"/>
      <c r="G6" s="37">
        <f>IF(COUNTA(A6:F6)=0,"",IF(A6="EXAMPLE","Example (skipped)",IF(OR(C6="",E6="",F6=""),"✖ Portal, User ID and Password are all needed",IF(AND(A6="",COUNTIF(Clients!$B$5:$B$1005,B6)=0),"Not on Clients — will match a portal client by name",IF(AND(C6="GST",D6&lt;&gt;"",COUNTIF(Clients!$AN$5:$AN$1005,UPPER(D6))=0,COUNTIF(Clients!$G$5:$G$1005,"*"&amp;UPPER(D6)&amp;"*")=0),"GSTIN not on Clients — will be checked in the portal","✔ OK")))))</f>
        <v/>
      </c>
    </row>
    <row r="7">
      <c r="A7" s="38" t="n"/>
      <c r="B7" s="39" t="n"/>
      <c r="C7" s="39" t="n"/>
      <c r="D7" s="38" t="n"/>
      <c r="E7" s="38" t="n"/>
      <c r="F7" s="38" t="n"/>
      <c r="G7" s="37">
        <f>IF(COUNTA(A7:F7)=0,"",IF(A7="EXAMPLE","Example (skipped)",IF(OR(C7="",E7="",F7=""),"✖ Portal, User ID and Password are all needed",IF(AND(A7="",COUNTIF(Clients!$B$5:$B$1005,B7)=0),"Not on Clients — will match a portal client by name",IF(AND(C7="GST",D7&lt;&gt;"",COUNTIF(Clients!$AN$5:$AN$1005,UPPER(D7))=0,COUNTIF(Clients!$G$5:$G$1005,"*"&amp;UPPER(D7)&amp;"*")=0),"GSTIN not on Clients — will be checked in the portal","✔ OK")))))</f>
        <v/>
      </c>
    </row>
    <row r="8">
      <c r="A8" s="38" t="n"/>
      <c r="B8" s="39" t="n"/>
      <c r="C8" s="39" t="n"/>
      <c r="D8" s="38" t="n"/>
      <c r="E8" s="38" t="n"/>
      <c r="F8" s="38" t="n"/>
      <c r="G8" s="37">
        <f>IF(COUNTA(A8:F8)=0,"",IF(A8="EXAMPLE","Example (skipped)",IF(OR(C8="",E8="",F8=""),"✖ Portal, User ID and Password are all needed",IF(AND(A8="",COUNTIF(Clients!$B$5:$B$1005,B8)=0),"Not on Clients — will match a portal client by name",IF(AND(C8="GST",D8&lt;&gt;"",COUNTIF(Clients!$AN$5:$AN$1005,UPPER(D8))=0,COUNTIF(Clients!$G$5:$G$1005,"*"&amp;UPPER(D8)&amp;"*")=0),"GSTIN not on Clients — will be checked in the portal","✔ OK")))))</f>
        <v/>
      </c>
    </row>
    <row r="9">
      <c r="A9" s="38" t="n"/>
      <c r="B9" s="39" t="n"/>
      <c r="C9" s="39" t="n"/>
      <c r="D9" s="38" t="n"/>
      <c r="E9" s="38" t="n"/>
      <c r="F9" s="38" t="n"/>
      <c r="G9" s="37">
        <f>IF(COUNTA(A9:F9)=0,"",IF(A9="EXAMPLE","Example (skipped)",IF(OR(C9="",E9="",F9=""),"✖ Portal, User ID and Password are all needed",IF(AND(A9="",COUNTIF(Clients!$B$5:$B$1005,B9)=0),"Not on Clients — will match a portal client by name",IF(AND(C9="GST",D9&lt;&gt;"",COUNTIF(Clients!$AN$5:$AN$1005,UPPER(D9))=0,COUNTIF(Clients!$G$5:$G$1005,"*"&amp;UPPER(D9)&amp;"*")=0),"GSTIN not on Clients — will be checked in the portal","✔ OK")))))</f>
        <v/>
      </c>
    </row>
    <row r="10">
      <c r="A10" s="38" t="n"/>
      <c r="B10" s="39" t="n"/>
      <c r="C10" s="39" t="n"/>
      <c r="D10" s="38" t="n"/>
      <c r="E10" s="38" t="n"/>
      <c r="F10" s="38" t="n"/>
      <c r="G10" s="37">
        <f>IF(COUNTA(A10:F10)=0,"",IF(A10="EXAMPLE","Example (skipped)",IF(OR(C10="",E10="",F10=""),"✖ Portal, User ID and Password are all needed",IF(AND(A10="",COUNTIF(Clients!$B$5:$B$1005,B10)=0),"Not on Clients — will match a portal client by name",IF(AND(C10="GST",D10&lt;&gt;"",COUNTIF(Clients!$AN$5:$AN$1005,UPPER(D10))=0,COUNTIF(Clients!$G$5:$G$1005,"*"&amp;UPPER(D10)&amp;"*")=0),"GSTIN not on Clients — will be checked in the portal","✔ OK")))))</f>
        <v/>
      </c>
    </row>
    <row r="11">
      <c r="A11" s="38" t="n"/>
      <c r="B11" s="39" t="n"/>
      <c r="C11" s="39" t="n"/>
      <c r="D11" s="38" t="n"/>
      <c r="E11" s="38" t="n"/>
      <c r="F11" s="38" t="n"/>
      <c r="G11" s="37">
        <f>IF(COUNTA(A11:F11)=0,"",IF(A11="EXAMPLE","Example (skipped)",IF(OR(C11="",E11="",F11=""),"✖ Portal, User ID and Password are all needed",IF(AND(A11="",COUNTIF(Clients!$B$5:$B$1005,B11)=0),"Not on Clients — will match a portal client by name",IF(AND(C11="GST",D11&lt;&gt;"",COUNTIF(Clients!$AN$5:$AN$1005,UPPER(D11))=0,COUNTIF(Clients!$G$5:$G$1005,"*"&amp;UPPER(D11)&amp;"*")=0),"GSTIN not on Clients — will be checked in the portal","✔ OK")))))</f>
        <v/>
      </c>
    </row>
    <row r="12">
      <c r="A12" s="38" t="n"/>
      <c r="B12" s="39" t="n"/>
      <c r="C12" s="39" t="n"/>
      <c r="D12" s="38" t="n"/>
      <c r="E12" s="38" t="n"/>
      <c r="F12" s="38" t="n"/>
      <c r="G12" s="37">
        <f>IF(COUNTA(A12:F12)=0,"",IF(A12="EXAMPLE","Example (skipped)",IF(OR(C12="",E12="",F12=""),"✖ Portal, User ID and Password are all needed",IF(AND(A12="",COUNTIF(Clients!$B$5:$B$1005,B12)=0),"Not on Clients — will match a portal client by name",IF(AND(C12="GST",D12&lt;&gt;"",COUNTIF(Clients!$AN$5:$AN$1005,UPPER(D12))=0,COUNTIF(Clients!$G$5:$G$1005,"*"&amp;UPPER(D12)&amp;"*")=0),"GSTIN not on Clients — will be checked in the portal","✔ OK")))))</f>
        <v/>
      </c>
    </row>
    <row r="13">
      <c r="A13" s="38" t="n"/>
      <c r="B13" s="39" t="n"/>
      <c r="C13" s="39" t="n"/>
      <c r="D13" s="38" t="n"/>
      <c r="E13" s="38" t="n"/>
      <c r="F13" s="38" t="n"/>
      <c r="G13" s="37">
        <f>IF(COUNTA(A13:F13)=0,"",IF(A13="EXAMPLE","Example (skipped)",IF(OR(C13="",E13="",F13=""),"✖ Portal, User ID and Password are all needed",IF(AND(A13="",COUNTIF(Clients!$B$5:$B$1005,B13)=0),"Not on Clients — will match a portal client by name",IF(AND(C13="GST",D13&lt;&gt;"",COUNTIF(Clients!$AN$5:$AN$1005,UPPER(D13))=0,COUNTIF(Clients!$G$5:$G$1005,"*"&amp;UPPER(D13)&amp;"*")=0),"GSTIN not on Clients — will be checked in the portal","✔ OK")))))</f>
        <v/>
      </c>
    </row>
    <row r="14">
      <c r="A14" s="38" t="n"/>
      <c r="B14" s="39" t="n"/>
      <c r="C14" s="39" t="n"/>
      <c r="D14" s="38" t="n"/>
      <c r="E14" s="38" t="n"/>
      <c r="F14" s="38" t="n"/>
      <c r="G14" s="37">
        <f>IF(COUNTA(A14:F14)=0,"",IF(A14="EXAMPLE","Example (skipped)",IF(OR(C14="",E14="",F14=""),"✖ Portal, User ID and Password are all needed",IF(AND(A14="",COUNTIF(Clients!$B$5:$B$1005,B14)=0),"Not on Clients — will match a portal client by name",IF(AND(C14="GST",D14&lt;&gt;"",COUNTIF(Clients!$AN$5:$AN$1005,UPPER(D14))=0,COUNTIF(Clients!$G$5:$G$1005,"*"&amp;UPPER(D14)&amp;"*")=0),"GSTIN not on Clients — will be checked in the portal","✔ OK")))))</f>
        <v/>
      </c>
    </row>
    <row r="15">
      <c r="A15" s="38" t="n"/>
      <c r="B15" s="39" t="n"/>
      <c r="C15" s="39" t="n"/>
      <c r="D15" s="38" t="n"/>
      <c r="E15" s="38" t="n"/>
      <c r="F15" s="38" t="n"/>
      <c r="G15" s="37">
        <f>IF(COUNTA(A15:F15)=0,"",IF(A15="EXAMPLE","Example (skipped)",IF(OR(C15="",E15="",F15=""),"✖ Portal, User ID and Password are all needed",IF(AND(A15="",COUNTIF(Clients!$B$5:$B$1005,B15)=0),"Not on Clients — will match a portal client by name",IF(AND(C15="GST",D15&lt;&gt;"",COUNTIF(Clients!$AN$5:$AN$1005,UPPER(D15))=0,COUNTIF(Clients!$G$5:$G$1005,"*"&amp;UPPER(D15)&amp;"*")=0),"GSTIN not on Clients — will be checked in the portal","✔ OK")))))</f>
        <v/>
      </c>
    </row>
    <row r="16">
      <c r="A16" s="38" t="n"/>
      <c r="B16" s="39" t="n"/>
      <c r="C16" s="39" t="n"/>
      <c r="D16" s="38" t="n"/>
      <c r="E16" s="38" t="n"/>
      <c r="F16" s="38" t="n"/>
      <c r="G16" s="37">
        <f>IF(COUNTA(A16:F16)=0,"",IF(A16="EXAMPLE","Example (skipped)",IF(OR(C16="",E16="",F16=""),"✖ Portal, User ID and Password are all needed",IF(AND(A16="",COUNTIF(Clients!$B$5:$B$1005,B16)=0),"Not on Clients — will match a portal client by name",IF(AND(C16="GST",D16&lt;&gt;"",COUNTIF(Clients!$AN$5:$AN$1005,UPPER(D16))=0,COUNTIF(Clients!$G$5:$G$1005,"*"&amp;UPPER(D16)&amp;"*")=0),"GSTIN not on Clients — will be checked in the portal","✔ OK")))))</f>
        <v/>
      </c>
    </row>
    <row r="17">
      <c r="A17" s="38" t="n"/>
      <c r="B17" s="39" t="n"/>
      <c r="C17" s="39" t="n"/>
      <c r="D17" s="38" t="n"/>
      <c r="E17" s="38" t="n"/>
      <c r="F17" s="38" t="n"/>
      <c r="G17" s="37">
        <f>IF(COUNTA(A17:F17)=0,"",IF(A17="EXAMPLE","Example (skipped)",IF(OR(C17="",E17="",F17=""),"✖ Portal, User ID and Password are all needed",IF(AND(A17="",COUNTIF(Clients!$B$5:$B$1005,B17)=0),"Not on Clients — will match a portal client by name",IF(AND(C17="GST",D17&lt;&gt;"",COUNTIF(Clients!$AN$5:$AN$1005,UPPER(D17))=0,COUNTIF(Clients!$G$5:$G$1005,"*"&amp;UPPER(D17)&amp;"*")=0),"GSTIN not on Clients — will be checked in the portal","✔ OK")))))</f>
        <v/>
      </c>
    </row>
    <row r="18">
      <c r="A18" s="38" t="n"/>
      <c r="B18" s="39" t="n"/>
      <c r="C18" s="39" t="n"/>
      <c r="D18" s="38" t="n"/>
      <c r="E18" s="38" t="n"/>
      <c r="F18" s="38" t="n"/>
      <c r="G18" s="37">
        <f>IF(COUNTA(A18:F18)=0,"",IF(A18="EXAMPLE","Example (skipped)",IF(OR(C18="",E18="",F18=""),"✖ Portal, User ID and Password are all needed",IF(AND(A18="",COUNTIF(Clients!$B$5:$B$1005,B18)=0),"Not on Clients — will match a portal client by name",IF(AND(C18="GST",D18&lt;&gt;"",COUNTIF(Clients!$AN$5:$AN$1005,UPPER(D18))=0,COUNTIF(Clients!$G$5:$G$1005,"*"&amp;UPPER(D18)&amp;"*")=0),"GSTIN not on Clients — will be checked in the portal","✔ OK")))))</f>
        <v/>
      </c>
    </row>
    <row r="19">
      <c r="A19" s="38" t="n"/>
      <c r="B19" s="39" t="n"/>
      <c r="C19" s="39" t="n"/>
      <c r="D19" s="38" t="n"/>
      <c r="E19" s="38" t="n"/>
      <c r="F19" s="38" t="n"/>
      <c r="G19" s="37">
        <f>IF(COUNTA(A19:F19)=0,"",IF(A19="EXAMPLE","Example (skipped)",IF(OR(C19="",E19="",F19=""),"✖ Portal, User ID and Password are all needed",IF(AND(A19="",COUNTIF(Clients!$B$5:$B$1005,B19)=0),"Not on Clients — will match a portal client by name",IF(AND(C19="GST",D19&lt;&gt;"",COUNTIF(Clients!$AN$5:$AN$1005,UPPER(D19))=0,COUNTIF(Clients!$G$5:$G$1005,"*"&amp;UPPER(D19)&amp;"*")=0),"GSTIN not on Clients — will be checked in the portal","✔ OK")))))</f>
        <v/>
      </c>
    </row>
    <row r="20">
      <c r="A20" s="38" t="n"/>
      <c r="B20" s="39" t="n"/>
      <c r="C20" s="39" t="n"/>
      <c r="D20" s="38" t="n"/>
      <c r="E20" s="38" t="n"/>
      <c r="F20" s="38" t="n"/>
      <c r="G20" s="37">
        <f>IF(COUNTA(A20:F20)=0,"",IF(A20="EXAMPLE","Example (skipped)",IF(OR(C20="",E20="",F20=""),"✖ Portal, User ID and Password are all needed",IF(AND(A20="",COUNTIF(Clients!$B$5:$B$1005,B20)=0),"Not on Clients — will match a portal client by name",IF(AND(C20="GST",D20&lt;&gt;"",COUNTIF(Clients!$AN$5:$AN$1005,UPPER(D20))=0,COUNTIF(Clients!$G$5:$G$1005,"*"&amp;UPPER(D20)&amp;"*")=0),"GSTIN not on Clients — will be checked in the portal","✔ OK")))))</f>
        <v/>
      </c>
    </row>
    <row r="21">
      <c r="A21" s="38" t="n"/>
      <c r="B21" s="39" t="n"/>
      <c r="C21" s="39" t="n"/>
      <c r="D21" s="38" t="n"/>
      <c r="E21" s="38" t="n"/>
      <c r="F21" s="38" t="n"/>
      <c r="G21" s="37">
        <f>IF(COUNTA(A21:F21)=0,"",IF(A21="EXAMPLE","Example (skipped)",IF(OR(C21="",E21="",F21=""),"✖ Portal, User ID and Password are all needed",IF(AND(A21="",COUNTIF(Clients!$B$5:$B$1005,B21)=0),"Not on Clients — will match a portal client by name",IF(AND(C21="GST",D21&lt;&gt;"",COUNTIF(Clients!$AN$5:$AN$1005,UPPER(D21))=0,COUNTIF(Clients!$G$5:$G$1005,"*"&amp;UPPER(D21)&amp;"*")=0),"GSTIN not on Clients — will be checked in the portal","✔ OK")))))</f>
        <v/>
      </c>
    </row>
    <row r="22">
      <c r="A22" s="38" t="n"/>
      <c r="B22" s="39" t="n"/>
      <c r="C22" s="39" t="n"/>
      <c r="D22" s="38" t="n"/>
      <c r="E22" s="38" t="n"/>
      <c r="F22" s="38" t="n"/>
      <c r="G22" s="37">
        <f>IF(COUNTA(A22:F22)=0,"",IF(A22="EXAMPLE","Example (skipped)",IF(OR(C22="",E22="",F22=""),"✖ Portal, User ID and Password are all needed",IF(AND(A22="",COUNTIF(Clients!$B$5:$B$1005,B22)=0),"Not on Clients — will match a portal client by name",IF(AND(C22="GST",D22&lt;&gt;"",COUNTIF(Clients!$AN$5:$AN$1005,UPPER(D22))=0,COUNTIF(Clients!$G$5:$G$1005,"*"&amp;UPPER(D22)&amp;"*")=0),"GSTIN not on Clients — will be checked in the portal","✔ OK")))))</f>
        <v/>
      </c>
    </row>
    <row r="23">
      <c r="A23" s="38" t="n"/>
      <c r="B23" s="39" t="n"/>
      <c r="C23" s="39" t="n"/>
      <c r="D23" s="38" t="n"/>
      <c r="E23" s="38" t="n"/>
      <c r="F23" s="38" t="n"/>
      <c r="G23" s="37">
        <f>IF(COUNTA(A23:F23)=0,"",IF(A23="EXAMPLE","Example (skipped)",IF(OR(C23="",E23="",F23=""),"✖ Portal, User ID and Password are all needed",IF(AND(A23="",COUNTIF(Clients!$B$5:$B$1005,B23)=0),"Not on Clients — will match a portal client by name",IF(AND(C23="GST",D23&lt;&gt;"",COUNTIF(Clients!$AN$5:$AN$1005,UPPER(D23))=0,COUNTIF(Clients!$G$5:$G$1005,"*"&amp;UPPER(D23)&amp;"*")=0),"GSTIN not on Clients — will be checked in the portal","✔ OK")))))</f>
        <v/>
      </c>
    </row>
    <row r="24">
      <c r="A24" s="38" t="n"/>
      <c r="B24" s="39" t="n"/>
      <c r="C24" s="39" t="n"/>
      <c r="D24" s="38" t="n"/>
      <c r="E24" s="38" t="n"/>
      <c r="F24" s="38" t="n"/>
      <c r="G24" s="37">
        <f>IF(COUNTA(A24:F24)=0,"",IF(A24="EXAMPLE","Example (skipped)",IF(OR(C24="",E24="",F24=""),"✖ Portal, User ID and Password are all needed",IF(AND(A24="",COUNTIF(Clients!$B$5:$B$1005,B24)=0),"Not on Clients — will match a portal client by name",IF(AND(C24="GST",D24&lt;&gt;"",COUNTIF(Clients!$AN$5:$AN$1005,UPPER(D24))=0,COUNTIF(Clients!$G$5:$G$1005,"*"&amp;UPPER(D24)&amp;"*")=0),"GSTIN not on Clients — will be checked in the portal","✔ OK")))))</f>
        <v/>
      </c>
    </row>
    <row r="25">
      <c r="A25" s="38" t="n"/>
      <c r="B25" s="39" t="n"/>
      <c r="C25" s="39" t="n"/>
      <c r="D25" s="38" t="n"/>
      <c r="E25" s="38" t="n"/>
      <c r="F25" s="38" t="n"/>
      <c r="G25" s="37">
        <f>IF(COUNTA(A25:F25)=0,"",IF(A25="EXAMPLE","Example (skipped)",IF(OR(C25="",E25="",F25=""),"✖ Portal, User ID and Password are all needed",IF(AND(A25="",COUNTIF(Clients!$B$5:$B$1005,B25)=0),"Not on Clients — will match a portal client by name",IF(AND(C25="GST",D25&lt;&gt;"",COUNTIF(Clients!$AN$5:$AN$1005,UPPER(D25))=0,COUNTIF(Clients!$G$5:$G$1005,"*"&amp;UPPER(D25)&amp;"*")=0),"GSTIN not on Clients — will be checked in the portal","✔ OK")))))</f>
        <v/>
      </c>
    </row>
    <row r="26">
      <c r="A26" s="38" t="n"/>
      <c r="B26" s="39" t="n"/>
      <c r="C26" s="39" t="n"/>
      <c r="D26" s="38" t="n"/>
      <c r="E26" s="38" t="n"/>
      <c r="F26" s="38" t="n"/>
      <c r="G26" s="37">
        <f>IF(COUNTA(A26:F26)=0,"",IF(A26="EXAMPLE","Example (skipped)",IF(OR(C26="",E26="",F26=""),"✖ Portal, User ID and Password are all needed",IF(AND(A26="",COUNTIF(Clients!$B$5:$B$1005,B26)=0),"Not on Clients — will match a portal client by name",IF(AND(C26="GST",D26&lt;&gt;"",COUNTIF(Clients!$AN$5:$AN$1005,UPPER(D26))=0,COUNTIF(Clients!$G$5:$G$1005,"*"&amp;UPPER(D26)&amp;"*")=0),"GSTIN not on Clients — will be checked in the portal","✔ OK")))))</f>
        <v/>
      </c>
    </row>
    <row r="27">
      <c r="A27" s="38" t="n"/>
      <c r="B27" s="39" t="n"/>
      <c r="C27" s="39" t="n"/>
      <c r="D27" s="38" t="n"/>
      <c r="E27" s="38" t="n"/>
      <c r="F27" s="38" t="n"/>
      <c r="G27" s="37">
        <f>IF(COUNTA(A27:F27)=0,"",IF(A27="EXAMPLE","Example (skipped)",IF(OR(C27="",E27="",F27=""),"✖ Portal, User ID and Password are all needed",IF(AND(A27="",COUNTIF(Clients!$B$5:$B$1005,B27)=0),"Not on Clients — will match a portal client by name",IF(AND(C27="GST",D27&lt;&gt;"",COUNTIF(Clients!$AN$5:$AN$1005,UPPER(D27))=0,COUNTIF(Clients!$G$5:$G$1005,"*"&amp;UPPER(D27)&amp;"*")=0),"GSTIN not on Clients — will be checked in the portal","✔ OK")))))</f>
        <v/>
      </c>
    </row>
    <row r="28">
      <c r="A28" s="38" t="n"/>
      <c r="B28" s="39" t="n"/>
      <c r="C28" s="39" t="n"/>
      <c r="D28" s="38" t="n"/>
      <c r="E28" s="38" t="n"/>
      <c r="F28" s="38" t="n"/>
      <c r="G28" s="37">
        <f>IF(COUNTA(A28:F28)=0,"",IF(A28="EXAMPLE","Example (skipped)",IF(OR(C28="",E28="",F28=""),"✖ Portal, User ID and Password are all needed",IF(AND(A28="",COUNTIF(Clients!$B$5:$B$1005,B28)=0),"Not on Clients — will match a portal client by name",IF(AND(C28="GST",D28&lt;&gt;"",COUNTIF(Clients!$AN$5:$AN$1005,UPPER(D28))=0,COUNTIF(Clients!$G$5:$G$1005,"*"&amp;UPPER(D28)&amp;"*")=0),"GSTIN not on Clients — will be checked in the portal","✔ OK")))))</f>
        <v/>
      </c>
    </row>
    <row r="29">
      <c r="A29" s="38" t="n"/>
      <c r="B29" s="39" t="n"/>
      <c r="C29" s="39" t="n"/>
      <c r="D29" s="38" t="n"/>
      <c r="E29" s="38" t="n"/>
      <c r="F29" s="38" t="n"/>
      <c r="G29" s="37">
        <f>IF(COUNTA(A29:F29)=0,"",IF(A29="EXAMPLE","Example (skipped)",IF(OR(C29="",E29="",F29=""),"✖ Portal, User ID and Password are all needed",IF(AND(A29="",COUNTIF(Clients!$B$5:$B$1005,B29)=0),"Not on Clients — will match a portal client by name",IF(AND(C29="GST",D29&lt;&gt;"",COUNTIF(Clients!$AN$5:$AN$1005,UPPER(D29))=0,COUNTIF(Clients!$G$5:$G$1005,"*"&amp;UPPER(D29)&amp;"*")=0),"GSTIN not on Clients — will be checked in the portal","✔ OK")))))</f>
        <v/>
      </c>
    </row>
    <row r="30">
      <c r="A30" s="38" t="n"/>
      <c r="B30" s="39" t="n"/>
      <c r="C30" s="39" t="n"/>
      <c r="D30" s="38" t="n"/>
      <c r="E30" s="38" t="n"/>
      <c r="F30" s="38" t="n"/>
      <c r="G30" s="37">
        <f>IF(COUNTA(A30:F30)=0,"",IF(A30="EXAMPLE","Example (skipped)",IF(OR(C30="",E30="",F30=""),"✖ Portal, User ID and Password are all needed",IF(AND(A30="",COUNTIF(Clients!$B$5:$B$1005,B30)=0),"Not on Clients — will match a portal client by name",IF(AND(C30="GST",D30&lt;&gt;"",COUNTIF(Clients!$AN$5:$AN$1005,UPPER(D30))=0,COUNTIF(Clients!$G$5:$G$1005,"*"&amp;UPPER(D30)&amp;"*")=0),"GSTIN not on Clients — will be checked in the portal","✔ OK")))))</f>
        <v/>
      </c>
    </row>
    <row r="31">
      <c r="A31" s="38" t="n"/>
      <c r="B31" s="39" t="n"/>
      <c r="C31" s="39" t="n"/>
      <c r="D31" s="38" t="n"/>
      <c r="E31" s="38" t="n"/>
      <c r="F31" s="38" t="n"/>
      <c r="G31" s="37">
        <f>IF(COUNTA(A31:F31)=0,"",IF(A31="EXAMPLE","Example (skipped)",IF(OR(C31="",E31="",F31=""),"✖ Portal, User ID and Password are all needed",IF(AND(A31="",COUNTIF(Clients!$B$5:$B$1005,B31)=0),"Not on Clients — will match a portal client by name",IF(AND(C31="GST",D31&lt;&gt;"",COUNTIF(Clients!$AN$5:$AN$1005,UPPER(D31))=0,COUNTIF(Clients!$G$5:$G$1005,"*"&amp;UPPER(D31)&amp;"*")=0),"GSTIN not on Clients — will be checked in the portal","✔ OK")))))</f>
        <v/>
      </c>
    </row>
    <row r="32">
      <c r="A32" s="38" t="n"/>
      <c r="B32" s="39" t="n"/>
      <c r="C32" s="39" t="n"/>
      <c r="D32" s="38" t="n"/>
      <c r="E32" s="38" t="n"/>
      <c r="F32" s="38" t="n"/>
      <c r="G32" s="37">
        <f>IF(COUNTA(A32:F32)=0,"",IF(A32="EXAMPLE","Example (skipped)",IF(OR(C32="",E32="",F32=""),"✖ Portal, User ID and Password are all needed",IF(AND(A32="",COUNTIF(Clients!$B$5:$B$1005,B32)=0),"Not on Clients — will match a portal client by name",IF(AND(C32="GST",D32&lt;&gt;"",COUNTIF(Clients!$AN$5:$AN$1005,UPPER(D32))=0,COUNTIF(Clients!$G$5:$G$1005,"*"&amp;UPPER(D32)&amp;"*")=0),"GSTIN not on Clients — will be checked in the portal","✔ OK")))))</f>
        <v/>
      </c>
    </row>
    <row r="33">
      <c r="A33" s="38" t="n"/>
      <c r="B33" s="39" t="n"/>
      <c r="C33" s="39" t="n"/>
      <c r="D33" s="38" t="n"/>
      <c r="E33" s="38" t="n"/>
      <c r="F33" s="38" t="n"/>
      <c r="G33" s="37">
        <f>IF(COUNTA(A33:F33)=0,"",IF(A33="EXAMPLE","Example (skipped)",IF(OR(C33="",E33="",F33=""),"✖ Portal, User ID and Password are all needed",IF(AND(A33="",COUNTIF(Clients!$B$5:$B$1005,B33)=0),"Not on Clients — will match a portal client by name",IF(AND(C33="GST",D33&lt;&gt;"",COUNTIF(Clients!$AN$5:$AN$1005,UPPER(D33))=0,COUNTIF(Clients!$G$5:$G$1005,"*"&amp;UPPER(D33)&amp;"*")=0),"GSTIN not on Clients — will be checked in the portal","✔ OK")))))</f>
        <v/>
      </c>
    </row>
    <row r="34">
      <c r="A34" s="38" t="n"/>
      <c r="B34" s="39" t="n"/>
      <c r="C34" s="39" t="n"/>
      <c r="D34" s="38" t="n"/>
      <c r="E34" s="38" t="n"/>
      <c r="F34" s="38" t="n"/>
      <c r="G34" s="37">
        <f>IF(COUNTA(A34:F34)=0,"",IF(A34="EXAMPLE","Example (skipped)",IF(OR(C34="",E34="",F34=""),"✖ Portal, User ID and Password are all needed",IF(AND(A34="",COUNTIF(Clients!$B$5:$B$1005,B34)=0),"Not on Clients — will match a portal client by name",IF(AND(C34="GST",D34&lt;&gt;"",COUNTIF(Clients!$AN$5:$AN$1005,UPPER(D34))=0,COUNTIF(Clients!$G$5:$G$1005,"*"&amp;UPPER(D34)&amp;"*")=0),"GSTIN not on Clients — will be checked in the portal","✔ OK")))))</f>
        <v/>
      </c>
    </row>
    <row r="35">
      <c r="A35" s="38" t="n"/>
      <c r="B35" s="39" t="n"/>
      <c r="C35" s="39" t="n"/>
      <c r="D35" s="38" t="n"/>
      <c r="E35" s="38" t="n"/>
      <c r="F35" s="38" t="n"/>
      <c r="G35" s="37">
        <f>IF(COUNTA(A35:F35)=0,"",IF(A35="EXAMPLE","Example (skipped)",IF(OR(C35="",E35="",F35=""),"✖ Portal, User ID and Password are all needed",IF(AND(A35="",COUNTIF(Clients!$B$5:$B$1005,B35)=0),"Not on Clients — will match a portal client by name",IF(AND(C35="GST",D35&lt;&gt;"",COUNTIF(Clients!$AN$5:$AN$1005,UPPER(D35))=0,COUNTIF(Clients!$G$5:$G$1005,"*"&amp;UPPER(D35)&amp;"*")=0),"GSTIN not on Clients — will be checked in the portal","✔ OK")))))</f>
        <v/>
      </c>
    </row>
    <row r="36">
      <c r="A36" s="38" t="n"/>
      <c r="B36" s="39" t="n"/>
      <c r="C36" s="39" t="n"/>
      <c r="D36" s="38" t="n"/>
      <c r="E36" s="38" t="n"/>
      <c r="F36" s="38" t="n"/>
      <c r="G36" s="37">
        <f>IF(COUNTA(A36:F36)=0,"",IF(A36="EXAMPLE","Example (skipped)",IF(OR(C36="",E36="",F36=""),"✖ Portal, User ID and Password are all needed",IF(AND(A36="",COUNTIF(Clients!$B$5:$B$1005,B36)=0),"Not on Clients — will match a portal client by name",IF(AND(C36="GST",D36&lt;&gt;"",COUNTIF(Clients!$AN$5:$AN$1005,UPPER(D36))=0,COUNTIF(Clients!$G$5:$G$1005,"*"&amp;UPPER(D36)&amp;"*")=0),"GSTIN not on Clients — will be checked in the portal","✔ OK")))))</f>
        <v/>
      </c>
    </row>
    <row r="37">
      <c r="A37" s="38" t="n"/>
      <c r="B37" s="39" t="n"/>
      <c r="C37" s="39" t="n"/>
      <c r="D37" s="38" t="n"/>
      <c r="E37" s="38" t="n"/>
      <c r="F37" s="38" t="n"/>
      <c r="G37" s="37">
        <f>IF(COUNTA(A37:F37)=0,"",IF(A37="EXAMPLE","Example (skipped)",IF(OR(C37="",E37="",F37=""),"✖ Portal, User ID and Password are all needed",IF(AND(A37="",COUNTIF(Clients!$B$5:$B$1005,B37)=0),"Not on Clients — will match a portal client by name",IF(AND(C37="GST",D37&lt;&gt;"",COUNTIF(Clients!$AN$5:$AN$1005,UPPER(D37))=0,COUNTIF(Clients!$G$5:$G$1005,"*"&amp;UPPER(D37)&amp;"*")=0),"GSTIN not on Clients — will be checked in the portal","✔ OK")))))</f>
        <v/>
      </c>
    </row>
    <row r="38">
      <c r="A38" s="38" t="n"/>
      <c r="B38" s="39" t="n"/>
      <c r="C38" s="39" t="n"/>
      <c r="D38" s="38" t="n"/>
      <c r="E38" s="38" t="n"/>
      <c r="F38" s="38" t="n"/>
      <c r="G38" s="37">
        <f>IF(COUNTA(A38:F38)=0,"",IF(A38="EXAMPLE","Example (skipped)",IF(OR(C38="",E38="",F38=""),"✖ Portal, User ID and Password are all needed",IF(AND(A38="",COUNTIF(Clients!$B$5:$B$1005,B38)=0),"Not on Clients — will match a portal client by name",IF(AND(C38="GST",D38&lt;&gt;"",COUNTIF(Clients!$AN$5:$AN$1005,UPPER(D38))=0,COUNTIF(Clients!$G$5:$G$1005,"*"&amp;UPPER(D38)&amp;"*")=0),"GSTIN not on Clients — will be checked in the portal","✔ OK")))))</f>
        <v/>
      </c>
    </row>
    <row r="39">
      <c r="A39" s="38" t="n"/>
      <c r="B39" s="39" t="n"/>
      <c r="C39" s="39" t="n"/>
      <c r="D39" s="38" t="n"/>
      <c r="E39" s="38" t="n"/>
      <c r="F39" s="38" t="n"/>
      <c r="G39" s="37">
        <f>IF(COUNTA(A39:F39)=0,"",IF(A39="EXAMPLE","Example (skipped)",IF(OR(C39="",E39="",F39=""),"✖ Portal, User ID and Password are all needed",IF(AND(A39="",COUNTIF(Clients!$B$5:$B$1005,B39)=0),"Not on Clients — will match a portal client by name",IF(AND(C39="GST",D39&lt;&gt;"",COUNTIF(Clients!$AN$5:$AN$1005,UPPER(D39))=0,COUNTIF(Clients!$G$5:$G$1005,"*"&amp;UPPER(D39)&amp;"*")=0),"GSTIN not on Clients — will be checked in the portal","✔ OK")))))</f>
        <v/>
      </c>
    </row>
    <row r="40">
      <c r="A40" s="38" t="n"/>
      <c r="B40" s="39" t="n"/>
      <c r="C40" s="39" t="n"/>
      <c r="D40" s="38" t="n"/>
      <c r="E40" s="38" t="n"/>
      <c r="F40" s="38" t="n"/>
      <c r="G40" s="37">
        <f>IF(COUNTA(A40:F40)=0,"",IF(A40="EXAMPLE","Example (skipped)",IF(OR(C40="",E40="",F40=""),"✖ Portal, User ID and Password are all needed",IF(AND(A40="",COUNTIF(Clients!$B$5:$B$1005,B40)=0),"Not on Clients — will match a portal client by name",IF(AND(C40="GST",D40&lt;&gt;"",COUNTIF(Clients!$AN$5:$AN$1005,UPPER(D40))=0,COUNTIF(Clients!$G$5:$G$1005,"*"&amp;UPPER(D40)&amp;"*")=0),"GSTIN not on Clients — will be checked in the portal","✔ OK")))))</f>
        <v/>
      </c>
    </row>
    <row r="41">
      <c r="A41" s="38" t="n"/>
      <c r="B41" s="39" t="n"/>
      <c r="C41" s="39" t="n"/>
      <c r="D41" s="38" t="n"/>
      <c r="E41" s="38" t="n"/>
      <c r="F41" s="38" t="n"/>
      <c r="G41" s="37">
        <f>IF(COUNTA(A41:F41)=0,"",IF(A41="EXAMPLE","Example (skipped)",IF(OR(C41="",E41="",F41=""),"✖ Portal, User ID and Password are all needed",IF(AND(A41="",COUNTIF(Clients!$B$5:$B$1005,B41)=0),"Not on Clients — will match a portal client by name",IF(AND(C41="GST",D41&lt;&gt;"",COUNTIF(Clients!$AN$5:$AN$1005,UPPER(D41))=0,COUNTIF(Clients!$G$5:$G$1005,"*"&amp;UPPER(D41)&amp;"*")=0),"GSTIN not on Clients — will be checked in the portal","✔ OK")))))</f>
        <v/>
      </c>
    </row>
    <row r="42">
      <c r="A42" s="38" t="n"/>
      <c r="B42" s="39" t="n"/>
      <c r="C42" s="39" t="n"/>
      <c r="D42" s="38" t="n"/>
      <c r="E42" s="38" t="n"/>
      <c r="F42" s="38" t="n"/>
      <c r="G42" s="37">
        <f>IF(COUNTA(A42:F42)=0,"",IF(A42="EXAMPLE","Example (skipped)",IF(OR(C42="",E42="",F42=""),"✖ Portal, User ID and Password are all needed",IF(AND(A42="",COUNTIF(Clients!$B$5:$B$1005,B42)=0),"Not on Clients — will match a portal client by name",IF(AND(C42="GST",D42&lt;&gt;"",COUNTIF(Clients!$AN$5:$AN$1005,UPPER(D42))=0,COUNTIF(Clients!$G$5:$G$1005,"*"&amp;UPPER(D42)&amp;"*")=0),"GSTIN not on Clients — will be checked in the portal","✔ OK")))))</f>
        <v/>
      </c>
    </row>
    <row r="43">
      <c r="A43" s="38" t="n"/>
      <c r="B43" s="39" t="n"/>
      <c r="C43" s="39" t="n"/>
      <c r="D43" s="38" t="n"/>
      <c r="E43" s="38" t="n"/>
      <c r="F43" s="38" t="n"/>
      <c r="G43" s="37">
        <f>IF(COUNTA(A43:F43)=0,"",IF(A43="EXAMPLE","Example (skipped)",IF(OR(C43="",E43="",F43=""),"✖ Portal, User ID and Password are all needed",IF(AND(A43="",COUNTIF(Clients!$B$5:$B$1005,B43)=0),"Not on Clients — will match a portal client by name",IF(AND(C43="GST",D43&lt;&gt;"",COUNTIF(Clients!$AN$5:$AN$1005,UPPER(D43))=0,COUNTIF(Clients!$G$5:$G$1005,"*"&amp;UPPER(D43)&amp;"*")=0),"GSTIN not on Clients — will be checked in the portal","✔ OK")))))</f>
        <v/>
      </c>
    </row>
    <row r="44">
      <c r="A44" s="38" t="n"/>
      <c r="B44" s="39" t="n"/>
      <c r="C44" s="39" t="n"/>
      <c r="D44" s="38" t="n"/>
      <c r="E44" s="38" t="n"/>
      <c r="F44" s="38" t="n"/>
      <c r="G44" s="37">
        <f>IF(COUNTA(A44:F44)=0,"",IF(A44="EXAMPLE","Example (skipped)",IF(OR(C44="",E44="",F44=""),"✖ Portal, User ID and Password are all needed",IF(AND(A44="",COUNTIF(Clients!$B$5:$B$1005,B44)=0),"Not on Clients — will match a portal client by name",IF(AND(C44="GST",D44&lt;&gt;"",COUNTIF(Clients!$AN$5:$AN$1005,UPPER(D44))=0,COUNTIF(Clients!$G$5:$G$1005,"*"&amp;UPPER(D44)&amp;"*")=0),"GSTIN not on Clients — will be checked in the portal","✔ OK")))))</f>
        <v/>
      </c>
    </row>
    <row r="45">
      <c r="A45" s="38" t="n"/>
      <c r="B45" s="39" t="n"/>
      <c r="C45" s="39" t="n"/>
      <c r="D45" s="38" t="n"/>
      <c r="E45" s="38" t="n"/>
      <c r="F45" s="38" t="n"/>
      <c r="G45" s="37">
        <f>IF(COUNTA(A45:F45)=0,"",IF(A45="EXAMPLE","Example (skipped)",IF(OR(C45="",E45="",F45=""),"✖ Portal, User ID and Password are all needed",IF(AND(A45="",COUNTIF(Clients!$B$5:$B$1005,B45)=0),"Not on Clients — will match a portal client by name",IF(AND(C45="GST",D45&lt;&gt;"",COUNTIF(Clients!$AN$5:$AN$1005,UPPER(D45))=0,COUNTIF(Clients!$G$5:$G$1005,"*"&amp;UPPER(D45)&amp;"*")=0),"GSTIN not on Clients — will be checked in the portal","✔ OK")))))</f>
        <v/>
      </c>
    </row>
    <row r="46">
      <c r="A46" s="38" t="n"/>
      <c r="B46" s="39" t="n"/>
      <c r="C46" s="39" t="n"/>
      <c r="D46" s="38" t="n"/>
      <c r="E46" s="38" t="n"/>
      <c r="F46" s="38" t="n"/>
      <c r="G46" s="37">
        <f>IF(COUNTA(A46:F46)=0,"",IF(A46="EXAMPLE","Example (skipped)",IF(OR(C46="",E46="",F46=""),"✖ Portal, User ID and Password are all needed",IF(AND(A46="",COUNTIF(Clients!$B$5:$B$1005,B46)=0),"Not on Clients — will match a portal client by name",IF(AND(C46="GST",D46&lt;&gt;"",COUNTIF(Clients!$AN$5:$AN$1005,UPPER(D46))=0,COUNTIF(Clients!$G$5:$G$1005,"*"&amp;UPPER(D46)&amp;"*")=0),"GSTIN not on Clients — will be checked in the portal","✔ OK")))))</f>
        <v/>
      </c>
    </row>
    <row r="47">
      <c r="A47" s="38" t="n"/>
      <c r="B47" s="39" t="n"/>
      <c r="C47" s="39" t="n"/>
      <c r="D47" s="38" t="n"/>
      <c r="E47" s="38" t="n"/>
      <c r="F47" s="38" t="n"/>
      <c r="G47" s="37">
        <f>IF(COUNTA(A47:F47)=0,"",IF(A47="EXAMPLE","Example (skipped)",IF(OR(C47="",E47="",F47=""),"✖ Portal, User ID and Password are all needed",IF(AND(A47="",COUNTIF(Clients!$B$5:$B$1005,B47)=0),"Not on Clients — will match a portal client by name",IF(AND(C47="GST",D47&lt;&gt;"",COUNTIF(Clients!$AN$5:$AN$1005,UPPER(D47))=0,COUNTIF(Clients!$G$5:$G$1005,"*"&amp;UPPER(D47)&amp;"*")=0),"GSTIN not on Clients — will be checked in the portal","✔ OK")))))</f>
        <v/>
      </c>
    </row>
    <row r="48">
      <c r="A48" s="38" t="n"/>
      <c r="B48" s="39" t="n"/>
      <c r="C48" s="39" t="n"/>
      <c r="D48" s="38" t="n"/>
      <c r="E48" s="38" t="n"/>
      <c r="F48" s="38" t="n"/>
      <c r="G48" s="37">
        <f>IF(COUNTA(A48:F48)=0,"",IF(A48="EXAMPLE","Example (skipped)",IF(OR(C48="",E48="",F48=""),"✖ Portal, User ID and Password are all needed",IF(AND(A48="",COUNTIF(Clients!$B$5:$B$1005,B48)=0),"Not on Clients — will match a portal client by name",IF(AND(C48="GST",D48&lt;&gt;"",COUNTIF(Clients!$AN$5:$AN$1005,UPPER(D48))=0,COUNTIF(Clients!$G$5:$G$1005,"*"&amp;UPPER(D48)&amp;"*")=0),"GSTIN not on Clients — will be checked in the portal","✔ OK")))))</f>
        <v/>
      </c>
    </row>
    <row r="49">
      <c r="A49" s="38" t="n"/>
      <c r="B49" s="39" t="n"/>
      <c r="C49" s="39" t="n"/>
      <c r="D49" s="38" t="n"/>
      <c r="E49" s="38" t="n"/>
      <c r="F49" s="38" t="n"/>
      <c r="G49" s="37">
        <f>IF(COUNTA(A49:F49)=0,"",IF(A49="EXAMPLE","Example (skipped)",IF(OR(C49="",E49="",F49=""),"✖ Portal, User ID and Password are all needed",IF(AND(A49="",COUNTIF(Clients!$B$5:$B$1005,B49)=0),"Not on Clients — will match a portal client by name",IF(AND(C49="GST",D49&lt;&gt;"",COUNTIF(Clients!$AN$5:$AN$1005,UPPER(D49))=0,COUNTIF(Clients!$G$5:$G$1005,"*"&amp;UPPER(D49)&amp;"*")=0),"GSTIN not on Clients — will be checked in the portal","✔ OK")))))</f>
        <v/>
      </c>
    </row>
    <row r="50">
      <c r="A50" s="38" t="n"/>
      <c r="B50" s="39" t="n"/>
      <c r="C50" s="39" t="n"/>
      <c r="D50" s="38" t="n"/>
      <c r="E50" s="38" t="n"/>
      <c r="F50" s="38" t="n"/>
      <c r="G50" s="37">
        <f>IF(COUNTA(A50:F50)=0,"",IF(A50="EXAMPLE","Example (skipped)",IF(OR(C50="",E50="",F50=""),"✖ Portal, User ID and Password are all needed",IF(AND(A50="",COUNTIF(Clients!$B$5:$B$1005,B50)=0),"Not on Clients — will match a portal client by name",IF(AND(C50="GST",D50&lt;&gt;"",COUNTIF(Clients!$AN$5:$AN$1005,UPPER(D50))=0,COUNTIF(Clients!$G$5:$G$1005,"*"&amp;UPPER(D50)&amp;"*")=0),"GSTIN not on Clients — will be checked in the portal","✔ OK")))))</f>
        <v/>
      </c>
    </row>
    <row r="51">
      <c r="A51" s="38" t="n"/>
      <c r="B51" s="39" t="n"/>
      <c r="C51" s="39" t="n"/>
      <c r="D51" s="38" t="n"/>
      <c r="E51" s="38" t="n"/>
      <c r="F51" s="38" t="n"/>
      <c r="G51" s="37">
        <f>IF(COUNTA(A51:F51)=0,"",IF(A51="EXAMPLE","Example (skipped)",IF(OR(C51="",E51="",F51=""),"✖ Portal, User ID and Password are all needed",IF(AND(A51="",COUNTIF(Clients!$B$5:$B$1005,B51)=0),"Not on Clients — will match a portal client by name",IF(AND(C51="GST",D51&lt;&gt;"",COUNTIF(Clients!$AN$5:$AN$1005,UPPER(D51))=0,COUNTIF(Clients!$G$5:$G$1005,"*"&amp;UPPER(D51)&amp;"*")=0),"GSTIN not on Clients — will be checked in the portal","✔ OK")))))</f>
        <v/>
      </c>
    </row>
    <row r="52">
      <c r="A52" s="38" t="n"/>
      <c r="B52" s="39" t="n"/>
      <c r="C52" s="39" t="n"/>
      <c r="D52" s="38" t="n"/>
      <c r="E52" s="38" t="n"/>
      <c r="F52" s="38" t="n"/>
      <c r="G52" s="37">
        <f>IF(COUNTA(A52:F52)=0,"",IF(A52="EXAMPLE","Example (skipped)",IF(OR(C52="",E52="",F52=""),"✖ Portal, User ID and Password are all needed",IF(AND(A52="",COUNTIF(Clients!$B$5:$B$1005,B52)=0),"Not on Clients — will match a portal client by name",IF(AND(C52="GST",D52&lt;&gt;"",COUNTIF(Clients!$AN$5:$AN$1005,UPPER(D52))=0,COUNTIF(Clients!$G$5:$G$1005,"*"&amp;UPPER(D52)&amp;"*")=0),"GSTIN not on Clients — will be checked in the portal","✔ OK")))))</f>
        <v/>
      </c>
    </row>
    <row r="53">
      <c r="A53" s="38" t="n"/>
      <c r="B53" s="39" t="n"/>
      <c r="C53" s="39" t="n"/>
      <c r="D53" s="38" t="n"/>
      <c r="E53" s="38" t="n"/>
      <c r="F53" s="38" t="n"/>
      <c r="G53" s="37">
        <f>IF(COUNTA(A53:F53)=0,"",IF(A53="EXAMPLE","Example (skipped)",IF(OR(C53="",E53="",F53=""),"✖ Portal, User ID and Password are all needed",IF(AND(A53="",COUNTIF(Clients!$B$5:$B$1005,B53)=0),"Not on Clients — will match a portal client by name",IF(AND(C53="GST",D53&lt;&gt;"",COUNTIF(Clients!$AN$5:$AN$1005,UPPER(D53))=0,COUNTIF(Clients!$G$5:$G$1005,"*"&amp;UPPER(D53)&amp;"*")=0),"GSTIN not on Clients — will be checked in the portal","✔ OK")))))</f>
        <v/>
      </c>
    </row>
    <row r="54">
      <c r="A54" s="38" t="n"/>
      <c r="B54" s="39" t="n"/>
      <c r="C54" s="39" t="n"/>
      <c r="D54" s="38" t="n"/>
      <c r="E54" s="38" t="n"/>
      <c r="F54" s="38" t="n"/>
      <c r="G54" s="37">
        <f>IF(COUNTA(A54:F54)=0,"",IF(A54="EXAMPLE","Example (skipped)",IF(OR(C54="",E54="",F54=""),"✖ Portal, User ID and Password are all needed",IF(AND(A54="",COUNTIF(Clients!$B$5:$B$1005,B54)=0),"Not on Clients — will match a portal client by name",IF(AND(C54="GST",D54&lt;&gt;"",COUNTIF(Clients!$AN$5:$AN$1005,UPPER(D54))=0,COUNTIF(Clients!$G$5:$G$1005,"*"&amp;UPPER(D54)&amp;"*")=0),"GSTIN not on Clients — will be checked in the portal","✔ OK")))))</f>
        <v/>
      </c>
    </row>
    <row r="55">
      <c r="A55" s="38" t="n"/>
      <c r="B55" s="39" t="n"/>
      <c r="C55" s="39" t="n"/>
      <c r="D55" s="38" t="n"/>
      <c r="E55" s="38" t="n"/>
      <c r="F55" s="38" t="n"/>
      <c r="G55" s="37">
        <f>IF(COUNTA(A55:F55)=0,"",IF(A55="EXAMPLE","Example (skipped)",IF(OR(C55="",E55="",F55=""),"✖ Portal, User ID and Password are all needed",IF(AND(A55="",COUNTIF(Clients!$B$5:$B$1005,B55)=0),"Not on Clients — will match a portal client by name",IF(AND(C55="GST",D55&lt;&gt;"",COUNTIF(Clients!$AN$5:$AN$1005,UPPER(D55))=0,COUNTIF(Clients!$G$5:$G$1005,"*"&amp;UPPER(D55)&amp;"*")=0),"GSTIN not on Clients — will be checked in the portal","✔ OK")))))</f>
        <v/>
      </c>
    </row>
    <row r="56">
      <c r="A56" s="38" t="n"/>
      <c r="B56" s="39" t="n"/>
      <c r="C56" s="39" t="n"/>
      <c r="D56" s="38" t="n"/>
      <c r="E56" s="38" t="n"/>
      <c r="F56" s="38" t="n"/>
      <c r="G56" s="37">
        <f>IF(COUNTA(A56:F56)=0,"",IF(A56="EXAMPLE","Example (skipped)",IF(OR(C56="",E56="",F56=""),"✖ Portal, User ID and Password are all needed",IF(AND(A56="",COUNTIF(Clients!$B$5:$B$1005,B56)=0),"Not on Clients — will match a portal client by name",IF(AND(C56="GST",D56&lt;&gt;"",COUNTIF(Clients!$AN$5:$AN$1005,UPPER(D56))=0,COUNTIF(Clients!$G$5:$G$1005,"*"&amp;UPPER(D56)&amp;"*")=0),"GSTIN not on Clients — will be checked in the portal","✔ OK")))))</f>
        <v/>
      </c>
    </row>
    <row r="57">
      <c r="A57" s="38" t="n"/>
      <c r="B57" s="39" t="n"/>
      <c r="C57" s="39" t="n"/>
      <c r="D57" s="38" t="n"/>
      <c r="E57" s="38" t="n"/>
      <c r="F57" s="38" t="n"/>
      <c r="G57" s="37">
        <f>IF(COUNTA(A57:F57)=0,"",IF(A57="EXAMPLE","Example (skipped)",IF(OR(C57="",E57="",F57=""),"✖ Portal, User ID and Password are all needed",IF(AND(A57="",COUNTIF(Clients!$B$5:$B$1005,B57)=0),"Not on Clients — will match a portal client by name",IF(AND(C57="GST",D57&lt;&gt;"",COUNTIF(Clients!$AN$5:$AN$1005,UPPER(D57))=0,COUNTIF(Clients!$G$5:$G$1005,"*"&amp;UPPER(D57)&amp;"*")=0),"GSTIN not on Clients — will be checked in the portal","✔ OK")))))</f>
        <v/>
      </c>
    </row>
    <row r="58">
      <c r="A58" s="38" t="n"/>
      <c r="B58" s="39" t="n"/>
      <c r="C58" s="39" t="n"/>
      <c r="D58" s="38" t="n"/>
      <c r="E58" s="38" t="n"/>
      <c r="F58" s="38" t="n"/>
      <c r="G58" s="37">
        <f>IF(COUNTA(A58:F58)=0,"",IF(A58="EXAMPLE","Example (skipped)",IF(OR(C58="",E58="",F58=""),"✖ Portal, User ID and Password are all needed",IF(AND(A58="",COUNTIF(Clients!$B$5:$B$1005,B58)=0),"Not on Clients — will match a portal client by name",IF(AND(C58="GST",D58&lt;&gt;"",COUNTIF(Clients!$AN$5:$AN$1005,UPPER(D58))=0,COUNTIF(Clients!$G$5:$G$1005,"*"&amp;UPPER(D58)&amp;"*")=0),"GSTIN not on Clients — will be checked in the portal","✔ OK")))))</f>
        <v/>
      </c>
    </row>
    <row r="59">
      <c r="A59" s="38" t="n"/>
      <c r="B59" s="39" t="n"/>
      <c r="C59" s="39" t="n"/>
      <c r="D59" s="38" t="n"/>
      <c r="E59" s="38" t="n"/>
      <c r="F59" s="38" t="n"/>
      <c r="G59" s="37">
        <f>IF(COUNTA(A59:F59)=0,"",IF(A59="EXAMPLE","Example (skipped)",IF(OR(C59="",E59="",F59=""),"✖ Portal, User ID and Password are all needed",IF(AND(A59="",COUNTIF(Clients!$B$5:$B$1005,B59)=0),"Not on Clients — will match a portal client by name",IF(AND(C59="GST",D59&lt;&gt;"",COUNTIF(Clients!$AN$5:$AN$1005,UPPER(D59))=0,COUNTIF(Clients!$G$5:$G$1005,"*"&amp;UPPER(D59)&amp;"*")=0),"GSTIN not on Clients — will be checked in the portal","✔ OK")))))</f>
        <v/>
      </c>
    </row>
    <row r="60">
      <c r="A60" s="38" t="n"/>
      <c r="B60" s="39" t="n"/>
      <c r="C60" s="39" t="n"/>
      <c r="D60" s="38" t="n"/>
      <c r="E60" s="38" t="n"/>
      <c r="F60" s="38" t="n"/>
      <c r="G60" s="37">
        <f>IF(COUNTA(A60:F60)=0,"",IF(A60="EXAMPLE","Example (skipped)",IF(OR(C60="",E60="",F60=""),"✖ Portal, User ID and Password are all needed",IF(AND(A60="",COUNTIF(Clients!$B$5:$B$1005,B60)=0),"Not on Clients — will match a portal client by name",IF(AND(C60="GST",D60&lt;&gt;"",COUNTIF(Clients!$AN$5:$AN$1005,UPPER(D60))=0,COUNTIF(Clients!$G$5:$G$1005,"*"&amp;UPPER(D60)&amp;"*")=0),"GSTIN not on Clients — will be checked in the portal","✔ OK")))))</f>
        <v/>
      </c>
    </row>
    <row r="61">
      <c r="A61" s="38" t="n"/>
      <c r="B61" s="39" t="n"/>
      <c r="C61" s="39" t="n"/>
      <c r="D61" s="38" t="n"/>
      <c r="E61" s="38" t="n"/>
      <c r="F61" s="38" t="n"/>
      <c r="G61" s="37">
        <f>IF(COUNTA(A61:F61)=0,"",IF(A61="EXAMPLE","Example (skipped)",IF(OR(C61="",E61="",F61=""),"✖ Portal, User ID and Password are all needed",IF(AND(A61="",COUNTIF(Clients!$B$5:$B$1005,B61)=0),"Not on Clients — will match a portal client by name",IF(AND(C61="GST",D61&lt;&gt;"",COUNTIF(Clients!$AN$5:$AN$1005,UPPER(D61))=0,COUNTIF(Clients!$G$5:$G$1005,"*"&amp;UPPER(D61)&amp;"*")=0),"GSTIN not on Clients — will be checked in the portal","✔ OK")))))</f>
        <v/>
      </c>
    </row>
    <row r="62">
      <c r="A62" s="38" t="n"/>
      <c r="B62" s="39" t="n"/>
      <c r="C62" s="39" t="n"/>
      <c r="D62" s="38" t="n"/>
      <c r="E62" s="38" t="n"/>
      <c r="F62" s="38" t="n"/>
      <c r="G62" s="37">
        <f>IF(COUNTA(A62:F62)=0,"",IF(A62="EXAMPLE","Example (skipped)",IF(OR(C62="",E62="",F62=""),"✖ Portal, User ID and Password are all needed",IF(AND(A62="",COUNTIF(Clients!$B$5:$B$1005,B62)=0),"Not on Clients — will match a portal client by name",IF(AND(C62="GST",D62&lt;&gt;"",COUNTIF(Clients!$AN$5:$AN$1005,UPPER(D62))=0,COUNTIF(Clients!$G$5:$G$1005,"*"&amp;UPPER(D62)&amp;"*")=0),"GSTIN not on Clients — will be checked in the portal","✔ OK")))))</f>
        <v/>
      </c>
    </row>
    <row r="63">
      <c r="A63" s="38" t="n"/>
      <c r="B63" s="39" t="n"/>
      <c r="C63" s="39" t="n"/>
      <c r="D63" s="38" t="n"/>
      <c r="E63" s="38" t="n"/>
      <c r="F63" s="38" t="n"/>
      <c r="G63" s="37">
        <f>IF(COUNTA(A63:F63)=0,"",IF(A63="EXAMPLE","Example (skipped)",IF(OR(C63="",E63="",F63=""),"✖ Portal, User ID and Password are all needed",IF(AND(A63="",COUNTIF(Clients!$B$5:$B$1005,B63)=0),"Not on Clients — will match a portal client by name",IF(AND(C63="GST",D63&lt;&gt;"",COUNTIF(Clients!$AN$5:$AN$1005,UPPER(D63))=0,COUNTIF(Clients!$G$5:$G$1005,"*"&amp;UPPER(D63)&amp;"*")=0),"GSTIN not on Clients — will be checked in the portal","✔ OK")))))</f>
        <v/>
      </c>
    </row>
    <row r="64">
      <c r="A64" s="38" t="n"/>
      <c r="B64" s="39" t="n"/>
      <c r="C64" s="39" t="n"/>
      <c r="D64" s="38" t="n"/>
      <c r="E64" s="38" t="n"/>
      <c r="F64" s="38" t="n"/>
      <c r="G64" s="37">
        <f>IF(COUNTA(A64:F64)=0,"",IF(A64="EXAMPLE","Example (skipped)",IF(OR(C64="",E64="",F64=""),"✖ Portal, User ID and Password are all needed",IF(AND(A64="",COUNTIF(Clients!$B$5:$B$1005,B64)=0),"Not on Clients — will match a portal client by name",IF(AND(C64="GST",D64&lt;&gt;"",COUNTIF(Clients!$AN$5:$AN$1005,UPPER(D64))=0,COUNTIF(Clients!$G$5:$G$1005,"*"&amp;UPPER(D64)&amp;"*")=0),"GSTIN not on Clients — will be checked in the portal","✔ OK")))))</f>
        <v/>
      </c>
    </row>
    <row r="65">
      <c r="A65" s="38" t="n"/>
      <c r="B65" s="39" t="n"/>
      <c r="C65" s="39" t="n"/>
      <c r="D65" s="38" t="n"/>
      <c r="E65" s="38" t="n"/>
      <c r="F65" s="38" t="n"/>
      <c r="G65" s="37">
        <f>IF(COUNTA(A65:F65)=0,"",IF(A65="EXAMPLE","Example (skipped)",IF(OR(C65="",E65="",F65=""),"✖ Portal, User ID and Password are all needed",IF(AND(A65="",COUNTIF(Clients!$B$5:$B$1005,B65)=0),"Not on Clients — will match a portal client by name",IF(AND(C65="GST",D65&lt;&gt;"",COUNTIF(Clients!$AN$5:$AN$1005,UPPER(D65))=0,COUNTIF(Clients!$G$5:$G$1005,"*"&amp;UPPER(D65)&amp;"*")=0),"GSTIN not on Clients — will be checked in the portal","✔ OK")))))</f>
        <v/>
      </c>
    </row>
    <row r="66">
      <c r="A66" s="38" t="n"/>
      <c r="B66" s="39" t="n"/>
      <c r="C66" s="39" t="n"/>
      <c r="D66" s="38" t="n"/>
      <c r="E66" s="38" t="n"/>
      <c r="F66" s="38" t="n"/>
      <c r="G66" s="37">
        <f>IF(COUNTA(A66:F66)=0,"",IF(A66="EXAMPLE","Example (skipped)",IF(OR(C66="",E66="",F66=""),"✖ Portal, User ID and Password are all needed",IF(AND(A66="",COUNTIF(Clients!$B$5:$B$1005,B66)=0),"Not on Clients — will match a portal client by name",IF(AND(C66="GST",D66&lt;&gt;"",COUNTIF(Clients!$AN$5:$AN$1005,UPPER(D66))=0,COUNTIF(Clients!$G$5:$G$1005,"*"&amp;UPPER(D66)&amp;"*")=0),"GSTIN not on Clients — will be checked in the portal","✔ OK")))))</f>
        <v/>
      </c>
    </row>
    <row r="67">
      <c r="A67" s="38" t="n"/>
      <c r="B67" s="39" t="n"/>
      <c r="C67" s="39" t="n"/>
      <c r="D67" s="38" t="n"/>
      <c r="E67" s="38" t="n"/>
      <c r="F67" s="38" t="n"/>
      <c r="G67" s="37">
        <f>IF(COUNTA(A67:F67)=0,"",IF(A67="EXAMPLE","Example (skipped)",IF(OR(C67="",E67="",F67=""),"✖ Portal, User ID and Password are all needed",IF(AND(A67="",COUNTIF(Clients!$B$5:$B$1005,B67)=0),"Not on Clients — will match a portal client by name",IF(AND(C67="GST",D67&lt;&gt;"",COUNTIF(Clients!$AN$5:$AN$1005,UPPER(D67))=0,COUNTIF(Clients!$G$5:$G$1005,"*"&amp;UPPER(D67)&amp;"*")=0),"GSTIN not on Clients — will be checked in the portal","✔ OK")))))</f>
        <v/>
      </c>
    </row>
    <row r="68">
      <c r="A68" s="38" t="n"/>
      <c r="B68" s="39" t="n"/>
      <c r="C68" s="39" t="n"/>
      <c r="D68" s="38" t="n"/>
      <c r="E68" s="38" t="n"/>
      <c r="F68" s="38" t="n"/>
      <c r="G68" s="37">
        <f>IF(COUNTA(A68:F68)=0,"",IF(A68="EXAMPLE","Example (skipped)",IF(OR(C68="",E68="",F68=""),"✖ Portal, User ID and Password are all needed",IF(AND(A68="",COUNTIF(Clients!$B$5:$B$1005,B68)=0),"Not on Clients — will match a portal client by name",IF(AND(C68="GST",D68&lt;&gt;"",COUNTIF(Clients!$AN$5:$AN$1005,UPPER(D68))=0,COUNTIF(Clients!$G$5:$G$1005,"*"&amp;UPPER(D68)&amp;"*")=0),"GSTIN not on Clients — will be checked in the portal","✔ OK")))))</f>
        <v/>
      </c>
    </row>
    <row r="69">
      <c r="A69" s="38" t="n"/>
      <c r="B69" s="39" t="n"/>
      <c r="C69" s="39" t="n"/>
      <c r="D69" s="38" t="n"/>
      <c r="E69" s="38" t="n"/>
      <c r="F69" s="38" t="n"/>
      <c r="G69" s="37">
        <f>IF(COUNTA(A69:F69)=0,"",IF(A69="EXAMPLE","Example (skipped)",IF(OR(C69="",E69="",F69=""),"✖ Portal, User ID and Password are all needed",IF(AND(A69="",COUNTIF(Clients!$B$5:$B$1005,B69)=0),"Not on Clients — will match a portal client by name",IF(AND(C69="GST",D69&lt;&gt;"",COUNTIF(Clients!$AN$5:$AN$1005,UPPER(D69))=0,COUNTIF(Clients!$G$5:$G$1005,"*"&amp;UPPER(D69)&amp;"*")=0),"GSTIN not on Clients — will be checked in the portal","✔ OK")))))</f>
        <v/>
      </c>
    </row>
    <row r="70">
      <c r="A70" s="38" t="n"/>
      <c r="B70" s="39" t="n"/>
      <c r="C70" s="39" t="n"/>
      <c r="D70" s="38" t="n"/>
      <c r="E70" s="38" t="n"/>
      <c r="F70" s="38" t="n"/>
      <c r="G70" s="37">
        <f>IF(COUNTA(A70:F70)=0,"",IF(A70="EXAMPLE","Example (skipped)",IF(OR(C70="",E70="",F70=""),"✖ Portal, User ID and Password are all needed",IF(AND(A70="",COUNTIF(Clients!$B$5:$B$1005,B70)=0),"Not on Clients — will match a portal client by name",IF(AND(C70="GST",D70&lt;&gt;"",COUNTIF(Clients!$AN$5:$AN$1005,UPPER(D70))=0,COUNTIF(Clients!$G$5:$G$1005,"*"&amp;UPPER(D70)&amp;"*")=0),"GSTIN not on Clients — will be checked in the portal","✔ OK")))))</f>
        <v/>
      </c>
    </row>
    <row r="71">
      <c r="A71" s="38" t="n"/>
      <c r="B71" s="39" t="n"/>
      <c r="C71" s="39" t="n"/>
      <c r="D71" s="38" t="n"/>
      <c r="E71" s="38" t="n"/>
      <c r="F71" s="38" t="n"/>
      <c r="G71" s="37">
        <f>IF(COUNTA(A71:F71)=0,"",IF(A71="EXAMPLE","Example (skipped)",IF(OR(C71="",E71="",F71=""),"✖ Portal, User ID and Password are all needed",IF(AND(A71="",COUNTIF(Clients!$B$5:$B$1005,B71)=0),"Not on Clients — will match a portal client by name",IF(AND(C71="GST",D71&lt;&gt;"",COUNTIF(Clients!$AN$5:$AN$1005,UPPER(D71))=0,COUNTIF(Clients!$G$5:$G$1005,"*"&amp;UPPER(D71)&amp;"*")=0),"GSTIN not on Clients — will be checked in the portal","✔ OK")))))</f>
        <v/>
      </c>
    </row>
    <row r="72">
      <c r="A72" s="38" t="n"/>
      <c r="B72" s="39" t="n"/>
      <c r="C72" s="39" t="n"/>
      <c r="D72" s="38" t="n"/>
      <c r="E72" s="38" t="n"/>
      <c r="F72" s="38" t="n"/>
      <c r="G72" s="37">
        <f>IF(COUNTA(A72:F72)=0,"",IF(A72="EXAMPLE","Example (skipped)",IF(OR(C72="",E72="",F72=""),"✖ Portal, User ID and Password are all needed",IF(AND(A72="",COUNTIF(Clients!$B$5:$B$1005,B72)=0),"Not on Clients — will match a portal client by name",IF(AND(C72="GST",D72&lt;&gt;"",COUNTIF(Clients!$AN$5:$AN$1005,UPPER(D72))=0,COUNTIF(Clients!$G$5:$G$1005,"*"&amp;UPPER(D72)&amp;"*")=0),"GSTIN not on Clients — will be checked in the portal","✔ OK")))))</f>
        <v/>
      </c>
    </row>
    <row r="73">
      <c r="A73" s="38" t="n"/>
      <c r="B73" s="39" t="n"/>
      <c r="C73" s="39" t="n"/>
      <c r="D73" s="38" t="n"/>
      <c r="E73" s="38" t="n"/>
      <c r="F73" s="38" t="n"/>
      <c r="G73" s="37">
        <f>IF(COUNTA(A73:F73)=0,"",IF(A73="EXAMPLE","Example (skipped)",IF(OR(C73="",E73="",F73=""),"✖ Portal, User ID and Password are all needed",IF(AND(A73="",COUNTIF(Clients!$B$5:$B$1005,B73)=0),"Not on Clients — will match a portal client by name",IF(AND(C73="GST",D73&lt;&gt;"",COUNTIF(Clients!$AN$5:$AN$1005,UPPER(D73))=0,COUNTIF(Clients!$G$5:$G$1005,"*"&amp;UPPER(D73)&amp;"*")=0),"GSTIN not on Clients — will be checked in the portal","✔ OK")))))</f>
        <v/>
      </c>
    </row>
    <row r="74">
      <c r="A74" s="38" t="n"/>
      <c r="B74" s="39" t="n"/>
      <c r="C74" s="39" t="n"/>
      <c r="D74" s="38" t="n"/>
      <c r="E74" s="38" t="n"/>
      <c r="F74" s="38" t="n"/>
      <c r="G74" s="37">
        <f>IF(COUNTA(A74:F74)=0,"",IF(A74="EXAMPLE","Example (skipped)",IF(OR(C74="",E74="",F74=""),"✖ Portal, User ID and Password are all needed",IF(AND(A74="",COUNTIF(Clients!$B$5:$B$1005,B74)=0),"Not on Clients — will match a portal client by name",IF(AND(C74="GST",D74&lt;&gt;"",COUNTIF(Clients!$AN$5:$AN$1005,UPPER(D74))=0,COUNTIF(Clients!$G$5:$G$1005,"*"&amp;UPPER(D74)&amp;"*")=0),"GSTIN not on Clients — will be checked in the portal","✔ OK")))))</f>
        <v/>
      </c>
    </row>
    <row r="75">
      <c r="A75" s="38" t="n"/>
      <c r="B75" s="39" t="n"/>
      <c r="C75" s="39" t="n"/>
      <c r="D75" s="38" t="n"/>
      <c r="E75" s="38" t="n"/>
      <c r="F75" s="38" t="n"/>
      <c r="G75" s="37">
        <f>IF(COUNTA(A75:F75)=0,"",IF(A75="EXAMPLE","Example (skipped)",IF(OR(C75="",E75="",F75=""),"✖ Portal, User ID and Password are all needed",IF(AND(A75="",COUNTIF(Clients!$B$5:$B$1005,B75)=0),"Not on Clients — will match a portal client by name",IF(AND(C75="GST",D75&lt;&gt;"",COUNTIF(Clients!$AN$5:$AN$1005,UPPER(D75))=0,COUNTIF(Clients!$G$5:$G$1005,"*"&amp;UPPER(D75)&amp;"*")=0),"GSTIN not on Clients — will be checked in the portal","✔ OK")))))</f>
        <v/>
      </c>
    </row>
    <row r="76">
      <c r="A76" s="38" t="n"/>
      <c r="B76" s="39" t="n"/>
      <c r="C76" s="39" t="n"/>
      <c r="D76" s="38" t="n"/>
      <c r="E76" s="38" t="n"/>
      <c r="F76" s="38" t="n"/>
      <c r="G76" s="37">
        <f>IF(COUNTA(A76:F76)=0,"",IF(A76="EXAMPLE","Example (skipped)",IF(OR(C76="",E76="",F76=""),"✖ Portal, User ID and Password are all needed",IF(AND(A76="",COUNTIF(Clients!$B$5:$B$1005,B76)=0),"Not on Clients — will match a portal client by name",IF(AND(C76="GST",D76&lt;&gt;"",COUNTIF(Clients!$AN$5:$AN$1005,UPPER(D76))=0,COUNTIF(Clients!$G$5:$G$1005,"*"&amp;UPPER(D76)&amp;"*")=0),"GSTIN not on Clients — will be checked in the portal","✔ OK")))))</f>
        <v/>
      </c>
    </row>
    <row r="77">
      <c r="A77" s="38" t="n"/>
      <c r="B77" s="39" t="n"/>
      <c r="C77" s="39" t="n"/>
      <c r="D77" s="38" t="n"/>
      <c r="E77" s="38" t="n"/>
      <c r="F77" s="38" t="n"/>
      <c r="G77" s="37">
        <f>IF(COUNTA(A77:F77)=0,"",IF(A77="EXAMPLE","Example (skipped)",IF(OR(C77="",E77="",F77=""),"✖ Portal, User ID and Password are all needed",IF(AND(A77="",COUNTIF(Clients!$B$5:$B$1005,B77)=0),"Not on Clients — will match a portal client by name",IF(AND(C77="GST",D77&lt;&gt;"",COUNTIF(Clients!$AN$5:$AN$1005,UPPER(D77))=0,COUNTIF(Clients!$G$5:$G$1005,"*"&amp;UPPER(D77)&amp;"*")=0),"GSTIN not on Clients — will be checked in the portal","✔ OK")))))</f>
        <v/>
      </c>
    </row>
    <row r="78">
      <c r="A78" s="38" t="n"/>
      <c r="B78" s="39" t="n"/>
      <c r="C78" s="39" t="n"/>
      <c r="D78" s="38" t="n"/>
      <c r="E78" s="38" t="n"/>
      <c r="F78" s="38" t="n"/>
      <c r="G78" s="37">
        <f>IF(COUNTA(A78:F78)=0,"",IF(A78="EXAMPLE","Example (skipped)",IF(OR(C78="",E78="",F78=""),"✖ Portal, User ID and Password are all needed",IF(AND(A78="",COUNTIF(Clients!$B$5:$B$1005,B78)=0),"Not on Clients — will match a portal client by name",IF(AND(C78="GST",D78&lt;&gt;"",COUNTIF(Clients!$AN$5:$AN$1005,UPPER(D78))=0,COUNTIF(Clients!$G$5:$G$1005,"*"&amp;UPPER(D78)&amp;"*")=0),"GSTIN not on Clients — will be checked in the portal","✔ OK")))))</f>
        <v/>
      </c>
    </row>
    <row r="79">
      <c r="A79" s="38" t="n"/>
      <c r="B79" s="39" t="n"/>
      <c r="C79" s="39" t="n"/>
      <c r="D79" s="38" t="n"/>
      <c r="E79" s="38" t="n"/>
      <c r="F79" s="38" t="n"/>
      <c r="G79" s="37">
        <f>IF(COUNTA(A79:F79)=0,"",IF(A79="EXAMPLE","Example (skipped)",IF(OR(C79="",E79="",F79=""),"✖ Portal, User ID and Password are all needed",IF(AND(A79="",COUNTIF(Clients!$B$5:$B$1005,B79)=0),"Not on Clients — will match a portal client by name",IF(AND(C79="GST",D79&lt;&gt;"",COUNTIF(Clients!$AN$5:$AN$1005,UPPER(D79))=0,COUNTIF(Clients!$G$5:$G$1005,"*"&amp;UPPER(D79)&amp;"*")=0),"GSTIN not on Clients — will be checked in the portal","✔ OK")))))</f>
        <v/>
      </c>
    </row>
    <row r="80">
      <c r="A80" s="38" t="n"/>
      <c r="B80" s="39" t="n"/>
      <c r="C80" s="39" t="n"/>
      <c r="D80" s="38" t="n"/>
      <c r="E80" s="38" t="n"/>
      <c r="F80" s="38" t="n"/>
      <c r="G80" s="37">
        <f>IF(COUNTA(A80:F80)=0,"",IF(A80="EXAMPLE","Example (skipped)",IF(OR(C80="",E80="",F80=""),"✖ Portal, User ID and Password are all needed",IF(AND(A80="",COUNTIF(Clients!$B$5:$B$1005,B80)=0),"Not on Clients — will match a portal client by name",IF(AND(C80="GST",D80&lt;&gt;"",COUNTIF(Clients!$AN$5:$AN$1005,UPPER(D80))=0,COUNTIF(Clients!$G$5:$G$1005,"*"&amp;UPPER(D80)&amp;"*")=0),"GSTIN not on Clients — will be checked in the portal","✔ OK")))))</f>
        <v/>
      </c>
    </row>
    <row r="81">
      <c r="A81" s="38" t="n"/>
      <c r="B81" s="39" t="n"/>
      <c r="C81" s="39" t="n"/>
      <c r="D81" s="38" t="n"/>
      <c r="E81" s="38" t="n"/>
      <c r="F81" s="38" t="n"/>
      <c r="G81" s="37">
        <f>IF(COUNTA(A81:F81)=0,"",IF(A81="EXAMPLE","Example (skipped)",IF(OR(C81="",E81="",F81=""),"✖ Portal, User ID and Password are all needed",IF(AND(A81="",COUNTIF(Clients!$B$5:$B$1005,B81)=0),"Not on Clients — will match a portal client by name",IF(AND(C81="GST",D81&lt;&gt;"",COUNTIF(Clients!$AN$5:$AN$1005,UPPER(D81))=0,COUNTIF(Clients!$G$5:$G$1005,"*"&amp;UPPER(D81)&amp;"*")=0),"GSTIN not on Clients — will be checked in the portal","✔ OK")))))</f>
        <v/>
      </c>
    </row>
    <row r="82">
      <c r="A82" s="38" t="n"/>
      <c r="B82" s="39" t="n"/>
      <c r="C82" s="39" t="n"/>
      <c r="D82" s="38" t="n"/>
      <c r="E82" s="38" t="n"/>
      <c r="F82" s="38" t="n"/>
      <c r="G82" s="37">
        <f>IF(COUNTA(A82:F82)=0,"",IF(A82="EXAMPLE","Example (skipped)",IF(OR(C82="",E82="",F82=""),"✖ Portal, User ID and Password are all needed",IF(AND(A82="",COUNTIF(Clients!$B$5:$B$1005,B82)=0),"Not on Clients — will match a portal client by name",IF(AND(C82="GST",D82&lt;&gt;"",COUNTIF(Clients!$AN$5:$AN$1005,UPPER(D82))=0,COUNTIF(Clients!$G$5:$G$1005,"*"&amp;UPPER(D82)&amp;"*")=0),"GSTIN not on Clients — will be checked in the portal","✔ OK")))))</f>
        <v/>
      </c>
    </row>
    <row r="83">
      <c r="A83" s="38" t="n"/>
      <c r="B83" s="39" t="n"/>
      <c r="C83" s="39" t="n"/>
      <c r="D83" s="38" t="n"/>
      <c r="E83" s="38" t="n"/>
      <c r="F83" s="38" t="n"/>
      <c r="G83" s="37">
        <f>IF(COUNTA(A83:F83)=0,"",IF(A83="EXAMPLE","Example (skipped)",IF(OR(C83="",E83="",F83=""),"✖ Portal, User ID and Password are all needed",IF(AND(A83="",COUNTIF(Clients!$B$5:$B$1005,B83)=0),"Not on Clients — will match a portal client by name",IF(AND(C83="GST",D83&lt;&gt;"",COUNTIF(Clients!$AN$5:$AN$1005,UPPER(D83))=0,COUNTIF(Clients!$G$5:$G$1005,"*"&amp;UPPER(D83)&amp;"*")=0),"GSTIN not on Clients — will be checked in the portal","✔ OK")))))</f>
        <v/>
      </c>
    </row>
    <row r="84">
      <c r="A84" s="38" t="n"/>
      <c r="B84" s="39" t="n"/>
      <c r="C84" s="39" t="n"/>
      <c r="D84" s="38" t="n"/>
      <c r="E84" s="38" t="n"/>
      <c r="F84" s="38" t="n"/>
      <c r="G84" s="37">
        <f>IF(COUNTA(A84:F84)=0,"",IF(A84="EXAMPLE","Example (skipped)",IF(OR(C84="",E84="",F84=""),"✖ Portal, User ID and Password are all needed",IF(AND(A84="",COUNTIF(Clients!$B$5:$B$1005,B84)=0),"Not on Clients — will match a portal client by name",IF(AND(C84="GST",D84&lt;&gt;"",COUNTIF(Clients!$AN$5:$AN$1005,UPPER(D84))=0,COUNTIF(Clients!$G$5:$G$1005,"*"&amp;UPPER(D84)&amp;"*")=0),"GSTIN not on Clients — will be checked in the portal","✔ OK")))))</f>
        <v/>
      </c>
    </row>
    <row r="85">
      <c r="A85" s="38" t="n"/>
      <c r="B85" s="39" t="n"/>
      <c r="C85" s="39" t="n"/>
      <c r="D85" s="38" t="n"/>
      <c r="E85" s="38" t="n"/>
      <c r="F85" s="38" t="n"/>
      <c r="G85" s="37">
        <f>IF(COUNTA(A85:F85)=0,"",IF(A85="EXAMPLE","Example (skipped)",IF(OR(C85="",E85="",F85=""),"✖ Portal, User ID and Password are all needed",IF(AND(A85="",COUNTIF(Clients!$B$5:$B$1005,B85)=0),"Not on Clients — will match a portal client by name",IF(AND(C85="GST",D85&lt;&gt;"",COUNTIF(Clients!$AN$5:$AN$1005,UPPER(D85))=0,COUNTIF(Clients!$G$5:$G$1005,"*"&amp;UPPER(D85)&amp;"*")=0),"GSTIN not on Clients — will be checked in the portal","✔ OK")))))</f>
        <v/>
      </c>
    </row>
    <row r="86">
      <c r="A86" s="38" t="n"/>
      <c r="B86" s="39" t="n"/>
      <c r="C86" s="39" t="n"/>
      <c r="D86" s="38" t="n"/>
      <c r="E86" s="38" t="n"/>
      <c r="F86" s="38" t="n"/>
      <c r="G86" s="37">
        <f>IF(COUNTA(A86:F86)=0,"",IF(A86="EXAMPLE","Example (skipped)",IF(OR(C86="",E86="",F86=""),"✖ Portal, User ID and Password are all needed",IF(AND(A86="",COUNTIF(Clients!$B$5:$B$1005,B86)=0),"Not on Clients — will match a portal client by name",IF(AND(C86="GST",D86&lt;&gt;"",COUNTIF(Clients!$AN$5:$AN$1005,UPPER(D86))=0,COUNTIF(Clients!$G$5:$G$1005,"*"&amp;UPPER(D86)&amp;"*")=0),"GSTIN not on Clients — will be checked in the portal","✔ OK")))))</f>
        <v/>
      </c>
    </row>
    <row r="87">
      <c r="A87" s="38" t="n"/>
      <c r="B87" s="39" t="n"/>
      <c r="C87" s="39" t="n"/>
      <c r="D87" s="38" t="n"/>
      <c r="E87" s="38" t="n"/>
      <c r="F87" s="38" t="n"/>
      <c r="G87" s="37">
        <f>IF(COUNTA(A87:F87)=0,"",IF(A87="EXAMPLE","Example (skipped)",IF(OR(C87="",E87="",F87=""),"✖ Portal, User ID and Password are all needed",IF(AND(A87="",COUNTIF(Clients!$B$5:$B$1005,B87)=0),"Not on Clients — will match a portal client by name",IF(AND(C87="GST",D87&lt;&gt;"",COUNTIF(Clients!$AN$5:$AN$1005,UPPER(D87))=0,COUNTIF(Clients!$G$5:$G$1005,"*"&amp;UPPER(D87)&amp;"*")=0),"GSTIN not on Clients — will be checked in the portal","✔ OK")))))</f>
        <v/>
      </c>
    </row>
    <row r="88">
      <c r="A88" s="38" t="n"/>
      <c r="B88" s="39" t="n"/>
      <c r="C88" s="39" t="n"/>
      <c r="D88" s="38" t="n"/>
      <c r="E88" s="38" t="n"/>
      <c r="F88" s="38" t="n"/>
      <c r="G88" s="37">
        <f>IF(COUNTA(A88:F88)=0,"",IF(A88="EXAMPLE","Example (skipped)",IF(OR(C88="",E88="",F88=""),"✖ Portal, User ID and Password are all needed",IF(AND(A88="",COUNTIF(Clients!$B$5:$B$1005,B88)=0),"Not on Clients — will match a portal client by name",IF(AND(C88="GST",D88&lt;&gt;"",COUNTIF(Clients!$AN$5:$AN$1005,UPPER(D88))=0,COUNTIF(Clients!$G$5:$G$1005,"*"&amp;UPPER(D88)&amp;"*")=0),"GSTIN not on Clients — will be checked in the portal","✔ OK")))))</f>
        <v/>
      </c>
    </row>
    <row r="89">
      <c r="A89" s="38" t="n"/>
      <c r="B89" s="39" t="n"/>
      <c r="C89" s="39" t="n"/>
      <c r="D89" s="38" t="n"/>
      <c r="E89" s="38" t="n"/>
      <c r="F89" s="38" t="n"/>
      <c r="G89" s="37">
        <f>IF(COUNTA(A89:F89)=0,"",IF(A89="EXAMPLE","Example (skipped)",IF(OR(C89="",E89="",F89=""),"✖ Portal, User ID and Password are all needed",IF(AND(A89="",COUNTIF(Clients!$B$5:$B$1005,B89)=0),"Not on Clients — will match a portal client by name",IF(AND(C89="GST",D89&lt;&gt;"",COUNTIF(Clients!$AN$5:$AN$1005,UPPER(D89))=0,COUNTIF(Clients!$G$5:$G$1005,"*"&amp;UPPER(D89)&amp;"*")=0),"GSTIN not on Clients — will be checked in the portal","✔ OK")))))</f>
        <v/>
      </c>
    </row>
    <row r="90">
      <c r="A90" s="38" t="n"/>
      <c r="B90" s="39" t="n"/>
      <c r="C90" s="39" t="n"/>
      <c r="D90" s="38" t="n"/>
      <c r="E90" s="38" t="n"/>
      <c r="F90" s="38" t="n"/>
      <c r="G90" s="37">
        <f>IF(COUNTA(A90:F90)=0,"",IF(A90="EXAMPLE","Example (skipped)",IF(OR(C90="",E90="",F90=""),"✖ Portal, User ID and Password are all needed",IF(AND(A90="",COUNTIF(Clients!$B$5:$B$1005,B90)=0),"Not on Clients — will match a portal client by name",IF(AND(C90="GST",D90&lt;&gt;"",COUNTIF(Clients!$AN$5:$AN$1005,UPPER(D90))=0,COUNTIF(Clients!$G$5:$G$1005,"*"&amp;UPPER(D90)&amp;"*")=0),"GSTIN not on Clients — will be checked in the portal","✔ OK")))))</f>
        <v/>
      </c>
    </row>
    <row r="91">
      <c r="A91" s="38" t="n"/>
      <c r="B91" s="39" t="n"/>
      <c r="C91" s="39" t="n"/>
      <c r="D91" s="38" t="n"/>
      <c r="E91" s="38" t="n"/>
      <c r="F91" s="38" t="n"/>
      <c r="G91" s="37">
        <f>IF(COUNTA(A91:F91)=0,"",IF(A91="EXAMPLE","Example (skipped)",IF(OR(C91="",E91="",F91=""),"✖ Portal, User ID and Password are all needed",IF(AND(A91="",COUNTIF(Clients!$B$5:$B$1005,B91)=0),"Not on Clients — will match a portal client by name",IF(AND(C91="GST",D91&lt;&gt;"",COUNTIF(Clients!$AN$5:$AN$1005,UPPER(D91))=0,COUNTIF(Clients!$G$5:$G$1005,"*"&amp;UPPER(D91)&amp;"*")=0),"GSTIN not on Clients — will be checked in the portal","✔ OK")))))</f>
        <v/>
      </c>
    </row>
    <row r="92">
      <c r="A92" s="38" t="n"/>
      <c r="B92" s="39" t="n"/>
      <c r="C92" s="39" t="n"/>
      <c r="D92" s="38" t="n"/>
      <c r="E92" s="38" t="n"/>
      <c r="F92" s="38" t="n"/>
      <c r="G92" s="37">
        <f>IF(COUNTA(A92:F92)=0,"",IF(A92="EXAMPLE","Example (skipped)",IF(OR(C92="",E92="",F92=""),"✖ Portal, User ID and Password are all needed",IF(AND(A92="",COUNTIF(Clients!$B$5:$B$1005,B92)=0),"Not on Clients — will match a portal client by name",IF(AND(C92="GST",D92&lt;&gt;"",COUNTIF(Clients!$AN$5:$AN$1005,UPPER(D92))=0,COUNTIF(Clients!$G$5:$G$1005,"*"&amp;UPPER(D92)&amp;"*")=0),"GSTIN not on Clients — will be checked in the portal","✔ OK")))))</f>
        <v/>
      </c>
    </row>
    <row r="93">
      <c r="A93" s="38" t="n"/>
      <c r="B93" s="39" t="n"/>
      <c r="C93" s="39" t="n"/>
      <c r="D93" s="38" t="n"/>
      <c r="E93" s="38" t="n"/>
      <c r="F93" s="38" t="n"/>
      <c r="G93" s="37">
        <f>IF(COUNTA(A93:F93)=0,"",IF(A93="EXAMPLE","Example (skipped)",IF(OR(C93="",E93="",F93=""),"✖ Portal, User ID and Password are all needed",IF(AND(A93="",COUNTIF(Clients!$B$5:$B$1005,B93)=0),"Not on Clients — will match a portal client by name",IF(AND(C93="GST",D93&lt;&gt;"",COUNTIF(Clients!$AN$5:$AN$1005,UPPER(D93))=0,COUNTIF(Clients!$G$5:$G$1005,"*"&amp;UPPER(D93)&amp;"*")=0),"GSTIN not on Clients — will be checked in the portal","✔ OK")))))</f>
        <v/>
      </c>
    </row>
    <row r="94">
      <c r="A94" s="38" t="n"/>
      <c r="B94" s="39" t="n"/>
      <c r="C94" s="39" t="n"/>
      <c r="D94" s="38" t="n"/>
      <c r="E94" s="38" t="n"/>
      <c r="F94" s="38" t="n"/>
      <c r="G94" s="37">
        <f>IF(COUNTA(A94:F94)=0,"",IF(A94="EXAMPLE","Example (skipped)",IF(OR(C94="",E94="",F94=""),"✖ Portal, User ID and Password are all needed",IF(AND(A94="",COUNTIF(Clients!$B$5:$B$1005,B94)=0),"Not on Clients — will match a portal client by name",IF(AND(C94="GST",D94&lt;&gt;"",COUNTIF(Clients!$AN$5:$AN$1005,UPPER(D94))=0,COUNTIF(Clients!$G$5:$G$1005,"*"&amp;UPPER(D94)&amp;"*")=0),"GSTIN not on Clients — will be checked in the portal","✔ OK")))))</f>
        <v/>
      </c>
    </row>
    <row r="95">
      <c r="A95" s="38" t="n"/>
      <c r="B95" s="39" t="n"/>
      <c r="C95" s="39" t="n"/>
      <c r="D95" s="38" t="n"/>
      <c r="E95" s="38" t="n"/>
      <c r="F95" s="38" t="n"/>
      <c r="G95" s="37">
        <f>IF(COUNTA(A95:F95)=0,"",IF(A95="EXAMPLE","Example (skipped)",IF(OR(C95="",E95="",F95=""),"✖ Portal, User ID and Password are all needed",IF(AND(A95="",COUNTIF(Clients!$B$5:$B$1005,B95)=0),"Not on Clients — will match a portal client by name",IF(AND(C95="GST",D95&lt;&gt;"",COUNTIF(Clients!$AN$5:$AN$1005,UPPER(D95))=0,COUNTIF(Clients!$G$5:$G$1005,"*"&amp;UPPER(D95)&amp;"*")=0),"GSTIN not on Clients — will be checked in the portal","✔ OK")))))</f>
        <v/>
      </c>
    </row>
    <row r="96">
      <c r="A96" s="38" t="n"/>
      <c r="B96" s="39" t="n"/>
      <c r="C96" s="39" t="n"/>
      <c r="D96" s="38" t="n"/>
      <c r="E96" s="38" t="n"/>
      <c r="F96" s="38" t="n"/>
      <c r="G96" s="37">
        <f>IF(COUNTA(A96:F96)=0,"",IF(A96="EXAMPLE","Example (skipped)",IF(OR(C96="",E96="",F96=""),"✖ Portal, User ID and Password are all needed",IF(AND(A96="",COUNTIF(Clients!$B$5:$B$1005,B96)=0),"Not on Clients — will match a portal client by name",IF(AND(C96="GST",D96&lt;&gt;"",COUNTIF(Clients!$AN$5:$AN$1005,UPPER(D96))=0,COUNTIF(Clients!$G$5:$G$1005,"*"&amp;UPPER(D96)&amp;"*")=0),"GSTIN not on Clients — will be checked in the portal","✔ OK")))))</f>
        <v/>
      </c>
    </row>
    <row r="97">
      <c r="A97" s="38" t="n"/>
      <c r="B97" s="39" t="n"/>
      <c r="C97" s="39" t="n"/>
      <c r="D97" s="38" t="n"/>
      <c r="E97" s="38" t="n"/>
      <c r="F97" s="38" t="n"/>
      <c r="G97" s="37">
        <f>IF(COUNTA(A97:F97)=0,"",IF(A97="EXAMPLE","Example (skipped)",IF(OR(C97="",E97="",F97=""),"✖ Portal, User ID and Password are all needed",IF(AND(A97="",COUNTIF(Clients!$B$5:$B$1005,B97)=0),"Not on Clients — will match a portal client by name",IF(AND(C97="GST",D97&lt;&gt;"",COUNTIF(Clients!$AN$5:$AN$1005,UPPER(D97))=0,COUNTIF(Clients!$G$5:$G$1005,"*"&amp;UPPER(D97)&amp;"*")=0),"GSTIN not on Clients — will be checked in the portal","✔ OK")))))</f>
        <v/>
      </c>
    </row>
    <row r="98">
      <c r="A98" s="38" t="n"/>
      <c r="B98" s="39" t="n"/>
      <c r="C98" s="39" t="n"/>
      <c r="D98" s="38" t="n"/>
      <c r="E98" s="38" t="n"/>
      <c r="F98" s="38" t="n"/>
      <c r="G98" s="37">
        <f>IF(COUNTA(A98:F98)=0,"",IF(A98="EXAMPLE","Example (skipped)",IF(OR(C98="",E98="",F98=""),"✖ Portal, User ID and Password are all needed",IF(AND(A98="",COUNTIF(Clients!$B$5:$B$1005,B98)=0),"Not on Clients — will match a portal client by name",IF(AND(C98="GST",D98&lt;&gt;"",COUNTIF(Clients!$AN$5:$AN$1005,UPPER(D98))=0,COUNTIF(Clients!$G$5:$G$1005,"*"&amp;UPPER(D98)&amp;"*")=0),"GSTIN not on Clients — will be checked in the portal","✔ OK")))))</f>
        <v/>
      </c>
    </row>
    <row r="99">
      <c r="A99" s="38" t="n"/>
      <c r="B99" s="39" t="n"/>
      <c r="C99" s="39" t="n"/>
      <c r="D99" s="38" t="n"/>
      <c r="E99" s="38" t="n"/>
      <c r="F99" s="38" t="n"/>
      <c r="G99" s="37">
        <f>IF(COUNTA(A99:F99)=0,"",IF(A99="EXAMPLE","Example (skipped)",IF(OR(C99="",E99="",F99=""),"✖ Portal, User ID and Password are all needed",IF(AND(A99="",COUNTIF(Clients!$B$5:$B$1005,B99)=0),"Not on Clients — will match a portal client by name",IF(AND(C99="GST",D99&lt;&gt;"",COUNTIF(Clients!$AN$5:$AN$1005,UPPER(D99))=0,COUNTIF(Clients!$G$5:$G$1005,"*"&amp;UPPER(D99)&amp;"*")=0),"GSTIN not on Clients — will be checked in the portal","✔ OK")))))</f>
        <v/>
      </c>
    </row>
    <row r="100">
      <c r="A100" s="38" t="n"/>
      <c r="B100" s="39" t="n"/>
      <c r="C100" s="39" t="n"/>
      <c r="D100" s="38" t="n"/>
      <c r="E100" s="38" t="n"/>
      <c r="F100" s="38" t="n"/>
      <c r="G100" s="37">
        <f>IF(COUNTA(A100:F100)=0,"",IF(A100="EXAMPLE","Example (skipped)",IF(OR(C100="",E100="",F100=""),"✖ Portal, User ID and Password are all needed",IF(AND(A100="",COUNTIF(Clients!$B$5:$B$1005,B100)=0),"Not on Clients — will match a portal client by name",IF(AND(C100="GST",D100&lt;&gt;"",COUNTIF(Clients!$AN$5:$AN$1005,UPPER(D100))=0,COUNTIF(Clients!$G$5:$G$1005,"*"&amp;UPPER(D100)&amp;"*")=0),"GSTIN not on Clients — will be checked in the portal","✔ OK")))))</f>
        <v/>
      </c>
    </row>
    <row r="101">
      <c r="A101" s="38" t="n"/>
      <c r="B101" s="39" t="n"/>
      <c r="C101" s="39" t="n"/>
      <c r="D101" s="38" t="n"/>
      <c r="E101" s="38" t="n"/>
      <c r="F101" s="38" t="n"/>
      <c r="G101" s="37">
        <f>IF(COUNTA(A101:F101)=0,"",IF(A101="EXAMPLE","Example (skipped)",IF(OR(C101="",E101="",F101=""),"✖ Portal, User ID and Password are all needed",IF(AND(A101="",COUNTIF(Clients!$B$5:$B$1005,B101)=0),"Not on Clients — will match a portal client by name",IF(AND(C101="GST",D101&lt;&gt;"",COUNTIF(Clients!$AN$5:$AN$1005,UPPER(D101))=0,COUNTIF(Clients!$G$5:$G$1005,"*"&amp;UPPER(D101)&amp;"*")=0),"GSTIN not on Clients — will be checked in the portal","✔ OK")))))</f>
        <v/>
      </c>
    </row>
    <row r="102">
      <c r="A102" s="38" t="n"/>
      <c r="B102" s="39" t="n"/>
      <c r="C102" s="39" t="n"/>
      <c r="D102" s="38" t="n"/>
      <c r="E102" s="38" t="n"/>
      <c r="F102" s="38" t="n"/>
      <c r="G102" s="37">
        <f>IF(COUNTA(A102:F102)=0,"",IF(A102="EXAMPLE","Example (skipped)",IF(OR(C102="",E102="",F102=""),"✖ Portal, User ID and Password are all needed",IF(AND(A102="",COUNTIF(Clients!$B$5:$B$1005,B102)=0),"Not on Clients — will match a portal client by name",IF(AND(C102="GST",D102&lt;&gt;"",COUNTIF(Clients!$AN$5:$AN$1005,UPPER(D102))=0,COUNTIF(Clients!$G$5:$G$1005,"*"&amp;UPPER(D102)&amp;"*")=0),"GSTIN not on Clients — will be checked in the portal","✔ OK")))))</f>
        <v/>
      </c>
    </row>
    <row r="103">
      <c r="A103" s="38" t="n"/>
      <c r="B103" s="39" t="n"/>
      <c r="C103" s="39" t="n"/>
      <c r="D103" s="38" t="n"/>
      <c r="E103" s="38" t="n"/>
      <c r="F103" s="38" t="n"/>
      <c r="G103" s="37">
        <f>IF(COUNTA(A103:F103)=0,"",IF(A103="EXAMPLE","Example (skipped)",IF(OR(C103="",E103="",F103=""),"✖ Portal, User ID and Password are all needed",IF(AND(A103="",COUNTIF(Clients!$B$5:$B$1005,B103)=0),"Not on Clients — will match a portal client by name",IF(AND(C103="GST",D103&lt;&gt;"",COUNTIF(Clients!$AN$5:$AN$1005,UPPER(D103))=0,COUNTIF(Clients!$G$5:$G$1005,"*"&amp;UPPER(D103)&amp;"*")=0),"GSTIN not on Clients — will be checked in the portal","✔ OK")))))</f>
        <v/>
      </c>
    </row>
    <row r="104">
      <c r="A104" s="38" t="n"/>
      <c r="B104" s="39" t="n"/>
      <c r="C104" s="39" t="n"/>
      <c r="D104" s="38" t="n"/>
      <c r="E104" s="38" t="n"/>
      <c r="F104" s="38" t="n"/>
      <c r="G104" s="37">
        <f>IF(COUNTA(A104:F104)=0,"",IF(A104="EXAMPLE","Example (skipped)",IF(OR(C104="",E104="",F104=""),"✖ Portal, User ID and Password are all needed",IF(AND(A104="",COUNTIF(Clients!$B$5:$B$1005,B104)=0),"Not on Clients — will match a portal client by name",IF(AND(C104="GST",D104&lt;&gt;"",COUNTIF(Clients!$AN$5:$AN$1005,UPPER(D104))=0,COUNTIF(Clients!$G$5:$G$1005,"*"&amp;UPPER(D104)&amp;"*")=0),"GSTIN not on Clients — will be checked in the portal","✔ OK")))))</f>
        <v/>
      </c>
    </row>
    <row r="105">
      <c r="A105" s="38" t="n"/>
      <c r="B105" s="39" t="n"/>
      <c r="C105" s="39" t="n"/>
      <c r="D105" s="38" t="n"/>
      <c r="E105" s="38" t="n"/>
      <c r="F105" s="38" t="n"/>
      <c r="G105" s="37">
        <f>IF(COUNTA(A105:F105)=0,"",IF(A105="EXAMPLE","Example (skipped)",IF(OR(C105="",E105="",F105=""),"✖ Portal, User ID and Password are all needed",IF(AND(A105="",COUNTIF(Clients!$B$5:$B$1005,B105)=0),"Not on Clients — will match a portal client by name",IF(AND(C105="GST",D105&lt;&gt;"",COUNTIF(Clients!$AN$5:$AN$1005,UPPER(D105))=0,COUNTIF(Clients!$G$5:$G$1005,"*"&amp;UPPER(D105)&amp;"*")=0),"GSTIN not on Clients — will be checked in the portal","✔ OK")))))</f>
        <v/>
      </c>
    </row>
    <row r="106">
      <c r="A106" s="38" t="n"/>
      <c r="B106" s="39" t="n"/>
      <c r="C106" s="39" t="n"/>
      <c r="D106" s="38" t="n"/>
      <c r="E106" s="38" t="n"/>
      <c r="F106" s="38" t="n"/>
      <c r="G106" s="37">
        <f>IF(COUNTA(A106:F106)=0,"",IF(A106="EXAMPLE","Example (skipped)",IF(OR(C106="",E106="",F106=""),"✖ Portal, User ID and Password are all needed",IF(AND(A106="",COUNTIF(Clients!$B$5:$B$1005,B106)=0),"Not on Clients — will match a portal client by name",IF(AND(C106="GST",D106&lt;&gt;"",COUNTIF(Clients!$AN$5:$AN$1005,UPPER(D106))=0,COUNTIF(Clients!$G$5:$G$1005,"*"&amp;UPPER(D106)&amp;"*")=0),"GSTIN not on Clients — will be checked in the portal","✔ OK")))))</f>
        <v/>
      </c>
    </row>
    <row r="107">
      <c r="A107" s="38" t="n"/>
      <c r="B107" s="39" t="n"/>
      <c r="C107" s="39" t="n"/>
      <c r="D107" s="38" t="n"/>
      <c r="E107" s="38" t="n"/>
      <c r="F107" s="38" t="n"/>
      <c r="G107" s="37">
        <f>IF(COUNTA(A107:F107)=0,"",IF(A107="EXAMPLE","Example (skipped)",IF(OR(C107="",E107="",F107=""),"✖ Portal, User ID and Password are all needed",IF(AND(A107="",COUNTIF(Clients!$B$5:$B$1005,B107)=0),"Not on Clients — will match a portal client by name",IF(AND(C107="GST",D107&lt;&gt;"",COUNTIF(Clients!$AN$5:$AN$1005,UPPER(D107))=0,COUNTIF(Clients!$G$5:$G$1005,"*"&amp;UPPER(D107)&amp;"*")=0),"GSTIN not on Clients — will be checked in the portal","✔ OK")))))</f>
        <v/>
      </c>
    </row>
    <row r="108">
      <c r="A108" s="38" t="n"/>
      <c r="B108" s="39" t="n"/>
      <c r="C108" s="39" t="n"/>
      <c r="D108" s="38" t="n"/>
      <c r="E108" s="38" t="n"/>
      <c r="F108" s="38" t="n"/>
      <c r="G108" s="37">
        <f>IF(COUNTA(A108:F108)=0,"",IF(A108="EXAMPLE","Example (skipped)",IF(OR(C108="",E108="",F108=""),"✖ Portal, User ID and Password are all needed",IF(AND(A108="",COUNTIF(Clients!$B$5:$B$1005,B108)=0),"Not on Clients — will match a portal client by name",IF(AND(C108="GST",D108&lt;&gt;"",COUNTIF(Clients!$AN$5:$AN$1005,UPPER(D108))=0,COUNTIF(Clients!$G$5:$G$1005,"*"&amp;UPPER(D108)&amp;"*")=0),"GSTIN not on Clients — will be checked in the portal","✔ OK")))))</f>
        <v/>
      </c>
    </row>
    <row r="109">
      <c r="A109" s="38" t="n"/>
      <c r="B109" s="39" t="n"/>
      <c r="C109" s="39" t="n"/>
      <c r="D109" s="38" t="n"/>
      <c r="E109" s="38" t="n"/>
      <c r="F109" s="38" t="n"/>
      <c r="G109" s="37">
        <f>IF(COUNTA(A109:F109)=0,"",IF(A109="EXAMPLE","Example (skipped)",IF(OR(C109="",E109="",F109=""),"✖ Portal, User ID and Password are all needed",IF(AND(A109="",COUNTIF(Clients!$B$5:$B$1005,B109)=0),"Not on Clients — will match a portal client by name",IF(AND(C109="GST",D109&lt;&gt;"",COUNTIF(Clients!$AN$5:$AN$1005,UPPER(D109))=0,COUNTIF(Clients!$G$5:$G$1005,"*"&amp;UPPER(D109)&amp;"*")=0),"GSTIN not on Clients — will be checked in the portal","✔ OK")))))</f>
        <v/>
      </c>
    </row>
    <row r="110">
      <c r="A110" s="38" t="n"/>
      <c r="B110" s="39" t="n"/>
      <c r="C110" s="39" t="n"/>
      <c r="D110" s="38" t="n"/>
      <c r="E110" s="38" t="n"/>
      <c r="F110" s="38" t="n"/>
      <c r="G110" s="37">
        <f>IF(COUNTA(A110:F110)=0,"",IF(A110="EXAMPLE","Example (skipped)",IF(OR(C110="",E110="",F110=""),"✖ Portal, User ID and Password are all needed",IF(AND(A110="",COUNTIF(Clients!$B$5:$B$1005,B110)=0),"Not on Clients — will match a portal client by name",IF(AND(C110="GST",D110&lt;&gt;"",COUNTIF(Clients!$AN$5:$AN$1005,UPPER(D110))=0,COUNTIF(Clients!$G$5:$G$1005,"*"&amp;UPPER(D110)&amp;"*")=0),"GSTIN not on Clients — will be checked in the portal","✔ OK")))))</f>
        <v/>
      </c>
    </row>
    <row r="111">
      <c r="A111" s="38" t="n"/>
      <c r="B111" s="39" t="n"/>
      <c r="C111" s="39" t="n"/>
      <c r="D111" s="38" t="n"/>
      <c r="E111" s="38" t="n"/>
      <c r="F111" s="38" t="n"/>
      <c r="G111" s="37">
        <f>IF(COUNTA(A111:F111)=0,"",IF(A111="EXAMPLE","Example (skipped)",IF(OR(C111="",E111="",F111=""),"✖ Portal, User ID and Password are all needed",IF(AND(A111="",COUNTIF(Clients!$B$5:$B$1005,B111)=0),"Not on Clients — will match a portal client by name",IF(AND(C111="GST",D111&lt;&gt;"",COUNTIF(Clients!$AN$5:$AN$1005,UPPER(D111))=0,COUNTIF(Clients!$G$5:$G$1005,"*"&amp;UPPER(D111)&amp;"*")=0),"GSTIN not on Clients — will be checked in the portal","✔ OK")))))</f>
        <v/>
      </c>
    </row>
    <row r="112">
      <c r="A112" s="38" t="n"/>
      <c r="B112" s="39" t="n"/>
      <c r="C112" s="39" t="n"/>
      <c r="D112" s="38" t="n"/>
      <c r="E112" s="38" t="n"/>
      <c r="F112" s="38" t="n"/>
      <c r="G112" s="37">
        <f>IF(COUNTA(A112:F112)=0,"",IF(A112="EXAMPLE","Example (skipped)",IF(OR(C112="",E112="",F112=""),"✖ Portal, User ID and Password are all needed",IF(AND(A112="",COUNTIF(Clients!$B$5:$B$1005,B112)=0),"Not on Clients — will match a portal client by name",IF(AND(C112="GST",D112&lt;&gt;"",COUNTIF(Clients!$AN$5:$AN$1005,UPPER(D112))=0,COUNTIF(Clients!$G$5:$G$1005,"*"&amp;UPPER(D112)&amp;"*")=0),"GSTIN not on Clients — will be checked in the portal","✔ OK")))))</f>
        <v/>
      </c>
    </row>
    <row r="113">
      <c r="A113" s="38" t="n"/>
      <c r="B113" s="39" t="n"/>
      <c r="C113" s="39" t="n"/>
      <c r="D113" s="38" t="n"/>
      <c r="E113" s="38" t="n"/>
      <c r="F113" s="38" t="n"/>
      <c r="G113" s="37">
        <f>IF(COUNTA(A113:F113)=0,"",IF(A113="EXAMPLE","Example (skipped)",IF(OR(C113="",E113="",F113=""),"✖ Portal, User ID and Password are all needed",IF(AND(A113="",COUNTIF(Clients!$B$5:$B$1005,B113)=0),"Not on Clients — will match a portal client by name",IF(AND(C113="GST",D113&lt;&gt;"",COUNTIF(Clients!$AN$5:$AN$1005,UPPER(D113))=0,COUNTIF(Clients!$G$5:$G$1005,"*"&amp;UPPER(D113)&amp;"*")=0),"GSTIN not on Clients — will be checked in the portal","✔ OK")))))</f>
        <v/>
      </c>
    </row>
    <row r="114">
      <c r="A114" s="38" t="n"/>
      <c r="B114" s="39" t="n"/>
      <c r="C114" s="39" t="n"/>
      <c r="D114" s="38" t="n"/>
      <c r="E114" s="38" t="n"/>
      <c r="F114" s="38" t="n"/>
      <c r="G114" s="37">
        <f>IF(COUNTA(A114:F114)=0,"",IF(A114="EXAMPLE","Example (skipped)",IF(OR(C114="",E114="",F114=""),"✖ Portal, User ID and Password are all needed",IF(AND(A114="",COUNTIF(Clients!$B$5:$B$1005,B114)=0),"Not on Clients — will match a portal client by name",IF(AND(C114="GST",D114&lt;&gt;"",COUNTIF(Clients!$AN$5:$AN$1005,UPPER(D114))=0,COUNTIF(Clients!$G$5:$G$1005,"*"&amp;UPPER(D114)&amp;"*")=0),"GSTIN not on Clients — will be checked in the portal","✔ OK")))))</f>
        <v/>
      </c>
    </row>
    <row r="115">
      <c r="A115" s="38" t="n"/>
      <c r="B115" s="39" t="n"/>
      <c r="C115" s="39" t="n"/>
      <c r="D115" s="38" t="n"/>
      <c r="E115" s="38" t="n"/>
      <c r="F115" s="38" t="n"/>
      <c r="G115" s="37">
        <f>IF(COUNTA(A115:F115)=0,"",IF(A115="EXAMPLE","Example (skipped)",IF(OR(C115="",E115="",F115=""),"✖ Portal, User ID and Password are all needed",IF(AND(A115="",COUNTIF(Clients!$B$5:$B$1005,B115)=0),"Not on Clients — will match a portal client by name",IF(AND(C115="GST",D115&lt;&gt;"",COUNTIF(Clients!$AN$5:$AN$1005,UPPER(D115))=0,COUNTIF(Clients!$G$5:$G$1005,"*"&amp;UPPER(D115)&amp;"*")=0),"GSTIN not on Clients — will be checked in the portal","✔ OK")))))</f>
        <v/>
      </c>
    </row>
    <row r="116">
      <c r="A116" s="38" t="n"/>
      <c r="B116" s="39" t="n"/>
      <c r="C116" s="39" t="n"/>
      <c r="D116" s="38" t="n"/>
      <c r="E116" s="38" t="n"/>
      <c r="F116" s="38" t="n"/>
      <c r="G116" s="37">
        <f>IF(COUNTA(A116:F116)=0,"",IF(A116="EXAMPLE","Example (skipped)",IF(OR(C116="",E116="",F116=""),"✖ Portal, User ID and Password are all needed",IF(AND(A116="",COUNTIF(Clients!$B$5:$B$1005,B116)=0),"Not on Clients — will match a portal client by name",IF(AND(C116="GST",D116&lt;&gt;"",COUNTIF(Clients!$AN$5:$AN$1005,UPPER(D116))=0,COUNTIF(Clients!$G$5:$G$1005,"*"&amp;UPPER(D116)&amp;"*")=0),"GSTIN not on Clients — will be checked in the portal","✔ OK")))))</f>
        <v/>
      </c>
    </row>
    <row r="117">
      <c r="A117" s="38" t="n"/>
      <c r="B117" s="39" t="n"/>
      <c r="C117" s="39" t="n"/>
      <c r="D117" s="38" t="n"/>
      <c r="E117" s="38" t="n"/>
      <c r="F117" s="38" t="n"/>
      <c r="G117" s="37">
        <f>IF(COUNTA(A117:F117)=0,"",IF(A117="EXAMPLE","Example (skipped)",IF(OR(C117="",E117="",F117=""),"✖ Portal, User ID and Password are all needed",IF(AND(A117="",COUNTIF(Clients!$B$5:$B$1005,B117)=0),"Not on Clients — will match a portal client by name",IF(AND(C117="GST",D117&lt;&gt;"",COUNTIF(Clients!$AN$5:$AN$1005,UPPER(D117))=0,COUNTIF(Clients!$G$5:$G$1005,"*"&amp;UPPER(D117)&amp;"*")=0),"GSTIN not on Clients — will be checked in the portal","✔ OK")))))</f>
        <v/>
      </c>
    </row>
    <row r="118">
      <c r="A118" s="38" t="n"/>
      <c r="B118" s="39" t="n"/>
      <c r="C118" s="39" t="n"/>
      <c r="D118" s="38" t="n"/>
      <c r="E118" s="38" t="n"/>
      <c r="F118" s="38" t="n"/>
      <c r="G118" s="37">
        <f>IF(COUNTA(A118:F118)=0,"",IF(A118="EXAMPLE","Example (skipped)",IF(OR(C118="",E118="",F118=""),"✖ Portal, User ID and Password are all needed",IF(AND(A118="",COUNTIF(Clients!$B$5:$B$1005,B118)=0),"Not on Clients — will match a portal client by name",IF(AND(C118="GST",D118&lt;&gt;"",COUNTIF(Clients!$AN$5:$AN$1005,UPPER(D118))=0,COUNTIF(Clients!$G$5:$G$1005,"*"&amp;UPPER(D118)&amp;"*")=0),"GSTIN not on Clients — will be checked in the portal","✔ OK")))))</f>
        <v/>
      </c>
    </row>
    <row r="119">
      <c r="A119" s="38" t="n"/>
      <c r="B119" s="39" t="n"/>
      <c r="C119" s="39" t="n"/>
      <c r="D119" s="38" t="n"/>
      <c r="E119" s="38" t="n"/>
      <c r="F119" s="38" t="n"/>
      <c r="G119" s="37">
        <f>IF(COUNTA(A119:F119)=0,"",IF(A119="EXAMPLE","Example (skipped)",IF(OR(C119="",E119="",F119=""),"✖ Portal, User ID and Password are all needed",IF(AND(A119="",COUNTIF(Clients!$B$5:$B$1005,B119)=0),"Not on Clients — will match a portal client by name",IF(AND(C119="GST",D119&lt;&gt;"",COUNTIF(Clients!$AN$5:$AN$1005,UPPER(D119))=0,COUNTIF(Clients!$G$5:$G$1005,"*"&amp;UPPER(D119)&amp;"*")=0),"GSTIN not on Clients — will be checked in the portal","✔ OK")))))</f>
        <v/>
      </c>
    </row>
    <row r="120">
      <c r="A120" s="38" t="n"/>
      <c r="B120" s="39" t="n"/>
      <c r="C120" s="39" t="n"/>
      <c r="D120" s="38" t="n"/>
      <c r="E120" s="38" t="n"/>
      <c r="F120" s="38" t="n"/>
      <c r="G120" s="37">
        <f>IF(COUNTA(A120:F120)=0,"",IF(A120="EXAMPLE","Example (skipped)",IF(OR(C120="",E120="",F120=""),"✖ Portal, User ID and Password are all needed",IF(AND(A120="",COUNTIF(Clients!$B$5:$B$1005,B120)=0),"Not on Clients — will match a portal client by name",IF(AND(C120="GST",D120&lt;&gt;"",COUNTIF(Clients!$AN$5:$AN$1005,UPPER(D120))=0,COUNTIF(Clients!$G$5:$G$1005,"*"&amp;UPPER(D120)&amp;"*")=0),"GSTIN not on Clients — will be checked in the portal","✔ OK")))))</f>
        <v/>
      </c>
    </row>
    <row r="121">
      <c r="A121" s="38" t="n"/>
      <c r="B121" s="39" t="n"/>
      <c r="C121" s="39" t="n"/>
      <c r="D121" s="38" t="n"/>
      <c r="E121" s="38" t="n"/>
      <c r="F121" s="38" t="n"/>
      <c r="G121" s="37">
        <f>IF(COUNTA(A121:F121)=0,"",IF(A121="EXAMPLE","Example (skipped)",IF(OR(C121="",E121="",F121=""),"✖ Portal, User ID and Password are all needed",IF(AND(A121="",COUNTIF(Clients!$B$5:$B$1005,B121)=0),"Not on Clients — will match a portal client by name",IF(AND(C121="GST",D121&lt;&gt;"",COUNTIF(Clients!$AN$5:$AN$1005,UPPER(D121))=0,COUNTIF(Clients!$G$5:$G$1005,"*"&amp;UPPER(D121)&amp;"*")=0),"GSTIN not on Clients — will be checked in the portal","✔ OK")))))</f>
        <v/>
      </c>
    </row>
    <row r="122">
      <c r="A122" s="38" t="n"/>
      <c r="B122" s="39" t="n"/>
      <c r="C122" s="39" t="n"/>
      <c r="D122" s="38" t="n"/>
      <c r="E122" s="38" t="n"/>
      <c r="F122" s="38" t="n"/>
      <c r="G122" s="37">
        <f>IF(COUNTA(A122:F122)=0,"",IF(A122="EXAMPLE","Example (skipped)",IF(OR(C122="",E122="",F122=""),"✖ Portal, User ID and Password are all needed",IF(AND(A122="",COUNTIF(Clients!$B$5:$B$1005,B122)=0),"Not on Clients — will match a portal client by name",IF(AND(C122="GST",D122&lt;&gt;"",COUNTIF(Clients!$AN$5:$AN$1005,UPPER(D122))=0,COUNTIF(Clients!$G$5:$G$1005,"*"&amp;UPPER(D122)&amp;"*")=0),"GSTIN not on Clients — will be checked in the portal","✔ OK")))))</f>
        <v/>
      </c>
    </row>
    <row r="123">
      <c r="A123" s="38" t="n"/>
      <c r="B123" s="39" t="n"/>
      <c r="C123" s="39" t="n"/>
      <c r="D123" s="38" t="n"/>
      <c r="E123" s="38" t="n"/>
      <c r="F123" s="38" t="n"/>
      <c r="G123" s="37">
        <f>IF(COUNTA(A123:F123)=0,"",IF(A123="EXAMPLE","Example (skipped)",IF(OR(C123="",E123="",F123=""),"✖ Portal, User ID and Password are all needed",IF(AND(A123="",COUNTIF(Clients!$B$5:$B$1005,B123)=0),"Not on Clients — will match a portal client by name",IF(AND(C123="GST",D123&lt;&gt;"",COUNTIF(Clients!$AN$5:$AN$1005,UPPER(D123))=0,COUNTIF(Clients!$G$5:$G$1005,"*"&amp;UPPER(D123)&amp;"*")=0),"GSTIN not on Clients — will be checked in the portal","✔ OK")))))</f>
        <v/>
      </c>
    </row>
    <row r="124">
      <c r="A124" s="38" t="n"/>
      <c r="B124" s="39" t="n"/>
      <c r="C124" s="39" t="n"/>
      <c r="D124" s="38" t="n"/>
      <c r="E124" s="38" t="n"/>
      <c r="F124" s="38" t="n"/>
      <c r="G124" s="37">
        <f>IF(COUNTA(A124:F124)=0,"",IF(A124="EXAMPLE","Example (skipped)",IF(OR(C124="",E124="",F124=""),"✖ Portal, User ID and Password are all needed",IF(AND(A124="",COUNTIF(Clients!$B$5:$B$1005,B124)=0),"Not on Clients — will match a portal client by name",IF(AND(C124="GST",D124&lt;&gt;"",COUNTIF(Clients!$AN$5:$AN$1005,UPPER(D124))=0,COUNTIF(Clients!$G$5:$G$1005,"*"&amp;UPPER(D124)&amp;"*")=0),"GSTIN not on Clients — will be checked in the portal","✔ OK")))))</f>
        <v/>
      </c>
    </row>
    <row r="125">
      <c r="A125" s="38" t="n"/>
      <c r="B125" s="39" t="n"/>
      <c r="C125" s="39" t="n"/>
      <c r="D125" s="38" t="n"/>
      <c r="E125" s="38" t="n"/>
      <c r="F125" s="38" t="n"/>
      <c r="G125" s="37">
        <f>IF(COUNTA(A125:F125)=0,"",IF(A125="EXAMPLE","Example (skipped)",IF(OR(C125="",E125="",F125=""),"✖ Portal, User ID and Password are all needed",IF(AND(A125="",COUNTIF(Clients!$B$5:$B$1005,B125)=0),"Not on Clients — will match a portal client by name",IF(AND(C125="GST",D125&lt;&gt;"",COUNTIF(Clients!$AN$5:$AN$1005,UPPER(D125))=0,COUNTIF(Clients!$G$5:$G$1005,"*"&amp;UPPER(D125)&amp;"*")=0),"GSTIN not on Clients — will be checked in the portal","✔ OK")))))</f>
        <v/>
      </c>
    </row>
    <row r="126">
      <c r="A126" s="38" t="n"/>
      <c r="B126" s="39" t="n"/>
      <c r="C126" s="39" t="n"/>
      <c r="D126" s="38" t="n"/>
      <c r="E126" s="38" t="n"/>
      <c r="F126" s="38" t="n"/>
      <c r="G126" s="37">
        <f>IF(COUNTA(A126:F126)=0,"",IF(A126="EXAMPLE","Example (skipped)",IF(OR(C126="",E126="",F126=""),"✖ Portal, User ID and Password are all needed",IF(AND(A126="",COUNTIF(Clients!$B$5:$B$1005,B126)=0),"Not on Clients — will match a portal client by name",IF(AND(C126="GST",D126&lt;&gt;"",COUNTIF(Clients!$AN$5:$AN$1005,UPPER(D126))=0,COUNTIF(Clients!$G$5:$G$1005,"*"&amp;UPPER(D126)&amp;"*")=0),"GSTIN not on Clients — will be checked in the portal","✔ OK")))))</f>
        <v/>
      </c>
    </row>
    <row r="127">
      <c r="A127" s="38" t="n"/>
      <c r="B127" s="39" t="n"/>
      <c r="C127" s="39" t="n"/>
      <c r="D127" s="38" t="n"/>
      <c r="E127" s="38" t="n"/>
      <c r="F127" s="38" t="n"/>
      <c r="G127" s="37">
        <f>IF(COUNTA(A127:F127)=0,"",IF(A127="EXAMPLE","Example (skipped)",IF(OR(C127="",E127="",F127=""),"✖ Portal, User ID and Password are all needed",IF(AND(A127="",COUNTIF(Clients!$B$5:$B$1005,B127)=0),"Not on Clients — will match a portal client by name",IF(AND(C127="GST",D127&lt;&gt;"",COUNTIF(Clients!$AN$5:$AN$1005,UPPER(D127))=0,COUNTIF(Clients!$G$5:$G$1005,"*"&amp;UPPER(D127)&amp;"*")=0),"GSTIN not on Clients — will be checked in the portal","✔ OK")))))</f>
        <v/>
      </c>
    </row>
    <row r="128">
      <c r="A128" s="38" t="n"/>
      <c r="B128" s="39" t="n"/>
      <c r="C128" s="39" t="n"/>
      <c r="D128" s="38" t="n"/>
      <c r="E128" s="38" t="n"/>
      <c r="F128" s="38" t="n"/>
      <c r="G128" s="37">
        <f>IF(COUNTA(A128:F128)=0,"",IF(A128="EXAMPLE","Example (skipped)",IF(OR(C128="",E128="",F128=""),"✖ Portal, User ID and Password are all needed",IF(AND(A128="",COUNTIF(Clients!$B$5:$B$1005,B128)=0),"Not on Clients — will match a portal client by name",IF(AND(C128="GST",D128&lt;&gt;"",COUNTIF(Clients!$AN$5:$AN$1005,UPPER(D128))=0,COUNTIF(Clients!$G$5:$G$1005,"*"&amp;UPPER(D128)&amp;"*")=0),"GSTIN not on Clients — will be checked in the portal","✔ OK")))))</f>
        <v/>
      </c>
    </row>
    <row r="129">
      <c r="A129" s="38" t="n"/>
      <c r="B129" s="39" t="n"/>
      <c r="C129" s="39" t="n"/>
      <c r="D129" s="38" t="n"/>
      <c r="E129" s="38" t="n"/>
      <c r="F129" s="38" t="n"/>
      <c r="G129" s="37">
        <f>IF(COUNTA(A129:F129)=0,"",IF(A129="EXAMPLE","Example (skipped)",IF(OR(C129="",E129="",F129=""),"✖ Portal, User ID and Password are all needed",IF(AND(A129="",COUNTIF(Clients!$B$5:$B$1005,B129)=0),"Not on Clients — will match a portal client by name",IF(AND(C129="GST",D129&lt;&gt;"",COUNTIF(Clients!$AN$5:$AN$1005,UPPER(D129))=0,COUNTIF(Clients!$G$5:$G$1005,"*"&amp;UPPER(D129)&amp;"*")=0),"GSTIN not on Clients — will be checked in the portal","✔ OK")))))</f>
        <v/>
      </c>
    </row>
    <row r="130">
      <c r="A130" s="38" t="n"/>
      <c r="B130" s="39" t="n"/>
      <c r="C130" s="39" t="n"/>
      <c r="D130" s="38" t="n"/>
      <c r="E130" s="38" t="n"/>
      <c r="F130" s="38" t="n"/>
      <c r="G130" s="37">
        <f>IF(COUNTA(A130:F130)=0,"",IF(A130="EXAMPLE","Example (skipped)",IF(OR(C130="",E130="",F130=""),"✖ Portal, User ID and Password are all needed",IF(AND(A130="",COUNTIF(Clients!$B$5:$B$1005,B130)=0),"Not on Clients — will match a portal client by name",IF(AND(C130="GST",D130&lt;&gt;"",COUNTIF(Clients!$AN$5:$AN$1005,UPPER(D130))=0,COUNTIF(Clients!$G$5:$G$1005,"*"&amp;UPPER(D130)&amp;"*")=0),"GSTIN not on Clients — will be checked in the portal","✔ OK")))))</f>
        <v/>
      </c>
    </row>
    <row r="131">
      <c r="A131" s="38" t="n"/>
      <c r="B131" s="39" t="n"/>
      <c r="C131" s="39" t="n"/>
      <c r="D131" s="38" t="n"/>
      <c r="E131" s="38" t="n"/>
      <c r="F131" s="38" t="n"/>
      <c r="G131" s="37">
        <f>IF(COUNTA(A131:F131)=0,"",IF(A131="EXAMPLE","Example (skipped)",IF(OR(C131="",E131="",F131=""),"✖ Portal, User ID and Password are all needed",IF(AND(A131="",COUNTIF(Clients!$B$5:$B$1005,B131)=0),"Not on Clients — will match a portal client by name",IF(AND(C131="GST",D131&lt;&gt;"",COUNTIF(Clients!$AN$5:$AN$1005,UPPER(D131))=0,COUNTIF(Clients!$G$5:$G$1005,"*"&amp;UPPER(D131)&amp;"*")=0),"GSTIN not on Clients — will be checked in the portal","✔ OK")))))</f>
        <v/>
      </c>
    </row>
    <row r="132">
      <c r="A132" s="38" t="n"/>
      <c r="B132" s="39" t="n"/>
      <c r="C132" s="39" t="n"/>
      <c r="D132" s="38" t="n"/>
      <c r="E132" s="38" t="n"/>
      <c r="F132" s="38" t="n"/>
      <c r="G132" s="37">
        <f>IF(COUNTA(A132:F132)=0,"",IF(A132="EXAMPLE","Example (skipped)",IF(OR(C132="",E132="",F132=""),"✖ Portal, User ID and Password are all needed",IF(AND(A132="",COUNTIF(Clients!$B$5:$B$1005,B132)=0),"Not on Clients — will match a portal client by name",IF(AND(C132="GST",D132&lt;&gt;"",COUNTIF(Clients!$AN$5:$AN$1005,UPPER(D132))=0,COUNTIF(Clients!$G$5:$G$1005,"*"&amp;UPPER(D132)&amp;"*")=0),"GSTIN not on Clients — will be checked in the portal","✔ OK")))))</f>
        <v/>
      </c>
    </row>
    <row r="133">
      <c r="A133" s="38" t="n"/>
      <c r="B133" s="39" t="n"/>
      <c r="C133" s="39" t="n"/>
      <c r="D133" s="38" t="n"/>
      <c r="E133" s="38" t="n"/>
      <c r="F133" s="38" t="n"/>
      <c r="G133" s="37">
        <f>IF(COUNTA(A133:F133)=0,"",IF(A133="EXAMPLE","Example (skipped)",IF(OR(C133="",E133="",F133=""),"✖ Portal, User ID and Password are all needed",IF(AND(A133="",COUNTIF(Clients!$B$5:$B$1005,B133)=0),"Not on Clients — will match a portal client by name",IF(AND(C133="GST",D133&lt;&gt;"",COUNTIF(Clients!$AN$5:$AN$1005,UPPER(D133))=0,COUNTIF(Clients!$G$5:$G$1005,"*"&amp;UPPER(D133)&amp;"*")=0),"GSTIN not on Clients — will be checked in the portal","✔ OK")))))</f>
        <v/>
      </c>
    </row>
    <row r="134">
      <c r="A134" s="38" t="n"/>
      <c r="B134" s="39" t="n"/>
      <c r="C134" s="39" t="n"/>
      <c r="D134" s="38" t="n"/>
      <c r="E134" s="38" t="n"/>
      <c r="F134" s="38" t="n"/>
      <c r="G134" s="37">
        <f>IF(COUNTA(A134:F134)=0,"",IF(A134="EXAMPLE","Example (skipped)",IF(OR(C134="",E134="",F134=""),"✖ Portal, User ID and Password are all needed",IF(AND(A134="",COUNTIF(Clients!$B$5:$B$1005,B134)=0),"Not on Clients — will match a portal client by name",IF(AND(C134="GST",D134&lt;&gt;"",COUNTIF(Clients!$AN$5:$AN$1005,UPPER(D134))=0,COUNTIF(Clients!$G$5:$G$1005,"*"&amp;UPPER(D134)&amp;"*")=0),"GSTIN not on Clients — will be checked in the portal","✔ OK")))))</f>
        <v/>
      </c>
    </row>
    <row r="135">
      <c r="A135" s="38" t="n"/>
      <c r="B135" s="39" t="n"/>
      <c r="C135" s="39" t="n"/>
      <c r="D135" s="38" t="n"/>
      <c r="E135" s="38" t="n"/>
      <c r="F135" s="38" t="n"/>
      <c r="G135" s="37">
        <f>IF(COUNTA(A135:F135)=0,"",IF(A135="EXAMPLE","Example (skipped)",IF(OR(C135="",E135="",F135=""),"✖ Portal, User ID and Password are all needed",IF(AND(A135="",COUNTIF(Clients!$B$5:$B$1005,B135)=0),"Not on Clients — will match a portal client by name",IF(AND(C135="GST",D135&lt;&gt;"",COUNTIF(Clients!$AN$5:$AN$1005,UPPER(D135))=0,COUNTIF(Clients!$G$5:$G$1005,"*"&amp;UPPER(D135)&amp;"*")=0),"GSTIN not on Clients — will be checked in the portal","✔ OK")))))</f>
        <v/>
      </c>
    </row>
    <row r="136">
      <c r="A136" s="38" t="n"/>
      <c r="B136" s="39" t="n"/>
      <c r="C136" s="39" t="n"/>
      <c r="D136" s="38" t="n"/>
      <c r="E136" s="38" t="n"/>
      <c r="F136" s="38" t="n"/>
      <c r="G136" s="37">
        <f>IF(COUNTA(A136:F136)=0,"",IF(A136="EXAMPLE","Example (skipped)",IF(OR(C136="",E136="",F136=""),"✖ Portal, User ID and Password are all needed",IF(AND(A136="",COUNTIF(Clients!$B$5:$B$1005,B136)=0),"Not on Clients — will match a portal client by name",IF(AND(C136="GST",D136&lt;&gt;"",COUNTIF(Clients!$AN$5:$AN$1005,UPPER(D136))=0,COUNTIF(Clients!$G$5:$G$1005,"*"&amp;UPPER(D136)&amp;"*")=0),"GSTIN not on Clients — will be checked in the portal","✔ OK")))))</f>
        <v/>
      </c>
    </row>
    <row r="137">
      <c r="A137" s="38" t="n"/>
      <c r="B137" s="39" t="n"/>
      <c r="C137" s="39" t="n"/>
      <c r="D137" s="38" t="n"/>
      <c r="E137" s="38" t="n"/>
      <c r="F137" s="38" t="n"/>
      <c r="G137" s="37">
        <f>IF(COUNTA(A137:F137)=0,"",IF(A137="EXAMPLE","Example (skipped)",IF(OR(C137="",E137="",F137=""),"✖ Portal, User ID and Password are all needed",IF(AND(A137="",COUNTIF(Clients!$B$5:$B$1005,B137)=0),"Not on Clients — will match a portal client by name",IF(AND(C137="GST",D137&lt;&gt;"",COUNTIF(Clients!$AN$5:$AN$1005,UPPER(D137))=0,COUNTIF(Clients!$G$5:$G$1005,"*"&amp;UPPER(D137)&amp;"*")=0),"GSTIN not on Clients — will be checked in the portal","✔ OK")))))</f>
        <v/>
      </c>
    </row>
    <row r="138">
      <c r="A138" s="38" t="n"/>
      <c r="B138" s="39" t="n"/>
      <c r="C138" s="39" t="n"/>
      <c r="D138" s="38" t="n"/>
      <c r="E138" s="38" t="n"/>
      <c r="F138" s="38" t="n"/>
      <c r="G138" s="37">
        <f>IF(COUNTA(A138:F138)=0,"",IF(A138="EXAMPLE","Example (skipped)",IF(OR(C138="",E138="",F138=""),"✖ Portal, User ID and Password are all needed",IF(AND(A138="",COUNTIF(Clients!$B$5:$B$1005,B138)=0),"Not on Clients — will match a portal client by name",IF(AND(C138="GST",D138&lt;&gt;"",COUNTIF(Clients!$AN$5:$AN$1005,UPPER(D138))=0,COUNTIF(Clients!$G$5:$G$1005,"*"&amp;UPPER(D138)&amp;"*")=0),"GSTIN not on Clients — will be checked in the portal","✔ OK")))))</f>
        <v/>
      </c>
    </row>
    <row r="139">
      <c r="A139" s="38" t="n"/>
      <c r="B139" s="39" t="n"/>
      <c r="C139" s="39" t="n"/>
      <c r="D139" s="38" t="n"/>
      <c r="E139" s="38" t="n"/>
      <c r="F139" s="38" t="n"/>
      <c r="G139" s="37">
        <f>IF(COUNTA(A139:F139)=0,"",IF(A139="EXAMPLE","Example (skipped)",IF(OR(C139="",E139="",F139=""),"✖ Portal, User ID and Password are all needed",IF(AND(A139="",COUNTIF(Clients!$B$5:$B$1005,B139)=0),"Not on Clients — will match a portal client by name",IF(AND(C139="GST",D139&lt;&gt;"",COUNTIF(Clients!$AN$5:$AN$1005,UPPER(D139))=0,COUNTIF(Clients!$G$5:$G$1005,"*"&amp;UPPER(D139)&amp;"*")=0),"GSTIN not on Clients — will be checked in the portal","✔ OK")))))</f>
        <v/>
      </c>
    </row>
    <row r="140">
      <c r="A140" s="38" t="n"/>
      <c r="B140" s="39" t="n"/>
      <c r="C140" s="39" t="n"/>
      <c r="D140" s="38" t="n"/>
      <c r="E140" s="38" t="n"/>
      <c r="F140" s="38" t="n"/>
      <c r="G140" s="37">
        <f>IF(COUNTA(A140:F140)=0,"",IF(A140="EXAMPLE","Example (skipped)",IF(OR(C140="",E140="",F140=""),"✖ Portal, User ID and Password are all needed",IF(AND(A140="",COUNTIF(Clients!$B$5:$B$1005,B140)=0),"Not on Clients — will match a portal client by name",IF(AND(C140="GST",D140&lt;&gt;"",COUNTIF(Clients!$AN$5:$AN$1005,UPPER(D140))=0,COUNTIF(Clients!$G$5:$G$1005,"*"&amp;UPPER(D140)&amp;"*")=0),"GSTIN not on Clients — will be checked in the portal","✔ OK")))))</f>
        <v/>
      </c>
    </row>
    <row r="141">
      <c r="A141" s="38" t="n"/>
      <c r="B141" s="39" t="n"/>
      <c r="C141" s="39" t="n"/>
      <c r="D141" s="38" t="n"/>
      <c r="E141" s="38" t="n"/>
      <c r="F141" s="38" t="n"/>
      <c r="G141" s="37">
        <f>IF(COUNTA(A141:F141)=0,"",IF(A141="EXAMPLE","Example (skipped)",IF(OR(C141="",E141="",F141=""),"✖ Portal, User ID and Password are all needed",IF(AND(A141="",COUNTIF(Clients!$B$5:$B$1005,B141)=0),"Not on Clients — will match a portal client by name",IF(AND(C141="GST",D141&lt;&gt;"",COUNTIF(Clients!$AN$5:$AN$1005,UPPER(D141))=0,COUNTIF(Clients!$G$5:$G$1005,"*"&amp;UPPER(D141)&amp;"*")=0),"GSTIN not on Clients — will be checked in the portal","✔ OK")))))</f>
        <v/>
      </c>
    </row>
    <row r="142">
      <c r="A142" s="38" t="n"/>
      <c r="B142" s="39" t="n"/>
      <c r="C142" s="39" t="n"/>
      <c r="D142" s="38" t="n"/>
      <c r="E142" s="38" t="n"/>
      <c r="F142" s="38" t="n"/>
      <c r="G142" s="37">
        <f>IF(COUNTA(A142:F142)=0,"",IF(A142="EXAMPLE","Example (skipped)",IF(OR(C142="",E142="",F142=""),"✖ Portal, User ID and Password are all needed",IF(AND(A142="",COUNTIF(Clients!$B$5:$B$1005,B142)=0),"Not on Clients — will match a portal client by name",IF(AND(C142="GST",D142&lt;&gt;"",COUNTIF(Clients!$AN$5:$AN$1005,UPPER(D142))=0,COUNTIF(Clients!$G$5:$G$1005,"*"&amp;UPPER(D142)&amp;"*")=0),"GSTIN not on Clients — will be checked in the portal","✔ OK")))))</f>
        <v/>
      </c>
    </row>
    <row r="143">
      <c r="A143" s="38" t="n"/>
      <c r="B143" s="39" t="n"/>
      <c r="C143" s="39" t="n"/>
      <c r="D143" s="38" t="n"/>
      <c r="E143" s="38" t="n"/>
      <c r="F143" s="38" t="n"/>
      <c r="G143" s="37">
        <f>IF(COUNTA(A143:F143)=0,"",IF(A143="EXAMPLE","Example (skipped)",IF(OR(C143="",E143="",F143=""),"✖ Portal, User ID and Password are all needed",IF(AND(A143="",COUNTIF(Clients!$B$5:$B$1005,B143)=0),"Not on Clients — will match a portal client by name",IF(AND(C143="GST",D143&lt;&gt;"",COUNTIF(Clients!$AN$5:$AN$1005,UPPER(D143))=0,COUNTIF(Clients!$G$5:$G$1005,"*"&amp;UPPER(D143)&amp;"*")=0),"GSTIN not on Clients — will be checked in the portal","✔ OK")))))</f>
        <v/>
      </c>
    </row>
    <row r="144">
      <c r="A144" s="38" t="n"/>
      <c r="B144" s="39" t="n"/>
      <c r="C144" s="39" t="n"/>
      <c r="D144" s="38" t="n"/>
      <c r="E144" s="38" t="n"/>
      <c r="F144" s="38" t="n"/>
      <c r="G144" s="37">
        <f>IF(COUNTA(A144:F144)=0,"",IF(A144="EXAMPLE","Example (skipped)",IF(OR(C144="",E144="",F144=""),"✖ Portal, User ID and Password are all needed",IF(AND(A144="",COUNTIF(Clients!$B$5:$B$1005,B144)=0),"Not on Clients — will match a portal client by name",IF(AND(C144="GST",D144&lt;&gt;"",COUNTIF(Clients!$AN$5:$AN$1005,UPPER(D144))=0,COUNTIF(Clients!$G$5:$G$1005,"*"&amp;UPPER(D144)&amp;"*")=0),"GSTIN not on Clients — will be checked in the portal","✔ OK")))))</f>
        <v/>
      </c>
    </row>
    <row r="145">
      <c r="A145" s="38" t="n"/>
      <c r="B145" s="39" t="n"/>
      <c r="C145" s="39" t="n"/>
      <c r="D145" s="38" t="n"/>
      <c r="E145" s="38" t="n"/>
      <c r="F145" s="38" t="n"/>
      <c r="G145" s="37">
        <f>IF(COUNTA(A145:F145)=0,"",IF(A145="EXAMPLE","Example (skipped)",IF(OR(C145="",E145="",F145=""),"✖ Portal, User ID and Password are all needed",IF(AND(A145="",COUNTIF(Clients!$B$5:$B$1005,B145)=0),"Not on Clients — will match a portal client by name",IF(AND(C145="GST",D145&lt;&gt;"",COUNTIF(Clients!$AN$5:$AN$1005,UPPER(D145))=0,COUNTIF(Clients!$G$5:$G$1005,"*"&amp;UPPER(D145)&amp;"*")=0),"GSTIN not on Clients — will be checked in the portal","✔ OK")))))</f>
        <v/>
      </c>
    </row>
    <row r="146">
      <c r="A146" s="38" t="n"/>
      <c r="B146" s="39" t="n"/>
      <c r="C146" s="39" t="n"/>
      <c r="D146" s="38" t="n"/>
      <c r="E146" s="38" t="n"/>
      <c r="F146" s="38" t="n"/>
      <c r="G146" s="37">
        <f>IF(COUNTA(A146:F146)=0,"",IF(A146="EXAMPLE","Example (skipped)",IF(OR(C146="",E146="",F146=""),"✖ Portal, User ID and Password are all needed",IF(AND(A146="",COUNTIF(Clients!$B$5:$B$1005,B146)=0),"Not on Clients — will match a portal client by name",IF(AND(C146="GST",D146&lt;&gt;"",COUNTIF(Clients!$AN$5:$AN$1005,UPPER(D146))=0,COUNTIF(Clients!$G$5:$G$1005,"*"&amp;UPPER(D146)&amp;"*")=0),"GSTIN not on Clients — will be checked in the portal","✔ OK")))))</f>
        <v/>
      </c>
    </row>
    <row r="147">
      <c r="A147" s="38" t="n"/>
      <c r="B147" s="39" t="n"/>
      <c r="C147" s="39" t="n"/>
      <c r="D147" s="38" t="n"/>
      <c r="E147" s="38" t="n"/>
      <c r="F147" s="38" t="n"/>
      <c r="G147" s="37">
        <f>IF(COUNTA(A147:F147)=0,"",IF(A147="EXAMPLE","Example (skipped)",IF(OR(C147="",E147="",F147=""),"✖ Portal, User ID and Password are all needed",IF(AND(A147="",COUNTIF(Clients!$B$5:$B$1005,B147)=0),"Not on Clients — will match a portal client by name",IF(AND(C147="GST",D147&lt;&gt;"",COUNTIF(Clients!$AN$5:$AN$1005,UPPER(D147))=0,COUNTIF(Clients!$G$5:$G$1005,"*"&amp;UPPER(D147)&amp;"*")=0),"GSTIN not on Clients — will be checked in the portal","✔ OK")))))</f>
        <v/>
      </c>
    </row>
    <row r="148">
      <c r="A148" s="38" t="n"/>
      <c r="B148" s="39" t="n"/>
      <c r="C148" s="39" t="n"/>
      <c r="D148" s="38" t="n"/>
      <c r="E148" s="38" t="n"/>
      <c r="F148" s="38" t="n"/>
      <c r="G148" s="37">
        <f>IF(COUNTA(A148:F148)=0,"",IF(A148="EXAMPLE","Example (skipped)",IF(OR(C148="",E148="",F148=""),"✖ Portal, User ID and Password are all needed",IF(AND(A148="",COUNTIF(Clients!$B$5:$B$1005,B148)=0),"Not on Clients — will match a portal client by name",IF(AND(C148="GST",D148&lt;&gt;"",COUNTIF(Clients!$AN$5:$AN$1005,UPPER(D148))=0,COUNTIF(Clients!$G$5:$G$1005,"*"&amp;UPPER(D148)&amp;"*")=0),"GSTIN not on Clients — will be checked in the portal","✔ OK")))))</f>
        <v/>
      </c>
    </row>
    <row r="149">
      <c r="A149" s="38" t="n"/>
      <c r="B149" s="39" t="n"/>
      <c r="C149" s="39" t="n"/>
      <c r="D149" s="38" t="n"/>
      <c r="E149" s="38" t="n"/>
      <c r="F149" s="38" t="n"/>
      <c r="G149" s="37">
        <f>IF(COUNTA(A149:F149)=0,"",IF(A149="EXAMPLE","Example (skipped)",IF(OR(C149="",E149="",F149=""),"✖ Portal, User ID and Password are all needed",IF(AND(A149="",COUNTIF(Clients!$B$5:$B$1005,B149)=0),"Not on Clients — will match a portal client by name",IF(AND(C149="GST",D149&lt;&gt;"",COUNTIF(Clients!$AN$5:$AN$1005,UPPER(D149))=0,COUNTIF(Clients!$G$5:$G$1005,"*"&amp;UPPER(D149)&amp;"*")=0),"GSTIN not on Clients — will be checked in the portal","✔ OK")))))</f>
        <v/>
      </c>
    </row>
    <row r="150">
      <c r="A150" s="38" t="n"/>
      <c r="B150" s="39" t="n"/>
      <c r="C150" s="39" t="n"/>
      <c r="D150" s="38" t="n"/>
      <c r="E150" s="38" t="n"/>
      <c r="F150" s="38" t="n"/>
      <c r="G150" s="37">
        <f>IF(COUNTA(A150:F150)=0,"",IF(A150="EXAMPLE","Example (skipped)",IF(OR(C150="",E150="",F150=""),"✖ Portal, User ID and Password are all needed",IF(AND(A150="",COUNTIF(Clients!$B$5:$B$1005,B150)=0),"Not on Clients — will match a portal client by name",IF(AND(C150="GST",D150&lt;&gt;"",COUNTIF(Clients!$AN$5:$AN$1005,UPPER(D150))=0,COUNTIF(Clients!$G$5:$G$1005,"*"&amp;UPPER(D150)&amp;"*")=0),"GSTIN not on Clients — will be checked in the portal","✔ OK")))))</f>
        <v/>
      </c>
    </row>
    <row r="151">
      <c r="A151" s="38" t="n"/>
      <c r="B151" s="39" t="n"/>
      <c r="C151" s="39" t="n"/>
      <c r="D151" s="38" t="n"/>
      <c r="E151" s="38" t="n"/>
      <c r="F151" s="38" t="n"/>
      <c r="G151" s="37">
        <f>IF(COUNTA(A151:F151)=0,"",IF(A151="EXAMPLE","Example (skipped)",IF(OR(C151="",E151="",F151=""),"✖ Portal, User ID and Password are all needed",IF(AND(A151="",COUNTIF(Clients!$B$5:$B$1005,B151)=0),"Not on Clients — will match a portal client by name",IF(AND(C151="GST",D151&lt;&gt;"",COUNTIF(Clients!$AN$5:$AN$1005,UPPER(D151))=0,COUNTIF(Clients!$G$5:$G$1005,"*"&amp;UPPER(D151)&amp;"*")=0),"GSTIN not on Clients — will be checked in the portal","✔ OK")))))</f>
        <v/>
      </c>
    </row>
    <row r="152">
      <c r="A152" s="38" t="n"/>
      <c r="B152" s="39" t="n"/>
      <c r="C152" s="39" t="n"/>
      <c r="D152" s="38" t="n"/>
      <c r="E152" s="38" t="n"/>
      <c r="F152" s="38" t="n"/>
      <c r="G152" s="37">
        <f>IF(COUNTA(A152:F152)=0,"",IF(A152="EXAMPLE","Example (skipped)",IF(OR(C152="",E152="",F152=""),"✖ Portal, User ID and Password are all needed",IF(AND(A152="",COUNTIF(Clients!$B$5:$B$1005,B152)=0),"Not on Clients — will match a portal client by name",IF(AND(C152="GST",D152&lt;&gt;"",COUNTIF(Clients!$AN$5:$AN$1005,UPPER(D152))=0,COUNTIF(Clients!$G$5:$G$1005,"*"&amp;UPPER(D152)&amp;"*")=0),"GSTIN not on Clients — will be checked in the portal","✔ OK")))))</f>
        <v/>
      </c>
    </row>
    <row r="153">
      <c r="A153" s="38" t="n"/>
      <c r="B153" s="39" t="n"/>
      <c r="C153" s="39" t="n"/>
      <c r="D153" s="38" t="n"/>
      <c r="E153" s="38" t="n"/>
      <c r="F153" s="38" t="n"/>
      <c r="G153" s="37">
        <f>IF(COUNTA(A153:F153)=0,"",IF(A153="EXAMPLE","Example (skipped)",IF(OR(C153="",E153="",F153=""),"✖ Portal, User ID and Password are all needed",IF(AND(A153="",COUNTIF(Clients!$B$5:$B$1005,B153)=0),"Not on Clients — will match a portal client by name",IF(AND(C153="GST",D153&lt;&gt;"",COUNTIF(Clients!$AN$5:$AN$1005,UPPER(D153))=0,COUNTIF(Clients!$G$5:$G$1005,"*"&amp;UPPER(D153)&amp;"*")=0),"GSTIN not on Clients — will be checked in the portal","✔ OK")))))</f>
        <v/>
      </c>
    </row>
    <row r="154">
      <c r="A154" s="38" t="n"/>
      <c r="B154" s="39" t="n"/>
      <c r="C154" s="39" t="n"/>
      <c r="D154" s="38" t="n"/>
      <c r="E154" s="38" t="n"/>
      <c r="F154" s="38" t="n"/>
      <c r="G154" s="37">
        <f>IF(COUNTA(A154:F154)=0,"",IF(A154="EXAMPLE","Example (skipped)",IF(OR(C154="",E154="",F154=""),"✖ Portal, User ID and Password are all needed",IF(AND(A154="",COUNTIF(Clients!$B$5:$B$1005,B154)=0),"Not on Clients — will match a portal client by name",IF(AND(C154="GST",D154&lt;&gt;"",COUNTIF(Clients!$AN$5:$AN$1005,UPPER(D154))=0,COUNTIF(Clients!$G$5:$G$1005,"*"&amp;UPPER(D154)&amp;"*")=0),"GSTIN not on Clients — will be checked in the portal","✔ OK")))))</f>
        <v/>
      </c>
    </row>
    <row r="155">
      <c r="A155" s="38" t="n"/>
      <c r="B155" s="39" t="n"/>
      <c r="C155" s="39" t="n"/>
      <c r="D155" s="38" t="n"/>
      <c r="E155" s="38" t="n"/>
      <c r="F155" s="38" t="n"/>
      <c r="G155" s="37">
        <f>IF(COUNTA(A155:F155)=0,"",IF(A155="EXAMPLE","Example (skipped)",IF(OR(C155="",E155="",F155=""),"✖ Portal, User ID and Password are all needed",IF(AND(A155="",COUNTIF(Clients!$B$5:$B$1005,B155)=0),"Not on Clients — will match a portal client by name",IF(AND(C155="GST",D155&lt;&gt;"",COUNTIF(Clients!$AN$5:$AN$1005,UPPER(D155))=0,COUNTIF(Clients!$G$5:$G$1005,"*"&amp;UPPER(D155)&amp;"*")=0),"GSTIN not on Clients — will be checked in the portal","✔ OK")))))</f>
        <v/>
      </c>
    </row>
    <row r="156">
      <c r="A156" s="38" t="n"/>
      <c r="B156" s="39" t="n"/>
      <c r="C156" s="39" t="n"/>
      <c r="D156" s="38" t="n"/>
      <c r="E156" s="38" t="n"/>
      <c r="F156" s="38" t="n"/>
      <c r="G156" s="37">
        <f>IF(COUNTA(A156:F156)=0,"",IF(A156="EXAMPLE","Example (skipped)",IF(OR(C156="",E156="",F156=""),"✖ Portal, User ID and Password are all needed",IF(AND(A156="",COUNTIF(Clients!$B$5:$B$1005,B156)=0),"Not on Clients — will match a portal client by name",IF(AND(C156="GST",D156&lt;&gt;"",COUNTIF(Clients!$AN$5:$AN$1005,UPPER(D156))=0,COUNTIF(Clients!$G$5:$G$1005,"*"&amp;UPPER(D156)&amp;"*")=0),"GSTIN not on Clients — will be checked in the portal","✔ OK")))))</f>
        <v/>
      </c>
    </row>
    <row r="157">
      <c r="A157" s="38" t="n"/>
      <c r="B157" s="39" t="n"/>
      <c r="C157" s="39" t="n"/>
      <c r="D157" s="38" t="n"/>
      <c r="E157" s="38" t="n"/>
      <c r="F157" s="38" t="n"/>
      <c r="G157" s="37">
        <f>IF(COUNTA(A157:F157)=0,"",IF(A157="EXAMPLE","Example (skipped)",IF(OR(C157="",E157="",F157=""),"✖ Portal, User ID and Password are all needed",IF(AND(A157="",COUNTIF(Clients!$B$5:$B$1005,B157)=0),"Not on Clients — will match a portal client by name",IF(AND(C157="GST",D157&lt;&gt;"",COUNTIF(Clients!$AN$5:$AN$1005,UPPER(D157))=0,COUNTIF(Clients!$G$5:$G$1005,"*"&amp;UPPER(D157)&amp;"*")=0),"GSTIN not on Clients — will be checked in the portal","✔ OK")))))</f>
        <v/>
      </c>
    </row>
    <row r="158">
      <c r="A158" s="38" t="n"/>
      <c r="B158" s="39" t="n"/>
      <c r="C158" s="39" t="n"/>
      <c r="D158" s="38" t="n"/>
      <c r="E158" s="38" t="n"/>
      <c r="F158" s="38" t="n"/>
      <c r="G158" s="37">
        <f>IF(COUNTA(A158:F158)=0,"",IF(A158="EXAMPLE","Example (skipped)",IF(OR(C158="",E158="",F158=""),"✖ Portal, User ID and Password are all needed",IF(AND(A158="",COUNTIF(Clients!$B$5:$B$1005,B158)=0),"Not on Clients — will match a portal client by name",IF(AND(C158="GST",D158&lt;&gt;"",COUNTIF(Clients!$AN$5:$AN$1005,UPPER(D158))=0,COUNTIF(Clients!$G$5:$G$1005,"*"&amp;UPPER(D158)&amp;"*")=0),"GSTIN not on Clients — will be checked in the portal","✔ OK")))))</f>
        <v/>
      </c>
    </row>
    <row r="159">
      <c r="A159" s="38" t="n"/>
      <c r="B159" s="39" t="n"/>
      <c r="C159" s="39" t="n"/>
      <c r="D159" s="38" t="n"/>
      <c r="E159" s="38" t="n"/>
      <c r="F159" s="38" t="n"/>
      <c r="G159" s="37">
        <f>IF(COUNTA(A159:F159)=0,"",IF(A159="EXAMPLE","Example (skipped)",IF(OR(C159="",E159="",F159=""),"✖ Portal, User ID and Password are all needed",IF(AND(A159="",COUNTIF(Clients!$B$5:$B$1005,B159)=0),"Not on Clients — will match a portal client by name",IF(AND(C159="GST",D159&lt;&gt;"",COUNTIF(Clients!$AN$5:$AN$1005,UPPER(D159))=0,COUNTIF(Clients!$G$5:$G$1005,"*"&amp;UPPER(D159)&amp;"*")=0),"GSTIN not on Clients — will be checked in the portal","✔ OK")))))</f>
        <v/>
      </c>
    </row>
    <row r="160">
      <c r="A160" s="38" t="n"/>
      <c r="B160" s="39" t="n"/>
      <c r="C160" s="39" t="n"/>
      <c r="D160" s="38" t="n"/>
      <c r="E160" s="38" t="n"/>
      <c r="F160" s="38" t="n"/>
      <c r="G160" s="37">
        <f>IF(COUNTA(A160:F160)=0,"",IF(A160="EXAMPLE","Example (skipped)",IF(OR(C160="",E160="",F160=""),"✖ Portal, User ID and Password are all needed",IF(AND(A160="",COUNTIF(Clients!$B$5:$B$1005,B160)=0),"Not on Clients — will match a portal client by name",IF(AND(C160="GST",D160&lt;&gt;"",COUNTIF(Clients!$AN$5:$AN$1005,UPPER(D160))=0,COUNTIF(Clients!$G$5:$G$1005,"*"&amp;UPPER(D160)&amp;"*")=0),"GSTIN not on Clients — will be checked in the portal","✔ OK")))))</f>
        <v/>
      </c>
    </row>
    <row r="161">
      <c r="A161" s="38" t="n"/>
      <c r="B161" s="39" t="n"/>
      <c r="C161" s="39" t="n"/>
      <c r="D161" s="38" t="n"/>
      <c r="E161" s="38" t="n"/>
      <c r="F161" s="38" t="n"/>
      <c r="G161" s="37">
        <f>IF(COUNTA(A161:F161)=0,"",IF(A161="EXAMPLE","Example (skipped)",IF(OR(C161="",E161="",F161=""),"✖ Portal, User ID and Password are all needed",IF(AND(A161="",COUNTIF(Clients!$B$5:$B$1005,B161)=0),"Not on Clients — will match a portal client by name",IF(AND(C161="GST",D161&lt;&gt;"",COUNTIF(Clients!$AN$5:$AN$1005,UPPER(D161))=0,COUNTIF(Clients!$G$5:$G$1005,"*"&amp;UPPER(D161)&amp;"*")=0),"GSTIN not on Clients — will be checked in the portal","✔ OK")))))</f>
        <v/>
      </c>
    </row>
    <row r="162">
      <c r="A162" s="38" t="n"/>
      <c r="B162" s="39" t="n"/>
      <c r="C162" s="39" t="n"/>
      <c r="D162" s="38" t="n"/>
      <c r="E162" s="38" t="n"/>
      <c r="F162" s="38" t="n"/>
      <c r="G162" s="37">
        <f>IF(COUNTA(A162:F162)=0,"",IF(A162="EXAMPLE","Example (skipped)",IF(OR(C162="",E162="",F162=""),"✖ Portal, User ID and Password are all needed",IF(AND(A162="",COUNTIF(Clients!$B$5:$B$1005,B162)=0),"Not on Clients — will match a portal client by name",IF(AND(C162="GST",D162&lt;&gt;"",COUNTIF(Clients!$AN$5:$AN$1005,UPPER(D162))=0,COUNTIF(Clients!$G$5:$G$1005,"*"&amp;UPPER(D162)&amp;"*")=0),"GSTIN not on Clients — will be checked in the portal","✔ OK")))))</f>
        <v/>
      </c>
    </row>
    <row r="163">
      <c r="A163" s="38" t="n"/>
      <c r="B163" s="39" t="n"/>
      <c r="C163" s="39" t="n"/>
      <c r="D163" s="38" t="n"/>
      <c r="E163" s="38" t="n"/>
      <c r="F163" s="38" t="n"/>
      <c r="G163" s="37">
        <f>IF(COUNTA(A163:F163)=0,"",IF(A163="EXAMPLE","Example (skipped)",IF(OR(C163="",E163="",F163=""),"✖ Portal, User ID and Password are all needed",IF(AND(A163="",COUNTIF(Clients!$B$5:$B$1005,B163)=0),"Not on Clients — will match a portal client by name",IF(AND(C163="GST",D163&lt;&gt;"",COUNTIF(Clients!$AN$5:$AN$1005,UPPER(D163))=0,COUNTIF(Clients!$G$5:$G$1005,"*"&amp;UPPER(D163)&amp;"*")=0),"GSTIN not on Clients — will be checked in the portal","✔ OK")))))</f>
        <v/>
      </c>
    </row>
    <row r="164">
      <c r="A164" s="38" t="n"/>
      <c r="B164" s="39" t="n"/>
      <c r="C164" s="39" t="n"/>
      <c r="D164" s="38" t="n"/>
      <c r="E164" s="38" t="n"/>
      <c r="F164" s="38" t="n"/>
      <c r="G164" s="37">
        <f>IF(COUNTA(A164:F164)=0,"",IF(A164="EXAMPLE","Example (skipped)",IF(OR(C164="",E164="",F164=""),"✖ Portal, User ID and Password are all needed",IF(AND(A164="",COUNTIF(Clients!$B$5:$B$1005,B164)=0),"Not on Clients — will match a portal client by name",IF(AND(C164="GST",D164&lt;&gt;"",COUNTIF(Clients!$AN$5:$AN$1005,UPPER(D164))=0,COUNTIF(Clients!$G$5:$G$1005,"*"&amp;UPPER(D164)&amp;"*")=0),"GSTIN not on Clients — will be checked in the portal","✔ OK")))))</f>
        <v/>
      </c>
    </row>
    <row r="165">
      <c r="A165" s="38" t="n"/>
      <c r="B165" s="39" t="n"/>
      <c r="C165" s="39" t="n"/>
      <c r="D165" s="38" t="n"/>
      <c r="E165" s="38" t="n"/>
      <c r="F165" s="38" t="n"/>
      <c r="G165" s="37">
        <f>IF(COUNTA(A165:F165)=0,"",IF(A165="EXAMPLE","Example (skipped)",IF(OR(C165="",E165="",F165=""),"✖ Portal, User ID and Password are all needed",IF(AND(A165="",COUNTIF(Clients!$B$5:$B$1005,B165)=0),"Not on Clients — will match a portal client by name",IF(AND(C165="GST",D165&lt;&gt;"",COUNTIF(Clients!$AN$5:$AN$1005,UPPER(D165))=0,COUNTIF(Clients!$G$5:$G$1005,"*"&amp;UPPER(D165)&amp;"*")=0),"GSTIN not on Clients — will be checked in the portal","✔ OK")))))</f>
        <v/>
      </c>
    </row>
    <row r="166">
      <c r="A166" s="38" t="n"/>
      <c r="B166" s="39" t="n"/>
      <c r="C166" s="39" t="n"/>
      <c r="D166" s="38" t="n"/>
      <c r="E166" s="38" t="n"/>
      <c r="F166" s="38" t="n"/>
      <c r="G166" s="37">
        <f>IF(COUNTA(A166:F166)=0,"",IF(A166="EXAMPLE","Example (skipped)",IF(OR(C166="",E166="",F166=""),"✖ Portal, User ID and Password are all needed",IF(AND(A166="",COUNTIF(Clients!$B$5:$B$1005,B166)=0),"Not on Clients — will match a portal client by name",IF(AND(C166="GST",D166&lt;&gt;"",COUNTIF(Clients!$AN$5:$AN$1005,UPPER(D166))=0,COUNTIF(Clients!$G$5:$G$1005,"*"&amp;UPPER(D166)&amp;"*")=0),"GSTIN not on Clients — will be checked in the portal","✔ OK")))))</f>
        <v/>
      </c>
    </row>
    <row r="167">
      <c r="A167" s="38" t="n"/>
      <c r="B167" s="39" t="n"/>
      <c r="C167" s="39" t="n"/>
      <c r="D167" s="38" t="n"/>
      <c r="E167" s="38" t="n"/>
      <c r="F167" s="38" t="n"/>
      <c r="G167" s="37">
        <f>IF(COUNTA(A167:F167)=0,"",IF(A167="EXAMPLE","Example (skipped)",IF(OR(C167="",E167="",F167=""),"✖ Portal, User ID and Password are all needed",IF(AND(A167="",COUNTIF(Clients!$B$5:$B$1005,B167)=0),"Not on Clients — will match a portal client by name",IF(AND(C167="GST",D167&lt;&gt;"",COUNTIF(Clients!$AN$5:$AN$1005,UPPER(D167))=0,COUNTIF(Clients!$G$5:$G$1005,"*"&amp;UPPER(D167)&amp;"*")=0),"GSTIN not on Clients — will be checked in the portal","✔ OK")))))</f>
        <v/>
      </c>
    </row>
    <row r="168">
      <c r="A168" s="38" t="n"/>
      <c r="B168" s="39" t="n"/>
      <c r="C168" s="39" t="n"/>
      <c r="D168" s="38" t="n"/>
      <c r="E168" s="38" t="n"/>
      <c r="F168" s="38" t="n"/>
      <c r="G168" s="37">
        <f>IF(COUNTA(A168:F168)=0,"",IF(A168="EXAMPLE","Example (skipped)",IF(OR(C168="",E168="",F168=""),"✖ Portal, User ID and Password are all needed",IF(AND(A168="",COUNTIF(Clients!$B$5:$B$1005,B168)=0),"Not on Clients — will match a portal client by name",IF(AND(C168="GST",D168&lt;&gt;"",COUNTIF(Clients!$AN$5:$AN$1005,UPPER(D168))=0,COUNTIF(Clients!$G$5:$G$1005,"*"&amp;UPPER(D168)&amp;"*")=0),"GSTIN not on Clients — will be checked in the portal","✔ OK")))))</f>
        <v/>
      </c>
    </row>
    <row r="169">
      <c r="A169" s="38" t="n"/>
      <c r="B169" s="39" t="n"/>
      <c r="C169" s="39" t="n"/>
      <c r="D169" s="38" t="n"/>
      <c r="E169" s="38" t="n"/>
      <c r="F169" s="38" t="n"/>
      <c r="G169" s="37">
        <f>IF(COUNTA(A169:F169)=0,"",IF(A169="EXAMPLE","Example (skipped)",IF(OR(C169="",E169="",F169=""),"✖ Portal, User ID and Password are all needed",IF(AND(A169="",COUNTIF(Clients!$B$5:$B$1005,B169)=0),"Not on Clients — will match a portal client by name",IF(AND(C169="GST",D169&lt;&gt;"",COUNTIF(Clients!$AN$5:$AN$1005,UPPER(D169))=0,COUNTIF(Clients!$G$5:$G$1005,"*"&amp;UPPER(D169)&amp;"*")=0),"GSTIN not on Clients — will be checked in the portal","✔ OK")))))</f>
        <v/>
      </c>
    </row>
    <row r="170">
      <c r="A170" s="38" t="n"/>
      <c r="B170" s="39" t="n"/>
      <c r="C170" s="39" t="n"/>
      <c r="D170" s="38" t="n"/>
      <c r="E170" s="38" t="n"/>
      <c r="F170" s="38" t="n"/>
      <c r="G170" s="37">
        <f>IF(COUNTA(A170:F170)=0,"",IF(A170="EXAMPLE","Example (skipped)",IF(OR(C170="",E170="",F170=""),"✖ Portal, User ID and Password are all needed",IF(AND(A170="",COUNTIF(Clients!$B$5:$B$1005,B170)=0),"Not on Clients — will match a portal client by name",IF(AND(C170="GST",D170&lt;&gt;"",COUNTIF(Clients!$AN$5:$AN$1005,UPPER(D170))=0,COUNTIF(Clients!$G$5:$G$1005,"*"&amp;UPPER(D170)&amp;"*")=0),"GSTIN not on Clients — will be checked in the portal","✔ OK")))))</f>
        <v/>
      </c>
    </row>
    <row r="171">
      <c r="A171" s="38" t="n"/>
      <c r="B171" s="39" t="n"/>
      <c r="C171" s="39" t="n"/>
      <c r="D171" s="38" t="n"/>
      <c r="E171" s="38" t="n"/>
      <c r="F171" s="38" t="n"/>
      <c r="G171" s="37">
        <f>IF(COUNTA(A171:F171)=0,"",IF(A171="EXAMPLE","Example (skipped)",IF(OR(C171="",E171="",F171=""),"✖ Portal, User ID and Password are all needed",IF(AND(A171="",COUNTIF(Clients!$B$5:$B$1005,B171)=0),"Not on Clients — will match a portal client by name",IF(AND(C171="GST",D171&lt;&gt;"",COUNTIF(Clients!$AN$5:$AN$1005,UPPER(D171))=0,COUNTIF(Clients!$G$5:$G$1005,"*"&amp;UPPER(D171)&amp;"*")=0),"GSTIN not on Clients — will be checked in the portal","✔ OK")))))</f>
        <v/>
      </c>
    </row>
    <row r="172">
      <c r="A172" s="38" t="n"/>
      <c r="B172" s="39" t="n"/>
      <c r="C172" s="39" t="n"/>
      <c r="D172" s="38" t="n"/>
      <c r="E172" s="38" t="n"/>
      <c r="F172" s="38" t="n"/>
      <c r="G172" s="37">
        <f>IF(COUNTA(A172:F172)=0,"",IF(A172="EXAMPLE","Example (skipped)",IF(OR(C172="",E172="",F172=""),"✖ Portal, User ID and Password are all needed",IF(AND(A172="",COUNTIF(Clients!$B$5:$B$1005,B172)=0),"Not on Clients — will match a portal client by name",IF(AND(C172="GST",D172&lt;&gt;"",COUNTIF(Clients!$AN$5:$AN$1005,UPPER(D172))=0,COUNTIF(Clients!$G$5:$G$1005,"*"&amp;UPPER(D172)&amp;"*")=0),"GSTIN not on Clients — will be checked in the portal","✔ OK")))))</f>
        <v/>
      </c>
    </row>
    <row r="173">
      <c r="A173" s="38" t="n"/>
      <c r="B173" s="39" t="n"/>
      <c r="C173" s="39" t="n"/>
      <c r="D173" s="38" t="n"/>
      <c r="E173" s="38" t="n"/>
      <c r="F173" s="38" t="n"/>
      <c r="G173" s="37">
        <f>IF(COUNTA(A173:F173)=0,"",IF(A173="EXAMPLE","Example (skipped)",IF(OR(C173="",E173="",F173=""),"✖ Portal, User ID and Password are all needed",IF(AND(A173="",COUNTIF(Clients!$B$5:$B$1005,B173)=0),"Not on Clients — will match a portal client by name",IF(AND(C173="GST",D173&lt;&gt;"",COUNTIF(Clients!$AN$5:$AN$1005,UPPER(D173))=0,COUNTIF(Clients!$G$5:$G$1005,"*"&amp;UPPER(D173)&amp;"*")=0),"GSTIN not on Clients — will be checked in the portal","✔ OK")))))</f>
        <v/>
      </c>
    </row>
    <row r="174">
      <c r="A174" s="38" t="n"/>
      <c r="B174" s="39" t="n"/>
      <c r="C174" s="39" t="n"/>
      <c r="D174" s="38" t="n"/>
      <c r="E174" s="38" t="n"/>
      <c r="F174" s="38" t="n"/>
      <c r="G174" s="37">
        <f>IF(COUNTA(A174:F174)=0,"",IF(A174="EXAMPLE","Example (skipped)",IF(OR(C174="",E174="",F174=""),"✖ Portal, User ID and Password are all needed",IF(AND(A174="",COUNTIF(Clients!$B$5:$B$1005,B174)=0),"Not on Clients — will match a portal client by name",IF(AND(C174="GST",D174&lt;&gt;"",COUNTIF(Clients!$AN$5:$AN$1005,UPPER(D174))=0,COUNTIF(Clients!$G$5:$G$1005,"*"&amp;UPPER(D174)&amp;"*")=0),"GSTIN not on Clients — will be checked in the portal","✔ OK")))))</f>
        <v/>
      </c>
    </row>
    <row r="175">
      <c r="A175" s="38" t="n"/>
      <c r="B175" s="39" t="n"/>
      <c r="C175" s="39" t="n"/>
      <c r="D175" s="38" t="n"/>
      <c r="E175" s="38" t="n"/>
      <c r="F175" s="38" t="n"/>
      <c r="G175" s="37">
        <f>IF(COUNTA(A175:F175)=0,"",IF(A175="EXAMPLE","Example (skipped)",IF(OR(C175="",E175="",F175=""),"✖ Portal, User ID and Password are all needed",IF(AND(A175="",COUNTIF(Clients!$B$5:$B$1005,B175)=0),"Not on Clients — will match a portal client by name",IF(AND(C175="GST",D175&lt;&gt;"",COUNTIF(Clients!$AN$5:$AN$1005,UPPER(D175))=0,COUNTIF(Clients!$G$5:$G$1005,"*"&amp;UPPER(D175)&amp;"*")=0),"GSTIN not on Clients — will be checked in the portal","✔ OK")))))</f>
        <v/>
      </c>
    </row>
    <row r="176">
      <c r="A176" s="38" t="n"/>
      <c r="B176" s="39" t="n"/>
      <c r="C176" s="39" t="n"/>
      <c r="D176" s="38" t="n"/>
      <c r="E176" s="38" t="n"/>
      <c r="F176" s="38" t="n"/>
      <c r="G176" s="37">
        <f>IF(COUNTA(A176:F176)=0,"",IF(A176="EXAMPLE","Example (skipped)",IF(OR(C176="",E176="",F176=""),"✖ Portal, User ID and Password are all needed",IF(AND(A176="",COUNTIF(Clients!$B$5:$B$1005,B176)=0),"Not on Clients — will match a portal client by name",IF(AND(C176="GST",D176&lt;&gt;"",COUNTIF(Clients!$AN$5:$AN$1005,UPPER(D176))=0,COUNTIF(Clients!$G$5:$G$1005,"*"&amp;UPPER(D176)&amp;"*")=0),"GSTIN not on Clients — will be checked in the portal","✔ OK")))))</f>
        <v/>
      </c>
    </row>
    <row r="177">
      <c r="A177" s="38" t="n"/>
      <c r="B177" s="39" t="n"/>
      <c r="C177" s="39" t="n"/>
      <c r="D177" s="38" t="n"/>
      <c r="E177" s="38" t="n"/>
      <c r="F177" s="38" t="n"/>
      <c r="G177" s="37">
        <f>IF(COUNTA(A177:F177)=0,"",IF(A177="EXAMPLE","Example (skipped)",IF(OR(C177="",E177="",F177=""),"✖ Portal, User ID and Password are all needed",IF(AND(A177="",COUNTIF(Clients!$B$5:$B$1005,B177)=0),"Not on Clients — will match a portal client by name",IF(AND(C177="GST",D177&lt;&gt;"",COUNTIF(Clients!$AN$5:$AN$1005,UPPER(D177))=0,COUNTIF(Clients!$G$5:$G$1005,"*"&amp;UPPER(D177)&amp;"*")=0),"GSTIN not on Clients — will be checked in the portal","✔ OK")))))</f>
        <v/>
      </c>
    </row>
    <row r="178">
      <c r="A178" s="38" t="n"/>
      <c r="B178" s="39" t="n"/>
      <c r="C178" s="39" t="n"/>
      <c r="D178" s="38" t="n"/>
      <c r="E178" s="38" t="n"/>
      <c r="F178" s="38" t="n"/>
      <c r="G178" s="37">
        <f>IF(COUNTA(A178:F178)=0,"",IF(A178="EXAMPLE","Example (skipped)",IF(OR(C178="",E178="",F178=""),"✖ Portal, User ID and Password are all needed",IF(AND(A178="",COUNTIF(Clients!$B$5:$B$1005,B178)=0),"Not on Clients — will match a portal client by name",IF(AND(C178="GST",D178&lt;&gt;"",COUNTIF(Clients!$AN$5:$AN$1005,UPPER(D178))=0,COUNTIF(Clients!$G$5:$G$1005,"*"&amp;UPPER(D178)&amp;"*")=0),"GSTIN not on Clients — will be checked in the portal","✔ OK")))))</f>
        <v/>
      </c>
    </row>
    <row r="179">
      <c r="A179" s="38" t="n"/>
      <c r="B179" s="39" t="n"/>
      <c r="C179" s="39" t="n"/>
      <c r="D179" s="38" t="n"/>
      <c r="E179" s="38" t="n"/>
      <c r="F179" s="38" t="n"/>
      <c r="G179" s="37">
        <f>IF(COUNTA(A179:F179)=0,"",IF(A179="EXAMPLE","Example (skipped)",IF(OR(C179="",E179="",F179=""),"✖ Portal, User ID and Password are all needed",IF(AND(A179="",COUNTIF(Clients!$B$5:$B$1005,B179)=0),"Not on Clients — will match a portal client by name",IF(AND(C179="GST",D179&lt;&gt;"",COUNTIF(Clients!$AN$5:$AN$1005,UPPER(D179))=0,COUNTIF(Clients!$G$5:$G$1005,"*"&amp;UPPER(D179)&amp;"*")=0),"GSTIN not on Clients — will be checked in the portal","✔ OK")))))</f>
        <v/>
      </c>
    </row>
    <row r="180">
      <c r="A180" s="38" t="n"/>
      <c r="B180" s="39" t="n"/>
      <c r="C180" s="39" t="n"/>
      <c r="D180" s="38" t="n"/>
      <c r="E180" s="38" t="n"/>
      <c r="F180" s="38" t="n"/>
      <c r="G180" s="37">
        <f>IF(COUNTA(A180:F180)=0,"",IF(A180="EXAMPLE","Example (skipped)",IF(OR(C180="",E180="",F180=""),"✖ Portal, User ID and Password are all needed",IF(AND(A180="",COUNTIF(Clients!$B$5:$B$1005,B180)=0),"Not on Clients — will match a portal client by name",IF(AND(C180="GST",D180&lt;&gt;"",COUNTIF(Clients!$AN$5:$AN$1005,UPPER(D180))=0,COUNTIF(Clients!$G$5:$G$1005,"*"&amp;UPPER(D180)&amp;"*")=0),"GSTIN not on Clients — will be checked in the portal","✔ OK")))))</f>
        <v/>
      </c>
    </row>
    <row r="181">
      <c r="A181" s="38" t="n"/>
      <c r="B181" s="39" t="n"/>
      <c r="C181" s="39" t="n"/>
      <c r="D181" s="38" t="n"/>
      <c r="E181" s="38" t="n"/>
      <c r="F181" s="38" t="n"/>
      <c r="G181" s="37">
        <f>IF(COUNTA(A181:F181)=0,"",IF(A181="EXAMPLE","Example (skipped)",IF(OR(C181="",E181="",F181=""),"✖ Portal, User ID and Password are all needed",IF(AND(A181="",COUNTIF(Clients!$B$5:$B$1005,B181)=0),"Not on Clients — will match a portal client by name",IF(AND(C181="GST",D181&lt;&gt;"",COUNTIF(Clients!$AN$5:$AN$1005,UPPER(D181))=0,COUNTIF(Clients!$G$5:$G$1005,"*"&amp;UPPER(D181)&amp;"*")=0),"GSTIN not on Clients — will be checked in the portal","✔ OK")))))</f>
        <v/>
      </c>
    </row>
    <row r="182">
      <c r="A182" s="38" t="n"/>
      <c r="B182" s="39" t="n"/>
      <c r="C182" s="39" t="n"/>
      <c r="D182" s="38" t="n"/>
      <c r="E182" s="38" t="n"/>
      <c r="F182" s="38" t="n"/>
      <c r="G182" s="37">
        <f>IF(COUNTA(A182:F182)=0,"",IF(A182="EXAMPLE","Example (skipped)",IF(OR(C182="",E182="",F182=""),"✖ Portal, User ID and Password are all needed",IF(AND(A182="",COUNTIF(Clients!$B$5:$B$1005,B182)=0),"Not on Clients — will match a portal client by name",IF(AND(C182="GST",D182&lt;&gt;"",COUNTIF(Clients!$AN$5:$AN$1005,UPPER(D182))=0,COUNTIF(Clients!$G$5:$G$1005,"*"&amp;UPPER(D182)&amp;"*")=0),"GSTIN not on Clients — will be checked in the portal","✔ OK")))))</f>
        <v/>
      </c>
    </row>
    <row r="183">
      <c r="A183" s="38" t="n"/>
      <c r="B183" s="39" t="n"/>
      <c r="C183" s="39" t="n"/>
      <c r="D183" s="38" t="n"/>
      <c r="E183" s="38" t="n"/>
      <c r="F183" s="38" t="n"/>
      <c r="G183" s="37">
        <f>IF(COUNTA(A183:F183)=0,"",IF(A183="EXAMPLE","Example (skipped)",IF(OR(C183="",E183="",F183=""),"✖ Portal, User ID and Password are all needed",IF(AND(A183="",COUNTIF(Clients!$B$5:$B$1005,B183)=0),"Not on Clients — will match a portal client by name",IF(AND(C183="GST",D183&lt;&gt;"",COUNTIF(Clients!$AN$5:$AN$1005,UPPER(D183))=0,COUNTIF(Clients!$G$5:$G$1005,"*"&amp;UPPER(D183)&amp;"*")=0),"GSTIN not on Clients — will be checked in the portal","✔ OK")))))</f>
        <v/>
      </c>
    </row>
    <row r="184">
      <c r="A184" s="38" t="n"/>
      <c r="B184" s="39" t="n"/>
      <c r="C184" s="39" t="n"/>
      <c r="D184" s="38" t="n"/>
      <c r="E184" s="38" t="n"/>
      <c r="F184" s="38" t="n"/>
      <c r="G184" s="37">
        <f>IF(COUNTA(A184:F184)=0,"",IF(A184="EXAMPLE","Example (skipped)",IF(OR(C184="",E184="",F184=""),"✖ Portal, User ID and Password are all needed",IF(AND(A184="",COUNTIF(Clients!$B$5:$B$1005,B184)=0),"Not on Clients — will match a portal client by name",IF(AND(C184="GST",D184&lt;&gt;"",COUNTIF(Clients!$AN$5:$AN$1005,UPPER(D184))=0,COUNTIF(Clients!$G$5:$G$1005,"*"&amp;UPPER(D184)&amp;"*")=0),"GSTIN not on Clients — will be checked in the portal","✔ OK")))))</f>
        <v/>
      </c>
    </row>
    <row r="185">
      <c r="A185" s="38" t="n"/>
      <c r="B185" s="39" t="n"/>
      <c r="C185" s="39" t="n"/>
      <c r="D185" s="38" t="n"/>
      <c r="E185" s="38" t="n"/>
      <c r="F185" s="38" t="n"/>
      <c r="G185" s="37">
        <f>IF(COUNTA(A185:F185)=0,"",IF(A185="EXAMPLE","Example (skipped)",IF(OR(C185="",E185="",F185=""),"✖ Portal, User ID and Password are all needed",IF(AND(A185="",COUNTIF(Clients!$B$5:$B$1005,B185)=0),"Not on Clients — will match a portal client by name",IF(AND(C185="GST",D185&lt;&gt;"",COUNTIF(Clients!$AN$5:$AN$1005,UPPER(D185))=0,COUNTIF(Clients!$G$5:$G$1005,"*"&amp;UPPER(D185)&amp;"*")=0),"GSTIN not on Clients — will be checked in the portal","✔ OK")))))</f>
        <v/>
      </c>
    </row>
    <row r="186">
      <c r="A186" s="38" t="n"/>
      <c r="B186" s="39" t="n"/>
      <c r="C186" s="39" t="n"/>
      <c r="D186" s="38" t="n"/>
      <c r="E186" s="38" t="n"/>
      <c r="F186" s="38" t="n"/>
      <c r="G186" s="37">
        <f>IF(COUNTA(A186:F186)=0,"",IF(A186="EXAMPLE","Example (skipped)",IF(OR(C186="",E186="",F186=""),"✖ Portal, User ID and Password are all needed",IF(AND(A186="",COUNTIF(Clients!$B$5:$B$1005,B186)=0),"Not on Clients — will match a portal client by name",IF(AND(C186="GST",D186&lt;&gt;"",COUNTIF(Clients!$AN$5:$AN$1005,UPPER(D186))=0,COUNTIF(Clients!$G$5:$G$1005,"*"&amp;UPPER(D186)&amp;"*")=0),"GSTIN not on Clients — will be checked in the portal","✔ OK")))))</f>
        <v/>
      </c>
    </row>
    <row r="187">
      <c r="A187" s="38" t="n"/>
      <c r="B187" s="39" t="n"/>
      <c r="C187" s="39" t="n"/>
      <c r="D187" s="38" t="n"/>
      <c r="E187" s="38" t="n"/>
      <c r="F187" s="38" t="n"/>
      <c r="G187" s="37">
        <f>IF(COUNTA(A187:F187)=0,"",IF(A187="EXAMPLE","Example (skipped)",IF(OR(C187="",E187="",F187=""),"✖ Portal, User ID and Password are all needed",IF(AND(A187="",COUNTIF(Clients!$B$5:$B$1005,B187)=0),"Not on Clients — will match a portal client by name",IF(AND(C187="GST",D187&lt;&gt;"",COUNTIF(Clients!$AN$5:$AN$1005,UPPER(D187))=0,COUNTIF(Clients!$G$5:$G$1005,"*"&amp;UPPER(D187)&amp;"*")=0),"GSTIN not on Clients — will be checked in the portal","✔ OK")))))</f>
        <v/>
      </c>
    </row>
    <row r="188">
      <c r="A188" s="38" t="n"/>
      <c r="B188" s="39" t="n"/>
      <c r="C188" s="39" t="n"/>
      <c r="D188" s="38" t="n"/>
      <c r="E188" s="38" t="n"/>
      <c r="F188" s="38" t="n"/>
      <c r="G188" s="37">
        <f>IF(COUNTA(A188:F188)=0,"",IF(A188="EXAMPLE","Example (skipped)",IF(OR(C188="",E188="",F188=""),"✖ Portal, User ID and Password are all needed",IF(AND(A188="",COUNTIF(Clients!$B$5:$B$1005,B188)=0),"Not on Clients — will match a portal client by name",IF(AND(C188="GST",D188&lt;&gt;"",COUNTIF(Clients!$AN$5:$AN$1005,UPPER(D188))=0,COUNTIF(Clients!$G$5:$G$1005,"*"&amp;UPPER(D188)&amp;"*")=0),"GSTIN not on Clients — will be checked in the portal","✔ OK")))))</f>
        <v/>
      </c>
    </row>
    <row r="189">
      <c r="A189" s="38" t="n"/>
      <c r="B189" s="39" t="n"/>
      <c r="C189" s="39" t="n"/>
      <c r="D189" s="38" t="n"/>
      <c r="E189" s="38" t="n"/>
      <c r="F189" s="38" t="n"/>
      <c r="G189" s="37">
        <f>IF(COUNTA(A189:F189)=0,"",IF(A189="EXAMPLE","Example (skipped)",IF(OR(C189="",E189="",F189=""),"✖ Portal, User ID and Password are all needed",IF(AND(A189="",COUNTIF(Clients!$B$5:$B$1005,B189)=0),"Not on Clients — will match a portal client by name",IF(AND(C189="GST",D189&lt;&gt;"",COUNTIF(Clients!$AN$5:$AN$1005,UPPER(D189))=0,COUNTIF(Clients!$G$5:$G$1005,"*"&amp;UPPER(D189)&amp;"*")=0),"GSTIN not on Clients — will be checked in the portal","✔ OK")))))</f>
        <v/>
      </c>
    </row>
    <row r="190">
      <c r="A190" s="38" t="n"/>
      <c r="B190" s="39" t="n"/>
      <c r="C190" s="39" t="n"/>
      <c r="D190" s="38" t="n"/>
      <c r="E190" s="38" t="n"/>
      <c r="F190" s="38" t="n"/>
      <c r="G190" s="37">
        <f>IF(COUNTA(A190:F190)=0,"",IF(A190="EXAMPLE","Example (skipped)",IF(OR(C190="",E190="",F190=""),"✖ Portal, User ID and Password are all needed",IF(AND(A190="",COUNTIF(Clients!$B$5:$B$1005,B190)=0),"Not on Clients — will match a portal client by name",IF(AND(C190="GST",D190&lt;&gt;"",COUNTIF(Clients!$AN$5:$AN$1005,UPPER(D190))=0,COUNTIF(Clients!$G$5:$G$1005,"*"&amp;UPPER(D190)&amp;"*")=0),"GSTIN not on Clients — will be checked in the portal","✔ OK")))))</f>
        <v/>
      </c>
    </row>
    <row r="191">
      <c r="A191" s="38" t="n"/>
      <c r="B191" s="39" t="n"/>
      <c r="C191" s="39" t="n"/>
      <c r="D191" s="38" t="n"/>
      <c r="E191" s="38" t="n"/>
      <c r="F191" s="38" t="n"/>
      <c r="G191" s="37">
        <f>IF(COUNTA(A191:F191)=0,"",IF(A191="EXAMPLE","Example (skipped)",IF(OR(C191="",E191="",F191=""),"✖ Portal, User ID and Password are all needed",IF(AND(A191="",COUNTIF(Clients!$B$5:$B$1005,B191)=0),"Not on Clients — will match a portal client by name",IF(AND(C191="GST",D191&lt;&gt;"",COUNTIF(Clients!$AN$5:$AN$1005,UPPER(D191))=0,COUNTIF(Clients!$G$5:$G$1005,"*"&amp;UPPER(D191)&amp;"*")=0),"GSTIN not on Clients — will be checked in the portal","✔ OK")))))</f>
        <v/>
      </c>
    </row>
    <row r="192">
      <c r="A192" s="38" t="n"/>
      <c r="B192" s="39" t="n"/>
      <c r="C192" s="39" t="n"/>
      <c r="D192" s="38" t="n"/>
      <c r="E192" s="38" t="n"/>
      <c r="F192" s="38" t="n"/>
      <c r="G192" s="37">
        <f>IF(COUNTA(A192:F192)=0,"",IF(A192="EXAMPLE","Example (skipped)",IF(OR(C192="",E192="",F192=""),"✖ Portal, User ID and Password are all needed",IF(AND(A192="",COUNTIF(Clients!$B$5:$B$1005,B192)=0),"Not on Clients — will match a portal client by name",IF(AND(C192="GST",D192&lt;&gt;"",COUNTIF(Clients!$AN$5:$AN$1005,UPPER(D192))=0,COUNTIF(Clients!$G$5:$G$1005,"*"&amp;UPPER(D192)&amp;"*")=0),"GSTIN not on Clients — will be checked in the portal","✔ OK")))))</f>
        <v/>
      </c>
    </row>
    <row r="193">
      <c r="A193" s="38" t="n"/>
      <c r="B193" s="39" t="n"/>
      <c r="C193" s="39" t="n"/>
      <c r="D193" s="38" t="n"/>
      <c r="E193" s="38" t="n"/>
      <c r="F193" s="38" t="n"/>
      <c r="G193" s="37">
        <f>IF(COUNTA(A193:F193)=0,"",IF(A193="EXAMPLE","Example (skipped)",IF(OR(C193="",E193="",F193=""),"✖ Portal, User ID and Password are all needed",IF(AND(A193="",COUNTIF(Clients!$B$5:$B$1005,B193)=0),"Not on Clients — will match a portal client by name",IF(AND(C193="GST",D193&lt;&gt;"",COUNTIF(Clients!$AN$5:$AN$1005,UPPER(D193))=0,COUNTIF(Clients!$G$5:$G$1005,"*"&amp;UPPER(D193)&amp;"*")=0),"GSTIN not on Clients — will be checked in the portal","✔ OK")))))</f>
        <v/>
      </c>
    </row>
    <row r="194">
      <c r="A194" s="38" t="n"/>
      <c r="B194" s="39" t="n"/>
      <c r="C194" s="39" t="n"/>
      <c r="D194" s="38" t="n"/>
      <c r="E194" s="38" t="n"/>
      <c r="F194" s="38" t="n"/>
      <c r="G194" s="37">
        <f>IF(COUNTA(A194:F194)=0,"",IF(A194="EXAMPLE","Example (skipped)",IF(OR(C194="",E194="",F194=""),"✖ Portal, User ID and Password are all needed",IF(AND(A194="",COUNTIF(Clients!$B$5:$B$1005,B194)=0),"Not on Clients — will match a portal client by name",IF(AND(C194="GST",D194&lt;&gt;"",COUNTIF(Clients!$AN$5:$AN$1005,UPPER(D194))=0,COUNTIF(Clients!$G$5:$G$1005,"*"&amp;UPPER(D194)&amp;"*")=0),"GSTIN not on Clients — will be checked in the portal","✔ OK")))))</f>
        <v/>
      </c>
    </row>
    <row r="195">
      <c r="A195" s="38" t="n"/>
      <c r="B195" s="39" t="n"/>
      <c r="C195" s="39" t="n"/>
      <c r="D195" s="38" t="n"/>
      <c r="E195" s="38" t="n"/>
      <c r="F195" s="38" t="n"/>
      <c r="G195" s="37">
        <f>IF(COUNTA(A195:F195)=0,"",IF(A195="EXAMPLE","Example (skipped)",IF(OR(C195="",E195="",F195=""),"✖ Portal, User ID and Password are all needed",IF(AND(A195="",COUNTIF(Clients!$B$5:$B$1005,B195)=0),"Not on Clients — will match a portal client by name",IF(AND(C195="GST",D195&lt;&gt;"",COUNTIF(Clients!$AN$5:$AN$1005,UPPER(D195))=0,COUNTIF(Clients!$G$5:$G$1005,"*"&amp;UPPER(D195)&amp;"*")=0),"GSTIN not on Clients — will be checked in the portal","✔ OK")))))</f>
        <v/>
      </c>
    </row>
    <row r="196">
      <c r="A196" s="38" t="n"/>
      <c r="B196" s="39" t="n"/>
      <c r="C196" s="39" t="n"/>
      <c r="D196" s="38" t="n"/>
      <c r="E196" s="38" t="n"/>
      <c r="F196" s="38" t="n"/>
      <c r="G196" s="37">
        <f>IF(COUNTA(A196:F196)=0,"",IF(A196="EXAMPLE","Example (skipped)",IF(OR(C196="",E196="",F196=""),"✖ Portal, User ID and Password are all needed",IF(AND(A196="",COUNTIF(Clients!$B$5:$B$1005,B196)=0),"Not on Clients — will match a portal client by name",IF(AND(C196="GST",D196&lt;&gt;"",COUNTIF(Clients!$AN$5:$AN$1005,UPPER(D196))=0,COUNTIF(Clients!$G$5:$G$1005,"*"&amp;UPPER(D196)&amp;"*")=0),"GSTIN not on Clients — will be checked in the portal","✔ OK")))))</f>
        <v/>
      </c>
    </row>
    <row r="197">
      <c r="A197" s="38" t="n"/>
      <c r="B197" s="39" t="n"/>
      <c r="C197" s="39" t="n"/>
      <c r="D197" s="38" t="n"/>
      <c r="E197" s="38" t="n"/>
      <c r="F197" s="38" t="n"/>
      <c r="G197" s="37">
        <f>IF(COUNTA(A197:F197)=0,"",IF(A197="EXAMPLE","Example (skipped)",IF(OR(C197="",E197="",F197=""),"✖ Portal, User ID and Password are all needed",IF(AND(A197="",COUNTIF(Clients!$B$5:$B$1005,B197)=0),"Not on Clients — will match a portal client by name",IF(AND(C197="GST",D197&lt;&gt;"",COUNTIF(Clients!$AN$5:$AN$1005,UPPER(D197))=0,COUNTIF(Clients!$G$5:$G$1005,"*"&amp;UPPER(D197)&amp;"*")=0),"GSTIN not on Clients — will be checked in the portal","✔ OK")))))</f>
        <v/>
      </c>
    </row>
    <row r="198">
      <c r="A198" s="38" t="n"/>
      <c r="B198" s="39" t="n"/>
      <c r="C198" s="39" t="n"/>
      <c r="D198" s="38" t="n"/>
      <c r="E198" s="38" t="n"/>
      <c r="F198" s="38" t="n"/>
      <c r="G198" s="37">
        <f>IF(COUNTA(A198:F198)=0,"",IF(A198="EXAMPLE","Example (skipped)",IF(OR(C198="",E198="",F198=""),"✖ Portal, User ID and Password are all needed",IF(AND(A198="",COUNTIF(Clients!$B$5:$B$1005,B198)=0),"Not on Clients — will match a portal client by name",IF(AND(C198="GST",D198&lt;&gt;"",COUNTIF(Clients!$AN$5:$AN$1005,UPPER(D198))=0,COUNTIF(Clients!$G$5:$G$1005,"*"&amp;UPPER(D198)&amp;"*")=0),"GSTIN not on Clients — will be checked in the portal","✔ OK")))))</f>
        <v/>
      </c>
    </row>
    <row r="199">
      <c r="A199" s="38" t="n"/>
      <c r="B199" s="39" t="n"/>
      <c r="C199" s="39" t="n"/>
      <c r="D199" s="38" t="n"/>
      <c r="E199" s="38" t="n"/>
      <c r="F199" s="38" t="n"/>
      <c r="G199" s="37">
        <f>IF(COUNTA(A199:F199)=0,"",IF(A199="EXAMPLE","Example (skipped)",IF(OR(C199="",E199="",F199=""),"✖ Portal, User ID and Password are all needed",IF(AND(A199="",COUNTIF(Clients!$B$5:$B$1005,B199)=0),"Not on Clients — will match a portal client by name",IF(AND(C199="GST",D199&lt;&gt;"",COUNTIF(Clients!$AN$5:$AN$1005,UPPER(D199))=0,COUNTIF(Clients!$G$5:$G$1005,"*"&amp;UPPER(D199)&amp;"*")=0),"GSTIN not on Clients — will be checked in the portal","✔ OK")))))</f>
        <v/>
      </c>
    </row>
    <row r="200">
      <c r="A200" s="38" t="n"/>
      <c r="B200" s="39" t="n"/>
      <c r="C200" s="39" t="n"/>
      <c r="D200" s="38" t="n"/>
      <c r="E200" s="38" t="n"/>
      <c r="F200" s="38" t="n"/>
      <c r="G200" s="37">
        <f>IF(COUNTA(A200:F200)=0,"",IF(A200="EXAMPLE","Example (skipped)",IF(OR(C200="",E200="",F200=""),"✖ Portal, User ID and Password are all needed",IF(AND(A200="",COUNTIF(Clients!$B$5:$B$1005,B200)=0),"Not on Clients — will match a portal client by name",IF(AND(C200="GST",D200&lt;&gt;"",COUNTIF(Clients!$AN$5:$AN$1005,UPPER(D200))=0,COUNTIF(Clients!$G$5:$G$1005,"*"&amp;UPPER(D200)&amp;"*")=0),"GSTIN not on Clients — will be checked in the portal","✔ OK")))))</f>
        <v/>
      </c>
    </row>
    <row r="201">
      <c r="A201" s="38" t="n"/>
      <c r="B201" s="39" t="n"/>
      <c r="C201" s="39" t="n"/>
      <c r="D201" s="38" t="n"/>
      <c r="E201" s="38" t="n"/>
      <c r="F201" s="38" t="n"/>
      <c r="G201" s="37">
        <f>IF(COUNTA(A201:F201)=0,"",IF(A201="EXAMPLE","Example (skipped)",IF(OR(C201="",E201="",F201=""),"✖ Portal, User ID and Password are all needed",IF(AND(A201="",COUNTIF(Clients!$B$5:$B$1005,B201)=0),"Not on Clients — will match a portal client by name",IF(AND(C201="GST",D201&lt;&gt;"",COUNTIF(Clients!$AN$5:$AN$1005,UPPER(D201))=0,COUNTIF(Clients!$G$5:$G$1005,"*"&amp;UPPER(D201)&amp;"*")=0),"GSTIN not on Clients — will be checked in the portal","✔ OK")))))</f>
        <v/>
      </c>
    </row>
    <row r="202">
      <c r="A202" s="38" t="n"/>
      <c r="B202" s="39" t="n"/>
      <c r="C202" s="39" t="n"/>
      <c r="D202" s="38" t="n"/>
      <c r="E202" s="38" t="n"/>
      <c r="F202" s="38" t="n"/>
      <c r="G202" s="37">
        <f>IF(COUNTA(A202:F202)=0,"",IF(A202="EXAMPLE","Example (skipped)",IF(OR(C202="",E202="",F202=""),"✖ Portal, User ID and Password are all needed",IF(AND(A202="",COUNTIF(Clients!$B$5:$B$1005,B202)=0),"Not on Clients — will match a portal client by name",IF(AND(C202="GST",D202&lt;&gt;"",COUNTIF(Clients!$AN$5:$AN$1005,UPPER(D202))=0,COUNTIF(Clients!$G$5:$G$1005,"*"&amp;UPPER(D202)&amp;"*")=0),"GSTIN not on Clients — will be checked in the portal","✔ OK")))))</f>
        <v/>
      </c>
    </row>
    <row r="203">
      <c r="A203" s="38" t="n"/>
      <c r="B203" s="39" t="n"/>
      <c r="C203" s="39" t="n"/>
      <c r="D203" s="38" t="n"/>
      <c r="E203" s="38" t="n"/>
      <c r="F203" s="38" t="n"/>
      <c r="G203" s="37">
        <f>IF(COUNTA(A203:F203)=0,"",IF(A203="EXAMPLE","Example (skipped)",IF(OR(C203="",E203="",F203=""),"✖ Portal, User ID and Password are all needed",IF(AND(A203="",COUNTIF(Clients!$B$5:$B$1005,B203)=0),"Not on Clients — will match a portal client by name",IF(AND(C203="GST",D203&lt;&gt;"",COUNTIF(Clients!$AN$5:$AN$1005,UPPER(D203))=0,COUNTIF(Clients!$G$5:$G$1005,"*"&amp;UPPER(D203)&amp;"*")=0),"GSTIN not on Clients — will be checked in the portal","✔ OK")))))</f>
        <v/>
      </c>
    </row>
    <row r="204">
      <c r="A204" s="38" t="n"/>
      <c r="B204" s="39" t="n"/>
      <c r="C204" s="39" t="n"/>
      <c r="D204" s="38" t="n"/>
      <c r="E204" s="38" t="n"/>
      <c r="F204" s="38" t="n"/>
      <c r="G204" s="37">
        <f>IF(COUNTA(A204:F204)=0,"",IF(A204="EXAMPLE","Example (skipped)",IF(OR(C204="",E204="",F204=""),"✖ Portal, User ID and Password are all needed",IF(AND(A204="",COUNTIF(Clients!$B$5:$B$1005,B204)=0),"Not on Clients — will match a portal client by name",IF(AND(C204="GST",D204&lt;&gt;"",COUNTIF(Clients!$AN$5:$AN$1005,UPPER(D204))=0,COUNTIF(Clients!$G$5:$G$1005,"*"&amp;UPPER(D204)&amp;"*")=0),"GSTIN not on Clients — will be checked in the portal","✔ OK")))))</f>
        <v/>
      </c>
    </row>
    <row r="205">
      <c r="A205" s="38" t="n"/>
      <c r="B205" s="39" t="n"/>
      <c r="C205" s="39" t="n"/>
      <c r="D205" s="38" t="n"/>
      <c r="E205" s="38" t="n"/>
      <c r="F205" s="38" t="n"/>
      <c r="G205" s="37">
        <f>IF(COUNTA(A205:F205)=0,"",IF(A205="EXAMPLE","Example (skipped)",IF(OR(C205="",E205="",F205=""),"✖ Portal, User ID and Password are all needed",IF(AND(A205="",COUNTIF(Clients!$B$5:$B$1005,B205)=0),"Not on Clients — will match a portal client by name",IF(AND(C205="GST",D205&lt;&gt;"",COUNTIF(Clients!$AN$5:$AN$1005,UPPER(D205))=0,COUNTIF(Clients!$G$5:$G$1005,"*"&amp;UPPER(D205)&amp;"*")=0),"GSTIN not on Clients — will be checked in the portal","✔ OK")))))</f>
        <v/>
      </c>
    </row>
    <row r="206">
      <c r="A206" s="38" t="n"/>
      <c r="B206" s="39" t="n"/>
      <c r="C206" s="39" t="n"/>
      <c r="D206" s="38" t="n"/>
      <c r="E206" s="38" t="n"/>
      <c r="F206" s="38" t="n"/>
      <c r="G206" s="37">
        <f>IF(COUNTA(A206:F206)=0,"",IF(A206="EXAMPLE","Example (skipped)",IF(OR(C206="",E206="",F206=""),"✖ Portal, User ID and Password are all needed",IF(AND(A206="",COUNTIF(Clients!$B$5:$B$1005,B206)=0),"Not on Clients — will match a portal client by name",IF(AND(C206="GST",D206&lt;&gt;"",COUNTIF(Clients!$AN$5:$AN$1005,UPPER(D206))=0,COUNTIF(Clients!$G$5:$G$1005,"*"&amp;UPPER(D206)&amp;"*")=0),"GSTIN not on Clients — will be checked in the portal","✔ OK")))))</f>
        <v/>
      </c>
    </row>
    <row r="207">
      <c r="A207" s="38" t="n"/>
      <c r="B207" s="39" t="n"/>
      <c r="C207" s="39" t="n"/>
      <c r="D207" s="38" t="n"/>
      <c r="E207" s="38" t="n"/>
      <c r="F207" s="38" t="n"/>
      <c r="G207" s="37">
        <f>IF(COUNTA(A207:F207)=0,"",IF(A207="EXAMPLE","Example (skipped)",IF(OR(C207="",E207="",F207=""),"✖ Portal, User ID and Password are all needed",IF(AND(A207="",COUNTIF(Clients!$B$5:$B$1005,B207)=0),"Not on Clients — will match a portal client by name",IF(AND(C207="GST",D207&lt;&gt;"",COUNTIF(Clients!$AN$5:$AN$1005,UPPER(D207))=0,COUNTIF(Clients!$G$5:$G$1005,"*"&amp;UPPER(D207)&amp;"*")=0),"GSTIN not on Clients — will be checked in the portal","✔ OK")))))</f>
        <v/>
      </c>
    </row>
    <row r="208">
      <c r="A208" s="38" t="n"/>
      <c r="B208" s="39" t="n"/>
      <c r="C208" s="39" t="n"/>
      <c r="D208" s="38" t="n"/>
      <c r="E208" s="38" t="n"/>
      <c r="F208" s="38" t="n"/>
      <c r="G208" s="37">
        <f>IF(COUNTA(A208:F208)=0,"",IF(A208="EXAMPLE","Example (skipped)",IF(OR(C208="",E208="",F208=""),"✖ Portal, User ID and Password are all needed",IF(AND(A208="",COUNTIF(Clients!$B$5:$B$1005,B208)=0),"Not on Clients — will match a portal client by name",IF(AND(C208="GST",D208&lt;&gt;"",COUNTIF(Clients!$AN$5:$AN$1005,UPPER(D208))=0,COUNTIF(Clients!$G$5:$G$1005,"*"&amp;UPPER(D208)&amp;"*")=0),"GSTIN not on Clients — will be checked in the portal","✔ OK")))))</f>
        <v/>
      </c>
    </row>
    <row r="209">
      <c r="A209" s="38" t="n"/>
      <c r="B209" s="39" t="n"/>
      <c r="C209" s="39" t="n"/>
      <c r="D209" s="38" t="n"/>
      <c r="E209" s="38" t="n"/>
      <c r="F209" s="38" t="n"/>
      <c r="G209" s="37">
        <f>IF(COUNTA(A209:F209)=0,"",IF(A209="EXAMPLE","Example (skipped)",IF(OR(C209="",E209="",F209=""),"✖ Portal, User ID and Password are all needed",IF(AND(A209="",COUNTIF(Clients!$B$5:$B$1005,B209)=0),"Not on Clients — will match a portal client by name",IF(AND(C209="GST",D209&lt;&gt;"",COUNTIF(Clients!$AN$5:$AN$1005,UPPER(D209))=0,COUNTIF(Clients!$G$5:$G$1005,"*"&amp;UPPER(D209)&amp;"*")=0),"GSTIN not on Clients — will be checked in the portal","✔ OK")))))</f>
        <v/>
      </c>
    </row>
    <row r="210">
      <c r="A210" s="38" t="n"/>
      <c r="B210" s="39" t="n"/>
      <c r="C210" s="39" t="n"/>
      <c r="D210" s="38" t="n"/>
      <c r="E210" s="38" t="n"/>
      <c r="F210" s="38" t="n"/>
      <c r="G210" s="37">
        <f>IF(COUNTA(A210:F210)=0,"",IF(A210="EXAMPLE","Example (skipped)",IF(OR(C210="",E210="",F210=""),"✖ Portal, User ID and Password are all needed",IF(AND(A210="",COUNTIF(Clients!$B$5:$B$1005,B210)=0),"Not on Clients — will match a portal client by name",IF(AND(C210="GST",D210&lt;&gt;"",COUNTIF(Clients!$AN$5:$AN$1005,UPPER(D210))=0,COUNTIF(Clients!$G$5:$G$1005,"*"&amp;UPPER(D210)&amp;"*")=0),"GSTIN not on Clients — will be checked in the portal","✔ OK")))))</f>
        <v/>
      </c>
    </row>
    <row r="211">
      <c r="A211" s="38" t="n"/>
      <c r="B211" s="39" t="n"/>
      <c r="C211" s="39" t="n"/>
      <c r="D211" s="38" t="n"/>
      <c r="E211" s="38" t="n"/>
      <c r="F211" s="38" t="n"/>
      <c r="G211" s="37">
        <f>IF(COUNTA(A211:F211)=0,"",IF(A211="EXAMPLE","Example (skipped)",IF(OR(C211="",E211="",F211=""),"✖ Portal, User ID and Password are all needed",IF(AND(A211="",COUNTIF(Clients!$B$5:$B$1005,B211)=0),"Not on Clients — will match a portal client by name",IF(AND(C211="GST",D211&lt;&gt;"",COUNTIF(Clients!$AN$5:$AN$1005,UPPER(D211))=0,COUNTIF(Clients!$G$5:$G$1005,"*"&amp;UPPER(D211)&amp;"*")=0),"GSTIN not on Clients — will be checked in the portal","✔ OK")))))</f>
        <v/>
      </c>
    </row>
    <row r="212">
      <c r="A212" s="38" t="n"/>
      <c r="B212" s="39" t="n"/>
      <c r="C212" s="39" t="n"/>
      <c r="D212" s="38" t="n"/>
      <c r="E212" s="38" t="n"/>
      <c r="F212" s="38" t="n"/>
      <c r="G212" s="37">
        <f>IF(COUNTA(A212:F212)=0,"",IF(A212="EXAMPLE","Example (skipped)",IF(OR(C212="",E212="",F212=""),"✖ Portal, User ID and Password are all needed",IF(AND(A212="",COUNTIF(Clients!$B$5:$B$1005,B212)=0),"Not on Clients — will match a portal client by name",IF(AND(C212="GST",D212&lt;&gt;"",COUNTIF(Clients!$AN$5:$AN$1005,UPPER(D212))=0,COUNTIF(Clients!$G$5:$G$1005,"*"&amp;UPPER(D212)&amp;"*")=0),"GSTIN not on Clients — will be checked in the portal","✔ OK")))))</f>
        <v/>
      </c>
    </row>
    <row r="213">
      <c r="A213" s="38" t="n"/>
      <c r="B213" s="39" t="n"/>
      <c r="C213" s="39" t="n"/>
      <c r="D213" s="38" t="n"/>
      <c r="E213" s="38" t="n"/>
      <c r="F213" s="38" t="n"/>
      <c r="G213" s="37">
        <f>IF(COUNTA(A213:F213)=0,"",IF(A213="EXAMPLE","Example (skipped)",IF(OR(C213="",E213="",F213=""),"✖ Portal, User ID and Password are all needed",IF(AND(A213="",COUNTIF(Clients!$B$5:$B$1005,B213)=0),"Not on Clients — will match a portal client by name",IF(AND(C213="GST",D213&lt;&gt;"",COUNTIF(Clients!$AN$5:$AN$1005,UPPER(D213))=0,COUNTIF(Clients!$G$5:$G$1005,"*"&amp;UPPER(D213)&amp;"*")=0),"GSTIN not on Clients — will be checked in the portal","✔ OK")))))</f>
        <v/>
      </c>
    </row>
    <row r="214">
      <c r="A214" s="38" t="n"/>
      <c r="B214" s="39" t="n"/>
      <c r="C214" s="39" t="n"/>
      <c r="D214" s="38" t="n"/>
      <c r="E214" s="38" t="n"/>
      <c r="F214" s="38" t="n"/>
      <c r="G214" s="37">
        <f>IF(COUNTA(A214:F214)=0,"",IF(A214="EXAMPLE","Example (skipped)",IF(OR(C214="",E214="",F214=""),"✖ Portal, User ID and Password are all needed",IF(AND(A214="",COUNTIF(Clients!$B$5:$B$1005,B214)=0),"Not on Clients — will match a portal client by name",IF(AND(C214="GST",D214&lt;&gt;"",COUNTIF(Clients!$AN$5:$AN$1005,UPPER(D214))=0,COUNTIF(Clients!$G$5:$G$1005,"*"&amp;UPPER(D214)&amp;"*")=0),"GSTIN not on Clients — will be checked in the portal","✔ OK")))))</f>
        <v/>
      </c>
    </row>
    <row r="215">
      <c r="A215" s="38" t="n"/>
      <c r="B215" s="39" t="n"/>
      <c r="C215" s="39" t="n"/>
      <c r="D215" s="38" t="n"/>
      <c r="E215" s="38" t="n"/>
      <c r="F215" s="38" t="n"/>
      <c r="G215" s="37">
        <f>IF(COUNTA(A215:F215)=0,"",IF(A215="EXAMPLE","Example (skipped)",IF(OR(C215="",E215="",F215=""),"✖ Portal, User ID and Password are all needed",IF(AND(A215="",COUNTIF(Clients!$B$5:$B$1005,B215)=0),"Not on Clients — will match a portal client by name",IF(AND(C215="GST",D215&lt;&gt;"",COUNTIF(Clients!$AN$5:$AN$1005,UPPER(D215))=0,COUNTIF(Clients!$G$5:$G$1005,"*"&amp;UPPER(D215)&amp;"*")=0),"GSTIN not on Clients — will be checked in the portal","✔ OK")))))</f>
        <v/>
      </c>
    </row>
    <row r="216">
      <c r="A216" s="38" t="n"/>
      <c r="B216" s="39" t="n"/>
      <c r="C216" s="39" t="n"/>
      <c r="D216" s="38" t="n"/>
      <c r="E216" s="38" t="n"/>
      <c r="F216" s="38" t="n"/>
      <c r="G216" s="37">
        <f>IF(COUNTA(A216:F216)=0,"",IF(A216="EXAMPLE","Example (skipped)",IF(OR(C216="",E216="",F216=""),"✖ Portal, User ID and Password are all needed",IF(AND(A216="",COUNTIF(Clients!$B$5:$B$1005,B216)=0),"Not on Clients — will match a portal client by name",IF(AND(C216="GST",D216&lt;&gt;"",COUNTIF(Clients!$AN$5:$AN$1005,UPPER(D216))=0,COUNTIF(Clients!$G$5:$G$1005,"*"&amp;UPPER(D216)&amp;"*")=0),"GSTIN not on Clients — will be checked in the portal","✔ OK")))))</f>
        <v/>
      </c>
    </row>
    <row r="217">
      <c r="A217" s="38" t="n"/>
      <c r="B217" s="39" t="n"/>
      <c r="C217" s="39" t="n"/>
      <c r="D217" s="38" t="n"/>
      <c r="E217" s="38" t="n"/>
      <c r="F217" s="38" t="n"/>
      <c r="G217" s="37">
        <f>IF(COUNTA(A217:F217)=0,"",IF(A217="EXAMPLE","Example (skipped)",IF(OR(C217="",E217="",F217=""),"✖ Portal, User ID and Password are all needed",IF(AND(A217="",COUNTIF(Clients!$B$5:$B$1005,B217)=0),"Not on Clients — will match a portal client by name",IF(AND(C217="GST",D217&lt;&gt;"",COUNTIF(Clients!$AN$5:$AN$1005,UPPER(D217))=0,COUNTIF(Clients!$G$5:$G$1005,"*"&amp;UPPER(D217)&amp;"*")=0),"GSTIN not on Clients — will be checked in the portal","✔ OK")))))</f>
        <v/>
      </c>
    </row>
    <row r="218">
      <c r="A218" s="38" t="n"/>
      <c r="B218" s="39" t="n"/>
      <c r="C218" s="39" t="n"/>
      <c r="D218" s="38" t="n"/>
      <c r="E218" s="38" t="n"/>
      <c r="F218" s="38" t="n"/>
      <c r="G218" s="37">
        <f>IF(COUNTA(A218:F218)=0,"",IF(A218="EXAMPLE","Example (skipped)",IF(OR(C218="",E218="",F218=""),"✖ Portal, User ID and Password are all needed",IF(AND(A218="",COUNTIF(Clients!$B$5:$B$1005,B218)=0),"Not on Clients — will match a portal client by name",IF(AND(C218="GST",D218&lt;&gt;"",COUNTIF(Clients!$AN$5:$AN$1005,UPPER(D218))=0,COUNTIF(Clients!$G$5:$G$1005,"*"&amp;UPPER(D218)&amp;"*")=0),"GSTIN not on Clients — will be checked in the portal","✔ OK")))))</f>
        <v/>
      </c>
    </row>
    <row r="219">
      <c r="A219" s="38" t="n"/>
      <c r="B219" s="39" t="n"/>
      <c r="C219" s="39" t="n"/>
      <c r="D219" s="38" t="n"/>
      <c r="E219" s="38" t="n"/>
      <c r="F219" s="38" t="n"/>
      <c r="G219" s="37">
        <f>IF(COUNTA(A219:F219)=0,"",IF(A219="EXAMPLE","Example (skipped)",IF(OR(C219="",E219="",F219=""),"✖ Portal, User ID and Password are all needed",IF(AND(A219="",COUNTIF(Clients!$B$5:$B$1005,B219)=0),"Not on Clients — will match a portal client by name",IF(AND(C219="GST",D219&lt;&gt;"",COUNTIF(Clients!$AN$5:$AN$1005,UPPER(D219))=0,COUNTIF(Clients!$G$5:$G$1005,"*"&amp;UPPER(D219)&amp;"*")=0),"GSTIN not on Clients — will be checked in the portal","✔ OK")))))</f>
        <v/>
      </c>
    </row>
    <row r="220">
      <c r="A220" s="38" t="n"/>
      <c r="B220" s="39" t="n"/>
      <c r="C220" s="39" t="n"/>
      <c r="D220" s="38" t="n"/>
      <c r="E220" s="38" t="n"/>
      <c r="F220" s="38" t="n"/>
      <c r="G220" s="37">
        <f>IF(COUNTA(A220:F220)=0,"",IF(A220="EXAMPLE","Example (skipped)",IF(OR(C220="",E220="",F220=""),"✖ Portal, User ID and Password are all needed",IF(AND(A220="",COUNTIF(Clients!$B$5:$B$1005,B220)=0),"Not on Clients — will match a portal client by name",IF(AND(C220="GST",D220&lt;&gt;"",COUNTIF(Clients!$AN$5:$AN$1005,UPPER(D220))=0,COUNTIF(Clients!$G$5:$G$1005,"*"&amp;UPPER(D220)&amp;"*")=0),"GSTIN not on Clients — will be checked in the portal","✔ OK")))))</f>
        <v/>
      </c>
    </row>
    <row r="221">
      <c r="A221" s="38" t="n"/>
      <c r="B221" s="39" t="n"/>
      <c r="C221" s="39" t="n"/>
      <c r="D221" s="38" t="n"/>
      <c r="E221" s="38" t="n"/>
      <c r="F221" s="38" t="n"/>
      <c r="G221" s="37">
        <f>IF(COUNTA(A221:F221)=0,"",IF(A221="EXAMPLE","Example (skipped)",IF(OR(C221="",E221="",F221=""),"✖ Portal, User ID and Password are all needed",IF(AND(A221="",COUNTIF(Clients!$B$5:$B$1005,B221)=0),"Not on Clients — will match a portal client by name",IF(AND(C221="GST",D221&lt;&gt;"",COUNTIF(Clients!$AN$5:$AN$1005,UPPER(D221))=0,COUNTIF(Clients!$G$5:$G$1005,"*"&amp;UPPER(D221)&amp;"*")=0),"GSTIN not on Clients — will be checked in the portal","✔ OK")))))</f>
        <v/>
      </c>
    </row>
    <row r="222">
      <c r="A222" s="38" t="n"/>
      <c r="B222" s="39" t="n"/>
      <c r="C222" s="39" t="n"/>
      <c r="D222" s="38" t="n"/>
      <c r="E222" s="38" t="n"/>
      <c r="F222" s="38" t="n"/>
      <c r="G222" s="37">
        <f>IF(COUNTA(A222:F222)=0,"",IF(A222="EXAMPLE","Example (skipped)",IF(OR(C222="",E222="",F222=""),"✖ Portal, User ID and Password are all needed",IF(AND(A222="",COUNTIF(Clients!$B$5:$B$1005,B222)=0),"Not on Clients — will match a portal client by name",IF(AND(C222="GST",D222&lt;&gt;"",COUNTIF(Clients!$AN$5:$AN$1005,UPPER(D222))=0,COUNTIF(Clients!$G$5:$G$1005,"*"&amp;UPPER(D222)&amp;"*")=0),"GSTIN not on Clients — will be checked in the portal","✔ OK")))))</f>
        <v/>
      </c>
    </row>
    <row r="223">
      <c r="A223" s="38" t="n"/>
      <c r="B223" s="39" t="n"/>
      <c r="C223" s="39" t="n"/>
      <c r="D223" s="38" t="n"/>
      <c r="E223" s="38" t="n"/>
      <c r="F223" s="38" t="n"/>
      <c r="G223" s="37">
        <f>IF(COUNTA(A223:F223)=0,"",IF(A223="EXAMPLE","Example (skipped)",IF(OR(C223="",E223="",F223=""),"✖ Portal, User ID and Password are all needed",IF(AND(A223="",COUNTIF(Clients!$B$5:$B$1005,B223)=0),"Not on Clients — will match a portal client by name",IF(AND(C223="GST",D223&lt;&gt;"",COUNTIF(Clients!$AN$5:$AN$1005,UPPER(D223))=0,COUNTIF(Clients!$G$5:$G$1005,"*"&amp;UPPER(D223)&amp;"*")=0),"GSTIN not on Clients — will be checked in the portal","✔ OK")))))</f>
        <v/>
      </c>
    </row>
    <row r="224">
      <c r="A224" s="38" t="n"/>
      <c r="B224" s="39" t="n"/>
      <c r="C224" s="39" t="n"/>
      <c r="D224" s="38" t="n"/>
      <c r="E224" s="38" t="n"/>
      <c r="F224" s="38" t="n"/>
      <c r="G224" s="37">
        <f>IF(COUNTA(A224:F224)=0,"",IF(A224="EXAMPLE","Example (skipped)",IF(OR(C224="",E224="",F224=""),"✖ Portal, User ID and Password are all needed",IF(AND(A224="",COUNTIF(Clients!$B$5:$B$1005,B224)=0),"Not on Clients — will match a portal client by name",IF(AND(C224="GST",D224&lt;&gt;"",COUNTIF(Clients!$AN$5:$AN$1005,UPPER(D224))=0,COUNTIF(Clients!$G$5:$G$1005,"*"&amp;UPPER(D224)&amp;"*")=0),"GSTIN not on Clients — will be checked in the portal","✔ OK")))))</f>
        <v/>
      </c>
    </row>
    <row r="225">
      <c r="A225" s="38" t="n"/>
      <c r="B225" s="39" t="n"/>
      <c r="C225" s="39" t="n"/>
      <c r="D225" s="38" t="n"/>
      <c r="E225" s="38" t="n"/>
      <c r="F225" s="38" t="n"/>
      <c r="G225" s="37">
        <f>IF(COUNTA(A225:F225)=0,"",IF(A225="EXAMPLE","Example (skipped)",IF(OR(C225="",E225="",F225=""),"✖ Portal, User ID and Password are all needed",IF(AND(A225="",COUNTIF(Clients!$B$5:$B$1005,B225)=0),"Not on Clients — will match a portal client by name",IF(AND(C225="GST",D225&lt;&gt;"",COUNTIF(Clients!$AN$5:$AN$1005,UPPER(D225))=0,COUNTIF(Clients!$G$5:$G$1005,"*"&amp;UPPER(D225)&amp;"*")=0),"GSTIN not on Clients — will be checked in the portal","✔ OK")))))</f>
        <v/>
      </c>
    </row>
    <row r="226">
      <c r="A226" s="38" t="n"/>
      <c r="B226" s="39" t="n"/>
      <c r="C226" s="39" t="n"/>
      <c r="D226" s="38" t="n"/>
      <c r="E226" s="38" t="n"/>
      <c r="F226" s="38" t="n"/>
      <c r="G226" s="37">
        <f>IF(COUNTA(A226:F226)=0,"",IF(A226="EXAMPLE","Example (skipped)",IF(OR(C226="",E226="",F226=""),"✖ Portal, User ID and Password are all needed",IF(AND(A226="",COUNTIF(Clients!$B$5:$B$1005,B226)=0),"Not on Clients — will match a portal client by name",IF(AND(C226="GST",D226&lt;&gt;"",COUNTIF(Clients!$AN$5:$AN$1005,UPPER(D226))=0,COUNTIF(Clients!$G$5:$G$1005,"*"&amp;UPPER(D226)&amp;"*")=0),"GSTIN not on Clients — will be checked in the portal","✔ OK")))))</f>
        <v/>
      </c>
    </row>
    <row r="227">
      <c r="A227" s="38" t="n"/>
      <c r="B227" s="39" t="n"/>
      <c r="C227" s="39" t="n"/>
      <c r="D227" s="38" t="n"/>
      <c r="E227" s="38" t="n"/>
      <c r="F227" s="38" t="n"/>
      <c r="G227" s="37">
        <f>IF(COUNTA(A227:F227)=0,"",IF(A227="EXAMPLE","Example (skipped)",IF(OR(C227="",E227="",F227=""),"✖ Portal, User ID and Password are all needed",IF(AND(A227="",COUNTIF(Clients!$B$5:$B$1005,B227)=0),"Not on Clients — will match a portal client by name",IF(AND(C227="GST",D227&lt;&gt;"",COUNTIF(Clients!$AN$5:$AN$1005,UPPER(D227))=0,COUNTIF(Clients!$G$5:$G$1005,"*"&amp;UPPER(D227)&amp;"*")=0),"GSTIN not on Clients — will be checked in the portal","✔ OK")))))</f>
        <v/>
      </c>
    </row>
    <row r="228">
      <c r="A228" s="38" t="n"/>
      <c r="B228" s="39" t="n"/>
      <c r="C228" s="39" t="n"/>
      <c r="D228" s="38" t="n"/>
      <c r="E228" s="38" t="n"/>
      <c r="F228" s="38" t="n"/>
      <c r="G228" s="37">
        <f>IF(COUNTA(A228:F228)=0,"",IF(A228="EXAMPLE","Example (skipped)",IF(OR(C228="",E228="",F228=""),"✖ Portal, User ID and Password are all needed",IF(AND(A228="",COUNTIF(Clients!$B$5:$B$1005,B228)=0),"Not on Clients — will match a portal client by name",IF(AND(C228="GST",D228&lt;&gt;"",COUNTIF(Clients!$AN$5:$AN$1005,UPPER(D228))=0,COUNTIF(Clients!$G$5:$G$1005,"*"&amp;UPPER(D228)&amp;"*")=0),"GSTIN not on Clients — will be checked in the portal","✔ OK")))))</f>
        <v/>
      </c>
    </row>
    <row r="229">
      <c r="A229" s="38" t="n"/>
      <c r="B229" s="39" t="n"/>
      <c r="C229" s="39" t="n"/>
      <c r="D229" s="38" t="n"/>
      <c r="E229" s="38" t="n"/>
      <c r="F229" s="38" t="n"/>
      <c r="G229" s="37">
        <f>IF(COUNTA(A229:F229)=0,"",IF(A229="EXAMPLE","Example (skipped)",IF(OR(C229="",E229="",F229=""),"✖ Portal, User ID and Password are all needed",IF(AND(A229="",COUNTIF(Clients!$B$5:$B$1005,B229)=0),"Not on Clients — will match a portal client by name",IF(AND(C229="GST",D229&lt;&gt;"",COUNTIF(Clients!$AN$5:$AN$1005,UPPER(D229))=0,COUNTIF(Clients!$G$5:$G$1005,"*"&amp;UPPER(D229)&amp;"*")=0),"GSTIN not on Clients — will be checked in the portal","✔ OK")))))</f>
        <v/>
      </c>
    </row>
    <row r="230">
      <c r="A230" s="38" t="n"/>
      <c r="B230" s="39" t="n"/>
      <c r="C230" s="39" t="n"/>
      <c r="D230" s="38" t="n"/>
      <c r="E230" s="38" t="n"/>
      <c r="F230" s="38" t="n"/>
      <c r="G230" s="37">
        <f>IF(COUNTA(A230:F230)=0,"",IF(A230="EXAMPLE","Example (skipped)",IF(OR(C230="",E230="",F230=""),"✖ Portal, User ID and Password are all needed",IF(AND(A230="",COUNTIF(Clients!$B$5:$B$1005,B230)=0),"Not on Clients — will match a portal client by name",IF(AND(C230="GST",D230&lt;&gt;"",COUNTIF(Clients!$AN$5:$AN$1005,UPPER(D230))=0,COUNTIF(Clients!$G$5:$G$1005,"*"&amp;UPPER(D230)&amp;"*")=0),"GSTIN not on Clients — will be checked in the portal","✔ OK")))))</f>
        <v/>
      </c>
    </row>
    <row r="231">
      <c r="A231" s="38" t="n"/>
      <c r="B231" s="39" t="n"/>
      <c r="C231" s="39" t="n"/>
      <c r="D231" s="38" t="n"/>
      <c r="E231" s="38" t="n"/>
      <c r="F231" s="38" t="n"/>
      <c r="G231" s="37">
        <f>IF(COUNTA(A231:F231)=0,"",IF(A231="EXAMPLE","Example (skipped)",IF(OR(C231="",E231="",F231=""),"✖ Portal, User ID and Password are all needed",IF(AND(A231="",COUNTIF(Clients!$B$5:$B$1005,B231)=0),"Not on Clients — will match a portal client by name",IF(AND(C231="GST",D231&lt;&gt;"",COUNTIF(Clients!$AN$5:$AN$1005,UPPER(D231))=0,COUNTIF(Clients!$G$5:$G$1005,"*"&amp;UPPER(D231)&amp;"*")=0),"GSTIN not on Clients — will be checked in the portal","✔ OK")))))</f>
        <v/>
      </c>
    </row>
    <row r="232">
      <c r="A232" s="38" t="n"/>
      <c r="B232" s="39" t="n"/>
      <c r="C232" s="39" t="n"/>
      <c r="D232" s="38" t="n"/>
      <c r="E232" s="38" t="n"/>
      <c r="F232" s="38" t="n"/>
      <c r="G232" s="37">
        <f>IF(COUNTA(A232:F232)=0,"",IF(A232="EXAMPLE","Example (skipped)",IF(OR(C232="",E232="",F232=""),"✖ Portal, User ID and Password are all needed",IF(AND(A232="",COUNTIF(Clients!$B$5:$B$1005,B232)=0),"Not on Clients — will match a portal client by name",IF(AND(C232="GST",D232&lt;&gt;"",COUNTIF(Clients!$AN$5:$AN$1005,UPPER(D232))=0,COUNTIF(Clients!$G$5:$G$1005,"*"&amp;UPPER(D232)&amp;"*")=0),"GSTIN not on Clients — will be checked in the portal","✔ OK")))))</f>
        <v/>
      </c>
    </row>
    <row r="233">
      <c r="A233" s="38" t="n"/>
      <c r="B233" s="39" t="n"/>
      <c r="C233" s="39" t="n"/>
      <c r="D233" s="38" t="n"/>
      <c r="E233" s="38" t="n"/>
      <c r="F233" s="38" t="n"/>
      <c r="G233" s="37">
        <f>IF(COUNTA(A233:F233)=0,"",IF(A233="EXAMPLE","Example (skipped)",IF(OR(C233="",E233="",F233=""),"✖ Portal, User ID and Password are all needed",IF(AND(A233="",COUNTIF(Clients!$B$5:$B$1005,B233)=0),"Not on Clients — will match a portal client by name",IF(AND(C233="GST",D233&lt;&gt;"",COUNTIF(Clients!$AN$5:$AN$1005,UPPER(D233))=0,COUNTIF(Clients!$G$5:$G$1005,"*"&amp;UPPER(D233)&amp;"*")=0),"GSTIN not on Clients — will be checked in the portal","✔ OK")))))</f>
        <v/>
      </c>
    </row>
    <row r="234">
      <c r="A234" s="38" t="n"/>
      <c r="B234" s="39" t="n"/>
      <c r="C234" s="39" t="n"/>
      <c r="D234" s="38" t="n"/>
      <c r="E234" s="38" t="n"/>
      <c r="F234" s="38" t="n"/>
      <c r="G234" s="37">
        <f>IF(COUNTA(A234:F234)=0,"",IF(A234="EXAMPLE","Example (skipped)",IF(OR(C234="",E234="",F234=""),"✖ Portal, User ID and Password are all needed",IF(AND(A234="",COUNTIF(Clients!$B$5:$B$1005,B234)=0),"Not on Clients — will match a portal client by name",IF(AND(C234="GST",D234&lt;&gt;"",COUNTIF(Clients!$AN$5:$AN$1005,UPPER(D234))=0,COUNTIF(Clients!$G$5:$G$1005,"*"&amp;UPPER(D234)&amp;"*")=0),"GSTIN not on Clients — will be checked in the portal","✔ OK")))))</f>
        <v/>
      </c>
    </row>
    <row r="235">
      <c r="A235" s="38" t="n"/>
      <c r="B235" s="39" t="n"/>
      <c r="C235" s="39" t="n"/>
      <c r="D235" s="38" t="n"/>
      <c r="E235" s="38" t="n"/>
      <c r="F235" s="38" t="n"/>
      <c r="G235" s="37">
        <f>IF(COUNTA(A235:F235)=0,"",IF(A235="EXAMPLE","Example (skipped)",IF(OR(C235="",E235="",F235=""),"✖ Portal, User ID and Password are all needed",IF(AND(A235="",COUNTIF(Clients!$B$5:$B$1005,B235)=0),"Not on Clients — will match a portal client by name",IF(AND(C235="GST",D235&lt;&gt;"",COUNTIF(Clients!$AN$5:$AN$1005,UPPER(D235))=0,COUNTIF(Clients!$G$5:$G$1005,"*"&amp;UPPER(D235)&amp;"*")=0),"GSTIN not on Clients — will be checked in the portal","✔ OK")))))</f>
        <v/>
      </c>
    </row>
    <row r="236">
      <c r="A236" s="38" t="n"/>
      <c r="B236" s="39" t="n"/>
      <c r="C236" s="39" t="n"/>
      <c r="D236" s="38" t="n"/>
      <c r="E236" s="38" t="n"/>
      <c r="F236" s="38" t="n"/>
      <c r="G236" s="37">
        <f>IF(COUNTA(A236:F236)=0,"",IF(A236="EXAMPLE","Example (skipped)",IF(OR(C236="",E236="",F236=""),"✖ Portal, User ID and Password are all needed",IF(AND(A236="",COUNTIF(Clients!$B$5:$B$1005,B236)=0),"Not on Clients — will match a portal client by name",IF(AND(C236="GST",D236&lt;&gt;"",COUNTIF(Clients!$AN$5:$AN$1005,UPPER(D236))=0,COUNTIF(Clients!$G$5:$G$1005,"*"&amp;UPPER(D236)&amp;"*")=0),"GSTIN not on Clients — will be checked in the portal","✔ OK")))))</f>
        <v/>
      </c>
    </row>
    <row r="237">
      <c r="A237" s="38" t="n"/>
      <c r="B237" s="39" t="n"/>
      <c r="C237" s="39" t="n"/>
      <c r="D237" s="38" t="n"/>
      <c r="E237" s="38" t="n"/>
      <c r="F237" s="38" t="n"/>
      <c r="G237" s="37">
        <f>IF(COUNTA(A237:F237)=0,"",IF(A237="EXAMPLE","Example (skipped)",IF(OR(C237="",E237="",F237=""),"✖ Portal, User ID and Password are all needed",IF(AND(A237="",COUNTIF(Clients!$B$5:$B$1005,B237)=0),"Not on Clients — will match a portal client by name",IF(AND(C237="GST",D237&lt;&gt;"",COUNTIF(Clients!$AN$5:$AN$1005,UPPER(D237))=0,COUNTIF(Clients!$G$5:$G$1005,"*"&amp;UPPER(D237)&amp;"*")=0),"GSTIN not on Clients — will be checked in the portal","✔ OK")))))</f>
        <v/>
      </c>
    </row>
    <row r="238">
      <c r="A238" s="38" t="n"/>
      <c r="B238" s="39" t="n"/>
      <c r="C238" s="39" t="n"/>
      <c r="D238" s="38" t="n"/>
      <c r="E238" s="38" t="n"/>
      <c r="F238" s="38" t="n"/>
      <c r="G238" s="37">
        <f>IF(COUNTA(A238:F238)=0,"",IF(A238="EXAMPLE","Example (skipped)",IF(OR(C238="",E238="",F238=""),"✖ Portal, User ID and Password are all needed",IF(AND(A238="",COUNTIF(Clients!$B$5:$B$1005,B238)=0),"Not on Clients — will match a portal client by name",IF(AND(C238="GST",D238&lt;&gt;"",COUNTIF(Clients!$AN$5:$AN$1005,UPPER(D238))=0,COUNTIF(Clients!$G$5:$G$1005,"*"&amp;UPPER(D238)&amp;"*")=0),"GSTIN not on Clients — will be checked in the portal","✔ OK")))))</f>
        <v/>
      </c>
    </row>
    <row r="239">
      <c r="A239" s="38" t="n"/>
      <c r="B239" s="39" t="n"/>
      <c r="C239" s="39" t="n"/>
      <c r="D239" s="38" t="n"/>
      <c r="E239" s="38" t="n"/>
      <c r="F239" s="38" t="n"/>
      <c r="G239" s="37">
        <f>IF(COUNTA(A239:F239)=0,"",IF(A239="EXAMPLE","Example (skipped)",IF(OR(C239="",E239="",F239=""),"✖ Portal, User ID and Password are all needed",IF(AND(A239="",COUNTIF(Clients!$B$5:$B$1005,B239)=0),"Not on Clients — will match a portal client by name",IF(AND(C239="GST",D239&lt;&gt;"",COUNTIF(Clients!$AN$5:$AN$1005,UPPER(D239))=0,COUNTIF(Clients!$G$5:$G$1005,"*"&amp;UPPER(D239)&amp;"*")=0),"GSTIN not on Clients — will be checked in the portal","✔ OK")))))</f>
        <v/>
      </c>
    </row>
    <row r="240">
      <c r="A240" s="38" t="n"/>
      <c r="B240" s="39" t="n"/>
      <c r="C240" s="39" t="n"/>
      <c r="D240" s="38" t="n"/>
      <c r="E240" s="38" t="n"/>
      <c r="F240" s="38" t="n"/>
      <c r="G240" s="37">
        <f>IF(COUNTA(A240:F240)=0,"",IF(A240="EXAMPLE","Example (skipped)",IF(OR(C240="",E240="",F240=""),"✖ Portal, User ID and Password are all needed",IF(AND(A240="",COUNTIF(Clients!$B$5:$B$1005,B240)=0),"Not on Clients — will match a portal client by name",IF(AND(C240="GST",D240&lt;&gt;"",COUNTIF(Clients!$AN$5:$AN$1005,UPPER(D240))=0,COUNTIF(Clients!$G$5:$G$1005,"*"&amp;UPPER(D240)&amp;"*")=0),"GSTIN not on Clients — will be checked in the portal","✔ OK")))))</f>
        <v/>
      </c>
    </row>
    <row r="241">
      <c r="A241" s="38" t="n"/>
      <c r="B241" s="39" t="n"/>
      <c r="C241" s="39" t="n"/>
      <c r="D241" s="38" t="n"/>
      <c r="E241" s="38" t="n"/>
      <c r="F241" s="38" t="n"/>
      <c r="G241" s="37">
        <f>IF(COUNTA(A241:F241)=0,"",IF(A241="EXAMPLE","Example (skipped)",IF(OR(C241="",E241="",F241=""),"✖ Portal, User ID and Password are all needed",IF(AND(A241="",COUNTIF(Clients!$B$5:$B$1005,B241)=0),"Not on Clients — will match a portal client by name",IF(AND(C241="GST",D241&lt;&gt;"",COUNTIF(Clients!$AN$5:$AN$1005,UPPER(D241))=0,COUNTIF(Clients!$G$5:$G$1005,"*"&amp;UPPER(D241)&amp;"*")=0),"GSTIN not on Clients — will be checked in the portal","✔ OK")))))</f>
        <v/>
      </c>
    </row>
    <row r="242">
      <c r="A242" s="38" t="n"/>
      <c r="B242" s="39" t="n"/>
      <c r="C242" s="39" t="n"/>
      <c r="D242" s="38" t="n"/>
      <c r="E242" s="38" t="n"/>
      <c r="F242" s="38" t="n"/>
      <c r="G242" s="37">
        <f>IF(COUNTA(A242:F242)=0,"",IF(A242="EXAMPLE","Example (skipped)",IF(OR(C242="",E242="",F242=""),"✖ Portal, User ID and Password are all needed",IF(AND(A242="",COUNTIF(Clients!$B$5:$B$1005,B242)=0),"Not on Clients — will match a portal client by name",IF(AND(C242="GST",D242&lt;&gt;"",COUNTIF(Clients!$AN$5:$AN$1005,UPPER(D242))=0,COUNTIF(Clients!$G$5:$G$1005,"*"&amp;UPPER(D242)&amp;"*")=0),"GSTIN not on Clients — will be checked in the portal","✔ OK")))))</f>
        <v/>
      </c>
    </row>
    <row r="243">
      <c r="A243" s="38" t="n"/>
      <c r="B243" s="39" t="n"/>
      <c r="C243" s="39" t="n"/>
      <c r="D243" s="38" t="n"/>
      <c r="E243" s="38" t="n"/>
      <c r="F243" s="38" t="n"/>
      <c r="G243" s="37">
        <f>IF(COUNTA(A243:F243)=0,"",IF(A243="EXAMPLE","Example (skipped)",IF(OR(C243="",E243="",F243=""),"✖ Portal, User ID and Password are all needed",IF(AND(A243="",COUNTIF(Clients!$B$5:$B$1005,B243)=0),"Not on Clients — will match a portal client by name",IF(AND(C243="GST",D243&lt;&gt;"",COUNTIF(Clients!$AN$5:$AN$1005,UPPER(D243))=0,COUNTIF(Clients!$G$5:$G$1005,"*"&amp;UPPER(D243)&amp;"*")=0),"GSTIN not on Clients — will be checked in the portal","✔ OK")))))</f>
        <v/>
      </c>
    </row>
    <row r="244">
      <c r="A244" s="38" t="n"/>
      <c r="B244" s="39" t="n"/>
      <c r="C244" s="39" t="n"/>
      <c r="D244" s="38" t="n"/>
      <c r="E244" s="38" t="n"/>
      <c r="F244" s="38" t="n"/>
      <c r="G244" s="37">
        <f>IF(COUNTA(A244:F244)=0,"",IF(A244="EXAMPLE","Example (skipped)",IF(OR(C244="",E244="",F244=""),"✖ Portal, User ID and Password are all needed",IF(AND(A244="",COUNTIF(Clients!$B$5:$B$1005,B244)=0),"Not on Clients — will match a portal client by name",IF(AND(C244="GST",D244&lt;&gt;"",COUNTIF(Clients!$AN$5:$AN$1005,UPPER(D244))=0,COUNTIF(Clients!$G$5:$G$1005,"*"&amp;UPPER(D244)&amp;"*")=0),"GSTIN not on Clients — will be checked in the portal","✔ OK")))))</f>
        <v/>
      </c>
    </row>
    <row r="245">
      <c r="A245" s="38" t="n"/>
      <c r="B245" s="39" t="n"/>
      <c r="C245" s="39" t="n"/>
      <c r="D245" s="38" t="n"/>
      <c r="E245" s="38" t="n"/>
      <c r="F245" s="38" t="n"/>
      <c r="G245" s="37">
        <f>IF(COUNTA(A245:F245)=0,"",IF(A245="EXAMPLE","Example (skipped)",IF(OR(C245="",E245="",F245=""),"✖ Portal, User ID and Password are all needed",IF(AND(A245="",COUNTIF(Clients!$B$5:$B$1005,B245)=0),"Not on Clients — will match a portal client by name",IF(AND(C245="GST",D245&lt;&gt;"",COUNTIF(Clients!$AN$5:$AN$1005,UPPER(D245))=0,COUNTIF(Clients!$G$5:$G$1005,"*"&amp;UPPER(D245)&amp;"*")=0),"GSTIN not on Clients — will be checked in the portal","✔ OK")))))</f>
        <v/>
      </c>
    </row>
    <row r="246">
      <c r="A246" s="38" t="n"/>
      <c r="B246" s="39" t="n"/>
      <c r="C246" s="39" t="n"/>
      <c r="D246" s="38" t="n"/>
      <c r="E246" s="38" t="n"/>
      <c r="F246" s="38" t="n"/>
      <c r="G246" s="37">
        <f>IF(COUNTA(A246:F246)=0,"",IF(A246="EXAMPLE","Example (skipped)",IF(OR(C246="",E246="",F246=""),"✖ Portal, User ID and Password are all needed",IF(AND(A246="",COUNTIF(Clients!$B$5:$B$1005,B246)=0),"Not on Clients — will match a portal client by name",IF(AND(C246="GST",D246&lt;&gt;"",COUNTIF(Clients!$AN$5:$AN$1005,UPPER(D246))=0,COUNTIF(Clients!$G$5:$G$1005,"*"&amp;UPPER(D246)&amp;"*")=0),"GSTIN not on Clients — will be checked in the portal","✔ OK")))))</f>
        <v/>
      </c>
    </row>
    <row r="247">
      <c r="A247" s="38" t="n"/>
      <c r="B247" s="39" t="n"/>
      <c r="C247" s="39" t="n"/>
      <c r="D247" s="38" t="n"/>
      <c r="E247" s="38" t="n"/>
      <c r="F247" s="38" t="n"/>
      <c r="G247" s="37">
        <f>IF(COUNTA(A247:F247)=0,"",IF(A247="EXAMPLE","Example (skipped)",IF(OR(C247="",E247="",F247=""),"✖ Portal, User ID and Password are all needed",IF(AND(A247="",COUNTIF(Clients!$B$5:$B$1005,B247)=0),"Not on Clients — will match a portal client by name",IF(AND(C247="GST",D247&lt;&gt;"",COUNTIF(Clients!$AN$5:$AN$1005,UPPER(D247))=0,COUNTIF(Clients!$G$5:$G$1005,"*"&amp;UPPER(D247)&amp;"*")=0),"GSTIN not on Clients — will be checked in the portal","✔ OK")))))</f>
        <v/>
      </c>
    </row>
    <row r="248">
      <c r="A248" s="38" t="n"/>
      <c r="B248" s="39" t="n"/>
      <c r="C248" s="39" t="n"/>
      <c r="D248" s="38" t="n"/>
      <c r="E248" s="38" t="n"/>
      <c r="F248" s="38" t="n"/>
      <c r="G248" s="37">
        <f>IF(COUNTA(A248:F248)=0,"",IF(A248="EXAMPLE","Example (skipped)",IF(OR(C248="",E248="",F248=""),"✖ Portal, User ID and Password are all needed",IF(AND(A248="",COUNTIF(Clients!$B$5:$B$1005,B248)=0),"Not on Clients — will match a portal client by name",IF(AND(C248="GST",D248&lt;&gt;"",COUNTIF(Clients!$AN$5:$AN$1005,UPPER(D248))=0,COUNTIF(Clients!$G$5:$G$1005,"*"&amp;UPPER(D248)&amp;"*")=0),"GSTIN not on Clients — will be checked in the portal","✔ OK")))))</f>
        <v/>
      </c>
    </row>
    <row r="249">
      <c r="A249" s="38" t="n"/>
      <c r="B249" s="39" t="n"/>
      <c r="C249" s="39" t="n"/>
      <c r="D249" s="38" t="n"/>
      <c r="E249" s="38" t="n"/>
      <c r="F249" s="38" t="n"/>
      <c r="G249" s="37">
        <f>IF(COUNTA(A249:F249)=0,"",IF(A249="EXAMPLE","Example (skipped)",IF(OR(C249="",E249="",F249=""),"✖ Portal, User ID and Password are all needed",IF(AND(A249="",COUNTIF(Clients!$B$5:$B$1005,B249)=0),"Not on Clients — will match a portal client by name",IF(AND(C249="GST",D249&lt;&gt;"",COUNTIF(Clients!$AN$5:$AN$1005,UPPER(D249))=0,COUNTIF(Clients!$G$5:$G$1005,"*"&amp;UPPER(D249)&amp;"*")=0),"GSTIN not on Clients — will be checked in the portal","✔ OK")))))</f>
        <v/>
      </c>
    </row>
    <row r="250">
      <c r="A250" s="38" t="n"/>
      <c r="B250" s="39" t="n"/>
      <c r="C250" s="39" t="n"/>
      <c r="D250" s="38" t="n"/>
      <c r="E250" s="38" t="n"/>
      <c r="F250" s="38" t="n"/>
      <c r="G250" s="37">
        <f>IF(COUNTA(A250:F250)=0,"",IF(A250="EXAMPLE","Example (skipped)",IF(OR(C250="",E250="",F250=""),"✖ Portal, User ID and Password are all needed",IF(AND(A250="",COUNTIF(Clients!$B$5:$B$1005,B250)=0),"Not on Clients — will match a portal client by name",IF(AND(C250="GST",D250&lt;&gt;"",COUNTIF(Clients!$AN$5:$AN$1005,UPPER(D250))=0,COUNTIF(Clients!$G$5:$G$1005,"*"&amp;UPPER(D250)&amp;"*")=0),"GSTIN not on Clients — will be checked in the portal","✔ OK")))))</f>
        <v/>
      </c>
    </row>
    <row r="251">
      <c r="A251" s="38" t="n"/>
      <c r="B251" s="39" t="n"/>
      <c r="C251" s="39" t="n"/>
      <c r="D251" s="38" t="n"/>
      <c r="E251" s="38" t="n"/>
      <c r="F251" s="38" t="n"/>
      <c r="G251" s="37">
        <f>IF(COUNTA(A251:F251)=0,"",IF(A251="EXAMPLE","Example (skipped)",IF(OR(C251="",E251="",F251=""),"✖ Portal, User ID and Password are all needed",IF(AND(A251="",COUNTIF(Clients!$B$5:$B$1005,B251)=0),"Not on Clients — will match a portal client by name",IF(AND(C251="GST",D251&lt;&gt;"",COUNTIF(Clients!$AN$5:$AN$1005,UPPER(D251))=0,COUNTIF(Clients!$G$5:$G$1005,"*"&amp;UPPER(D251)&amp;"*")=0),"GSTIN not on Clients — will be checked in the portal","✔ OK")))))</f>
        <v/>
      </c>
    </row>
    <row r="252">
      <c r="A252" s="38" t="n"/>
      <c r="B252" s="39" t="n"/>
      <c r="C252" s="39" t="n"/>
      <c r="D252" s="38" t="n"/>
      <c r="E252" s="38" t="n"/>
      <c r="F252" s="38" t="n"/>
      <c r="G252" s="37">
        <f>IF(COUNTA(A252:F252)=0,"",IF(A252="EXAMPLE","Example (skipped)",IF(OR(C252="",E252="",F252=""),"✖ Portal, User ID and Password are all needed",IF(AND(A252="",COUNTIF(Clients!$B$5:$B$1005,B252)=0),"Not on Clients — will match a portal client by name",IF(AND(C252="GST",D252&lt;&gt;"",COUNTIF(Clients!$AN$5:$AN$1005,UPPER(D252))=0,COUNTIF(Clients!$G$5:$G$1005,"*"&amp;UPPER(D252)&amp;"*")=0),"GSTIN not on Clients — will be checked in the portal","✔ OK")))))</f>
        <v/>
      </c>
    </row>
    <row r="253">
      <c r="A253" s="38" t="n"/>
      <c r="B253" s="39" t="n"/>
      <c r="C253" s="39" t="n"/>
      <c r="D253" s="38" t="n"/>
      <c r="E253" s="38" t="n"/>
      <c r="F253" s="38" t="n"/>
      <c r="G253" s="37">
        <f>IF(COUNTA(A253:F253)=0,"",IF(A253="EXAMPLE","Example (skipped)",IF(OR(C253="",E253="",F253=""),"✖ Portal, User ID and Password are all needed",IF(AND(A253="",COUNTIF(Clients!$B$5:$B$1005,B253)=0),"Not on Clients — will match a portal client by name",IF(AND(C253="GST",D253&lt;&gt;"",COUNTIF(Clients!$AN$5:$AN$1005,UPPER(D253))=0,COUNTIF(Clients!$G$5:$G$1005,"*"&amp;UPPER(D253)&amp;"*")=0),"GSTIN not on Clients — will be checked in the portal","✔ OK")))))</f>
        <v/>
      </c>
    </row>
    <row r="254">
      <c r="A254" s="38" t="n"/>
      <c r="B254" s="39" t="n"/>
      <c r="C254" s="39" t="n"/>
      <c r="D254" s="38" t="n"/>
      <c r="E254" s="38" t="n"/>
      <c r="F254" s="38" t="n"/>
      <c r="G254" s="37">
        <f>IF(COUNTA(A254:F254)=0,"",IF(A254="EXAMPLE","Example (skipped)",IF(OR(C254="",E254="",F254=""),"✖ Portal, User ID and Password are all needed",IF(AND(A254="",COUNTIF(Clients!$B$5:$B$1005,B254)=0),"Not on Clients — will match a portal client by name",IF(AND(C254="GST",D254&lt;&gt;"",COUNTIF(Clients!$AN$5:$AN$1005,UPPER(D254))=0,COUNTIF(Clients!$G$5:$G$1005,"*"&amp;UPPER(D254)&amp;"*")=0),"GSTIN not on Clients — will be checked in the portal","✔ OK")))))</f>
        <v/>
      </c>
    </row>
    <row r="255">
      <c r="A255" s="38" t="n"/>
      <c r="B255" s="39" t="n"/>
      <c r="C255" s="39" t="n"/>
      <c r="D255" s="38" t="n"/>
      <c r="E255" s="38" t="n"/>
      <c r="F255" s="38" t="n"/>
      <c r="G255" s="37">
        <f>IF(COUNTA(A255:F255)=0,"",IF(A255="EXAMPLE","Example (skipped)",IF(OR(C255="",E255="",F255=""),"✖ Portal, User ID and Password are all needed",IF(AND(A255="",COUNTIF(Clients!$B$5:$B$1005,B255)=0),"Not on Clients — will match a portal client by name",IF(AND(C255="GST",D255&lt;&gt;"",COUNTIF(Clients!$AN$5:$AN$1005,UPPER(D255))=0,COUNTIF(Clients!$G$5:$G$1005,"*"&amp;UPPER(D255)&amp;"*")=0),"GSTIN not on Clients — will be checked in the portal","✔ OK")))))</f>
        <v/>
      </c>
    </row>
    <row r="256">
      <c r="A256" s="38" t="n"/>
      <c r="B256" s="39" t="n"/>
      <c r="C256" s="39" t="n"/>
      <c r="D256" s="38" t="n"/>
      <c r="E256" s="38" t="n"/>
      <c r="F256" s="38" t="n"/>
      <c r="G256" s="37">
        <f>IF(COUNTA(A256:F256)=0,"",IF(A256="EXAMPLE","Example (skipped)",IF(OR(C256="",E256="",F256=""),"✖ Portal, User ID and Password are all needed",IF(AND(A256="",COUNTIF(Clients!$B$5:$B$1005,B256)=0),"Not on Clients — will match a portal client by name",IF(AND(C256="GST",D256&lt;&gt;"",COUNTIF(Clients!$AN$5:$AN$1005,UPPER(D256))=0,COUNTIF(Clients!$G$5:$G$1005,"*"&amp;UPPER(D256)&amp;"*")=0),"GSTIN not on Clients — will be checked in the portal","✔ OK")))))</f>
        <v/>
      </c>
    </row>
    <row r="257">
      <c r="A257" s="38" t="n"/>
      <c r="B257" s="39" t="n"/>
      <c r="C257" s="39" t="n"/>
      <c r="D257" s="38" t="n"/>
      <c r="E257" s="38" t="n"/>
      <c r="F257" s="38" t="n"/>
      <c r="G257" s="37">
        <f>IF(COUNTA(A257:F257)=0,"",IF(A257="EXAMPLE","Example (skipped)",IF(OR(C257="",E257="",F257=""),"✖ Portal, User ID and Password are all needed",IF(AND(A257="",COUNTIF(Clients!$B$5:$B$1005,B257)=0),"Not on Clients — will match a portal client by name",IF(AND(C257="GST",D257&lt;&gt;"",COUNTIF(Clients!$AN$5:$AN$1005,UPPER(D257))=0,COUNTIF(Clients!$G$5:$G$1005,"*"&amp;UPPER(D257)&amp;"*")=0),"GSTIN not on Clients — will be checked in the portal","✔ OK")))))</f>
        <v/>
      </c>
    </row>
    <row r="258">
      <c r="A258" s="38" t="n"/>
      <c r="B258" s="39" t="n"/>
      <c r="C258" s="39" t="n"/>
      <c r="D258" s="38" t="n"/>
      <c r="E258" s="38" t="n"/>
      <c r="F258" s="38" t="n"/>
      <c r="G258" s="37">
        <f>IF(COUNTA(A258:F258)=0,"",IF(A258="EXAMPLE","Example (skipped)",IF(OR(C258="",E258="",F258=""),"✖ Portal, User ID and Password are all needed",IF(AND(A258="",COUNTIF(Clients!$B$5:$B$1005,B258)=0),"Not on Clients — will match a portal client by name",IF(AND(C258="GST",D258&lt;&gt;"",COUNTIF(Clients!$AN$5:$AN$1005,UPPER(D258))=0,COUNTIF(Clients!$G$5:$G$1005,"*"&amp;UPPER(D258)&amp;"*")=0),"GSTIN not on Clients — will be checked in the portal","✔ OK")))))</f>
        <v/>
      </c>
    </row>
    <row r="259">
      <c r="A259" s="38" t="n"/>
      <c r="B259" s="39" t="n"/>
      <c r="C259" s="39" t="n"/>
      <c r="D259" s="38" t="n"/>
      <c r="E259" s="38" t="n"/>
      <c r="F259" s="38" t="n"/>
      <c r="G259" s="37">
        <f>IF(COUNTA(A259:F259)=0,"",IF(A259="EXAMPLE","Example (skipped)",IF(OR(C259="",E259="",F259=""),"✖ Portal, User ID and Password are all needed",IF(AND(A259="",COUNTIF(Clients!$B$5:$B$1005,B259)=0),"Not on Clients — will match a portal client by name",IF(AND(C259="GST",D259&lt;&gt;"",COUNTIF(Clients!$AN$5:$AN$1005,UPPER(D259))=0,COUNTIF(Clients!$G$5:$G$1005,"*"&amp;UPPER(D259)&amp;"*")=0),"GSTIN not on Clients — will be checked in the portal","✔ OK")))))</f>
        <v/>
      </c>
    </row>
    <row r="260">
      <c r="A260" s="38" t="n"/>
      <c r="B260" s="39" t="n"/>
      <c r="C260" s="39" t="n"/>
      <c r="D260" s="38" t="n"/>
      <c r="E260" s="38" t="n"/>
      <c r="F260" s="38" t="n"/>
      <c r="G260" s="37">
        <f>IF(COUNTA(A260:F260)=0,"",IF(A260="EXAMPLE","Example (skipped)",IF(OR(C260="",E260="",F260=""),"✖ Portal, User ID and Password are all needed",IF(AND(A260="",COUNTIF(Clients!$B$5:$B$1005,B260)=0),"Not on Clients — will match a portal client by name",IF(AND(C260="GST",D260&lt;&gt;"",COUNTIF(Clients!$AN$5:$AN$1005,UPPER(D260))=0,COUNTIF(Clients!$G$5:$G$1005,"*"&amp;UPPER(D260)&amp;"*")=0),"GSTIN not on Clients — will be checked in the portal","✔ OK")))))</f>
        <v/>
      </c>
    </row>
    <row r="261">
      <c r="A261" s="38" t="n"/>
      <c r="B261" s="39" t="n"/>
      <c r="C261" s="39" t="n"/>
      <c r="D261" s="38" t="n"/>
      <c r="E261" s="38" t="n"/>
      <c r="F261" s="38" t="n"/>
      <c r="G261" s="37">
        <f>IF(COUNTA(A261:F261)=0,"",IF(A261="EXAMPLE","Example (skipped)",IF(OR(C261="",E261="",F261=""),"✖ Portal, User ID and Password are all needed",IF(AND(A261="",COUNTIF(Clients!$B$5:$B$1005,B261)=0),"Not on Clients — will match a portal client by name",IF(AND(C261="GST",D261&lt;&gt;"",COUNTIF(Clients!$AN$5:$AN$1005,UPPER(D261))=0,COUNTIF(Clients!$G$5:$G$1005,"*"&amp;UPPER(D261)&amp;"*")=0),"GSTIN not on Clients — will be checked in the portal","✔ OK")))))</f>
        <v/>
      </c>
    </row>
    <row r="262">
      <c r="A262" s="38" t="n"/>
      <c r="B262" s="39" t="n"/>
      <c r="C262" s="39" t="n"/>
      <c r="D262" s="38" t="n"/>
      <c r="E262" s="38" t="n"/>
      <c r="F262" s="38" t="n"/>
      <c r="G262" s="37">
        <f>IF(COUNTA(A262:F262)=0,"",IF(A262="EXAMPLE","Example (skipped)",IF(OR(C262="",E262="",F262=""),"✖ Portal, User ID and Password are all needed",IF(AND(A262="",COUNTIF(Clients!$B$5:$B$1005,B262)=0),"Not on Clients — will match a portal client by name",IF(AND(C262="GST",D262&lt;&gt;"",COUNTIF(Clients!$AN$5:$AN$1005,UPPER(D262))=0,COUNTIF(Clients!$G$5:$G$1005,"*"&amp;UPPER(D262)&amp;"*")=0),"GSTIN not on Clients — will be checked in the portal","✔ OK")))))</f>
        <v/>
      </c>
    </row>
    <row r="263">
      <c r="A263" s="38" t="n"/>
      <c r="B263" s="39" t="n"/>
      <c r="C263" s="39" t="n"/>
      <c r="D263" s="38" t="n"/>
      <c r="E263" s="38" t="n"/>
      <c r="F263" s="38" t="n"/>
      <c r="G263" s="37">
        <f>IF(COUNTA(A263:F263)=0,"",IF(A263="EXAMPLE","Example (skipped)",IF(OR(C263="",E263="",F263=""),"✖ Portal, User ID and Password are all needed",IF(AND(A263="",COUNTIF(Clients!$B$5:$B$1005,B263)=0),"Not on Clients — will match a portal client by name",IF(AND(C263="GST",D263&lt;&gt;"",COUNTIF(Clients!$AN$5:$AN$1005,UPPER(D263))=0,COUNTIF(Clients!$G$5:$G$1005,"*"&amp;UPPER(D263)&amp;"*")=0),"GSTIN not on Clients — will be checked in the portal","✔ OK")))))</f>
        <v/>
      </c>
    </row>
    <row r="264">
      <c r="A264" s="38" t="n"/>
      <c r="B264" s="39" t="n"/>
      <c r="C264" s="39" t="n"/>
      <c r="D264" s="38" t="n"/>
      <c r="E264" s="38" t="n"/>
      <c r="F264" s="38" t="n"/>
      <c r="G264" s="37">
        <f>IF(COUNTA(A264:F264)=0,"",IF(A264="EXAMPLE","Example (skipped)",IF(OR(C264="",E264="",F264=""),"✖ Portal, User ID and Password are all needed",IF(AND(A264="",COUNTIF(Clients!$B$5:$B$1005,B264)=0),"Not on Clients — will match a portal client by name",IF(AND(C264="GST",D264&lt;&gt;"",COUNTIF(Clients!$AN$5:$AN$1005,UPPER(D264))=0,COUNTIF(Clients!$G$5:$G$1005,"*"&amp;UPPER(D264)&amp;"*")=0),"GSTIN not on Clients — will be checked in the portal","✔ OK")))))</f>
        <v/>
      </c>
    </row>
    <row r="265">
      <c r="A265" s="38" t="n"/>
      <c r="B265" s="39" t="n"/>
      <c r="C265" s="39" t="n"/>
      <c r="D265" s="38" t="n"/>
      <c r="E265" s="38" t="n"/>
      <c r="F265" s="38" t="n"/>
      <c r="G265" s="37">
        <f>IF(COUNTA(A265:F265)=0,"",IF(A265="EXAMPLE","Example (skipped)",IF(OR(C265="",E265="",F265=""),"✖ Portal, User ID and Password are all needed",IF(AND(A265="",COUNTIF(Clients!$B$5:$B$1005,B265)=0),"Not on Clients — will match a portal client by name",IF(AND(C265="GST",D265&lt;&gt;"",COUNTIF(Clients!$AN$5:$AN$1005,UPPER(D265))=0,COUNTIF(Clients!$G$5:$G$1005,"*"&amp;UPPER(D265)&amp;"*")=0),"GSTIN not on Clients — will be checked in the portal","✔ OK")))))</f>
        <v/>
      </c>
    </row>
    <row r="266">
      <c r="A266" s="38" t="n"/>
      <c r="B266" s="39" t="n"/>
      <c r="C266" s="39" t="n"/>
      <c r="D266" s="38" t="n"/>
      <c r="E266" s="38" t="n"/>
      <c r="F266" s="38" t="n"/>
      <c r="G266" s="37">
        <f>IF(COUNTA(A266:F266)=0,"",IF(A266="EXAMPLE","Example (skipped)",IF(OR(C266="",E266="",F266=""),"✖ Portal, User ID and Password are all needed",IF(AND(A266="",COUNTIF(Clients!$B$5:$B$1005,B266)=0),"Not on Clients — will match a portal client by name",IF(AND(C266="GST",D266&lt;&gt;"",COUNTIF(Clients!$AN$5:$AN$1005,UPPER(D266))=0,COUNTIF(Clients!$G$5:$G$1005,"*"&amp;UPPER(D266)&amp;"*")=0),"GSTIN not on Clients — will be checked in the portal","✔ OK")))))</f>
        <v/>
      </c>
    </row>
    <row r="267">
      <c r="A267" s="38" t="n"/>
      <c r="B267" s="39" t="n"/>
      <c r="C267" s="39" t="n"/>
      <c r="D267" s="38" t="n"/>
      <c r="E267" s="38" t="n"/>
      <c r="F267" s="38" t="n"/>
      <c r="G267" s="37">
        <f>IF(COUNTA(A267:F267)=0,"",IF(A267="EXAMPLE","Example (skipped)",IF(OR(C267="",E267="",F267=""),"✖ Portal, User ID and Password are all needed",IF(AND(A267="",COUNTIF(Clients!$B$5:$B$1005,B267)=0),"Not on Clients — will match a portal client by name",IF(AND(C267="GST",D267&lt;&gt;"",COUNTIF(Clients!$AN$5:$AN$1005,UPPER(D267))=0,COUNTIF(Clients!$G$5:$G$1005,"*"&amp;UPPER(D267)&amp;"*")=0),"GSTIN not on Clients — will be checked in the portal","✔ OK")))))</f>
        <v/>
      </c>
    </row>
    <row r="268">
      <c r="A268" s="38" t="n"/>
      <c r="B268" s="39" t="n"/>
      <c r="C268" s="39" t="n"/>
      <c r="D268" s="38" t="n"/>
      <c r="E268" s="38" t="n"/>
      <c r="F268" s="38" t="n"/>
      <c r="G268" s="37">
        <f>IF(COUNTA(A268:F268)=0,"",IF(A268="EXAMPLE","Example (skipped)",IF(OR(C268="",E268="",F268=""),"✖ Portal, User ID and Password are all needed",IF(AND(A268="",COUNTIF(Clients!$B$5:$B$1005,B268)=0),"Not on Clients — will match a portal client by name",IF(AND(C268="GST",D268&lt;&gt;"",COUNTIF(Clients!$AN$5:$AN$1005,UPPER(D268))=0,COUNTIF(Clients!$G$5:$G$1005,"*"&amp;UPPER(D268)&amp;"*")=0),"GSTIN not on Clients — will be checked in the portal","✔ OK")))))</f>
        <v/>
      </c>
    </row>
    <row r="269">
      <c r="A269" s="38" t="n"/>
      <c r="B269" s="39" t="n"/>
      <c r="C269" s="39" t="n"/>
      <c r="D269" s="38" t="n"/>
      <c r="E269" s="38" t="n"/>
      <c r="F269" s="38" t="n"/>
      <c r="G269" s="37">
        <f>IF(COUNTA(A269:F269)=0,"",IF(A269="EXAMPLE","Example (skipped)",IF(OR(C269="",E269="",F269=""),"✖ Portal, User ID and Password are all needed",IF(AND(A269="",COUNTIF(Clients!$B$5:$B$1005,B269)=0),"Not on Clients — will match a portal client by name",IF(AND(C269="GST",D269&lt;&gt;"",COUNTIF(Clients!$AN$5:$AN$1005,UPPER(D269))=0,COUNTIF(Clients!$G$5:$G$1005,"*"&amp;UPPER(D269)&amp;"*")=0),"GSTIN not on Clients — will be checked in the portal","✔ OK")))))</f>
        <v/>
      </c>
    </row>
    <row r="270">
      <c r="A270" s="38" t="n"/>
      <c r="B270" s="39" t="n"/>
      <c r="C270" s="39" t="n"/>
      <c r="D270" s="38" t="n"/>
      <c r="E270" s="38" t="n"/>
      <c r="F270" s="38" t="n"/>
      <c r="G270" s="37">
        <f>IF(COUNTA(A270:F270)=0,"",IF(A270="EXAMPLE","Example (skipped)",IF(OR(C270="",E270="",F270=""),"✖ Portal, User ID and Password are all needed",IF(AND(A270="",COUNTIF(Clients!$B$5:$B$1005,B270)=0),"Not on Clients — will match a portal client by name",IF(AND(C270="GST",D270&lt;&gt;"",COUNTIF(Clients!$AN$5:$AN$1005,UPPER(D270))=0,COUNTIF(Clients!$G$5:$G$1005,"*"&amp;UPPER(D270)&amp;"*")=0),"GSTIN not on Clients — will be checked in the portal","✔ OK")))))</f>
        <v/>
      </c>
    </row>
    <row r="271">
      <c r="A271" s="38" t="n"/>
      <c r="B271" s="39" t="n"/>
      <c r="C271" s="39" t="n"/>
      <c r="D271" s="38" t="n"/>
      <c r="E271" s="38" t="n"/>
      <c r="F271" s="38" t="n"/>
      <c r="G271" s="37">
        <f>IF(COUNTA(A271:F271)=0,"",IF(A271="EXAMPLE","Example (skipped)",IF(OR(C271="",E271="",F271=""),"✖ Portal, User ID and Password are all needed",IF(AND(A271="",COUNTIF(Clients!$B$5:$B$1005,B271)=0),"Not on Clients — will match a portal client by name",IF(AND(C271="GST",D271&lt;&gt;"",COUNTIF(Clients!$AN$5:$AN$1005,UPPER(D271))=0,COUNTIF(Clients!$G$5:$G$1005,"*"&amp;UPPER(D271)&amp;"*")=0),"GSTIN not on Clients — will be checked in the portal","✔ OK")))))</f>
        <v/>
      </c>
    </row>
    <row r="272">
      <c r="A272" s="38" t="n"/>
      <c r="B272" s="39" t="n"/>
      <c r="C272" s="39" t="n"/>
      <c r="D272" s="38" t="n"/>
      <c r="E272" s="38" t="n"/>
      <c r="F272" s="38" t="n"/>
      <c r="G272" s="37">
        <f>IF(COUNTA(A272:F272)=0,"",IF(A272="EXAMPLE","Example (skipped)",IF(OR(C272="",E272="",F272=""),"✖ Portal, User ID and Password are all needed",IF(AND(A272="",COUNTIF(Clients!$B$5:$B$1005,B272)=0),"Not on Clients — will match a portal client by name",IF(AND(C272="GST",D272&lt;&gt;"",COUNTIF(Clients!$AN$5:$AN$1005,UPPER(D272))=0,COUNTIF(Clients!$G$5:$G$1005,"*"&amp;UPPER(D272)&amp;"*")=0),"GSTIN not on Clients — will be checked in the portal","✔ OK")))))</f>
        <v/>
      </c>
    </row>
    <row r="273">
      <c r="A273" s="38" t="n"/>
      <c r="B273" s="39" t="n"/>
      <c r="C273" s="39" t="n"/>
      <c r="D273" s="38" t="n"/>
      <c r="E273" s="38" t="n"/>
      <c r="F273" s="38" t="n"/>
      <c r="G273" s="37">
        <f>IF(COUNTA(A273:F273)=0,"",IF(A273="EXAMPLE","Example (skipped)",IF(OR(C273="",E273="",F273=""),"✖ Portal, User ID and Password are all needed",IF(AND(A273="",COUNTIF(Clients!$B$5:$B$1005,B273)=0),"Not on Clients — will match a portal client by name",IF(AND(C273="GST",D273&lt;&gt;"",COUNTIF(Clients!$AN$5:$AN$1005,UPPER(D273))=0,COUNTIF(Clients!$G$5:$G$1005,"*"&amp;UPPER(D273)&amp;"*")=0),"GSTIN not on Clients — will be checked in the portal","✔ OK")))))</f>
        <v/>
      </c>
    </row>
    <row r="274">
      <c r="A274" s="38" t="n"/>
      <c r="B274" s="39" t="n"/>
      <c r="C274" s="39" t="n"/>
      <c r="D274" s="38" t="n"/>
      <c r="E274" s="38" t="n"/>
      <c r="F274" s="38" t="n"/>
      <c r="G274" s="37">
        <f>IF(COUNTA(A274:F274)=0,"",IF(A274="EXAMPLE","Example (skipped)",IF(OR(C274="",E274="",F274=""),"✖ Portal, User ID and Password are all needed",IF(AND(A274="",COUNTIF(Clients!$B$5:$B$1005,B274)=0),"Not on Clients — will match a portal client by name",IF(AND(C274="GST",D274&lt;&gt;"",COUNTIF(Clients!$AN$5:$AN$1005,UPPER(D274))=0,COUNTIF(Clients!$G$5:$G$1005,"*"&amp;UPPER(D274)&amp;"*")=0),"GSTIN not on Clients — will be checked in the portal","✔ OK")))))</f>
        <v/>
      </c>
    </row>
    <row r="275">
      <c r="A275" s="38" t="n"/>
      <c r="B275" s="39" t="n"/>
      <c r="C275" s="39" t="n"/>
      <c r="D275" s="38" t="n"/>
      <c r="E275" s="38" t="n"/>
      <c r="F275" s="38" t="n"/>
      <c r="G275" s="37">
        <f>IF(COUNTA(A275:F275)=0,"",IF(A275="EXAMPLE","Example (skipped)",IF(OR(C275="",E275="",F275=""),"✖ Portal, User ID and Password are all needed",IF(AND(A275="",COUNTIF(Clients!$B$5:$B$1005,B275)=0),"Not on Clients — will match a portal client by name",IF(AND(C275="GST",D275&lt;&gt;"",COUNTIF(Clients!$AN$5:$AN$1005,UPPER(D275))=0,COUNTIF(Clients!$G$5:$G$1005,"*"&amp;UPPER(D275)&amp;"*")=0),"GSTIN not on Clients — will be checked in the portal","✔ OK")))))</f>
        <v/>
      </c>
    </row>
    <row r="276">
      <c r="A276" s="38" t="n"/>
      <c r="B276" s="39" t="n"/>
      <c r="C276" s="39" t="n"/>
      <c r="D276" s="38" t="n"/>
      <c r="E276" s="38" t="n"/>
      <c r="F276" s="38" t="n"/>
      <c r="G276" s="37">
        <f>IF(COUNTA(A276:F276)=0,"",IF(A276="EXAMPLE","Example (skipped)",IF(OR(C276="",E276="",F276=""),"✖ Portal, User ID and Password are all needed",IF(AND(A276="",COUNTIF(Clients!$B$5:$B$1005,B276)=0),"Not on Clients — will match a portal client by name",IF(AND(C276="GST",D276&lt;&gt;"",COUNTIF(Clients!$AN$5:$AN$1005,UPPER(D276))=0,COUNTIF(Clients!$G$5:$G$1005,"*"&amp;UPPER(D276)&amp;"*")=0),"GSTIN not on Clients — will be checked in the portal","✔ OK")))))</f>
        <v/>
      </c>
    </row>
    <row r="277">
      <c r="A277" s="38" t="n"/>
      <c r="B277" s="39" t="n"/>
      <c r="C277" s="39" t="n"/>
      <c r="D277" s="38" t="n"/>
      <c r="E277" s="38" t="n"/>
      <c r="F277" s="38" t="n"/>
      <c r="G277" s="37">
        <f>IF(COUNTA(A277:F277)=0,"",IF(A277="EXAMPLE","Example (skipped)",IF(OR(C277="",E277="",F277=""),"✖ Portal, User ID and Password are all needed",IF(AND(A277="",COUNTIF(Clients!$B$5:$B$1005,B277)=0),"Not on Clients — will match a portal client by name",IF(AND(C277="GST",D277&lt;&gt;"",COUNTIF(Clients!$AN$5:$AN$1005,UPPER(D277))=0,COUNTIF(Clients!$G$5:$G$1005,"*"&amp;UPPER(D277)&amp;"*")=0),"GSTIN not on Clients — will be checked in the portal","✔ OK")))))</f>
        <v/>
      </c>
    </row>
    <row r="278">
      <c r="A278" s="38" t="n"/>
      <c r="B278" s="39" t="n"/>
      <c r="C278" s="39" t="n"/>
      <c r="D278" s="38" t="n"/>
      <c r="E278" s="38" t="n"/>
      <c r="F278" s="38" t="n"/>
      <c r="G278" s="37">
        <f>IF(COUNTA(A278:F278)=0,"",IF(A278="EXAMPLE","Example (skipped)",IF(OR(C278="",E278="",F278=""),"✖ Portal, User ID and Password are all needed",IF(AND(A278="",COUNTIF(Clients!$B$5:$B$1005,B278)=0),"Not on Clients — will match a portal client by name",IF(AND(C278="GST",D278&lt;&gt;"",COUNTIF(Clients!$AN$5:$AN$1005,UPPER(D278))=0,COUNTIF(Clients!$G$5:$G$1005,"*"&amp;UPPER(D278)&amp;"*")=0),"GSTIN not on Clients — will be checked in the portal","✔ OK")))))</f>
        <v/>
      </c>
    </row>
    <row r="279">
      <c r="A279" s="38" t="n"/>
      <c r="B279" s="39" t="n"/>
      <c r="C279" s="39" t="n"/>
      <c r="D279" s="38" t="n"/>
      <c r="E279" s="38" t="n"/>
      <c r="F279" s="38" t="n"/>
      <c r="G279" s="37">
        <f>IF(COUNTA(A279:F279)=0,"",IF(A279="EXAMPLE","Example (skipped)",IF(OR(C279="",E279="",F279=""),"✖ Portal, User ID and Password are all needed",IF(AND(A279="",COUNTIF(Clients!$B$5:$B$1005,B279)=0),"Not on Clients — will match a portal client by name",IF(AND(C279="GST",D279&lt;&gt;"",COUNTIF(Clients!$AN$5:$AN$1005,UPPER(D279))=0,COUNTIF(Clients!$G$5:$G$1005,"*"&amp;UPPER(D279)&amp;"*")=0),"GSTIN not on Clients — will be checked in the portal","✔ OK")))))</f>
        <v/>
      </c>
    </row>
    <row r="280">
      <c r="A280" s="38" t="n"/>
      <c r="B280" s="39" t="n"/>
      <c r="C280" s="39" t="n"/>
      <c r="D280" s="38" t="n"/>
      <c r="E280" s="38" t="n"/>
      <c r="F280" s="38" t="n"/>
      <c r="G280" s="37">
        <f>IF(COUNTA(A280:F280)=0,"",IF(A280="EXAMPLE","Example (skipped)",IF(OR(C280="",E280="",F280=""),"✖ Portal, User ID and Password are all needed",IF(AND(A280="",COUNTIF(Clients!$B$5:$B$1005,B280)=0),"Not on Clients — will match a portal client by name",IF(AND(C280="GST",D280&lt;&gt;"",COUNTIF(Clients!$AN$5:$AN$1005,UPPER(D280))=0,COUNTIF(Clients!$G$5:$G$1005,"*"&amp;UPPER(D280)&amp;"*")=0),"GSTIN not on Clients — will be checked in the portal","✔ OK")))))</f>
        <v/>
      </c>
    </row>
    <row r="281">
      <c r="A281" s="38" t="n"/>
      <c r="B281" s="39" t="n"/>
      <c r="C281" s="39" t="n"/>
      <c r="D281" s="38" t="n"/>
      <c r="E281" s="38" t="n"/>
      <c r="F281" s="38" t="n"/>
      <c r="G281" s="37">
        <f>IF(COUNTA(A281:F281)=0,"",IF(A281="EXAMPLE","Example (skipped)",IF(OR(C281="",E281="",F281=""),"✖ Portal, User ID and Password are all needed",IF(AND(A281="",COUNTIF(Clients!$B$5:$B$1005,B281)=0),"Not on Clients — will match a portal client by name",IF(AND(C281="GST",D281&lt;&gt;"",COUNTIF(Clients!$AN$5:$AN$1005,UPPER(D281))=0,COUNTIF(Clients!$G$5:$G$1005,"*"&amp;UPPER(D281)&amp;"*")=0),"GSTIN not on Clients — will be checked in the portal","✔ OK")))))</f>
        <v/>
      </c>
    </row>
    <row r="282">
      <c r="A282" s="38" t="n"/>
      <c r="B282" s="39" t="n"/>
      <c r="C282" s="39" t="n"/>
      <c r="D282" s="38" t="n"/>
      <c r="E282" s="38" t="n"/>
      <c r="F282" s="38" t="n"/>
      <c r="G282" s="37">
        <f>IF(COUNTA(A282:F282)=0,"",IF(A282="EXAMPLE","Example (skipped)",IF(OR(C282="",E282="",F282=""),"✖ Portal, User ID and Password are all needed",IF(AND(A282="",COUNTIF(Clients!$B$5:$B$1005,B282)=0),"Not on Clients — will match a portal client by name",IF(AND(C282="GST",D282&lt;&gt;"",COUNTIF(Clients!$AN$5:$AN$1005,UPPER(D282))=0,COUNTIF(Clients!$G$5:$G$1005,"*"&amp;UPPER(D282)&amp;"*")=0),"GSTIN not on Clients — will be checked in the portal","✔ OK")))))</f>
        <v/>
      </c>
    </row>
    <row r="283">
      <c r="A283" s="38" t="n"/>
      <c r="B283" s="39" t="n"/>
      <c r="C283" s="39" t="n"/>
      <c r="D283" s="38" t="n"/>
      <c r="E283" s="38" t="n"/>
      <c r="F283" s="38" t="n"/>
      <c r="G283" s="37">
        <f>IF(COUNTA(A283:F283)=0,"",IF(A283="EXAMPLE","Example (skipped)",IF(OR(C283="",E283="",F283=""),"✖ Portal, User ID and Password are all needed",IF(AND(A283="",COUNTIF(Clients!$B$5:$B$1005,B283)=0),"Not on Clients — will match a portal client by name",IF(AND(C283="GST",D283&lt;&gt;"",COUNTIF(Clients!$AN$5:$AN$1005,UPPER(D283))=0,COUNTIF(Clients!$G$5:$G$1005,"*"&amp;UPPER(D283)&amp;"*")=0),"GSTIN not on Clients — will be checked in the portal","✔ OK")))))</f>
        <v/>
      </c>
    </row>
    <row r="284">
      <c r="A284" s="38" t="n"/>
      <c r="B284" s="39" t="n"/>
      <c r="C284" s="39" t="n"/>
      <c r="D284" s="38" t="n"/>
      <c r="E284" s="38" t="n"/>
      <c r="F284" s="38" t="n"/>
      <c r="G284" s="37">
        <f>IF(COUNTA(A284:F284)=0,"",IF(A284="EXAMPLE","Example (skipped)",IF(OR(C284="",E284="",F284=""),"✖ Portal, User ID and Password are all needed",IF(AND(A284="",COUNTIF(Clients!$B$5:$B$1005,B284)=0),"Not on Clients — will match a portal client by name",IF(AND(C284="GST",D284&lt;&gt;"",COUNTIF(Clients!$AN$5:$AN$1005,UPPER(D284))=0,COUNTIF(Clients!$G$5:$G$1005,"*"&amp;UPPER(D284)&amp;"*")=0),"GSTIN not on Clients — will be checked in the portal","✔ OK")))))</f>
        <v/>
      </c>
    </row>
    <row r="285">
      <c r="A285" s="38" t="n"/>
      <c r="B285" s="39" t="n"/>
      <c r="C285" s="39" t="n"/>
      <c r="D285" s="38" t="n"/>
      <c r="E285" s="38" t="n"/>
      <c r="F285" s="38" t="n"/>
      <c r="G285" s="37">
        <f>IF(COUNTA(A285:F285)=0,"",IF(A285="EXAMPLE","Example (skipped)",IF(OR(C285="",E285="",F285=""),"✖ Portal, User ID and Password are all needed",IF(AND(A285="",COUNTIF(Clients!$B$5:$B$1005,B285)=0),"Not on Clients — will match a portal client by name",IF(AND(C285="GST",D285&lt;&gt;"",COUNTIF(Clients!$AN$5:$AN$1005,UPPER(D285))=0,COUNTIF(Clients!$G$5:$G$1005,"*"&amp;UPPER(D285)&amp;"*")=0),"GSTIN not on Clients — will be checked in the portal","✔ OK")))))</f>
        <v/>
      </c>
    </row>
    <row r="286">
      <c r="A286" s="38" t="n"/>
      <c r="B286" s="39" t="n"/>
      <c r="C286" s="39" t="n"/>
      <c r="D286" s="38" t="n"/>
      <c r="E286" s="38" t="n"/>
      <c r="F286" s="38" t="n"/>
      <c r="G286" s="37">
        <f>IF(COUNTA(A286:F286)=0,"",IF(A286="EXAMPLE","Example (skipped)",IF(OR(C286="",E286="",F286=""),"✖ Portal, User ID and Password are all needed",IF(AND(A286="",COUNTIF(Clients!$B$5:$B$1005,B286)=0),"Not on Clients — will match a portal client by name",IF(AND(C286="GST",D286&lt;&gt;"",COUNTIF(Clients!$AN$5:$AN$1005,UPPER(D286))=0,COUNTIF(Clients!$G$5:$G$1005,"*"&amp;UPPER(D286)&amp;"*")=0),"GSTIN not on Clients — will be checked in the portal","✔ OK")))))</f>
        <v/>
      </c>
    </row>
    <row r="287">
      <c r="A287" s="38" t="n"/>
      <c r="B287" s="39" t="n"/>
      <c r="C287" s="39" t="n"/>
      <c r="D287" s="38" t="n"/>
      <c r="E287" s="38" t="n"/>
      <c r="F287" s="38" t="n"/>
      <c r="G287" s="37">
        <f>IF(COUNTA(A287:F287)=0,"",IF(A287="EXAMPLE","Example (skipped)",IF(OR(C287="",E287="",F287=""),"✖ Portal, User ID and Password are all needed",IF(AND(A287="",COUNTIF(Clients!$B$5:$B$1005,B287)=0),"Not on Clients — will match a portal client by name",IF(AND(C287="GST",D287&lt;&gt;"",COUNTIF(Clients!$AN$5:$AN$1005,UPPER(D287))=0,COUNTIF(Clients!$G$5:$G$1005,"*"&amp;UPPER(D287)&amp;"*")=0),"GSTIN not on Clients — will be checked in the portal","✔ OK")))))</f>
        <v/>
      </c>
    </row>
    <row r="288">
      <c r="A288" s="38" t="n"/>
      <c r="B288" s="39" t="n"/>
      <c r="C288" s="39" t="n"/>
      <c r="D288" s="38" t="n"/>
      <c r="E288" s="38" t="n"/>
      <c r="F288" s="38" t="n"/>
      <c r="G288" s="37">
        <f>IF(COUNTA(A288:F288)=0,"",IF(A288="EXAMPLE","Example (skipped)",IF(OR(C288="",E288="",F288=""),"✖ Portal, User ID and Password are all needed",IF(AND(A288="",COUNTIF(Clients!$B$5:$B$1005,B288)=0),"Not on Clients — will match a portal client by name",IF(AND(C288="GST",D288&lt;&gt;"",COUNTIF(Clients!$AN$5:$AN$1005,UPPER(D288))=0,COUNTIF(Clients!$G$5:$G$1005,"*"&amp;UPPER(D288)&amp;"*")=0),"GSTIN not on Clients — will be checked in the portal","✔ OK")))))</f>
        <v/>
      </c>
    </row>
    <row r="289">
      <c r="A289" s="38" t="n"/>
      <c r="B289" s="39" t="n"/>
      <c r="C289" s="39" t="n"/>
      <c r="D289" s="38" t="n"/>
      <c r="E289" s="38" t="n"/>
      <c r="F289" s="38" t="n"/>
      <c r="G289" s="37">
        <f>IF(COUNTA(A289:F289)=0,"",IF(A289="EXAMPLE","Example (skipped)",IF(OR(C289="",E289="",F289=""),"✖ Portal, User ID and Password are all needed",IF(AND(A289="",COUNTIF(Clients!$B$5:$B$1005,B289)=0),"Not on Clients — will match a portal client by name",IF(AND(C289="GST",D289&lt;&gt;"",COUNTIF(Clients!$AN$5:$AN$1005,UPPER(D289))=0,COUNTIF(Clients!$G$5:$G$1005,"*"&amp;UPPER(D289)&amp;"*")=0),"GSTIN not on Clients — will be checked in the portal","✔ OK")))))</f>
        <v/>
      </c>
    </row>
    <row r="290">
      <c r="A290" s="38" t="n"/>
      <c r="B290" s="39" t="n"/>
      <c r="C290" s="39" t="n"/>
      <c r="D290" s="38" t="n"/>
      <c r="E290" s="38" t="n"/>
      <c r="F290" s="38" t="n"/>
      <c r="G290" s="37">
        <f>IF(COUNTA(A290:F290)=0,"",IF(A290="EXAMPLE","Example (skipped)",IF(OR(C290="",E290="",F290=""),"✖ Portal, User ID and Password are all needed",IF(AND(A290="",COUNTIF(Clients!$B$5:$B$1005,B290)=0),"Not on Clients — will match a portal client by name",IF(AND(C290="GST",D290&lt;&gt;"",COUNTIF(Clients!$AN$5:$AN$1005,UPPER(D290))=0,COUNTIF(Clients!$G$5:$G$1005,"*"&amp;UPPER(D290)&amp;"*")=0),"GSTIN not on Clients — will be checked in the portal","✔ OK")))))</f>
        <v/>
      </c>
    </row>
    <row r="291">
      <c r="A291" s="38" t="n"/>
      <c r="B291" s="39" t="n"/>
      <c r="C291" s="39" t="n"/>
      <c r="D291" s="38" t="n"/>
      <c r="E291" s="38" t="n"/>
      <c r="F291" s="38" t="n"/>
      <c r="G291" s="37">
        <f>IF(COUNTA(A291:F291)=0,"",IF(A291="EXAMPLE","Example (skipped)",IF(OR(C291="",E291="",F291=""),"✖ Portal, User ID and Password are all needed",IF(AND(A291="",COUNTIF(Clients!$B$5:$B$1005,B291)=0),"Not on Clients — will match a portal client by name",IF(AND(C291="GST",D291&lt;&gt;"",COUNTIF(Clients!$AN$5:$AN$1005,UPPER(D291))=0,COUNTIF(Clients!$G$5:$G$1005,"*"&amp;UPPER(D291)&amp;"*")=0),"GSTIN not on Clients — will be checked in the portal","✔ OK")))))</f>
        <v/>
      </c>
    </row>
    <row r="292">
      <c r="A292" s="38" t="n"/>
      <c r="B292" s="39" t="n"/>
      <c r="C292" s="39" t="n"/>
      <c r="D292" s="38" t="n"/>
      <c r="E292" s="38" t="n"/>
      <c r="F292" s="38" t="n"/>
      <c r="G292" s="37">
        <f>IF(COUNTA(A292:F292)=0,"",IF(A292="EXAMPLE","Example (skipped)",IF(OR(C292="",E292="",F292=""),"✖ Portal, User ID and Password are all needed",IF(AND(A292="",COUNTIF(Clients!$B$5:$B$1005,B292)=0),"Not on Clients — will match a portal client by name",IF(AND(C292="GST",D292&lt;&gt;"",COUNTIF(Clients!$AN$5:$AN$1005,UPPER(D292))=0,COUNTIF(Clients!$G$5:$G$1005,"*"&amp;UPPER(D292)&amp;"*")=0),"GSTIN not on Clients — will be checked in the portal","✔ OK")))))</f>
        <v/>
      </c>
    </row>
    <row r="293">
      <c r="A293" s="38" t="n"/>
      <c r="B293" s="39" t="n"/>
      <c r="C293" s="39" t="n"/>
      <c r="D293" s="38" t="n"/>
      <c r="E293" s="38" t="n"/>
      <c r="F293" s="38" t="n"/>
      <c r="G293" s="37">
        <f>IF(COUNTA(A293:F293)=0,"",IF(A293="EXAMPLE","Example (skipped)",IF(OR(C293="",E293="",F293=""),"✖ Portal, User ID and Password are all needed",IF(AND(A293="",COUNTIF(Clients!$B$5:$B$1005,B293)=0),"Not on Clients — will match a portal client by name",IF(AND(C293="GST",D293&lt;&gt;"",COUNTIF(Clients!$AN$5:$AN$1005,UPPER(D293))=0,COUNTIF(Clients!$G$5:$G$1005,"*"&amp;UPPER(D293)&amp;"*")=0),"GSTIN not on Clients — will be checked in the portal","✔ OK")))))</f>
        <v/>
      </c>
    </row>
    <row r="294">
      <c r="A294" s="38" t="n"/>
      <c r="B294" s="39" t="n"/>
      <c r="C294" s="39" t="n"/>
      <c r="D294" s="38" t="n"/>
      <c r="E294" s="38" t="n"/>
      <c r="F294" s="38" t="n"/>
      <c r="G294" s="37">
        <f>IF(COUNTA(A294:F294)=0,"",IF(A294="EXAMPLE","Example (skipped)",IF(OR(C294="",E294="",F294=""),"✖ Portal, User ID and Password are all needed",IF(AND(A294="",COUNTIF(Clients!$B$5:$B$1005,B294)=0),"Not on Clients — will match a portal client by name",IF(AND(C294="GST",D294&lt;&gt;"",COUNTIF(Clients!$AN$5:$AN$1005,UPPER(D294))=0,COUNTIF(Clients!$G$5:$G$1005,"*"&amp;UPPER(D294)&amp;"*")=0),"GSTIN not on Clients — will be checked in the portal","✔ OK")))))</f>
        <v/>
      </c>
    </row>
    <row r="295">
      <c r="A295" s="38" t="n"/>
      <c r="B295" s="39" t="n"/>
      <c r="C295" s="39" t="n"/>
      <c r="D295" s="38" t="n"/>
      <c r="E295" s="38" t="n"/>
      <c r="F295" s="38" t="n"/>
      <c r="G295" s="37">
        <f>IF(COUNTA(A295:F295)=0,"",IF(A295="EXAMPLE","Example (skipped)",IF(OR(C295="",E295="",F295=""),"✖ Portal, User ID and Password are all needed",IF(AND(A295="",COUNTIF(Clients!$B$5:$B$1005,B295)=0),"Not on Clients — will match a portal client by name",IF(AND(C295="GST",D295&lt;&gt;"",COUNTIF(Clients!$AN$5:$AN$1005,UPPER(D295))=0,COUNTIF(Clients!$G$5:$G$1005,"*"&amp;UPPER(D295)&amp;"*")=0),"GSTIN not on Clients — will be checked in the portal","✔ OK")))))</f>
        <v/>
      </c>
    </row>
    <row r="296">
      <c r="A296" s="38" t="n"/>
      <c r="B296" s="39" t="n"/>
      <c r="C296" s="39" t="n"/>
      <c r="D296" s="38" t="n"/>
      <c r="E296" s="38" t="n"/>
      <c r="F296" s="38" t="n"/>
      <c r="G296" s="37">
        <f>IF(COUNTA(A296:F296)=0,"",IF(A296="EXAMPLE","Example (skipped)",IF(OR(C296="",E296="",F296=""),"✖ Portal, User ID and Password are all needed",IF(AND(A296="",COUNTIF(Clients!$B$5:$B$1005,B296)=0),"Not on Clients — will match a portal client by name",IF(AND(C296="GST",D296&lt;&gt;"",COUNTIF(Clients!$AN$5:$AN$1005,UPPER(D296))=0,COUNTIF(Clients!$G$5:$G$1005,"*"&amp;UPPER(D296)&amp;"*")=0),"GSTIN not on Clients — will be checked in the portal","✔ OK")))))</f>
        <v/>
      </c>
    </row>
    <row r="297">
      <c r="A297" s="38" t="n"/>
      <c r="B297" s="39" t="n"/>
      <c r="C297" s="39" t="n"/>
      <c r="D297" s="38" t="n"/>
      <c r="E297" s="38" t="n"/>
      <c r="F297" s="38" t="n"/>
      <c r="G297" s="37">
        <f>IF(COUNTA(A297:F297)=0,"",IF(A297="EXAMPLE","Example (skipped)",IF(OR(C297="",E297="",F297=""),"✖ Portal, User ID and Password are all needed",IF(AND(A297="",COUNTIF(Clients!$B$5:$B$1005,B297)=0),"Not on Clients — will match a portal client by name",IF(AND(C297="GST",D297&lt;&gt;"",COUNTIF(Clients!$AN$5:$AN$1005,UPPER(D297))=0,COUNTIF(Clients!$G$5:$G$1005,"*"&amp;UPPER(D297)&amp;"*")=0),"GSTIN not on Clients — will be checked in the portal","✔ OK")))))</f>
        <v/>
      </c>
    </row>
    <row r="298">
      <c r="A298" s="38" t="n"/>
      <c r="B298" s="39" t="n"/>
      <c r="C298" s="39" t="n"/>
      <c r="D298" s="38" t="n"/>
      <c r="E298" s="38" t="n"/>
      <c r="F298" s="38" t="n"/>
      <c r="G298" s="37">
        <f>IF(COUNTA(A298:F298)=0,"",IF(A298="EXAMPLE","Example (skipped)",IF(OR(C298="",E298="",F298=""),"✖ Portal, User ID and Password are all needed",IF(AND(A298="",COUNTIF(Clients!$B$5:$B$1005,B298)=0),"Not on Clients — will match a portal client by name",IF(AND(C298="GST",D298&lt;&gt;"",COUNTIF(Clients!$AN$5:$AN$1005,UPPER(D298))=0,COUNTIF(Clients!$G$5:$G$1005,"*"&amp;UPPER(D298)&amp;"*")=0),"GSTIN not on Clients — will be checked in the portal","✔ OK")))))</f>
        <v/>
      </c>
    </row>
    <row r="299">
      <c r="A299" s="38" t="n"/>
      <c r="B299" s="39" t="n"/>
      <c r="C299" s="39" t="n"/>
      <c r="D299" s="38" t="n"/>
      <c r="E299" s="38" t="n"/>
      <c r="F299" s="38" t="n"/>
      <c r="G299" s="37">
        <f>IF(COUNTA(A299:F299)=0,"",IF(A299="EXAMPLE","Example (skipped)",IF(OR(C299="",E299="",F299=""),"✖ Portal, User ID and Password are all needed",IF(AND(A299="",COUNTIF(Clients!$B$5:$B$1005,B299)=0),"Not on Clients — will match a portal client by name",IF(AND(C299="GST",D299&lt;&gt;"",COUNTIF(Clients!$AN$5:$AN$1005,UPPER(D299))=0,COUNTIF(Clients!$G$5:$G$1005,"*"&amp;UPPER(D299)&amp;"*")=0),"GSTIN not on Clients — will be checked in the portal","✔ OK")))))</f>
        <v/>
      </c>
    </row>
    <row r="300">
      <c r="A300" s="38" t="n"/>
      <c r="B300" s="39" t="n"/>
      <c r="C300" s="39" t="n"/>
      <c r="D300" s="38" t="n"/>
      <c r="E300" s="38" t="n"/>
      <c r="F300" s="38" t="n"/>
      <c r="G300" s="37">
        <f>IF(COUNTA(A300:F300)=0,"",IF(A300="EXAMPLE","Example (skipped)",IF(OR(C300="",E300="",F300=""),"✖ Portal, User ID and Password are all needed",IF(AND(A300="",COUNTIF(Clients!$B$5:$B$1005,B300)=0),"Not on Clients — will match a portal client by name",IF(AND(C300="GST",D300&lt;&gt;"",COUNTIF(Clients!$AN$5:$AN$1005,UPPER(D300))=0,COUNTIF(Clients!$G$5:$G$1005,"*"&amp;UPPER(D300)&amp;"*")=0),"GSTIN not on Clients — will be checked in the portal","✔ OK")))))</f>
        <v/>
      </c>
    </row>
    <row r="301">
      <c r="A301" s="38" t="n"/>
      <c r="B301" s="39" t="n"/>
      <c r="C301" s="39" t="n"/>
      <c r="D301" s="38" t="n"/>
      <c r="E301" s="38" t="n"/>
      <c r="F301" s="38" t="n"/>
      <c r="G301" s="37">
        <f>IF(COUNTA(A301:F301)=0,"",IF(A301="EXAMPLE","Example (skipped)",IF(OR(C301="",E301="",F301=""),"✖ Portal, User ID and Password are all needed",IF(AND(A301="",COUNTIF(Clients!$B$5:$B$1005,B301)=0),"Not on Clients — will match a portal client by name",IF(AND(C301="GST",D301&lt;&gt;"",COUNTIF(Clients!$AN$5:$AN$1005,UPPER(D301))=0,COUNTIF(Clients!$G$5:$G$1005,"*"&amp;UPPER(D301)&amp;"*")=0),"GSTIN not on Clients — will be checked in the portal","✔ OK")))))</f>
        <v/>
      </c>
    </row>
    <row r="302">
      <c r="A302" s="38" t="n"/>
      <c r="B302" s="39" t="n"/>
      <c r="C302" s="39" t="n"/>
      <c r="D302" s="38" t="n"/>
      <c r="E302" s="38" t="n"/>
      <c r="F302" s="38" t="n"/>
      <c r="G302" s="37">
        <f>IF(COUNTA(A302:F302)=0,"",IF(A302="EXAMPLE","Example (skipped)",IF(OR(C302="",E302="",F302=""),"✖ Portal, User ID and Password are all needed",IF(AND(A302="",COUNTIF(Clients!$B$5:$B$1005,B302)=0),"Not on Clients — will match a portal client by name",IF(AND(C302="GST",D302&lt;&gt;"",COUNTIF(Clients!$AN$5:$AN$1005,UPPER(D302))=0,COUNTIF(Clients!$G$5:$G$1005,"*"&amp;UPPER(D302)&amp;"*")=0),"GSTIN not on Clients — will be checked in the portal","✔ OK")))))</f>
        <v/>
      </c>
    </row>
    <row r="303">
      <c r="A303" s="38" t="n"/>
      <c r="B303" s="39" t="n"/>
      <c r="C303" s="39" t="n"/>
      <c r="D303" s="38" t="n"/>
      <c r="E303" s="38" t="n"/>
      <c r="F303" s="38" t="n"/>
      <c r="G303" s="37">
        <f>IF(COUNTA(A303:F303)=0,"",IF(A303="EXAMPLE","Example (skipped)",IF(OR(C303="",E303="",F303=""),"✖ Portal, User ID and Password are all needed",IF(AND(A303="",COUNTIF(Clients!$B$5:$B$1005,B303)=0),"Not on Clients — will match a portal client by name",IF(AND(C303="GST",D303&lt;&gt;"",COUNTIF(Clients!$AN$5:$AN$1005,UPPER(D303))=0,COUNTIF(Clients!$G$5:$G$1005,"*"&amp;UPPER(D303)&amp;"*")=0),"GSTIN not on Clients — will be checked in the portal","✔ OK")))))</f>
        <v/>
      </c>
    </row>
    <row r="304">
      <c r="A304" s="38" t="n"/>
      <c r="B304" s="39" t="n"/>
      <c r="C304" s="39" t="n"/>
      <c r="D304" s="38" t="n"/>
      <c r="E304" s="38" t="n"/>
      <c r="F304" s="38" t="n"/>
      <c r="G304" s="37">
        <f>IF(COUNTA(A304:F304)=0,"",IF(A304="EXAMPLE","Example (skipped)",IF(OR(C304="",E304="",F304=""),"✖ Portal, User ID and Password are all needed",IF(AND(A304="",COUNTIF(Clients!$B$5:$B$1005,B304)=0),"Not on Clients — will match a portal client by name",IF(AND(C304="GST",D304&lt;&gt;"",COUNTIF(Clients!$AN$5:$AN$1005,UPPER(D304))=0,COUNTIF(Clients!$G$5:$G$1005,"*"&amp;UPPER(D304)&amp;"*")=0),"GSTIN not on Clients — will be checked in the portal","✔ OK")))))</f>
        <v/>
      </c>
    </row>
    <row r="305">
      <c r="A305" s="38" t="n"/>
      <c r="B305" s="39" t="n"/>
      <c r="C305" s="39" t="n"/>
      <c r="D305" s="38" t="n"/>
      <c r="E305" s="38" t="n"/>
      <c r="F305" s="38" t="n"/>
      <c r="G305" s="37">
        <f>IF(COUNTA(A305:F305)=0,"",IF(A305="EXAMPLE","Example (skipped)",IF(OR(C305="",E305="",F305=""),"✖ Portal, User ID and Password are all needed",IF(AND(A305="",COUNTIF(Clients!$B$5:$B$1005,B305)=0),"Not on Clients — will match a portal client by name",IF(AND(C305="GST",D305&lt;&gt;"",COUNTIF(Clients!$AN$5:$AN$1005,UPPER(D305))=0,COUNTIF(Clients!$G$5:$G$1005,"*"&amp;UPPER(D305)&amp;"*")=0),"GSTIN not on Clients — will be checked in the portal","✔ OK")))))</f>
        <v/>
      </c>
    </row>
    <row r="306">
      <c r="A306" s="38" t="n"/>
      <c r="B306" s="39" t="n"/>
      <c r="C306" s="39" t="n"/>
      <c r="D306" s="38" t="n"/>
      <c r="E306" s="38" t="n"/>
      <c r="F306" s="38" t="n"/>
      <c r="G306" s="37">
        <f>IF(COUNTA(A306:F306)=0,"",IF(A306="EXAMPLE","Example (skipped)",IF(OR(C306="",E306="",F306=""),"✖ Portal, User ID and Password are all needed",IF(AND(A306="",COUNTIF(Clients!$B$5:$B$1005,B306)=0),"Not on Clients — will match a portal client by name",IF(AND(C306="GST",D306&lt;&gt;"",COUNTIF(Clients!$AN$5:$AN$1005,UPPER(D306))=0,COUNTIF(Clients!$G$5:$G$1005,"*"&amp;UPPER(D306)&amp;"*")=0),"GSTIN not on Clients — will be checked in the portal","✔ OK")))))</f>
        <v/>
      </c>
    </row>
    <row r="307">
      <c r="A307" s="38" t="n"/>
      <c r="B307" s="39" t="n"/>
      <c r="C307" s="39" t="n"/>
      <c r="D307" s="38" t="n"/>
      <c r="E307" s="38" t="n"/>
      <c r="F307" s="38" t="n"/>
      <c r="G307" s="37">
        <f>IF(COUNTA(A307:F307)=0,"",IF(A307="EXAMPLE","Example (skipped)",IF(OR(C307="",E307="",F307=""),"✖ Portal, User ID and Password are all needed",IF(AND(A307="",COUNTIF(Clients!$B$5:$B$1005,B307)=0),"Not on Clients — will match a portal client by name",IF(AND(C307="GST",D307&lt;&gt;"",COUNTIF(Clients!$AN$5:$AN$1005,UPPER(D307))=0,COUNTIF(Clients!$G$5:$G$1005,"*"&amp;UPPER(D307)&amp;"*")=0),"GSTIN not on Clients — will be checked in the portal","✔ OK")))))</f>
        <v/>
      </c>
    </row>
    <row r="308">
      <c r="A308" s="38" t="n"/>
      <c r="B308" s="39" t="n"/>
      <c r="C308" s="39" t="n"/>
      <c r="D308" s="38" t="n"/>
      <c r="E308" s="38" t="n"/>
      <c r="F308" s="38" t="n"/>
      <c r="G308" s="37">
        <f>IF(COUNTA(A308:F308)=0,"",IF(A308="EXAMPLE","Example (skipped)",IF(OR(C308="",E308="",F308=""),"✖ Portal, User ID and Password are all needed",IF(AND(A308="",COUNTIF(Clients!$B$5:$B$1005,B308)=0),"Not on Clients — will match a portal client by name",IF(AND(C308="GST",D308&lt;&gt;"",COUNTIF(Clients!$AN$5:$AN$1005,UPPER(D308))=0,COUNTIF(Clients!$G$5:$G$1005,"*"&amp;UPPER(D308)&amp;"*")=0),"GSTIN not on Clients — will be checked in the portal","✔ OK")))))</f>
        <v/>
      </c>
    </row>
    <row r="309">
      <c r="A309" s="38" t="n"/>
      <c r="B309" s="39" t="n"/>
      <c r="C309" s="39" t="n"/>
      <c r="D309" s="38" t="n"/>
      <c r="E309" s="38" t="n"/>
      <c r="F309" s="38" t="n"/>
      <c r="G309" s="37">
        <f>IF(COUNTA(A309:F309)=0,"",IF(A309="EXAMPLE","Example (skipped)",IF(OR(C309="",E309="",F309=""),"✖ Portal, User ID and Password are all needed",IF(AND(A309="",COUNTIF(Clients!$B$5:$B$1005,B309)=0),"Not on Clients — will match a portal client by name",IF(AND(C309="GST",D309&lt;&gt;"",COUNTIF(Clients!$AN$5:$AN$1005,UPPER(D309))=0,COUNTIF(Clients!$G$5:$G$1005,"*"&amp;UPPER(D309)&amp;"*")=0),"GSTIN not on Clients — will be checked in the portal","✔ OK")))))</f>
        <v/>
      </c>
    </row>
    <row r="310">
      <c r="A310" s="38" t="n"/>
      <c r="B310" s="39" t="n"/>
      <c r="C310" s="39" t="n"/>
      <c r="D310" s="38" t="n"/>
      <c r="E310" s="38" t="n"/>
      <c r="F310" s="38" t="n"/>
      <c r="G310" s="37">
        <f>IF(COUNTA(A310:F310)=0,"",IF(A310="EXAMPLE","Example (skipped)",IF(OR(C310="",E310="",F310=""),"✖ Portal, User ID and Password are all needed",IF(AND(A310="",COUNTIF(Clients!$B$5:$B$1005,B310)=0),"Not on Clients — will match a portal client by name",IF(AND(C310="GST",D310&lt;&gt;"",COUNTIF(Clients!$AN$5:$AN$1005,UPPER(D310))=0,COUNTIF(Clients!$G$5:$G$1005,"*"&amp;UPPER(D310)&amp;"*")=0),"GSTIN not on Clients — will be checked in the portal","✔ OK")))))</f>
        <v/>
      </c>
    </row>
    <row r="311">
      <c r="A311" s="38" t="n"/>
      <c r="B311" s="39" t="n"/>
      <c r="C311" s="39" t="n"/>
      <c r="D311" s="38" t="n"/>
      <c r="E311" s="38" t="n"/>
      <c r="F311" s="38" t="n"/>
      <c r="G311" s="37">
        <f>IF(COUNTA(A311:F311)=0,"",IF(A311="EXAMPLE","Example (skipped)",IF(OR(C311="",E311="",F311=""),"✖ Portal, User ID and Password are all needed",IF(AND(A311="",COUNTIF(Clients!$B$5:$B$1005,B311)=0),"Not on Clients — will match a portal client by name",IF(AND(C311="GST",D311&lt;&gt;"",COUNTIF(Clients!$AN$5:$AN$1005,UPPER(D311))=0,COUNTIF(Clients!$G$5:$G$1005,"*"&amp;UPPER(D311)&amp;"*")=0),"GSTIN not on Clients — will be checked in the portal","✔ OK")))))</f>
        <v/>
      </c>
    </row>
    <row r="312">
      <c r="A312" s="38" t="n"/>
      <c r="B312" s="39" t="n"/>
      <c r="C312" s="39" t="n"/>
      <c r="D312" s="38" t="n"/>
      <c r="E312" s="38" t="n"/>
      <c r="F312" s="38" t="n"/>
      <c r="G312" s="37">
        <f>IF(COUNTA(A312:F312)=0,"",IF(A312="EXAMPLE","Example (skipped)",IF(OR(C312="",E312="",F312=""),"✖ Portal, User ID and Password are all needed",IF(AND(A312="",COUNTIF(Clients!$B$5:$B$1005,B312)=0),"Not on Clients — will match a portal client by name",IF(AND(C312="GST",D312&lt;&gt;"",COUNTIF(Clients!$AN$5:$AN$1005,UPPER(D312))=0,COUNTIF(Clients!$G$5:$G$1005,"*"&amp;UPPER(D312)&amp;"*")=0),"GSTIN not on Clients — will be checked in the portal","✔ OK")))))</f>
        <v/>
      </c>
    </row>
    <row r="313">
      <c r="A313" s="38" t="n"/>
      <c r="B313" s="39" t="n"/>
      <c r="C313" s="39" t="n"/>
      <c r="D313" s="38" t="n"/>
      <c r="E313" s="38" t="n"/>
      <c r="F313" s="38" t="n"/>
      <c r="G313" s="37">
        <f>IF(COUNTA(A313:F313)=0,"",IF(A313="EXAMPLE","Example (skipped)",IF(OR(C313="",E313="",F313=""),"✖ Portal, User ID and Password are all needed",IF(AND(A313="",COUNTIF(Clients!$B$5:$B$1005,B313)=0),"Not on Clients — will match a portal client by name",IF(AND(C313="GST",D313&lt;&gt;"",COUNTIF(Clients!$AN$5:$AN$1005,UPPER(D313))=0,COUNTIF(Clients!$G$5:$G$1005,"*"&amp;UPPER(D313)&amp;"*")=0),"GSTIN not on Clients — will be checked in the portal","✔ OK")))))</f>
        <v/>
      </c>
    </row>
    <row r="314">
      <c r="A314" s="38" t="n"/>
      <c r="B314" s="39" t="n"/>
      <c r="C314" s="39" t="n"/>
      <c r="D314" s="38" t="n"/>
      <c r="E314" s="38" t="n"/>
      <c r="F314" s="38" t="n"/>
      <c r="G314" s="37">
        <f>IF(COUNTA(A314:F314)=0,"",IF(A314="EXAMPLE","Example (skipped)",IF(OR(C314="",E314="",F314=""),"✖ Portal, User ID and Password are all needed",IF(AND(A314="",COUNTIF(Clients!$B$5:$B$1005,B314)=0),"Not on Clients — will match a portal client by name",IF(AND(C314="GST",D314&lt;&gt;"",COUNTIF(Clients!$AN$5:$AN$1005,UPPER(D314))=0,COUNTIF(Clients!$G$5:$G$1005,"*"&amp;UPPER(D314)&amp;"*")=0),"GSTIN not on Clients — will be checked in the portal","✔ OK")))))</f>
        <v/>
      </c>
    </row>
    <row r="315">
      <c r="A315" s="38" t="n"/>
      <c r="B315" s="39" t="n"/>
      <c r="C315" s="39" t="n"/>
      <c r="D315" s="38" t="n"/>
      <c r="E315" s="38" t="n"/>
      <c r="F315" s="38" t="n"/>
      <c r="G315" s="37">
        <f>IF(COUNTA(A315:F315)=0,"",IF(A315="EXAMPLE","Example (skipped)",IF(OR(C315="",E315="",F315=""),"✖ Portal, User ID and Password are all needed",IF(AND(A315="",COUNTIF(Clients!$B$5:$B$1005,B315)=0),"Not on Clients — will match a portal client by name",IF(AND(C315="GST",D315&lt;&gt;"",COUNTIF(Clients!$AN$5:$AN$1005,UPPER(D315))=0,COUNTIF(Clients!$G$5:$G$1005,"*"&amp;UPPER(D315)&amp;"*")=0),"GSTIN not on Clients — will be checked in the portal","✔ OK")))))</f>
        <v/>
      </c>
    </row>
    <row r="316">
      <c r="A316" s="38" t="n"/>
      <c r="B316" s="39" t="n"/>
      <c r="C316" s="39" t="n"/>
      <c r="D316" s="38" t="n"/>
      <c r="E316" s="38" t="n"/>
      <c r="F316" s="38" t="n"/>
      <c r="G316" s="37">
        <f>IF(COUNTA(A316:F316)=0,"",IF(A316="EXAMPLE","Example (skipped)",IF(OR(C316="",E316="",F316=""),"✖ Portal, User ID and Password are all needed",IF(AND(A316="",COUNTIF(Clients!$B$5:$B$1005,B316)=0),"Not on Clients — will match a portal client by name",IF(AND(C316="GST",D316&lt;&gt;"",COUNTIF(Clients!$AN$5:$AN$1005,UPPER(D316))=0,COUNTIF(Clients!$G$5:$G$1005,"*"&amp;UPPER(D316)&amp;"*")=0),"GSTIN not on Clients — will be checked in the portal","✔ OK")))))</f>
        <v/>
      </c>
    </row>
    <row r="317">
      <c r="A317" s="38" t="n"/>
      <c r="B317" s="39" t="n"/>
      <c r="C317" s="39" t="n"/>
      <c r="D317" s="38" t="n"/>
      <c r="E317" s="38" t="n"/>
      <c r="F317" s="38" t="n"/>
      <c r="G317" s="37">
        <f>IF(COUNTA(A317:F317)=0,"",IF(A317="EXAMPLE","Example (skipped)",IF(OR(C317="",E317="",F317=""),"✖ Portal, User ID and Password are all needed",IF(AND(A317="",COUNTIF(Clients!$B$5:$B$1005,B317)=0),"Not on Clients — will match a portal client by name",IF(AND(C317="GST",D317&lt;&gt;"",COUNTIF(Clients!$AN$5:$AN$1005,UPPER(D317))=0,COUNTIF(Clients!$G$5:$G$1005,"*"&amp;UPPER(D317)&amp;"*")=0),"GSTIN not on Clients — will be checked in the portal","✔ OK")))))</f>
        <v/>
      </c>
    </row>
    <row r="318">
      <c r="A318" s="38" t="n"/>
      <c r="B318" s="39" t="n"/>
      <c r="C318" s="39" t="n"/>
      <c r="D318" s="38" t="n"/>
      <c r="E318" s="38" t="n"/>
      <c r="F318" s="38" t="n"/>
      <c r="G318" s="37">
        <f>IF(COUNTA(A318:F318)=0,"",IF(A318="EXAMPLE","Example (skipped)",IF(OR(C318="",E318="",F318=""),"✖ Portal, User ID and Password are all needed",IF(AND(A318="",COUNTIF(Clients!$B$5:$B$1005,B318)=0),"Not on Clients — will match a portal client by name",IF(AND(C318="GST",D318&lt;&gt;"",COUNTIF(Clients!$AN$5:$AN$1005,UPPER(D318))=0,COUNTIF(Clients!$G$5:$G$1005,"*"&amp;UPPER(D318)&amp;"*")=0),"GSTIN not on Clients — will be checked in the portal","✔ OK")))))</f>
        <v/>
      </c>
    </row>
    <row r="319">
      <c r="A319" s="38" t="n"/>
      <c r="B319" s="39" t="n"/>
      <c r="C319" s="39" t="n"/>
      <c r="D319" s="38" t="n"/>
      <c r="E319" s="38" t="n"/>
      <c r="F319" s="38" t="n"/>
      <c r="G319" s="37">
        <f>IF(COUNTA(A319:F319)=0,"",IF(A319="EXAMPLE","Example (skipped)",IF(OR(C319="",E319="",F319=""),"✖ Portal, User ID and Password are all needed",IF(AND(A319="",COUNTIF(Clients!$B$5:$B$1005,B319)=0),"Not on Clients — will match a portal client by name",IF(AND(C319="GST",D319&lt;&gt;"",COUNTIF(Clients!$AN$5:$AN$1005,UPPER(D319))=0,COUNTIF(Clients!$G$5:$G$1005,"*"&amp;UPPER(D319)&amp;"*")=0),"GSTIN not on Clients — will be checked in the portal","✔ OK")))))</f>
        <v/>
      </c>
    </row>
    <row r="320">
      <c r="A320" s="38" t="n"/>
      <c r="B320" s="39" t="n"/>
      <c r="C320" s="39" t="n"/>
      <c r="D320" s="38" t="n"/>
      <c r="E320" s="38" t="n"/>
      <c r="F320" s="38" t="n"/>
      <c r="G320" s="37">
        <f>IF(COUNTA(A320:F320)=0,"",IF(A320="EXAMPLE","Example (skipped)",IF(OR(C320="",E320="",F320=""),"✖ Portal, User ID and Password are all needed",IF(AND(A320="",COUNTIF(Clients!$B$5:$B$1005,B320)=0),"Not on Clients — will match a portal client by name",IF(AND(C320="GST",D320&lt;&gt;"",COUNTIF(Clients!$AN$5:$AN$1005,UPPER(D320))=0,COUNTIF(Clients!$G$5:$G$1005,"*"&amp;UPPER(D320)&amp;"*")=0),"GSTIN not on Clients — will be checked in the portal","✔ OK")))))</f>
        <v/>
      </c>
    </row>
    <row r="321">
      <c r="A321" s="38" t="n"/>
      <c r="B321" s="39" t="n"/>
      <c r="C321" s="39" t="n"/>
      <c r="D321" s="38" t="n"/>
      <c r="E321" s="38" t="n"/>
      <c r="F321" s="38" t="n"/>
      <c r="G321" s="37">
        <f>IF(COUNTA(A321:F321)=0,"",IF(A321="EXAMPLE","Example (skipped)",IF(OR(C321="",E321="",F321=""),"✖ Portal, User ID and Password are all needed",IF(AND(A321="",COUNTIF(Clients!$B$5:$B$1005,B321)=0),"Not on Clients — will match a portal client by name",IF(AND(C321="GST",D321&lt;&gt;"",COUNTIF(Clients!$AN$5:$AN$1005,UPPER(D321))=0,COUNTIF(Clients!$G$5:$G$1005,"*"&amp;UPPER(D321)&amp;"*")=0),"GSTIN not on Clients — will be checked in the portal","✔ OK")))))</f>
        <v/>
      </c>
    </row>
    <row r="322">
      <c r="A322" s="38" t="n"/>
      <c r="B322" s="39" t="n"/>
      <c r="C322" s="39" t="n"/>
      <c r="D322" s="38" t="n"/>
      <c r="E322" s="38" t="n"/>
      <c r="F322" s="38" t="n"/>
      <c r="G322" s="37">
        <f>IF(COUNTA(A322:F322)=0,"",IF(A322="EXAMPLE","Example (skipped)",IF(OR(C322="",E322="",F322=""),"✖ Portal, User ID and Password are all needed",IF(AND(A322="",COUNTIF(Clients!$B$5:$B$1005,B322)=0),"Not on Clients — will match a portal client by name",IF(AND(C322="GST",D322&lt;&gt;"",COUNTIF(Clients!$AN$5:$AN$1005,UPPER(D322))=0,COUNTIF(Clients!$G$5:$G$1005,"*"&amp;UPPER(D322)&amp;"*")=0),"GSTIN not on Clients — will be checked in the portal","✔ OK")))))</f>
        <v/>
      </c>
    </row>
    <row r="323">
      <c r="A323" s="38" t="n"/>
      <c r="B323" s="39" t="n"/>
      <c r="C323" s="39" t="n"/>
      <c r="D323" s="38" t="n"/>
      <c r="E323" s="38" t="n"/>
      <c r="F323" s="38" t="n"/>
      <c r="G323" s="37">
        <f>IF(COUNTA(A323:F323)=0,"",IF(A323="EXAMPLE","Example (skipped)",IF(OR(C323="",E323="",F323=""),"✖ Portal, User ID and Password are all needed",IF(AND(A323="",COUNTIF(Clients!$B$5:$B$1005,B323)=0),"Not on Clients — will match a portal client by name",IF(AND(C323="GST",D323&lt;&gt;"",COUNTIF(Clients!$AN$5:$AN$1005,UPPER(D323))=0,COUNTIF(Clients!$G$5:$G$1005,"*"&amp;UPPER(D323)&amp;"*")=0),"GSTIN not on Clients — will be checked in the portal","✔ OK")))))</f>
        <v/>
      </c>
    </row>
    <row r="324">
      <c r="A324" s="38" t="n"/>
      <c r="B324" s="39" t="n"/>
      <c r="C324" s="39" t="n"/>
      <c r="D324" s="38" t="n"/>
      <c r="E324" s="38" t="n"/>
      <c r="F324" s="38" t="n"/>
      <c r="G324" s="37">
        <f>IF(COUNTA(A324:F324)=0,"",IF(A324="EXAMPLE","Example (skipped)",IF(OR(C324="",E324="",F324=""),"✖ Portal, User ID and Password are all needed",IF(AND(A324="",COUNTIF(Clients!$B$5:$B$1005,B324)=0),"Not on Clients — will match a portal client by name",IF(AND(C324="GST",D324&lt;&gt;"",COUNTIF(Clients!$AN$5:$AN$1005,UPPER(D324))=0,COUNTIF(Clients!$G$5:$G$1005,"*"&amp;UPPER(D324)&amp;"*")=0),"GSTIN not on Clients — will be checked in the portal","✔ OK")))))</f>
        <v/>
      </c>
    </row>
    <row r="325">
      <c r="A325" s="38" t="n"/>
      <c r="B325" s="39" t="n"/>
      <c r="C325" s="39" t="n"/>
      <c r="D325" s="38" t="n"/>
      <c r="E325" s="38" t="n"/>
      <c r="F325" s="38" t="n"/>
      <c r="G325" s="37">
        <f>IF(COUNTA(A325:F325)=0,"",IF(A325="EXAMPLE","Example (skipped)",IF(OR(C325="",E325="",F325=""),"✖ Portal, User ID and Password are all needed",IF(AND(A325="",COUNTIF(Clients!$B$5:$B$1005,B325)=0),"Not on Clients — will match a portal client by name",IF(AND(C325="GST",D325&lt;&gt;"",COUNTIF(Clients!$AN$5:$AN$1005,UPPER(D325))=0,COUNTIF(Clients!$G$5:$G$1005,"*"&amp;UPPER(D325)&amp;"*")=0),"GSTIN not on Clients — will be checked in the portal","✔ OK")))))</f>
        <v/>
      </c>
    </row>
    <row r="326">
      <c r="A326" s="38" t="n"/>
      <c r="B326" s="39" t="n"/>
      <c r="C326" s="39" t="n"/>
      <c r="D326" s="38" t="n"/>
      <c r="E326" s="38" t="n"/>
      <c r="F326" s="38" t="n"/>
      <c r="G326" s="37">
        <f>IF(COUNTA(A326:F326)=0,"",IF(A326="EXAMPLE","Example (skipped)",IF(OR(C326="",E326="",F326=""),"✖ Portal, User ID and Password are all needed",IF(AND(A326="",COUNTIF(Clients!$B$5:$B$1005,B326)=0),"Not on Clients — will match a portal client by name",IF(AND(C326="GST",D326&lt;&gt;"",COUNTIF(Clients!$AN$5:$AN$1005,UPPER(D326))=0,COUNTIF(Clients!$G$5:$G$1005,"*"&amp;UPPER(D326)&amp;"*")=0),"GSTIN not on Clients — will be checked in the portal","✔ OK")))))</f>
        <v/>
      </c>
    </row>
    <row r="327">
      <c r="A327" s="38" t="n"/>
      <c r="B327" s="39" t="n"/>
      <c r="C327" s="39" t="n"/>
      <c r="D327" s="38" t="n"/>
      <c r="E327" s="38" t="n"/>
      <c r="F327" s="38" t="n"/>
      <c r="G327" s="37">
        <f>IF(COUNTA(A327:F327)=0,"",IF(A327="EXAMPLE","Example (skipped)",IF(OR(C327="",E327="",F327=""),"✖ Portal, User ID and Password are all needed",IF(AND(A327="",COUNTIF(Clients!$B$5:$B$1005,B327)=0),"Not on Clients — will match a portal client by name",IF(AND(C327="GST",D327&lt;&gt;"",COUNTIF(Clients!$AN$5:$AN$1005,UPPER(D327))=0,COUNTIF(Clients!$G$5:$G$1005,"*"&amp;UPPER(D327)&amp;"*")=0),"GSTIN not on Clients — will be checked in the portal","✔ OK")))))</f>
        <v/>
      </c>
    </row>
    <row r="328">
      <c r="A328" s="38" t="n"/>
      <c r="B328" s="39" t="n"/>
      <c r="C328" s="39" t="n"/>
      <c r="D328" s="38" t="n"/>
      <c r="E328" s="38" t="n"/>
      <c r="F328" s="38" t="n"/>
      <c r="G328" s="37">
        <f>IF(COUNTA(A328:F328)=0,"",IF(A328="EXAMPLE","Example (skipped)",IF(OR(C328="",E328="",F328=""),"✖ Portal, User ID and Password are all needed",IF(AND(A328="",COUNTIF(Clients!$B$5:$B$1005,B328)=0),"Not on Clients — will match a portal client by name",IF(AND(C328="GST",D328&lt;&gt;"",COUNTIF(Clients!$AN$5:$AN$1005,UPPER(D328))=0,COUNTIF(Clients!$G$5:$G$1005,"*"&amp;UPPER(D328)&amp;"*")=0),"GSTIN not on Clients — will be checked in the portal","✔ OK")))))</f>
        <v/>
      </c>
    </row>
    <row r="329">
      <c r="A329" s="38" t="n"/>
      <c r="B329" s="39" t="n"/>
      <c r="C329" s="39" t="n"/>
      <c r="D329" s="38" t="n"/>
      <c r="E329" s="38" t="n"/>
      <c r="F329" s="38" t="n"/>
      <c r="G329" s="37">
        <f>IF(COUNTA(A329:F329)=0,"",IF(A329="EXAMPLE","Example (skipped)",IF(OR(C329="",E329="",F329=""),"✖ Portal, User ID and Password are all needed",IF(AND(A329="",COUNTIF(Clients!$B$5:$B$1005,B329)=0),"Not on Clients — will match a portal client by name",IF(AND(C329="GST",D329&lt;&gt;"",COUNTIF(Clients!$AN$5:$AN$1005,UPPER(D329))=0,COUNTIF(Clients!$G$5:$G$1005,"*"&amp;UPPER(D329)&amp;"*")=0),"GSTIN not on Clients — will be checked in the portal","✔ OK")))))</f>
        <v/>
      </c>
    </row>
    <row r="330">
      <c r="A330" s="38" t="n"/>
      <c r="B330" s="39" t="n"/>
      <c r="C330" s="39" t="n"/>
      <c r="D330" s="38" t="n"/>
      <c r="E330" s="38" t="n"/>
      <c r="F330" s="38" t="n"/>
      <c r="G330" s="37">
        <f>IF(COUNTA(A330:F330)=0,"",IF(A330="EXAMPLE","Example (skipped)",IF(OR(C330="",E330="",F330=""),"✖ Portal, User ID and Password are all needed",IF(AND(A330="",COUNTIF(Clients!$B$5:$B$1005,B330)=0),"Not on Clients — will match a portal client by name",IF(AND(C330="GST",D330&lt;&gt;"",COUNTIF(Clients!$AN$5:$AN$1005,UPPER(D330))=0,COUNTIF(Clients!$G$5:$G$1005,"*"&amp;UPPER(D330)&amp;"*")=0),"GSTIN not on Clients — will be checked in the portal","✔ OK")))))</f>
        <v/>
      </c>
    </row>
    <row r="331">
      <c r="A331" s="38" t="n"/>
      <c r="B331" s="39" t="n"/>
      <c r="C331" s="39" t="n"/>
      <c r="D331" s="38" t="n"/>
      <c r="E331" s="38" t="n"/>
      <c r="F331" s="38" t="n"/>
      <c r="G331" s="37">
        <f>IF(COUNTA(A331:F331)=0,"",IF(A331="EXAMPLE","Example (skipped)",IF(OR(C331="",E331="",F331=""),"✖ Portal, User ID and Password are all needed",IF(AND(A331="",COUNTIF(Clients!$B$5:$B$1005,B331)=0),"Not on Clients — will match a portal client by name",IF(AND(C331="GST",D331&lt;&gt;"",COUNTIF(Clients!$AN$5:$AN$1005,UPPER(D331))=0,COUNTIF(Clients!$G$5:$G$1005,"*"&amp;UPPER(D331)&amp;"*")=0),"GSTIN not on Clients — will be checked in the portal","✔ OK")))))</f>
        <v/>
      </c>
    </row>
    <row r="332">
      <c r="A332" s="38" t="n"/>
      <c r="B332" s="39" t="n"/>
      <c r="C332" s="39" t="n"/>
      <c r="D332" s="38" t="n"/>
      <c r="E332" s="38" t="n"/>
      <c r="F332" s="38" t="n"/>
      <c r="G332" s="37">
        <f>IF(COUNTA(A332:F332)=0,"",IF(A332="EXAMPLE","Example (skipped)",IF(OR(C332="",E332="",F332=""),"✖ Portal, User ID and Password are all needed",IF(AND(A332="",COUNTIF(Clients!$B$5:$B$1005,B332)=0),"Not on Clients — will match a portal client by name",IF(AND(C332="GST",D332&lt;&gt;"",COUNTIF(Clients!$AN$5:$AN$1005,UPPER(D332))=0,COUNTIF(Clients!$G$5:$G$1005,"*"&amp;UPPER(D332)&amp;"*")=0),"GSTIN not on Clients — will be checked in the portal","✔ OK")))))</f>
        <v/>
      </c>
    </row>
    <row r="333">
      <c r="A333" s="38" t="n"/>
      <c r="B333" s="39" t="n"/>
      <c r="C333" s="39" t="n"/>
      <c r="D333" s="38" t="n"/>
      <c r="E333" s="38" t="n"/>
      <c r="F333" s="38" t="n"/>
      <c r="G333" s="37">
        <f>IF(COUNTA(A333:F333)=0,"",IF(A333="EXAMPLE","Example (skipped)",IF(OR(C333="",E333="",F333=""),"✖ Portal, User ID and Password are all needed",IF(AND(A333="",COUNTIF(Clients!$B$5:$B$1005,B333)=0),"Not on Clients — will match a portal client by name",IF(AND(C333="GST",D333&lt;&gt;"",COUNTIF(Clients!$AN$5:$AN$1005,UPPER(D333))=0,COUNTIF(Clients!$G$5:$G$1005,"*"&amp;UPPER(D333)&amp;"*")=0),"GSTIN not on Clients — will be checked in the portal","✔ OK")))))</f>
        <v/>
      </c>
    </row>
    <row r="334">
      <c r="A334" s="38" t="n"/>
      <c r="B334" s="39" t="n"/>
      <c r="C334" s="39" t="n"/>
      <c r="D334" s="38" t="n"/>
      <c r="E334" s="38" t="n"/>
      <c r="F334" s="38" t="n"/>
      <c r="G334" s="37">
        <f>IF(COUNTA(A334:F334)=0,"",IF(A334="EXAMPLE","Example (skipped)",IF(OR(C334="",E334="",F334=""),"✖ Portal, User ID and Password are all needed",IF(AND(A334="",COUNTIF(Clients!$B$5:$B$1005,B334)=0),"Not on Clients — will match a portal client by name",IF(AND(C334="GST",D334&lt;&gt;"",COUNTIF(Clients!$AN$5:$AN$1005,UPPER(D334))=0,COUNTIF(Clients!$G$5:$G$1005,"*"&amp;UPPER(D334)&amp;"*")=0),"GSTIN not on Clients — will be checked in the portal","✔ OK")))))</f>
        <v/>
      </c>
    </row>
    <row r="335">
      <c r="A335" s="38" t="n"/>
      <c r="B335" s="39" t="n"/>
      <c r="C335" s="39" t="n"/>
      <c r="D335" s="38" t="n"/>
      <c r="E335" s="38" t="n"/>
      <c r="F335" s="38" t="n"/>
      <c r="G335" s="37">
        <f>IF(COUNTA(A335:F335)=0,"",IF(A335="EXAMPLE","Example (skipped)",IF(OR(C335="",E335="",F335=""),"✖ Portal, User ID and Password are all needed",IF(AND(A335="",COUNTIF(Clients!$B$5:$B$1005,B335)=0),"Not on Clients — will match a portal client by name",IF(AND(C335="GST",D335&lt;&gt;"",COUNTIF(Clients!$AN$5:$AN$1005,UPPER(D335))=0,COUNTIF(Clients!$G$5:$G$1005,"*"&amp;UPPER(D335)&amp;"*")=0),"GSTIN not on Clients — will be checked in the portal","✔ OK")))))</f>
        <v/>
      </c>
    </row>
    <row r="336">
      <c r="A336" s="38" t="n"/>
      <c r="B336" s="39" t="n"/>
      <c r="C336" s="39" t="n"/>
      <c r="D336" s="38" t="n"/>
      <c r="E336" s="38" t="n"/>
      <c r="F336" s="38" t="n"/>
      <c r="G336" s="37">
        <f>IF(COUNTA(A336:F336)=0,"",IF(A336="EXAMPLE","Example (skipped)",IF(OR(C336="",E336="",F336=""),"✖ Portal, User ID and Password are all needed",IF(AND(A336="",COUNTIF(Clients!$B$5:$B$1005,B336)=0),"Not on Clients — will match a portal client by name",IF(AND(C336="GST",D336&lt;&gt;"",COUNTIF(Clients!$AN$5:$AN$1005,UPPER(D336))=0,COUNTIF(Clients!$G$5:$G$1005,"*"&amp;UPPER(D336)&amp;"*")=0),"GSTIN not on Clients — will be checked in the portal","✔ OK")))))</f>
        <v/>
      </c>
    </row>
    <row r="337">
      <c r="A337" s="38" t="n"/>
      <c r="B337" s="39" t="n"/>
      <c r="C337" s="39" t="n"/>
      <c r="D337" s="38" t="n"/>
      <c r="E337" s="38" t="n"/>
      <c r="F337" s="38" t="n"/>
      <c r="G337" s="37">
        <f>IF(COUNTA(A337:F337)=0,"",IF(A337="EXAMPLE","Example (skipped)",IF(OR(C337="",E337="",F337=""),"✖ Portal, User ID and Password are all needed",IF(AND(A337="",COUNTIF(Clients!$B$5:$B$1005,B337)=0),"Not on Clients — will match a portal client by name",IF(AND(C337="GST",D337&lt;&gt;"",COUNTIF(Clients!$AN$5:$AN$1005,UPPER(D337))=0,COUNTIF(Clients!$G$5:$G$1005,"*"&amp;UPPER(D337)&amp;"*")=0),"GSTIN not on Clients — will be checked in the portal","✔ OK")))))</f>
        <v/>
      </c>
    </row>
    <row r="338">
      <c r="A338" s="38" t="n"/>
      <c r="B338" s="39" t="n"/>
      <c r="C338" s="39" t="n"/>
      <c r="D338" s="38" t="n"/>
      <c r="E338" s="38" t="n"/>
      <c r="F338" s="38" t="n"/>
      <c r="G338" s="37">
        <f>IF(COUNTA(A338:F338)=0,"",IF(A338="EXAMPLE","Example (skipped)",IF(OR(C338="",E338="",F338=""),"✖ Portal, User ID and Password are all needed",IF(AND(A338="",COUNTIF(Clients!$B$5:$B$1005,B338)=0),"Not on Clients — will match a portal client by name",IF(AND(C338="GST",D338&lt;&gt;"",COUNTIF(Clients!$AN$5:$AN$1005,UPPER(D338))=0,COUNTIF(Clients!$G$5:$G$1005,"*"&amp;UPPER(D338)&amp;"*")=0),"GSTIN not on Clients — will be checked in the portal","✔ OK")))))</f>
        <v/>
      </c>
    </row>
    <row r="339">
      <c r="A339" s="38" t="n"/>
      <c r="B339" s="39" t="n"/>
      <c r="C339" s="39" t="n"/>
      <c r="D339" s="38" t="n"/>
      <c r="E339" s="38" t="n"/>
      <c r="F339" s="38" t="n"/>
      <c r="G339" s="37">
        <f>IF(COUNTA(A339:F339)=0,"",IF(A339="EXAMPLE","Example (skipped)",IF(OR(C339="",E339="",F339=""),"✖ Portal, User ID and Password are all needed",IF(AND(A339="",COUNTIF(Clients!$B$5:$B$1005,B339)=0),"Not on Clients — will match a portal client by name",IF(AND(C339="GST",D339&lt;&gt;"",COUNTIF(Clients!$AN$5:$AN$1005,UPPER(D339))=0,COUNTIF(Clients!$G$5:$G$1005,"*"&amp;UPPER(D339)&amp;"*")=0),"GSTIN not on Clients — will be checked in the portal","✔ OK")))))</f>
        <v/>
      </c>
    </row>
    <row r="340">
      <c r="A340" s="38" t="n"/>
      <c r="B340" s="39" t="n"/>
      <c r="C340" s="39" t="n"/>
      <c r="D340" s="38" t="n"/>
      <c r="E340" s="38" t="n"/>
      <c r="F340" s="38" t="n"/>
      <c r="G340" s="37">
        <f>IF(COUNTA(A340:F340)=0,"",IF(A340="EXAMPLE","Example (skipped)",IF(OR(C340="",E340="",F340=""),"✖ Portal, User ID and Password are all needed",IF(AND(A340="",COUNTIF(Clients!$B$5:$B$1005,B340)=0),"Not on Clients — will match a portal client by name",IF(AND(C340="GST",D340&lt;&gt;"",COUNTIF(Clients!$AN$5:$AN$1005,UPPER(D340))=0,COUNTIF(Clients!$G$5:$G$1005,"*"&amp;UPPER(D340)&amp;"*")=0),"GSTIN not on Clients — will be checked in the portal","✔ OK")))))</f>
        <v/>
      </c>
    </row>
    <row r="341">
      <c r="A341" s="38" t="n"/>
      <c r="B341" s="39" t="n"/>
      <c r="C341" s="39" t="n"/>
      <c r="D341" s="38" t="n"/>
      <c r="E341" s="38" t="n"/>
      <c r="F341" s="38" t="n"/>
      <c r="G341" s="37">
        <f>IF(COUNTA(A341:F341)=0,"",IF(A341="EXAMPLE","Example (skipped)",IF(OR(C341="",E341="",F341=""),"✖ Portal, User ID and Password are all needed",IF(AND(A341="",COUNTIF(Clients!$B$5:$B$1005,B341)=0),"Not on Clients — will match a portal client by name",IF(AND(C341="GST",D341&lt;&gt;"",COUNTIF(Clients!$AN$5:$AN$1005,UPPER(D341))=0,COUNTIF(Clients!$G$5:$G$1005,"*"&amp;UPPER(D341)&amp;"*")=0),"GSTIN not on Clients — will be checked in the portal","✔ OK")))))</f>
        <v/>
      </c>
    </row>
    <row r="342">
      <c r="A342" s="38" t="n"/>
      <c r="B342" s="39" t="n"/>
      <c r="C342" s="39" t="n"/>
      <c r="D342" s="38" t="n"/>
      <c r="E342" s="38" t="n"/>
      <c r="F342" s="38" t="n"/>
      <c r="G342" s="37">
        <f>IF(COUNTA(A342:F342)=0,"",IF(A342="EXAMPLE","Example (skipped)",IF(OR(C342="",E342="",F342=""),"✖ Portal, User ID and Password are all needed",IF(AND(A342="",COUNTIF(Clients!$B$5:$B$1005,B342)=0),"Not on Clients — will match a portal client by name",IF(AND(C342="GST",D342&lt;&gt;"",COUNTIF(Clients!$AN$5:$AN$1005,UPPER(D342))=0,COUNTIF(Clients!$G$5:$G$1005,"*"&amp;UPPER(D342)&amp;"*")=0),"GSTIN not on Clients — will be checked in the portal","✔ OK")))))</f>
        <v/>
      </c>
    </row>
    <row r="343">
      <c r="A343" s="38" t="n"/>
      <c r="B343" s="39" t="n"/>
      <c r="C343" s="39" t="n"/>
      <c r="D343" s="38" t="n"/>
      <c r="E343" s="38" t="n"/>
      <c r="F343" s="38" t="n"/>
      <c r="G343" s="37">
        <f>IF(COUNTA(A343:F343)=0,"",IF(A343="EXAMPLE","Example (skipped)",IF(OR(C343="",E343="",F343=""),"✖ Portal, User ID and Password are all needed",IF(AND(A343="",COUNTIF(Clients!$B$5:$B$1005,B343)=0),"Not on Clients — will match a portal client by name",IF(AND(C343="GST",D343&lt;&gt;"",COUNTIF(Clients!$AN$5:$AN$1005,UPPER(D343))=0,COUNTIF(Clients!$G$5:$G$1005,"*"&amp;UPPER(D343)&amp;"*")=0),"GSTIN not on Clients — will be checked in the portal","✔ OK")))))</f>
        <v/>
      </c>
    </row>
    <row r="344">
      <c r="A344" s="38" t="n"/>
      <c r="B344" s="39" t="n"/>
      <c r="C344" s="39" t="n"/>
      <c r="D344" s="38" t="n"/>
      <c r="E344" s="38" t="n"/>
      <c r="F344" s="38" t="n"/>
      <c r="G344" s="37">
        <f>IF(COUNTA(A344:F344)=0,"",IF(A344="EXAMPLE","Example (skipped)",IF(OR(C344="",E344="",F344=""),"✖ Portal, User ID and Password are all needed",IF(AND(A344="",COUNTIF(Clients!$B$5:$B$1005,B344)=0),"Not on Clients — will match a portal client by name",IF(AND(C344="GST",D344&lt;&gt;"",COUNTIF(Clients!$AN$5:$AN$1005,UPPER(D344))=0,COUNTIF(Clients!$G$5:$G$1005,"*"&amp;UPPER(D344)&amp;"*")=0),"GSTIN not on Clients — will be checked in the portal","✔ OK")))))</f>
        <v/>
      </c>
    </row>
    <row r="345">
      <c r="A345" s="38" t="n"/>
      <c r="B345" s="39" t="n"/>
      <c r="C345" s="39" t="n"/>
      <c r="D345" s="38" t="n"/>
      <c r="E345" s="38" t="n"/>
      <c r="F345" s="38" t="n"/>
      <c r="G345" s="37">
        <f>IF(COUNTA(A345:F345)=0,"",IF(A345="EXAMPLE","Example (skipped)",IF(OR(C345="",E345="",F345=""),"✖ Portal, User ID and Password are all needed",IF(AND(A345="",COUNTIF(Clients!$B$5:$B$1005,B345)=0),"Not on Clients — will match a portal client by name",IF(AND(C345="GST",D345&lt;&gt;"",COUNTIF(Clients!$AN$5:$AN$1005,UPPER(D345))=0,COUNTIF(Clients!$G$5:$G$1005,"*"&amp;UPPER(D345)&amp;"*")=0),"GSTIN not on Clients — will be checked in the portal","✔ OK")))))</f>
        <v/>
      </c>
    </row>
    <row r="346">
      <c r="A346" s="38" t="n"/>
      <c r="B346" s="39" t="n"/>
      <c r="C346" s="39" t="n"/>
      <c r="D346" s="38" t="n"/>
      <c r="E346" s="38" t="n"/>
      <c r="F346" s="38" t="n"/>
      <c r="G346" s="37">
        <f>IF(COUNTA(A346:F346)=0,"",IF(A346="EXAMPLE","Example (skipped)",IF(OR(C346="",E346="",F346=""),"✖ Portal, User ID and Password are all needed",IF(AND(A346="",COUNTIF(Clients!$B$5:$B$1005,B346)=0),"Not on Clients — will match a portal client by name",IF(AND(C346="GST",D346&lt;&gt;"",COUNTIF(Clients!$AN$5:$AN$1005,UPPER(D346))=0,COUNTIF(Clients!$G$5:$G$1005,"*"&amp;UPPER(D346)&amp;"*")=0),"GSTIN not on Clients — will be checked in the portal","✔ OK")))))</f>
        <v/>
      </c>
    </row>
    <row r="347">
      <c r="A347" s="38" t="n"/>
      <c r="B347" s="39" t="n"/>
      <c r="C347" s="39" t="n"/>
      <c r="D347" s="38" t="n"/>
      <c r="E347" s="38" t="n"/>
      <c r="F347" s="38" t="n"/>
      <c r="G347" s="37">
        <f>IF(COUNTA(A347:F347)=0,"",IF(A347="EXAMPLE","Example (skipped)",IF(OR(C347="",E347="",F347=""),"✖ Portal, User ID and Password are all needed",IF(AND(A347="",COUNTIF(Clients!$B$5:$B$1005,B347)=0),"Not on Clients — will match a portal client by name",IF(AND(C347="GST",D347&lt;&gt;"",COUNTIF(Clients!$AN$5:$AN$1005,UPPER(D347))=0,COUNTIF(Clients!$G$5:$G$1005,"*"&amp;UPPER(D347)&amp;"*")=0),"GSTIN not on Clients — will be checked in the portal","✔ OK")))))</f>
        <v/>
      </c>
    </row>
    <row r="348">
      <c r="A348" s="38" t="n"/>
      <c r="B348" s="39" t="n"/>
      <c r="C348" s="39" t="n"/>
      <c r="D348" s="38" t="n"/>
      <c r="E348" s="38" t="n"/>
      <c r="F348" s="38" t="n"/>
      <c r="G348" s="37">
        <f>IF(COUNTA(A348:F348)=0,"",IF(A348="EXAMPLE","Example (skipped)",IF(OR(C348="",E348="",F348=""),"✖ Portal, User ID and Password are all needed",IF(AND(A348="",COUNTIF(Clients!$B$5:$B$1005,B348)=0),"Not on Clients — will match a portal client by name",IF(AND(C348="GST",D348&lt;&gt;"",COUNTIF(Clients!$AN$5:$AN$1005,UPPER(D348))=0,COUNTIF(Clients!$G$5:$G$1005,"*"&amp;UPPER(D348)&amp;"*")=0),"GSTIN not on Clients — will be checked in the portal","✔ OK")))))</f>
        <v/>
      </c>
    </row>
    <row r="349">
      <c r="A349" s="38" t="n"/>
      <c r="B349" s="39" t="n"/>
      <c r="C349" s="39" t="n"/>
      <c r="D349" s="38" t="n"/>
      <c r="E349" s="38" t="n"/>
      <c r="F349" s="38" t="n"/>
      <c r="G349" s="37">
        <f>IF(COUNTA(A349:F349)=0,"",IF(A349="EXAMPLE","Example (skipped)",IF(OR(C349="",E349="",F349=""),"✖ Portal, User ID and Password are all needed",IF(AND(A349="",COUNTIF(Clients!$B$5:$B$1005,B349)=0),"Not on Clients — will match a portal client by name",IF(AND(C349="GST",D349&lt;&gt;"",COUNTIF(Clients!$AN$5:$AN$1005,UPPER(D349))=0,COUNTIF(Clients!$G$5:$G$1005,"*"&amp;UPPER(D349)&amp;"*")=0),"GSTIN not on Clients — will be checked in the portal","✔ OK")))))</f>
        <v/>
      </c>
    </row>
    <row r="350">
      <c r="A350" s="38" t="n"/>
      <c r="B350" s="39" t="n"/>
      <c r="C350" s="39" t="n"/>
      <c r="D350" s="38" t="n"/>
      <c r="E350" s="38" t="n"/>
      <c r="F350" s="38" t="n"/>
      <c r="G350" s="37">
        <f>IF(COUNTA(A350:F350)=0,"",IF(A350="EXAMPLE","Example (skipped)",IF(OR(C350="",E350="",F350=""),"✖ Portal, User ID and Password are all needed",IF(AND(A350="",COUNTIF(Clients!$B$5:$B$1005,B350)=0),"Not on Clients — will match a portal client by name",IF(AND(C350="GST",D350&lt;&gt;"",COUNTIF(Clients!$AN$5:$AN$1005,UPPER(D350))=0,COUNTIF(Clients!$G$5:$G$1005,"*"&amp;UPPER(D350)&amp;"*")=0),"GSTIN not on Clients — will be checked in the portal","✔ OK")))))</f>
        <v/>
      </c>
    </row>
    <row r="351">
      <c r="A351" s="38" t="n"/>
      <c r="B351" s="39" t="n"/>
      <c r="C351" s="39" t="n"/>
      <c r="D351" s="38" t="n"/>
      <c r="E351" s="38" t="n"/>
      <c r="F351" s="38" t="n"/>
      <c r="G351" s="37">
        <f>IF(COUNTA(A351:F351)=0,"",IF(A351="EXAMPLE","Example (skipped)",IF(OR(C351="",E351="",F351=""),"✖ Portal, User ID and Password are all needed",IF(AND(A351="",COUNTIF(Clients!$B$5:$B$1005,B351)=0),"Not on Clients — will match a portal client by name",IF(AND(C351="GST",D351&lt;&gt;"",COUNTIF(Clients!$AN$5:$AN$1005,UPPER(D351))=0,COUNTIF(Clients!$G$5:$G$1005,"*"&amp;UPPER(D351)&amp;"*")=0),"GSTIN not on Clients — will be checked in the portal","✔ OK")))))</f>
        <v/>
      </c>
    </row>
    <row r="352">
      <c r="A352" s="38" t="n"/>
      <c r="B352" s="39" t="n"/>
      <c r="C352" s="39" t="n"/>
      <c r="D352" s="38" t="n"/>
      <c r="E352" s="38" t="n"/>
      <c r="F352" s="38" t="n"/>
      <c r="G352" s="37">
        <f>IF(COUNTA(A352:F352)=0,"",IF(A352="EXAMPLE","Example (skipped)",IF(OR(C352="",E352="",F352=""),"✖ Portal, User ID and Password are all needed",IF(AND(A352="",COUNTIF(Clients!$B$5:$B$1005,B352)=0),"Not on Clients — will match a portal client by name",IF(AND(C352="GST",D352&lt;&gt;"",COUNTIF(Clients!$AN$5:$AN$1005,UPPER(D352))=0,COUNTIF(Clients!$G$5:$G$1005,"*"&amp;UPPER(D352)&amp;"*")=0),"GSTIN not on Clients — will be checked in the portal","✔ OK")))))</f>
        <v/>
      </c>
    </row>
    <row r="353">
      <c r="A353" s="38" t="n"/>
      <c r="B353" s="39" t="n"/>
      <c r="C353" s="39" t="n"/>
      <c r="D353" s="38" t="n"/>
      <c r="E353" s="38" t="n"/>
      <c r="F353" s="38" t="n"/>
      <c r="G353" s="37">
        <f>IF(COUNTA(A353:F353)=0,"",IF(A353="EXAMPLE","Example (skipped)",IF(OR(C353="",E353="",F353=""),"✖ Portal, User ID and Password are all needed",IF(AND(A353="",COUNTIF(Clients!$B$5:$B$1005,B353)=0),"Not on Clients — will match a portal client by name",IF(AND(C353="GST",D353&lt;&gt;"",COUNTIF(Clients!$AN$5:$AN$1005,UPPER(D353))=0,COUNTIF(Clients!$G$5:$G$1005,"*"&amp;UPPER(D353)&amp;"*")=0),"GSTIN not on Clients — will be checked in the portal","✔ OK")))))</f>
        <v/>
      </c>
    </row>
    <row r="354">
      <c r="A354" s="38" t="n"/>
      <c r="B354" s="39" t="n"/>
      <c r="C354" s="39" t="n"/>
      <c r="D354" s="38" t="n"/>
      <c r="E354" s="38" t="n"/>
      <c r="F354" s="38" t="n"/>
      <c r="G354" s="37">
        <f>IF(COUNTA(A354:F354)=0,"",IF(A354="EXAMPLE","Example (skipped)",IF(OR(C354="",E354="",F354=""),"✖ Portal, User ID and Password are all needed",IF(AND(A354="",COUNTIF(Clients!$B$5:$B$1005,B354)=0),"Not on Clients — will match a portal client by name",IF(AND(C354="GST",D354&lt;&gt;"",COUNTIF(Clients!$AN$5:$AN$1005,UPPER(D354))=0,COUNTIF(Clients!$G$5:$G$1005,"*"&amp;UPPER(D354)&amp;"*")=0),"GSTIN not on Clients — will be checked in the portal","✔ OK")))))</f>
        <v/>
      </c>
    </row>
    <row r="355">
      <c r="A355" s="38" t="n"/>
      <c r="B355" s="39" t="n"/>
      <c r="C355" s="39" t="n"/>
      <c r="D355" s="38" t="n"/>
      <c r="E355" s="38" t="n"/>
      <c r="F355" s="38" t="n"/>
      <c r="G355" s="37">
        <f>IF(COUNTA(A355:F355)=0,"",IF(A355="EXAMPLE","Example (skipped)",IF(OR(C355="",E355="",F355=""),"✖ Portal, User ID and Password are all needed",IF(AND(A355="",COUNTIF(Clients!$B$5:$B$1005,B355)=0),"Not on Clients — will match a portal client by name",IF(AND(C355="GST",D355&lt;&gt;"",COUNTIF(Clients!$AN$5:$AN$1005,UPPER(D355))=0,COUNTIF(Clients!$G$5:$G$1005,"*"&amp;UPPER(D355)&amp;"*")=0),"GSTIN not on Clients — will be checked in the portal","✔ OK")))))</f>
        <v/>
      </c>
    </row>
    <row r="356">
      <c r="A356" s="38" t="n"/>
      <c r="B356" s="39" t="n"/>
      <c r="C356" s="39" t="n"/>
      <c r="D356" s="38" t="n"/>
      <c r="E356" s="38" t="n"/>
      <c r="F356" s="38" t="n"/>
      <c r="G356" s="37">
        <f>IF(COUNTA(A356:F356)=0,"",IF(A356="EXAMPLE","Example (skipped)",IF(OR(C356="",E356="",F356=""),"✖ Portal, User ID and Password are all needed",IF(AND(A356="",COUNTIF(Clients!$B$5:$B$1005,B356)=0),"Not on Clients — will match a portal client by name",IF(AND(C356="GST",D356&lt;&gt;"",COUNTIF(Clients!$AN$5:$AN$1005,UPPER(D356))=0,COUNTIF(Clients!$G$5:$G$1005,"*"&amp;UPPER(D356)&amp;"*")=0),"GSTIN not on Clients — will be checked in the portal","✔ OK")))))</f>
        <v/>
      </c>
    </row>
    <row r="357">
      <c r="A357" s="38" t="n"/>
      <c r="B357" s="39" t="n"/>
      <c r="C357" s="39" t="n"/>
      <c r="D357" s="38" t="n"/>
      <c r="E357" s="38" t="n"/>
      <c r="F357" s="38" t="n"/>
      <c r="G357" s="37">
        <f>IF(COUNTA(A357:F357)=0,"",IF(A357="EXAMPLE","Example (skipped)",IF(OR(C357="",E357="",F357=""),"✖ Portal, User ID and Password are all needed",IF(AND(A357="",COUNTIF(Clients!$B$5:$B$1005,B357)=0),"Not on Clients — will match a portal client by name",IF(AND(C357="GST",D357&lt;&gt;"",COUNTIF(Clients!$AN$5:$AN$1005,UPPER(D357))=0,COUNTIF(Clients!$G$5:$G$1005,"*"&amp;UPPER(D357)&amp;"*")=0),"GSTIN not on Clients — will be checked in the portal","✔ OK")))))</f>
        <v/>
      </c>
    </row>
    <row r="358">
      <c r="A358" s="38" t="n"/>
      <c r="B358" s="39" t="n"/>
      <c r="C358" s="39" t="n"/>
      <c r="D358" s="38" t="n"/>
      <c r="E358" s="38" t="n"/>
      <c r="F358" s="38" t="n"/>
      <c r="G358" s="37">
        <f>IF(COUNTA(A358:F358)=0,"",IF(A358="EXAMPLE","Example (skipped)",IF(OR(C358="",E358="",F358=""),"✖ Portal, User ID and Password are all needed",IF(AND(A358="",COUNTIF(Clients!$B$5:$B$1005,B358)=0),"Not on Clients — will match a portal client by name",IF(AND(C358="GST",D358&lt;&gt;"",COUNTIF(Clients!$AN$5:$AN$1005,UPPER(D358))=0,COUNTIF(Clients!$G$5:$G$1005,"*"&amp;UPPER(D358)&amp;"*")=0),"GSTIN not on Clients — will be checked in the portal","✔ OK")))))</f>
        <v/>
      </c>
    </row>
    <row r="359">
      <c r="A359" s="38" t="n"/>
      <c r="B359" s="39" t="n"/>
      <c r="C359" s="39" t="n"/>
      <c r="D359" s="38" t="n"/>
      <c r="E359" s="38" t="n"/>
      <c r="F359" s="38" t="n"/>
      <c r="G359" s="37">
        <f>IF(COUNTA(A359:F359)=0,"",IF(A359="EXAMPLE","Example (skipped)",IF(OR(C359="",E359="",F359=""),"✖ Portal, User ID and Password are all needed",IF(AND(A359="",COUNTIF(Clients!$B$5:$B$1005,B359)=0),"Not on Clients — will match a portal client by name",IF(AND(C359="GST",D359&lt;&gt;"",COUNTIF(Clients!$AN$5:$AN$1005,UPPER(D359))=0,COUNTIF(Clients!$G$5:$G$1005,"*"&amp;UPPER(D359)&amp;"*")=0),"GSTIN not on Clients — will be checked in the portal","✔ OK")))))</f>
        <v/>
      </c>
    </row>
    <row r="360">
      <c r="A360" s="38" t="n"/>
      <c r="B360" s="39" t="n"/>
      <c r="C360" s="39" t="n"/>
      <c r="D360" s="38" t="n"/>
      <c r="E360" s="38" t="n"/>
      <c r="F360" s="38" t="n"/>
      <c r="G360" s="37">
        <f>IF(COUNTA(A360:F360)=0,"",IF(A360="EXAMPLE","Example (skipped)",IF(OR(C360="",E360="",F360=""),"✖ Portal, User ID and Password are all needed",IF(AND(A360="",COUNTIF(Clients!$B$5:$B$1005,B360)=0),"Not on Clients — will match a portal client by name",IF(AND(C360="GST",D360&lt;&gt;"",COUNTIF(Clients!$AN$5:$AN$1005,UPPER(D360))=0,COUNTIF(Clients!$G$5:$G$1005,"*"&amp;UPPER(D360)&amp;"*")=0),"GSTIN not on Clients — will be checked in the portal","✔ OK")))))</f>
        <v/>
      </c>
    </row>
    <row r="361">
      <c r="A361" s="38" t="n"/>
      <c r="B361" s="39" t="n"/>
      <c r="C361" s="39" t="n"/>
      <c r="D361" s="38" t="n"/>
      <c r="E361" s="38" t="n"/>
      <c r="F361" s="38" t="n"/>
      <c r="G361" s="37">
        <f>IF(COUNTA(A361:F361)=0,"",IF(A361="EXAMPLE","Example (skipped)",IF(OR(C361="",E361="",F361=""),"✖ Portal, User ID and Password are all needed",IF(AND(A361="",COUNTIF(Clients!$B$5:$B$1005,B361)=0),"Not on Clients — will match a portal client by name",IF(AND(C361="GST",D361&lt;&gt;"",COUNTIF(Clients!$AN$5:$AN$1005,UPPER(D361))=0,COUNTIF(Clients!$G$5:$G$1005,"*"&amp;UPPER(D361)&amp;"*")=0),"GSTIN not on Clients — will be checked in the portal","✔ OK")))))</f>
        <v/>
      </c>
    </row>
    <row r="362">
      <c r="A362" s="38" t="n"/>
      <c r="B362" s="39" t="n"/>
      <c r="C362" s="39" t="n"/>
      <c r="D362" s="38" t="n"/>
      <c r="E362" s="38" t="n"/>
      <c r="F362" s="38" t="n"/>
      <c r="G362" s="37">
        <f>IF(COUNTA(A362:F362)=0,"",IF(A362="EXAMPLE","Example (skipped)",IF(OR(C362="",E362="",F362=""),"✖ Portal, User ID and Password are all needed",IF(AND(A362="",COUNTIF(Clients!$B$5:$B$1005,B362)=0),"Not on Clients — will match a portal client by name",IF(AND(C362="GST",D362&lt;&gt;"",COUNTIF(Clients!$AN$5:$AN$1005,UPPER(D362))=0,COUNTIF(Clients!$G$5:$G$1005,"*"&amp;UPPER(D362)&amp;"*")=0),"GSTIN not on Clients — will be checked in the portal","✔ OK")))))</f>
        <v/>
      </c>
    </row>
    <row r="363">
      <c r="A363" s="38" t="n"/>
      <c r="B363" s="39" t="n"/>
      <c r="C363" s="39" t="n"/>
      <c r="D363" s="38" t="n"/>
      <c r="E363" s="38" t="n"/>
      <c r="F363" s="38" t="n"/>
      <c r="G363" s="37">
        <f>IF(COUNTA(A363:F363)=0,"",IF(A363="EXAMPLE","Example (skipped)",IF(OR(C363="",E363="",F363=""),"✖ Portal, User ID and Password are all needed",IF(AND(A363="",COUNTIF(Clients!$B$5:$B$1005,B363)=0),"Not on Clients — will match a portal client by name",IF(AND(C363="GST",D363&lt;&gt;"",COUNTIF(Clients!$AN$5:$AN$1005,UPPER(D363))=0,COUNTIF(Clients!$G$5:$G$1005,"*"&amp;UPPER(D363)&amp;"*")=0),"GSTIN not on Clients — will be checked in the portal","✔ OK")))))</f>
        <v/>
      </c>
    </row>
    <row r="364">
      <c r="A364" s="38" t="n"/>
      <c r="B364" s="39" t="n"/>
      <c r="C364" s="39" t="n"/>
      <c r="D364" s="38" t="n"/>
      <c r="E364" s="38" t="n"/>
      <c r="F364" s="38" t="n"/>
      <c r="G364" s="37">
        <f>IF(COUNTA(A364:F364)=0,"",IF(A364="EXAMPLE","Example (skipped)",IF(OR(C364="",E364="",F364=""),"✖ Portal, User ID and Password are all needed",IF(AND(A364="",COUNTIF(Clients!$B$5:$B$1005,B364)=0),"Not on Clients — will match a portal client by name",IF(AND(C364="GST",D364&lt;&gt;"",COUNTIF(Clients!$AN$5:$AN$1005,UPPER(D364))=0,COUNTIF(Clients!$G$5:$G$1005,"*"&amp;UPPER(D364)&amp;"*")=0),"GSTIN not on Clients — will be checked in the portal","✔ OK")))))</f>
        <v/>
      </c>
    </row>
    <row r="365">
      <c r="A365" s="38" t="n"/>
      <c r="B365" s="39" t="n"/>
      <c r="C365" s="39" t="n"/>
      <c r="D365" s="38" t="n"/>
      <c r="E365" s="38" t="n"/>
      <c r="F365" s="38" t="n"/>
      <c r="G365" s="37">
        <f>IF(COUNTA(A365:F365)=0,"",IF(A365="EXAMPLE","Example (skipped)",IF(OR(C365="",E365="",F365=""),"✖ Portal, User ID and Password are all needed",IF(AND(A365="",COUNTIF(Clients!$B$5:$B$1005,B365)=0),"Not on Clients — will match a portal client by name",IF(AND(C365="GST",D365&lt;&gt;"",COUNTIF(Clients!$AN$5:$AN$1005,UPPER(D365))=0,COUNTIF(Clients!$G$5:$G$1005,"*"&amp;UPPER(D365)&amp;"*")=0),"GSTIN not on Clients — will be checked in the portal","✔ OK")))))</f>
        <v/>
      </c>
    </row>
    <row r="366">
      <c r="A366" s="38" t="n"/>
      <c r="B366" s="39" t="n"/>
      <c r="C366" s="39" t="n"/>
      <c r="D366" s="38" t="n"/>
      <c r="E366" s="38" t="n"/>
      <c r="F366" s="38" t="n"/>
      <c r="G366" s="37">
        <f>IF(COUNTA(A366:F366)=0,"",IF(A366="EXAMPLE","Example (skipped)",IF(OR(C366="",E366="",F366=""),"✖ Portal, User ID and Password are all needed",IF(AND(A366="",COUNTIF(Clients!$B$5:$B$1005,B366)=0),"Not on Clients — will match a portal client by name",IF(AND(C366="GST",D366&lt;&gt;"",COUNTIF(Clients!$AN$5:$AN$1005,UPPER(D366))=0,COUNTIF(Clients!$G$5:$G$1005,"*"&amp;UPPER(D366)&amp;"*")=0),"GSTIN not on Clients — will be checked in the portal","✔ OK")))))</f>
        <v/>
      </c>
    </row>
    <row r="367">
      <c r="A367" s="38" t="n"/>
      <c r="B367" s="39" t="n"/>
      <c r="C367" s="39" t="n"/>
      <c r="D367" s="38" t="n"/>
      <c r="E367" s="38" t="n"/>
      <c r="F367" s="38" t="n"/>
      <c r="G367" s="37">
        <f>IF(COUNTA(A367:F367)=0,"",IF(A367="EXAMPLE","Example (skipped)",IF(OR(C367="",E367="",F367=""),"✖ Portal, User ID and Password are all needed",IF(AND(A367="",COUNTIF(Clients!$B$5:$B$1005,B367)=0),"Not on Clients — will match a portal client by name",IF(AND(C367="GST",D367&lt;&gt;"",COUNTIF(Clients!$AN$5:$AN$1005,UPPER(D367))=0,COUNTIF(Clients!$G$5:$G$1005,"*"&amp;UPPER(D367)&amp;"*")=0),"GSTIN not on Clients — will be checked in the portal","✔ OK")))))</f>
        <v/>
      </c>
    </row>
    <row r="368">
      <c r="A368" s="38" t="n"/>
      <c r="B368" s="39" t="n"/>
      <c r="C368" s="39" t="n"/>
      <c r="D368" s="38" t="n"/>
      <c r="E368" s="38" t="n"/>
      <c r="F368" s="38" t="n"/>
      <c r="G368" s="37">
        <f>IF(COUNTA(A368:F368)=0,"",IF(A368="EXAMPLE","Example (skipped)",IF(OR(C368="",E368="",F368=""),"✖ Portal, User ID and Password are all needed",IF(AND(A368="",COUNTIF(Clients!$B$5:$B$1005,B368)=0),"Not on Clients — will match a portal client by name",IF(AND(C368="GST",D368&lt;&gt;"",COUNTIF(Clients!$AN$5:$AN$1005,UPPER(D368))=0,COUNTIF(Clients!$G$5:$G$1005,"*"&amp;UPPER(D368)&amp;"*")=0),"GSTIN not on Clients — will be checked in the portal","✔ OK")))))</f>
        <v/>
      </c>
    </row>
    <row r="369">
      <c r="A369" s="38" t="n"/>
      <c r="B369" s="39" t="n"/>
      <c r="C369" s="39" t="n"/>
      <c r="D369" s="38" t="n"/>
      <c r="E369" s="38" t="n"/>
      <c r="F369" s="38" t="n"/>
      <c r="G369" s="37">
        <f>IF(COUNTA(A369:F369)=0,"",IF(A369="EXAMPLE","Example (skipped)",IF(OR(C369="",E369="",F369=""),"✖ Portal, User ID and Password are all needed",IF(AND(A369="",COUNTIF(Clients!$B$5:$B$1005,B369)=0),"Not on Clients — will match a portal client by name",IF(AND(C369="GST",D369&lt;&gt;"",COUNTIF(Clients!$AN$5:$AN$1005,UPPER(D369))=0,COUNTIF(Clients!$G$5:$G$1005,"*"&amp;UPPER(D369)&amp;"*")=0),"GSTIN not on Clients — will be checked in the portal","✔ OK")))))</f>
        <v/>
      </c>
    </row>
    <row r="370">
      <c r="A370" s="38" t="n"/>
      <c r="B370" s="39" t="n"/>
      <c r="C370" s="39" t="n"/>
      <c r="D370" s="38" t="n"/>
      <c r="E370" s="38" t="n"/>
      <c r="F370" s="38" t="n"/>
      <c r="G370" s="37">
        <f>IF(COUNTA(A370:F370)=0,"",IF(A370="EXAMPLE","Example (skipped)",IF(OR(C370="",E370="",F370=""),"✖ Portal, User ID and Password are all needed",IF(AND(A370="",COUNTIF(Clients!$B$5:$B$1005,B370)=0),"Not on Clients — will match a portal client by name",IF(AND(C370="GST",D370&lt;&gt;"",COUNTIF(Clients!$AN$5:$AN$1005,UPPER(D370))=0,COUNTIF(Clients!$G$5:$G$1005,"*"&amp;UPPER(D370)&amp;"*")=0),"GSTIN not on Clients — will be checked in the portal","✔ OK")))))</f>
        <v/>
      </c>
    </row>
    <row r="371">
      <c r="A371" s="38" t="n"/>
      <c r="B371" s="39" t="n"/>
      <c r="C371" s="39" t="n"/>
      <c r="D371" s="38" t="n"/>
      <c r="E371" s="38" t="n"/>
      <c r="F371" s="38" t="n"/>
      <c r="G371" s="37">
        <f>IF(COUNTA(A371:F371)=0,"",IF(A371="EXAMPLE","Example (skipped)",IF(OR(C371="",E371="",F371=""),"✖ Portal, User ID and Password are all needed",IF(AND(A371="",COUNTIF(Clients!$B$5:$B$1005,B371)=0),"Not on Clients — will match a portal client by name",IF(AND(C371="GST",D371&lt;&gt;"",COUNTIF(Clients!$AN$5:$AN$1005,UPPER(D371))=0,COUNTIF(Clients!$G$5:$G$1005,"*"&amp;UPPER(D371)&amp;"*")=0),"GSTIN not on Clients — will be checked in the portal","✔ OK")))))</f>
        <v/>
      </c>
    </row>
    <row r="372">
      <c r="A372" s="38" t="n"/>
      <c r="B372" s="39" t="n"/>
      <c r="C372" s="39" t="n"/>
      <c r="D372" s="38" t="n"/>
      <c r="E372" s="38" t="n"/>
      <c r="F372" s="38" t="n"/>
      <c r="G372" s="37">
        <f>IF(COUNTA(A372:F372)=0,"",IF(A372="EXAMPLE","Example (skipped)",IF(OR(C372="",E372="",F372=""),"✖ Portal, User ID and Password are all needed",IF(AND(A372="",COUNTIF(Clients!$B$5:$B$1005,B372)=0),"Not on Clients — will match a portal client by name",IF(AND(C372="GST",D372&lt;&gt;"",COUNTIF(Clients!$AN$5:$AN$1005,UPPER(D372))=0,COUNTIF(Clients!$G$5:$G$1005,"*"&amp;UPPER(D372)&amp;"*")=0),"GSTIN not on Clients — will be checked in the portal","✔ OK")))))</f>
        <v/>
      </c>
    </row>
    <row r="373">
      <c r="A373" s="38" t="n"/>
      <c r="B373" s="39" t="n"/>
      <c r="C373" s="39" t="n"/>
      <c r="D373" s="38" t="n"/>
      <c r="E373" s="38" t="n"/>
      <c r="F373" s="38" t="n"/>
      <c r="G373" s="37">
        <f>IF(COUNTA(A373:F373)=0,"",IF(A373="EXAMPLE","Example (skipped)",IF(OR(C373="",E373="",F373=""),"✖ Portal, User ID and Password are all needed",IF(AND(A373="",COUNTIF(Clients!$B$5:$B$1005,B373)=0),"Not on Clients — will match a portal client by name",IF(AND(C373="GST",D373&lt;&gt;"",COUNTIF(Clients!$AN$5:$AN$1005,UPPER(D373))=0,COUNTIF(Clients!$G$5:$G$1005,"*"&amp;UPPER(D373)&amp;"*")=0),"GSTIN not on Clients — will be checked in the portal","✔ OK")))))</f>
        <v/>
      </c>
    </row>
    <row r="374">
      <c r="A374" s="38" t="n"/>
      <c r="B374" s="39" t="n"/>
      <c r="C374" s="39" t="n"/>
      <c r="D374" s="38" t="n"/>
      <c r="E374" s="38" t="n"/>
      <c r="F374" s="38" t="n"/>
      <c r="G374" s="37">
        <f>IF(COUNTA(A374:F374)=0,"",IF(A374="EXAMPLE","Example (skipped)",IF(OR(C374="",E374="",F374=""),"✖ Portal, User ID and Password are all needed",IF(AND(A374="",COUNTIF(Clients!$B$5:$B$1005,B374)=0),"Not on Clients — will match a portal client by name",IF(AND(C374="GST",D374&lt;&gt;"",COUNTIF(Clients!$AN$5:$AN$1005,UPPER(D374))=0,COUNTIF(Clients!$G$5:$G$1005,"*"&amp;UPPER(D374)&amp;"*")=0),"GSTIN not on Clients — will be checked in the portal","✔ OK")))))</f>
        <v/>
      </c>
    </row>
    <row r="375">
      <c r="A375" s="38" t="n"/>
      <c r="B375" s="39" t="n"/>
      <c r="C375" s="39" t="n"/>
      <c r="D375" s="38" t="n"/>
      <c r="E375" s="38" t="n"/>
      <c r="F375" s="38" t="n"/>
      <c r="G375" s="37">
        <f>IF(COUNTA(A375:F375)=0,"",IF(A375="EXAMPLE","Example (skipped)",IF(OR(C375="",E375="",F375=""),"✖ Portal, User ID and Password are all needed",IF(AND(A375="",COUNTIF(Clients!$B$5:$B$1005,B375)=0),"Not on Clients — will match a portal client by name",IF(AND(C375="GST",D375&lt;&gt;"",COUNTIF(Clients!$AN$5:$AN$1005,UPPER(D375))=0,COUNTIF(Clients!$G$5:$G$1005,"*"&amp;UPPER(D375)&amp;"*")=0),"GSTIN not on Clients — will be checked in the portal","✔ OK")))))</f>
        <v/>
      </c>
    </row>
    <row r="376">
      <c r="A376" s="38" t="n"/>
      <c r="B376" s="39" t="n"/>
      <c r="C376" s="39" t="n"/>
      <c r="D376" s="38" t="n"/>
      <c r="E376" s="38" t="n"/>
      <c r="F376" s="38" t="n"/>
      <c r="G376" s="37">
        <f>IF(COUNTA(A376:F376)=0,"",IF(A376="EXAMPLE","Example (skipped)",IF(OR(C376="",E376="",F376=""),"✖ Portal, User ID and Password are all needed",IF(AND(A376="",COUNTIF(Clients!$B$5:$B$1005,B376)=0),"Not on Clients — will match a portal client by name",IF(AND(C376="GST",D376&lt;&gt;"",COUNTIF(Clients!$AN$5:$AN$1005,UPPER(D376))=0,COUNTIF(Clients!$G$5:$G$1005,"*"&amp;UPPER(D376)&amp;"*")=0),"GSTIN not on Clients — will be checked in the portal","✔ OK")))))</f>
        <v/>
      </c>
    </row>
    <row r="377">
      <c r="A377" s="38" t="n"/>
      <c r="B377" s="39" t="n"/>
      <c r="C377" s="39" t="n"/>
      <c r="D377" s="38" t="n"/>
      <c r="E377" s="38" t="n"/>
      <c r="F377" s="38" t="n"/>
      <c r="G377" s="37">
        <f>IF(COUNTA(A377:F377)=0,"",IF(A377="EXAMPLE","Example (skipped)",IF(OR(C377="",E377="",F377=""),"✖ Portal, User ID and Password are all needed",IF(AND(A377="",COUNTIF(Clients!$B$5:$B$1005,B377)=0),"Not on Clients — will match a portal client by name",IF(AND(C377="GST",D377&lt;&gt;"",COUNTIF(Clients!$AN$5:$AN$1005,UPPER(D377))=0,COUNTIF(Clients!$G$5:$G$1005,"*"&amp;UPPER(D377)&amp;"*")=0),"GSTIN not on Clients — will be checked in the portal","✔ OK")))))</f>
        <v/>
      </c>
    </row>
    <row r="378">
      <c r="A378" s="38" t="n"/>
      <c r="B378" s="39" t="n"/>
      <c r="C378" s="39" t="n"/>
      <c r="D378" s="38" t="n"/>
      <c r="E378" s="38" t="n"/>
      <c r="F378" s="38" t="n"/>
      <c r="G378" s="37">
        <f>IF(COUNTA(A378:F378)=0,"",IF(A378="EXAMPLE","Example (skipped)",IF(OR(C378="",E378="",F378=""),"✖ Portal, User ID and Password are all needed",IF(AND(A378="",COUNTIF(Clients!$B$5:$B$1005,B378)=0),"Not on Clients — will match a portal client by name",IF(AND(C378="GST",D378&lt;&gt;"",COUNTIF(Clients!$AN$5:$AN$1005,UPPER(D378))=0,COUNTIF(Clients!$G$5:$G$1005,"*"&amp;UPPER(D378)&amp;"*")=0),"GSTIN not on Clients — will be checked in the portal","✔ OK")))))</f>
        <v/>
      </c>
    </row>
    <row r="379">
      <c r="A379" s="38" t="n"/>
      <c r="B379" s="39" t="n"/>
      <c r="C379" s="39" t="n"/>
      <c r="D379" s="38" t="n"/>
      <c r="E379" s="38" t="n"/>
      <c r="F379" s="38" t="n"/>
      <c r="G379" s="37">
        <f>IF(COUNTA(A379:F379)=0,"",IF(A379="EXAMPLE","Example (skipped)",IF(OR(C379="",E379="",F379=""),"✖ Portal, User ID and Password are all needed",IF(AND(A379="",COUNTIF(Clients!$B$5:$B$1005,B379)=0),"Not on Clients — will match a portal client by name",IF(AND(C379="GST",D379&lt;&gt;"",COUNTIF(Clients!$AN$5:$AN$1005,UPPER(D379))=0,COUNTIF(Clients!$G$5:$G$1005,"*"&amp;UPPER(D379)&amp;"*")=0),"GSTIN not on Clients — will be checked in the portal","✔ OK")))))</f>
        <v/>
      </c>
    </row>
    <row r="380">
      <c r="A380" s="38" t="n"/>
      <c r="B380" s="39" t="n"/>
      <c r="C380" s="39" t="n"/>
      <c r="D380" s="38" t="n"/>
      <c r="E380" s="38" t="n"/>
      <c r="F380" s="38" t="n"/>
      <c r="G380" s="37">
        <f>IF(COUNTA(A380:F380)=0,"",IF(A380="EXAMPLE","Example (skipped)",IF(OR(C380="",E380="",F380=""),"✖ Portal, User ID and Password are all needed",IF(AND(A380="",COUNTIF(Clients!$B$5:$B$1005,B380)=0),"Not on Clients — will match a portal client by name",IF(AND(C380="GST",D380&lt;&gt;"",COUNTIF(Clients!$AN$5:$AN$1005,UPPER(D380))=0,COUNTIF(Clients!$G$5:$G$1005,"*"&amp;UPPER(D380)&amp;"*")=0),"GSTIN not on Clients — will be checked in the portal","✔ OK")))))</f>
        <v/>
      </c>
    </row>
    <row r="381">
      <c r="A381" s="38" t="n"/>
      <c r="B381" s="39" t="n"/>
      <c r="C381" s="39" t="n"/>
      <c r="D381" s="38" t="n"/>
      <c r="E381" s="38" t="n"/>
      <c r="F381" s="38" t="n"/>
      <c r="G381" s="37">
        <f>IF(COUNTA(A381:F381)=0,"",IF(A381="EXAMPLE","Example (skipped)",IF(OR(C381="",E381="",F381=""),"✖ Portal, User ID and Password are all needed",IF(AND(A381="",COUNTIF(Clients!$B$5:$B$1005,B381)=0),"Not on Clients — will match a portal client by name",IF(AND(C381="GST",D381&lt;&gt;"",COUNTIF(Clients!$AN$5:$AN$1005,UPPER(D381))=0,COUNTIF(Clients!$G$5:$G$1005,"*"&amp;UPPER(D381)&amp;"*")=0),"GSTIN not on Clients — will be checked in the portal","✔ OK")))))</f>
        <v/>
      </c>
    </row>
    <row r="382">
      <c r="A382" s="38" t="n"/>
      <c r="B382" s="39" t="n"/>
      <c r="C382" s="39" t="n"/>
      <c r="D382" s="38" t="n"/>
      <c r="E382" s="38" t="n"/>
      <c r="F382" s="38" t="n"/>
      <c r="G382" s="37">
        <f>IF(COUNTA(A382:F382)=0,"",IF(A382="EXAMPLE","Example (skipped)",IF(OR(C382="",E382="",F382=""),"✖ Portal, User ID and Password are all needed",IF(AND(A382="",COUNTIF(Clients!$B$5:$B$1005,B382)=0),"Not on Clients — will match a portal client by name",IF(AND(C382="GST",D382&lt;&gt;"",COUNTIF(Clients!$AN$5:$AN$1005,UPPER(D382))=0,COUNTIF(Clients!$G$5:$G$1005,"*"&amp;UPPER(D382)&amp;"*")=0),"GSTIN not on Clients — will be checked in the portal","✔ OK")))))</f>
        <v/>
      </c>
    </row>
    <row r="383">
      <c r="A383" s="38" t="n"/>
      <c r="B383" s="39" t="n"/>
      <c r="C383" s="39" t="n"/>
      <c r="D383" s="38" t="n"/>
      <c r="E383" s="38" t="n"/>
      <c r="F383" s="38" t="n"/>
      <c r="G383" s="37">
        <f>IF(COUNTA(A383:F383)=0,"",IF(A383="EXAMPLE","Example (skipped)",IF(OR(C383="",E383="",F383=""),"✖ Portal, User ID and Password are all needed",IF(AND(A383="",COUNTIF(Clients!$B$5:$B$1005,B383)=0),"Not on Clients — will match a portal client by name",IF(AND(C383="GST",D383&lt;&gt;"",COUNTIF(Clients!$AN$5:$AN$1005,UPPER(D383))=0,COUNTIF(Clients!$G$5:$G$1005,"*"&amp;UPPER(D383)&amp;"*")=0),"GSTIN not on Clients — will be checked in the portal","✔ OK")))))</f>
        <v/>
      </c>
    </row>
    <row r="384">
      <c r="A384" s="38" t="n"/>
      <c r="B384" s="39" t="n"/>
      <c r="C384" s="39" t="n"/>
      <c r="D384" s="38" t="n"/>
      <c r="E384" s="38" t="n"/>
      <c r="F384" s="38" t="n"/>
      <c r="G384" s="37">
        <f>IF(COUNTA(A384:F384)=0,"",IF(A384="EXAMPLE","Example (skipped)",IF(OR(C384="",E384="",F384=""),"✖ Portal, User ID and Password are all needed",IF(AND(A384="",COUNTIF(Clients!$B$5:$B$1005,B384)=0),"Not on Clients — will match a portal client by name",IF(AND(C384="GST",D384&lt;&gt;"",COUNTIF(Clients!$AN$5:$AN$1005,UPPER(D384))=0,COUNTIF(Clients!$G$5:$G$1005,"*"&amp;UPPER(D384)&amp;"*")=0),"GSTIN not on Clients — will be checked in the portal","✔ OK")))))</f>
        <v/>
      </c>
    </row>
    <row r="385">
      <c r="A385" s="38" t="n"/>
      <c r="B385" s="39" t="n"/>
      <c r="C385" s="39" t="n"/>
      <c r="D385" s="38" t="n"/>
      <c r="E385" s="38" t="n"/>
      <c r="F385" s="38" t="n"/>
      <c r="G385" s="37">
        <f>IF(COUNTA(A385:F385)=0,"",IF(A385="EXAMPLE","Example (skipped)",IF(OR(C385="",E385="",F385=""),"✖ Portal, User ID and Password are all needed",IF(AND(A385="",COUNTIF(Clients!$B$5:$B$1005,B385)=0),"Not on Clients — will match a portal client by name",IF(AND(C385="GST",D385&lt;&gt;"",COUNTIF(Clients!$AN$5:$AN$1005,UPPER(D385))=0,COUNTIF(Clients!$G$5:$G$1005,"*"&amp;UPPER(D385)&amp;"*")=0),"GSTIN not on Clients — will be checked in the portal","✔ OK")))))</f>
        <v/>
      </c>
    </row>
    <row r="386">
      <c r="A386" s="38" t="n"/>
      <c r="B386" s="39" t="n"/>
      <c r="C386" s="39" t="n"/>
      <c r="D386" s="38" t="n"/>
      <c r="E386" s="38" t="n"/>
      <c r="F386" s="38" t="n"/>
      <c r="G386" s="37">
        <f>IF(COUNTA(A386:F386)=0,"",IF(A386="EXAMPLE","Example (skipped)",IF(OR(C386="",E386="",F386=""),"✖ Portal, User ID and Password are all needed",IF(AND(A386="",COUNTIF(Clients!$B$5:$B$1005,B386)=0),"Not on Clients — will match a portal client by name",IF(AND(C386="GST",D386&lt;&gt;"",COUNTIF(Clients!$AN$5:$AN$1005,UPPER(D386))=0,COUNTIF(Clients!$G$5:$G$1005,"*"&amp;UPPER(D386)&amp;"*")=0),"GSTIN not on Clients — will be checked in the portal","✔ OK")))))</f>
        <v/>
      </c>
    </row>
    <row r="387">
      <c r="A387" s="38" t="n"/>
      <c r="B387" s="39" t="n"/>
      <c r="C387" s="39" t="n"/>
      <c r="D387" s="38" t="n"/>
      <c r="E387" s="38" t="n"/>
      <c r="F387" s="38" t="n"/>
      <c r="G387" s="37">
        <f>IF(COUNTA(A387:F387)=0,"",IF(A387="EXAMPLE","Example (skipped)",IF(OR(C387="",E387="",F387=""),"✖ Portal, User ID and Password are all needed",IF(AND(A387="",COUNTIF(Clients!$B$5:$B$1005,B387)=0),"Not on Clients — will match a portal client by name",IF(AND(C387="GST",D387&lt;&gt;"",COUNTIF(Clients!$AN$5:$AN$1005,UPPER(D387))=0,COUNTIF(Clients!$G$5:$G$1005,"*"&amp;UPPER(D387)&amp;"*")=0),"GSTIN not on Clients — will be checked in the portal","✔ OK")))))</f>
        <v/>
      </c>
    </row>
    <row r="388">
      <c r="A388" s="38" t="n"/>
      <c r="B388" s="39" t="n"/>
      <c r="C388" s="39" t="n"/>
      <c r="D388" s="38" t="n"/>
      <c r="E388" s="38" t="n"/>
      <c r="F388" s="38" t="n"/>
      <c r="G388" s="37">
        <f>IF(COUNTA(A388:F388)=0,"",IF(A388="EXAMPLE","Example (skipped)",IF(OR(C388="",E388="",F388=""),"✖ Portal, User ID and Password are all needed",IF(AND(A388="",COUNTIF(Clients!$B$5:$B$1005,B388)=0),"Not on Clients — will match a portal client by name",IF(AND(C388="GST",D388&lt;&gt;"",COUNTIF(Clients!$AN$5:$AN$1005,UPPER(D388))=0,COUNTIF(Clients!$G$5:$G$1005,"*"&amp;UPPER(D388)&amp;"*")=0),"GSTIN not on Clients — will be checked in the portal","✔ OK")))))</f>
        <v/>
      </c>
    </row>
    <row r="389">
      <c r="A389" s="38" t="n"/>
      <c r="B389" s="39" t="n"/>
      <c r="C389" s="39" t="n"/>
      <c r="D389" s="38" t="n"/>
      <c r="E389" s="38" t="n"/>
      <c r="F389" s="38" t="n"/>
      <c r="G389" s="37">
        <f>IF(COUNTA(A389:F389)=0,"",IF(A389="EXAMPLE","Example (skipped)",IF(OR(C389="",E389="",F389=""),"✖ Portal, User ID and Password are all needed",IF(AND(A389="",COUNTIF(Clients!$B$5:$B$1005,B389)=0),"Not on Clients — will match a portal client by name",IF(AND(C389="GST",D389&lt;&gt;"",COUNTIF(Clients!$AN$5:$AN$1005,UPPER(D389))=0,COUNTIF(Clients!$G$5:$G$1005,"*"&amp;UPPER(D389)&amp;"*")=0),"GSTIN not on Clients — will be checked in the portal","✔ OK")))))</f>
        <v/>
      </c>
    </row>
    <row r="390">
      <c r="A390" s="38" t="n"/>
      <c r="B390" s="39" t="n"/>
      <c r="C390" s="39" t="n"/>
      <c r="D390" s="38" t="n"/>
      <c r="E390" s="38" t="n"/>
      <c r="F390" s="38" t="n"/>
      <c r="G390" s="37">
        <f>IF(COUNTA(A390:F390)=0,"",IF(A390="EXAMPLE","Example (skipped)",IF(OR(C390="",E390="",F390=""),"✖ Portal, User ID and Password are all needed",IF(AND(A390="",COUNTIF(Clients!$B$5:$B$1005,B390)=0),"Not on Clients — will match a portal client by name",IF(AND(C390="GST",D390&lt;&gt;"",COUNTIF(Clients!$AN$5:$AN$1005,UPPER(D390))=0,COUNTIF(Clients!$G$5:$G$1005,"*"&amp;UPPER(D390)&amp;"*")=0),"GSTIN not on Clients — will be checked in the portal","✔ OK")))))</f>
        <v/>
      </c>
    </row>
    <row r="391">
      <c r="A391" s="38" t="n"/>
      <c r="B391" s="39" t="n"/>
      <c r="C391" s="39" t="n"/>
      <c r="D391" s="38" t="n"/>
      <c r="E391" s="38" t="n"/>
      <c r="F391" s="38" t="n"/>
      <c r="G391" s="37">
        <f>IF(COUNTA(A391:F391)=0,"",IF(A391="EXAMPLE","Example (skipped)",IF(OR(C391="",E391="",F391=""),"✖ Portal, User ID and Password are all needed",IF(AND(A391="",COUNTIF(Clients!$B$5:$B$1005,B391)=0),"Not on Clients — will match a portal client by name",IF(AND(C391="GST",D391&lt;&gt;"",COUNTIF(Clients!$AN$5:$AN$1005,UPPER(D391))=0,COUNTIF(Clients!$G$5:$G$1005,"*"&amp;UPPER(D391)&amp;"*")=0),"GSTIN not on Clients — will be checked in the portal","✔ OK")))))</f>
        <v/>
      </c>
    </row>
    <row r="392">
      <c r="A392" s="38" t="n"/>
      <c r="B392" s="39" t="n"/>
      <c r="C392" s="39" t="n"/>
      <c r="D392" s="38" t="n"/>
      <c r="E392" s="38" t="n"/>
      <c r="F392" s="38" t="n"/>
      <c r="G392" s="37">
        <f>IF(COUNTA(A392:F392)=0,"",IF(A392="EXAMPLE","Example (skipped)",IF(OR(C392="",E392="",F392=""),"✖ Portal, User ID and Password are all needed",IF(AND(A392="",COUNTIF(Clients!$B$5:$B$1005,B392)=0),"Not on Clients — will match a portal client by name",IF(AND(C392="GST",D392&lt;&gt;"",COUNTIF(Clients!$AN$5:$AN$1005,UPPER(D392))=0,COUNTIF(Clients!$G$5:$G$1005,"*"&amp;UPPER(D392)&amp;"*")=0),"GSTIN not on Clients — will be checked in the portal","✔ OK")))))</f>
        <v/>
      </c>
    </row>
    <row r="393">
      <c r="A393" s="38" t="n"/>
      <c r="B393" s="39" t="n"/>
      <c r="C393" s="39" t="n"/>
      <c r="D393" s="38" t="n"/>
      <c r="E393" s="38" t="n"/>
      <c r="F393" s="38" t="n"/>
      <c r="G393" s="37">
        <f>IF(COUNTA(A393:F393)=0,"",IF(A393="EXAMPLE","Example (skipped)",IF(OR(C393="",E393="",F393=""),"✖ Portal, User ID and Password are all needed",IF(AND(A393="",COUNTIF(Clients!$B$5:$B$1005,B393)=0),"Not on Clients — will match a portal client by name",IF(AND(C393="GST",D393&lt;&gt;"",COUNTIF(Clients!$AN$5:$AN$1005,UPPER(D393))=0,COUNTIF(Clients!$G$5:$G$1005,"*"&amp;UPPER(D393)&amp;"*")=0),"GSTIN not on Clients — will be checked in the portal","✔ OK")))))</f>
        <v/>
      </c>
    </row>
    <row r="394">
      <c r="A394" s="38" t="n"/>
      <c r="B394" s="39" t="n"/>
      <c r="C394" s="39" t="n"/>
      <c r="D394" s="38" t="n"/>
      <c r="E394" s="38" t="n"/>
      <c r="F394" s="38" t="n"/>
      <c r="G394" s="37">
        <f>IF(COUNTA(A394:F394)=0,"",IF(A394="EXAMPLE","Example (skipped)",IF(OR(C394="",E394="",F394=""),"✖ Portal, User ID and Password are all needed",IF(AND(A394="",COUNTIF(Clients!$B$5:$B$1005,B394)=0),"Not on Clients — will match a portal client by name",IF(AND(C394="GST",D394&lt;&gt;"",COUNTIF(Clients!$AN$5:$AN$1005,UPPER(D394))=0,COUNTIF(Clients!$G$5:$G$1005,"*"&amp;UPPER(D394)&amp;"*")=0),"GSTIN not on Clients — will be checked in the portal","✔ OK")))))</f>
        <v/>
      </c>
    </row>
    <row r="395">
      <c r="A395" s="38" t="n"/>
      <c r="B395" s="39" t="n"/>
      <c r="C395" s="39" t="n"/>
      <c r="D395" s="38" t="n"/>
      <c r="E395" s="38" t="n"/>
      <c r="F395" s="38" t="n"/>
      <c r="G395" s="37">
        <f>IF(COUNTA(A395:F395)=0,"",IF(A395="EXAMPLE","Example (skipped)",IF(OR(C395="",E395="",F395=""),"✖ Portal, User ID and Password are all needed",IF(AND(A395="",COUNTIF(Clients!$B$5:$B$1005,B395)=0),"Not on Clients — will match a portal client by name",IF(AND(C395="GST",D395&lt;&gt;"",COUNTIF(Clients!$AN$5:$AN$1005,UPPER(D395))=0,COUNTIF(Clients!$G$5:$G$1005,"*"&amp;UPPER(D395)&amp;"*")=0),"GSTIN not on Clients — will be checked in the portal","✔ OK")))))</f>
        <v/>
      </c>
    </row>
    <row r="396">
      <c r="A396" s="38" t="n"/>
      <c r="B396" s="39" t="n"/>
      <c r="C396" s="39" t="n"/>
      <c r="D396" s="38" t="n"/>
      <c r="E396" s="38" t="n"/>
      <c r="F396" s="38" t="n"/>
      <c r="G396" s="37">
        <f>IF(COUNTA(A396:F396)=0,"",IF(A396="EXAMPLE","Example (skipped)",IF(OR(C396="",E396="",F396=""),"✖ Portal, User ID and Password are all needed",IF(AND(A396="",COUNTIF(Clients!$B$5:$B$1005,B396)=0),"Not on Clients — will match a portal client by name",IF(AND(C396="GST",D396&lt;&gt;"",COUNTIF(Clients!$AN$5:$AN$1005,UPPER(D396))=0,COUNTIF(Clients!$G$5:$G$1005,"*"&amp;UPPER(D396)&amp;"*")=0),"GSTIN not on Clients — will be checked in the portal","✔ OK")))))</f>
        <v/>
      </c>
    </row>
    <row r="397">
      <c r="A397" s="38" t="n"/>
      <c r="B397" s="39" t="n"/>
      <c r="C397" s="39" t="n"/>
      <c r="D397" s="38" t="n"/>
      <c r="E397" s="38" t="n"/>
      <c r="F397" s="38" t="n"/>
      <c r="G397" s="37">
        <f>IF(COUNTA(A397:F397)=0,"",IF(A397="EXAMPLE","Example (skipped)",IF(OR(C397="",E397="",F397=""),"✖ Portal, User ID and Password are all needed",IF(AND(A397="",COUNTIF(Clients!$B$5:$B$1005,B397)=0),"Not on Clients — will match a portal client by name",IF(AND(C397="GST",D397&lt;&gt;"",COUNTIF(Clients!$AN$5:$AN$1005,UPPER(D397))=0,COUNTIF(Clients!$G$5:$G$1005,"*"&amp;UPPER(D397)&amp;"*")=0),"GSTIN not on Clients — will be checked in the portal","✔ OK")))))</f>
        <v/>
      </c>
    </row>
    <row r="398">
      <c r="A398" s="38" t="n"/>
      <c r="B398" s="39" t="n"/>
      <c r="C398" s="39" t="n"/>
      <c r="D398" s="38" t="n"/>
      <c r="E398" s="38" t="n"/>
      <c r="F398" s="38" t="n"/>
      <c r="G398" s="37">
        <f>IF(COUNTA(A398:F398)=0,"",IF(A398="EXAMPLE","Example (skipped)",IF(OR(C398="",E398="",F398=""),"✖ Portal, User ID and Password are all needed",IF(AND(A398="",COUNTIF(Clients!$B$5:$B$1005,B398)=0),"Not on Clients — will match a portal client by name",IF(AND(C398="GST",D398&lt;&gt;"",COUNTIF(Clients!$AN$5:$AN$1005,UPPER(D398))=0,COUNTIF(Clients!$G$5:$G$1005,"*"&amp;UPPER(D398)&amp;"*")=0),"GSTIN not on Clients — will be checked in the portal","✔ OK")))))</f>
        <v/>
      </c>
    </row>
    <row r="399">
      <c r="A399" s="38" t="n"/>
      <c r="B399" s="39" t="n"/>
      <c r="C399" s="39" t="n"/>
      <c r="D399" s="38" t="n"/>
      <c r="E399" s="38" t="n"/>
      <c r="F399" s="38" t="n"/>
      <c r="G399" s="37">
        <f>IF(COUNTA(A399:F399)=0,"",IF(A399="EXAMPLE","Example (skipped)",IF(OR(C399="",E399="",F399=""),"✖ Portal, User ID and Password are all needed",IF(AND(A399="",COUNTIF(Clients!$B$5:$B$1005,B399)=0),"Not on Clients — will match a portal client by name",IF(AND(C399="GST",D399&lt;&gt;"",COUNTIF(Clients!$AN$5:$AN$1005,UPPER(D399))=0,COUNTIF(Clients!$G$5:$G$1005,"*"&amp;UPPER(D399)&amp;"*")=0),"GSTIN not on Clients — will be checked in the portal","✔ OK")))))</f>
        <v/>
      </c>
    </row>
    <row r="400">
      <c r="A400" s="38" t="n"/>
      <c r="B400" s="39" t="n"/>
      <c r="C400" s="39" t="n"/>
      <c r="D400" s="38" t="n"/>
      <c r="E400" s="38" t="n"/>
      <c r="F400" s="38" t="n"/>
      <c r="G400" s="37">
        <f>IF(COUNTA(A400:F400)=0,"",IF(A400="EXAMPLE","Example (skipped)",IF(OR(C400="",E400="",F400=""),"✖ Portal, User ID and Password are all needed",IF(AND(A400="",COUNTIF(Clients!$B$5:$B$1005,B400)=0),"Not on Clients — will match a portal client by name",IF(AND(C400="GST",D400&lt;&gt;"",COUNTIF(Clients!$AN$5:$AN$1005,UPPER(D400))=0,COUNTIF(Clients!$G$5:$G$1005,"*"&amp;UPPER(D400)&amp;"*")=0),"GSTIN not on Clients — will be checked in the portal","✔ OK")))))</f>
        <v/>
      </c>
    </row>
    <row r="401">
      <c r="A401" s="38" t="n"/>
      <c r="B401" s="39" t="n"/>
      <c r="C401" s="39" t="n"/>
      <c r="D401" s="38" t="n"/>
      <c r="E401" s="38" t="n"/>
      <c r="F401" s="38" t="n"/>
      <c r="G401" s="37">
        <f>IF(COUNTA(A401:F401)=0,"",IF(A401="EXAMPLE","Example (skipped)",IF(OR(C401="",E401="",F401=""),"✖ Portal, User ID and Password are all needed",IF(AND(A401="",COUNTIF(Clients!$B$5:$B$1005,B401)=0),"Not on Clients — will match a portal client by name",IF(AND(C401="GST",D401&lt;&gt;"",COUNTIF(Clients!$AN$5:$AN$1005,UPPER(D401))=0,COUNTIF(Clients!$G$5:$G$1005,"*"&amp;UPPER(D401)&amp;"*")=0),"GSTIN not on Clients — will be checked in the portal","✔ OK")))))</f>
        <v/>
      </c>
    </row>
    <row r="402">
      <c r="A402" s="38" t="n"/>
      <c r="B402" s="39" t="n"/>
      <c r="C402" s="39" t="n"/>
      <c r="D402" s="38" t="n"/>
      <c r="E402" s="38" t="n"/>
      <c r="F402" s="38" t="n"/>
      <c r="G402" s="37">
        <f>IF(COUNTA(A402:F402)=0,"",IF(A402="EXAMPLE","Example (skipped)",IF(OR(C402="",E402="",F402=""),"✖ Portal, User ID and Password are all needed",IF(AND(A402="",COUNTIF(Clients!$B$5:$B$1005,B402)=0),"Not on Clients — will match a portal client by name",IF(AND(C402="GST",D402&lt;&gt;"",COUNTIF(Clients!$AN$5:$AN$1005,UPPER(D402))=0,COUNTIF(Clients!$G$5:$G$1005,"*"&amp;UPPER(D402)&amp;"*")=0),"GSTIN not on Clients — will be checked in the portal","✔ OK")))))</f>
        <v/>
      </c>
    </row>
    <row r="403">
      <c r="A403" s="38" t="n"/>
      <c r="B403" s="39" t="n"/>
      <c r="C403" s="39" t="n"/>
      <c r="D403" s="38" t="n"/>
      <c r="E403" s="38" t="n"/>
      <c r="F403" s="38" t="n"/>
      <c r="G403" s="37">
        <f>IF(COUNTA(A403:F403)=0,"",IF(A403="EXAMPLE","Example (skipped)",IF(OR(C403="",E403="",F403=""),"✖ Portal, User ID and Password are all needed",IF(AND(A403="",COUNTIF(Clients!$B$5:$B$1005,B403)=0),"Not on Clients — will match a portal client by name",IF(AND(C403="GST",D403&lt;&gt;"",COUNTIF(Clients!$AN$5:$AN$1005,UPPER(D403))=0,COUNTIF(Clients!$G$5:$G$1005,"*"&amp;UPPER(D403)&amp;"*")=0),"GSTIN not on Clients — will be checked in the portal","✔ OK")))))</f>
        <v/>
      </c>
    </row>
    <row r="404">
      <c r="A404" s="38" t="n"/>
      <c r="B404" s="39" t="n"/>
      <c r="C404" s="39" t="n"/>
      <c r="D404" s="38" t="n"/>
      <c r="E404" s="38" t="n"/>
      <c r="F404" s="38" t="n"/>
      <c r="G404" s="37">
        <f>IF(COUNTA(A404:F404)=0,"",IF(A404="EXAMPLE","Example (skipped)",IF(OR(C404="",E404="",F404=""),"✖ Portal, User ID and Password are all needed",IF(AND(A404="",COUNTIF(Clients!$B$5:$B$1005,B404)=0),"Not on Clients — will match a portal client by name",IF(AND(C404="GST",D404&lt;&gt;"",COUNTIF(Clients!$AN$5:$AN$1005,UPPER(D404))=0,COUNTIF(Clients!$G$5:$G$1005,"*"&amp;UPPER(D404)&amp;"*")=0),"GSTIN not on Clients — will be checked in the portal","✔ OK")))))</f>
        <v/>
      </c>
    </row>
    <row r="405">
      <c r="A405" s="38" t="n"/>
      <c r="B405" s="39" t="n"/>
      <c r="C405" s="39" t="n"/>
      <c r="D405" s="38" t="n"/>
      <c r="E405" s="38" t="n"/>
      <c r="F405" s="38" t="n"/>
      <c r="G405" s="37">
        <f>IF(COUNTA(A405:F405)=0,"",IF(A405="EXAMPLE","Example (skipped)",IF(OR(C405="",E405="",F405=""),"✖ Portal, User ID and Password are all needed",IF(AND(A405="",COUNTIF(Clients!$B$5:$B$1005,B405)=0),"Not on Clients — will match a portal client by name",IF(AND(C405="GST",D405&lt;&gt;"",COUNTIF(Clients!$AN$5:$AN$1005,UPPER(D405))=0,COUNTIF(Clients!$G$5:$G$1005,"*"&amp;UPPER(D405)&amp;"*")=0),"GSTIN not on Clients — will be checked in the portal","✔ OK")))))</f>
        <v/>
      </c>
    </row>
    <row r="406">
      <c r="A406" s="38" t="n"/>
      <c r="B406" s="39" t="n"/>
      <c r="C406" s="39" t="n"/>
      <c r="D406" s="38" t="n"/>
      <c r="E406" s="38" t="n"/>
      <c r="F406" s="38" t="n"/>
      <c r="G406" s="37">
        <f>IF(COUNTA(A406:F406)=0,"",IF(A406="EXAMPLE","Example (skipped)",IF(OR(C406="",E406="",F406=""),"✖ Portal, User ID and Password are all needed",IF(AND(A406="",COUNTIF(Clients!$B$5:$B$1005,B406)=0),"Not on Clients — will match a portal client by name",IF(AND(C406="GST",D406&lt;&gt;"",COUNTIF(Clients!$AN$5:$AN$1005,UPPER(D406))=0,COUNTIF(Clients!$G$5:$G$1005,"*"&amp;UPPER(D406)&amp;"*")=0),"GSTIN not on Clients — will be checked in the portal","✔ OK")))))</f>
        <v/>
      </c>
    </row>
    <row r="407">
      <c r="A407" s="38" t="n"/>
      <c r="B407" s="39" t="n"/>
      <c r="C407" s="39" t="n"/>
      <c r="D407" s="38" t="n"/>
      <c r="E407" s="38" t="n"/>
      <c r="F407" s="38" t="n"/>
      <c r="G407" s="37">
        <f>IF(COUNTA(A407:F407)=0,"",IF(A407="EXAMPLE","Example (skipped)",IF(OR(C407="",E407="",F407=""),"✖ Portal, User ID and Password are all needed",IF(AND(A407="",COUNTIF(Clients!$B$5:$B$1005,B407)=0),"Not on Clients — will match a portal client by name",IF(AND(C407="GST",D407&lt;&gt;"",COUNTIF(Clients!$AN$5:$AN$1005,UPPER(D407))=0,COUNTIF(Clients!$G$5:$G$1005,"*"&amp;UPPER(D407)&amp;"*")=0),"GSTIN not on Clients — will be checked in the portal","✔ OK")))))</f>
        <v/>
      </c>
    </row>
    <row r="408">
      <c r="A408" s="38" t="n"/>
      <c r="B408" s="39" t="n"/>
      <c r="C408" s="39" t="n"/>
      <c r="D408" s="38" t="n"/>
      <c r="E408" s="38" t="n"/>
      <c r="F408" s="38" t="n"/>
      <c r="G408" s="37">
        <f>IF(COUNTA(A408:F408)=0,"",IF(A408="EXAMPLE","Example (skipped)",IF(OR(C408="",E408="",F408=""),"✖ Portal, User ID and Password are all needed",IF(AND(A408="",COUNTIF(Clients!$B$5:$B$1005,B408)=0),"Not on Clients — will match a portal client by name",IF(AND(C408="GST",D408&lt;&gt;"",COUNTIF(Clients!$AN$5:$AN$1005,UPPER(D408))=0,COUNTIF(Clients!$G$5:$G$1005,"*"&amp;UPPER(D408)&amp;"*")=0),"GSTIN not on Clients — will be checked in the portal","✔ OK")))))</f>
        <v/>
      </c>
    </row>
    <row r="409">
      <c r="A409" s="38" t="n"/>
      <c r="B409" s="39" t="n"/>
      <c r="C409" s="39" t="n"/>
      <c r="D409" s="38" t="n"/>
      <c r="E409" s="38" t="n"/>
      <c r="F409" s="38" t="n"/>
      <c r="G409" s="37">
        <f>IF(COUNTA(A409:F409)=0,"",IF(A409="EXAMPLE","Example (skipped)",IF(OR(C409="",E409="",F409=""),"✖ Portal, User ID and Password are all needed",IF(AND(A409="",COUNTIF(Clients!$B$5:$B$1005,B409)=0),"Not on Clients — will match a portal client by name",IF(AND(C409="GST",D409&lt;&gt;"",COUNTIF(Clients!$AN$5:$AN$1005,UPPER(D409))=0,COUNTIF(Clients!$G$5:$G$1005,"*"&amp;UPPER(D409)&amp;"*")=0),"GSTIN not on Clients — will be checked in the portal","✔ OK")))))</f>
        <v/>
      </c>
    </row>
    <row r="410">
      <c r="A410" s="38" t="n"/>
      <c r="B410" s="39" t="n"/>
      <c r="C410" s="39" t="n"/>
      <c r="D410" s="38" t="n"/>
      <c r="E410" s="38" t="n"/>
      <c r="F410" s="38" t="n"/>
      <c r="G410" s="37">
        <f>IF(COUNTA(A410:F410)=0,"",IF(A410="EXAMPLE","Example (skipped)",IF(OR(C410="",E410="",F410=""),"✖ Portal, User ID and Password are all needed",IF(AND(A410="",COUNTIF(Clients!$B$5:$B$1005,B410)=0),"Not on Clients — will match a portal client by name",IF(AND(C410="GST",D410&lt;&gt;"",COUNTIF(Clients!$AN$5:$AN$1005,UPPER(D410))=0,COUNTIF(Clients!$G$5:$G$1005,"*"&amp;UPPER(D410)&amp;"*")=0),"GSTIN not on Clients — will be checked in the portal","✔ OK")))))</f>
        <v/>
      </c>
    </row>
    <row r="411">
      <c r="A411" s="38" t="n"/>
      <c r="B411" s="39" t="n"/>
      <c r="C411" s="39" t="n"/>
      <c r="D411" s="38" t="n"/>
      <c r="E411" s="38" t="n"/>
      <c r="F411" s="38" t="n"/>
      <c r="G411" s="37">
        <f>IF(COUNTA(A411:F411)=0,"",IF(A411="EXAMPLE","Example (skipped)",IF(OR(C411="",E411="",F411=""),"✖ Portal, User ID and Password are all needed",IF(AND(A411="",COUNTIF(Clients!$B$5:$B$1005,B411)=0),"Not on Clients — will match a portal client by name",IF(AND(C411="GST",D411&lt;&gt;"",COUNTIF(Clients!$AN$5:$AN$1005,UPPER(D411))=0,COUNTIF(Clients!$G$5:$G$1005,"*"&amp;UPPER(D411)&amp;"*")=0),"GSTIN not on Clients — will be checked in the portal","✔ OK")))))</f>
        <v/>
      </c>
    </row>
    <row r="412">
      <c r="A412" s="38" t="n"/>
      <c r="B412" s="39" t="n"/>
      <c r="C412" s="39" t="n"/>
      <c r="D412" s="38" t="n"/>
      <c r="E412" s="38" t="n"/>
      <c r="F412" s="38" t="n"/>
      <c r="G412" s="37">
        <f>IF(COUNTA(A412:F412)=0,"",IF(A412="EXAMPLE","Example (skipped)",IF(OR(C412="",E412="",F412=""),"✖ Portal, User ID and Password are all needed",IF(AND(A412="",COUNTIF(Clients!$B$5:$B$1005,B412)=0),"Not on Clients — will match a portal client by name",IF(AND(C412="GST",D412&lt;&gt;"",COUNTIF(Clients!$AN$5:$AN$1005,UPPER(D412))=0,COUNTIF(Clients!$G$5:$G$1005,"*"&amp;UPPER(D412)&amp;"*")=0),"GSTIN not on Clients — will be checked in the portal","✔ OK")))))</f>
        <v/>
      </c>
    </row>
    <row r="413">
      <c r="A413" s="38" t="n"/>
      <c r="B413" s="39" t="n"/>
      <c r="C413" s="39" t="n"/>
      <c r="D413" s="38" t="n"/>
      <c r="E413" s="38" t="n"/>
      <c r="F413" s="38" t="n"/>
      <c r="G413" s="37">
        <f>IF(COUNTA(A413:F413)=0,"",IF(A413="EXAMPLE","Example (skipped)",IF(OR(C413="",E413="",F413=""),"✖ Portal, User ID and Password are all needed",IF(AND(A413="",COUNTIF(Clients!$B$5:$B$1005,B413)=0),"Not on Clients — will match a portal client by name",IF(AND(C413="GST",D413&lt;&gt;"",COUNTIF(Clients!$AN$5:$AN$1005,UPPER(D413))=0,COUNTIF(Clients!$G$5:$G$1005,"*"&amp;UPPER(D413)&amp;"*")=0),"GSTIN not on Clients — will be checked in the portal","✔ OK")))))</f>
        <v/>
      </c>
    </row>
    <row r="414">
      <c r="A414" s="38" t="n"/>
      <c r="B414" s="39" t="n"/>
      <c r="C414" s="39" t="n"/>
      <c r="D414" s="38" t="n"/>
      <c r="E414" s="38" t="n"/>
      <c r="F414" s="38" t="n"/>
      <c r="G414" s="37">
        <f>IF(COUNTA(A414:F414)=0,"",IF(A414="EXAMPLE","Example (skipped)",IF(OR(C414="",E414="",F414=""),"✖ Portal, User ID and Password are all needed",IF(AND(A414="",COUNTIF(Clients!$B$5:$B$1005,B414)=0),"Not on Clients — will match a portal client by name",IF(AND(C414="GST",D414&lt;&gt;"",COUNTIF(Clients!$AN$5:$AN$1005,UPPER(D414))=0,COUNTIF(Clients!$G$5:$G$1005,"*"&amp;UPPER(D414)&amp;"*")=0),"GSTIN not on Clients — will be checked in the portal","✔ OK")))))</f>
        <v/>
      </c>
    </row>
    <row r="415">
      <c r="A415" s="38" t="n"/>
      <c r="B415" s="39" t="n"/>
      <c r="C415" s="39" t="n"/>
      <c r="D415" s="38" t="n"/>
      <c r="E415" s="38" t="n"/>
      <c r="F415" s="38" t="n"/>
      <c r="G415" s="37">
        <f>IF(COUNTA(A415:F415)=0,"",IF(A415="EXAMPLE","Example (skipped)",IF(OR(C415="",E415="",F415=""),"✖ Portal, User ID and Password are all needed",IF(AND(A415="",COUNTIF(Clients!$B$5:$B$1005,B415)=0),"Not on Clients — will match a portal client by name",IF(AND(C415="GST",D415&lt;&gt;"",COUNTIF(Clients!$AN$5:$AN$1005,UPPER(D415))=0,COUNTIF(Clients!$G$5:$G$1005,"*"&amp;UPPER(D415)&amp;"*")=0),"GSTIN not on Clients — will be checked in the portal","✔ OK")))))</f>
        <v/>
      </c>
    </row>
    <row r="416">
      <c r="A416" s="38" t="n"/>
      <c r="B416" s="39" t="n"/>
      <c r="C416" s="39" t="n"/>
      <c r="D416" s="38" t="n"/>
      <c r="E416" s="38" t="n"/>
      <c r="F416" s="38" t="n"/>
      <c r="G416" s="37">
        <f>IF(COUNTA(A416:F416)=0,"",IF(A416="EXAMPLE","Example (skipped)",IF(OR(C416="",E416="",F416=""),"✖ Portal, User ID and Password are all needed",IF(AND(A416="",COUNTIF(Clients!$B$5:$B$1005,B416)=0),"Not on Clients — will match a portal client by name",IF(AND(C416="GST",D416&lt;&gt;"",COUNTIF(Clients!$AN$5:$AN$1005,UPPER(D416))=0,COUNTIF(Clients!$G$5:$G$1005,"*"&amp;UPPER(D416)&amp;"*")=0),"GSTIN not on Clients — will be checked in the portal","✔ OK")))))</f>
        <v/>
      </c>
    </row>
    <row r="417">
      <c r="A417" s="38" t="n"/>
      <c r="B417" s="39" t="n"/>
      <c r="C417" s="39" t="n"/>
      <c r="D417" s="38" t="n"/>
      <c r="E417" s="38" t="n"/>
      <c r="F417" s="38" t="n"/>
      <c r="G417" s="37">
        <f>IF(COUNTA(A417:F417)=0,"",IF(A417="EXAMPLE","Example (skipped)",IF(OR(C417="",E417="",F417=""),"✖ Portal, User ID and Password are all needed",IF(AND(A417="",COUNTIF(Clients!$B$5:$B$1005,B417)=0),"Not on Clients — will match a portal client by name",IF(AND(C417="GST",D417&lt;&gt;"",COUNTIF(Clients!$AN$5:$AN$1005,UPPER(D417))=0,COUNTIF(Clients!$G$5:$G$1005,"*"&amp;UPPER(D417)&amp;"*")=0),"GSTIN not on Clients — will be checked in the portal","✔ OK")))))</f>
        <v/>
      </c>
    </row>
    <row r="418">
      <c r="A418" s="38" t="n"/>
      <c r="B418" s="39" t="n"/>
      <c r="C418" s="39" t="n"/>
      <c r="D418" s="38" t="n"/>
      <c r="E418" s="38" t="n"/>
      <c r="F418" s="38" t="n"/>
      <c r="G418" s="37">
        <f>IF(COUNTA(A418:F418)=0,"",IF(A418="EXAMPLE","Example (skipped)",IF(OR(C418="",E418="",F418=""),"✖ Portal, User ID and Password are all needed",IF(AND(A418="",COUNTIF(Clients!$B$5:$B$1005,B418)=0),"Not on Clients — will match a portal client by name",IF(AND(C418="GST",D418&lt;&gt;"",COUNTIF(Clients!$AN$5:$AN$1005,UPPER(D418))=0,COUNTIF(Clients!$G$5:$G$1005,"*"&amp;UPPER(D418)&amp;"*")=0),"GSTIN not on Clients — will be checked in the portal","✔ OK")))))</f>
        <v/>
      </c>
    </row>
    <row r="419">
      <c r="A419" s="38" t="n"/>
      <c r="B419" s="39" t="n"/>
      <c r="C419" s="39" t="n"/>
      <c r="D419" s="38" t="n"/>
      <c r="E419" s="38" t="n"/>
      <c r="F419" s="38" t="n"/>
      <c r="G419" s="37">
        <f>IF(COUNTA(A419:F419)=0,"",IF(A419="EXAMPLE","Example (skipped)",IF(OR(C419="",E419="",F419=""),"✖ Portal, User ID and Password are all needed",IF(AND(A419="",COUNTIF(Clients!$B$5:$B$1005,B419)=0),"Not on Clients — will match a portal client by name",IF(AND(C419="GST",D419&lt;&gt;"",COUNTIF(Clients!$AN$5:$AN$1005,UPPER(D419))=0,COUNTIF(Clients!$G$5:$G$1005,"*"&amp;UPPER(D419)&amp;"*")=0),"GSTIN not on Clients — will be checked in the portal","✔ OK")))))</f>
        <v/>
      </c>
    </row>
    <row r="420">
      <c r="A420" s="38" t="n"/>
      <c r="B420" s="39" t="n"/>
      <c r="C420" s="39" t="n"/>
      <c r="D420" s="38" t="n"/>
      <c r="E420" s="38" t="n"/>
      <c r="F420" s="38" t="n"/>
      <c r="G420" s="37">
        <f>IF(COUNTA(A420:F420)=0,"",IF(A420="EXAMPLE","Example (skipped)",IF(OR(C420="",E420="",F420=""),"✖ Portal, User ID and Password are all needed",IF(AND(A420="",COUNTIF(Clients!$B$5:$B$1005,B420)=0),"Not on Clients — will match a portal client by name",IF(AND(C420="GST",D420&lt;&gt;"",COUNTIF(Clients!$AN$5:$AN$1005,UPPER(D420))=0,COUNTIF(Clients!$G$5:$G$1005,"*"&amp;UPPER(D420)&amp;"*")=0),"GSTIN not on Clients — will be checked in the portal","✔ OK")))))</f>
        <v/>
      </c>
    </row>
    <row r="421">
      <c r="A421" s="38" t="n"/>
      <c r="B421" s="39" t="n"/>
      <c r="C421" s="39" t="n"/>
      <c r="D421" s="38" t="n"/>
      <c r="E421" s="38" t="n"/>
      <c r="F421" s="38" t="n"/>
      <c r="G421" s="37">
        <f>IF(COUNTA(A421:F421)=0,"",IF(A421="EXAMPLE","Example (skipped)",IF(OR(C421="",E421="",F421=""),"✖ Portal, User ID and Password are all needed",IF(AND(A421="",COUNTIF(Clients!$B$5:$B$1005,B421)=0),"Not on Clients — will match a portal client by name",IF(AND(C421="GST",D421&lt;&gt;"",COUNTIF(Clients!$AN$5:$AN$1005,UPPER(D421))=0,COUNTIF(Clients!$G$5:$G$1005,"*"&amp;UPPER(D421)&amp;"*")=0),"GSTIN not on Clients — will be checked in the portal","✔ OK")))))</f>
        <v/>
      </c>
    </row>
    <row r="422">
      <c r="A422" s="38" t="n"/>
      <c r="B422" s="39" t="n"/>
      <c r="C422" s="39" t="n"/>
      <c r="D422" s="38" t="n"/>
      <c r="E422" s="38" t="n"/>
      <c r="F422" s="38" t="n"/>
      <c r="G422" s="37">
        <f>IF(COUNTA(A422:F422)=0,"",IF(A422="EXAMPLE","Example (skipped)",IF(OR(C422="",E422="",F422=""),"✖ Portal, User ID and Password are all needed",IF(AND(A422="",COUNTIF(Clients!$B$5:$B$1005,B422)=0),"Not on Clients — will match a portal client by name",IF(AND(C422="GST",D422&lt;&gt;"",COUNTIF(Clients!$AN$5:$AN$1005,UPPER(D422))=0,COUNTIF(Clients!$G$5:$G$1005,"*"&amp;UPPER(D422)&amp;"*")=0),"GSTIN not on Clients — will be checked in the portal","✔ OK")))))</f>
        <v/>
      </c>
    </row>
    <row r="423">
      <c r="A423" s="38" t="n"/>
      <c r="B423" s="39" t="n"/>
      <c r="C423" s="39" t="n"/>
      <c r="D423" s="38" t="n"/>
      <c r="E423" s="38" t="n"/>
      <c r="F423" s="38" t="n"/>
      <c r="G423" s="37">
        <f>IF(COUNTA(A423:F423)=0,"",IF(A423="EXAMPLE","Example (skipped)",IF(OR(C423="",E423="",F423=""),"✖ Portal, User ID and Password are all needed",IF(AND(A423="",COUNTIF(Clients!$B$5:$B$1005,B423)=0),"Not on Clients — will match a portal client by name",IF(AND(C423="GST",D423&lt;&gt;"",COUNTIF(Clients!$AN$5:$AN$1005,UPPER(D423))=0,COUNTIF(Clients!$G$5:$G$1005,"*"&amp;UPPER(D423)&amp;"*")=0),"GSTIN not on Clients — will be checked in the portal","✔ OK")))))</f>
        <v/>
      </c>
    </row>
    <row r="424">
      <c r="A424" s="38" t="n"/>
      <c r="B424" s="39" t="n"/>
      <c r="C424" s="39" t="n"/>
      <c r="D424" s="38" t="n"/>
      <c r="E424" s="38" t="n"/>
      <c r="F424" s="38" t="n"/>
      <c r="G424" s="37">
        <f>IF(COUNTA(A424:F424)=0,"",IF(A424="EXAMPLE","Example (skipped)",IF(OR(C424="",E424="",F424=""),"✖ Portal, User ID and Password are all needed",IF(AND(A424="",COUNTIF(Clients!$B$5:$B$1005,B424)=0),"Not on Clients — will match a portal client by name",IF(AND(C424="GST",D424&lt;&gt;"",COUNTIF(Clients!$AN$5:$AN$1005,UPPER(D424))=0,COUNTIF(Clients!$G$5:$G$1005,"*"&amp;UPPER(D424)&amp;"*")=0),"GSTIN not on Clients — will be checked in the portal","✔ OK")))))</f>
        <v/>
      </c>
    </row>
    <row r="425">
      <c r="A425" s="38" t="n"/>
      <c r="B425" s="39" t="n"/>
      <c r="C425" s="39" t="n"/>
      <c r="D425" s="38" t="n"/>
      <c r="E425" s="38" t="n"/>
      <c r="F425" s="38" t="n"/>
      <c r="G425" s="37">
        <f>IF(COUNTA(A425:F425)=0,"",IF(A425="EXAMPLE","Example (skipped)",IF(OR(C425="",E425="",F425=""),"✖ Portal, User ID and Password are all needed",IF(AND(A425="",COUNTIF(Clients!$B$5:$B$1005,B425)=0),"Not on Clients — will match a portal client by name",IF(AND(C425="GST",D425&lt;&gt;"",COUNTIF(Clients!$AN$5:$AN$1005,UPPER(D425))=0,COUNTIF(Clients!$G$5:$G$1005,"*"&amp;UPPER(D425)&amp;"*")=0),"GSTIN not on Clients — will be checked in the portal","✔ OK")))))</f>
        <v/>
      </c>
    </row>
    <row r="426">
      <c r="A426" s="38" t="n"/>
      <c r="B426" s="39" t="n"/>
      <c r="C426" s="39" t="n"/>
      <c r="D426" s="38" t="n"/>
      <c r="E426" s="38" t="n"/>
      <c r="F426" s="38" t="n"/>
      <c r="G426" s="37">
        <f>IF(COUNTA(A426:F426)=0,"",IF(A426="EXAMPLE","Example (skipped)",IF(OR(C426="",E426="",F426=""),"✖ Portal, User ID and Password are all needed",IF(AND(A426="",COUNTIF(Clients!$B$5:$B$1005,B426)=0),"Not on Clients — will match a portal client by name",IF(AND(C426="GST",D426&lt;&gt;"",COUNTIF(Clients!$AN$5:$AN$1005,UPPER(D426))=0,COUNTIF(Clients!$G$5:$G$1005,"*"&amp;UPPER(D426)&amp;"*")=0),"GSTIN not on Clients — will be checked in the portal","✔ OK")))))</f>
        <v/>
      </c>
    </row>
    <row r="427">
      <c r="A427" s="38" t="n"/>
      <c r="B427" s="39" t="n"/>
      <c r="C427" s="39" t="n"/>
      <c r="D427" s="38" t="n"/>
      <c r="E427" s="38" t="n"/>
      <c r="F427" s="38" t="n"/>
      <c r="G427" s="37">
        <f>IF(COUNTA(A427:F427)=0,"",IF(A427="EXAMPLE","Example (skipped)",IF(OR(C427="",E427="",F427=""),"✖ Portal, User ID and Password are all needed",IF(AND(A427="",COUNTIF(Clients!$B$5:$B$1005,B427)=0),"Not on Clients — will match a portal client by name",IF(AND(C427="GST",D427&lt;&gt;"",COUNTIF(Clients!$AN$5:$AN$1005,UPPER(D427))=0,COUNTIF(Clients!$G$5:$G$1005,"*"&amp;UPPER(D427)&amp;"*")=0),"GSTIN not on Clients — will be checked in the portal","✔ OK")))))</f>
        <v/>
      </c>
    </row>
    <row r="428">
      <c r="A428" s="38" t="n"/>
      <c r="B428" s="39" t="n"/>
      <c r="C428" s="39" t="n"/>
      <c r="D428" s="38" t="n"/>
      <c r="E428" s="38" t="n"/>
      <c r="F428" s="38" t="n"/>
      <c r="G428" s="37">
        <f>IF(COUNTA(A428:F428)=0,"",IF(A428="EXAMPLE","Example (skipped)",IF(OR(C428="",E428="",F428=""),"✖ Portal, User ID and Password are all needed",IF(AND(A428="",COUNTIF(Clients!$B$5:$B$1005,B428)=0),"Not on Clients — will match a portal client by name",IF(AND(C428="GST",D428&lt;&gt;"",COUNTIF(Clients!$AN$5:$AN$1005,UPPER(D428))=0,COUNTIF(Clients!$G$5:$G$1005,"*"&amp;UPPER(D428)&amp;"*")=0),"GSTIN not on Clients — will be checked in the portal","✔ OK")))))</f>
        <v/>
      </c>
    </row>
    <row r="429">
      <c r="A429" s="38" t="n"/>
      <c r="B429" s="39" t="n"/>
      <c r="C429" s="39" t="n"/>
      <c r="D429" s="38" t="n"/>
      <c r="E429" s="38" t="n"/>
      <c r="F429" s="38" t="n"/>
      <c r="G429" s="37">
        <f>IF(COUNTA(A429:F429)=0,"",IF(A429="EXAMPLE","Example (skipped)",IF(OR(C429="",E429="",F429=""),"✖ Portal, User ID and Password are all needed",IF(AND(A429="",COUNTIF(Clients!$B$5:$B$1005,B429)=0),"Not on Clients — will match a portal client by name",IF(AND(C429="GST",D429&lt;&gt;"",COUNTIF(Clients!$AN$5:$AN$1005,UPPER(D429))=0,COUNTIF(Clients!$G$5:$G$1005,"*"&amp;UPPER(D429)&amp;"*")=0),"GSTIN not on Clients — will be checked in the portal","✔ OK")))))</f>
        <v/>
      </c>
    </row>
    <row r="430">
      <c r="A430" s="38" t="n"/>
      <c r="B430" s="39" t="n"/>
      <c r="C430" s="39" t="n"/>
      <c r="D430" s="38" t="n"/>
      <c r="E430" s="38" t="n"/>
      <c r="F430" s="38" t="n"/>
      <c r="G430" s="37">
        <f>IF(COUNTA(A430:F430)=0,"",IF(A430="EXAMPLE","Example (skipped)",IF(OR(C430="",E430="",F430=""),"✖ Portal, User ID and Password are all needed",IF(AND(A430="",COUNTIF(Clients!$B$5:$B$1005,B430)=0),"Not on Clients — will match a portal client by name",IF(AND(C430="GST",D430&lt;&gt;"",COUNTIF(Clients!$AN$5:$AN$1005,UPPER(D430))=0,COUNTIF(Clients!$G$5:$G$1005,"*"&amp;UPPER(D430)&amp;"*")=0),"GSTIN not on Clients — will be checked in the portal","✔ OK")))))</f>
        <v/>
      </c>
    </row>
    <row r="431">
      <c r="A431" s="38" t="n"/>
      <c r="B431" s="39" t="n"/>
      <c r="C431" s="39" t="n"/>
      <c r="D431" s="38" t="n"/>
      <c r="E431" s="38" t="n"/>
      <c r="F431" s="38" t="n"/>
      <c r="G431" s="37">
        <f>IF(COUNTA(A431:F431)=0,"",IF(A431="EXAMPLE","Example (skipped)",IF(OR(C431="",E431="",F431=""),"✖ Portal, User ID and Password are all needed",IF(AND(A431="",COUNTIF(Clients!$B$5:$B$1005,B431)=0),"Not on Clients — will match a portal client by name",IF(AND(C431="GST",D431&lt;&gt;"",COUNTIF(Clients!$AN$5:$AN$1005,UPPER(D431))=0,COUNTIF(Clients!$G$5:$G$1005,"*"&amp;UPPER(D431)&amp;"*")=0),"GSTIN not on Clients — will be checked in the portal","✔ OK")))))</f>
        <v/>
      </c>
    </row>
    <row r="432">
      <c r="A432" s="38" t="n"/>
      <c r="B432" s="39" t="n"/>
      <c r="C432" s="39" t="n"/>
      <c r="D432" s="38" t="n"/>
      <c r="E432" s="38" t="n"/>
      <c r="F432" s="38" t="n"/>
      <c r="G432" s="37">
        <f>IF(COUNTA(A432:F432)=0,"",IF(A432="EXAMPLE","Example (skipped)",IF(OR(C432="",E432="",F432=""),"✖ Portal, User ID and Password are all needed",IF(AND(A432="",COUNTIF(Clients!$B$5:$B$1005,B432)=0),"Not on Clients — will match a portal client by name",IF(AND(C432="GST",D432&lt;&gt;"",COUNTIF(Clients!$AN$5:$AN$1005,UPPER(D432))=0,COUNTIF(Clients!$G$5:$G$1005,"*"&amp;UPPER(D432)&amp;"*")=0),"GSTIN not on Clients — will be checked in the portal","✔ OK")))))</f>
        <v/>
      </c>
    </row>
    <row r="433">
      <c r="A433" s="38" t="n"/>
      <c r="B433" s="39" t="n"/>
      <c r="C433" s="39" t="n"/>
      <c r="D433" s="38" t="n"/>
      <c r="E433" s="38" t="n"/>
      <c r="F433" s="38" t="n"/>
      <c r="G433" s="37">
        <f>IF(COUNTA(A433:F433)=0,"",IF(A433="EXAMPLE","Example (skipped)",IF(OR(C433="",E433="",F433=""),"✖ Portal, User ID and Password are all needed",IF(AND(A433="",COUNTIF(Clients!$B$5:$B$1005,B433)=0),"Not on Clients — will match a portal client by name",IF(AND(C433="GST",D433&lt;&gt;"",COUNTIF(Clients!$AN$5:$AN$1005,UPPER(D433))=0,COUNTIF(Clients!$G$5:$G$1005,"*"&amp;UPPER(D433)&amp;"*")=0),"GSTIN not on Clients — will be checked in the portal","✔ OK")))))</f>
        <v/>
      </c>
    </row>
    <row r="434">
      <c r="A434" s="38" t="n"/>
      <c r="B434" s="39" t="n"/>
      <c r="C434" s="39" t="n"/>
      <c r="D434" s="38" t="n"/>
      <c r="E434" s="38" t="n"/>
      <c r="F434" s="38" t="n"/>
      <c r="G434" s="37">
        <f>IF(COUNTA(A434:F434)=0,"",IF(A434="EXAMPLE","Example (skipped)",IF(OR(C434="",E434="",F434=""),"✖ Portal, User ID and Password are all needed",IF(AND(A434="",COUNTIF(Clients!$B$5:$B$1005,B434)=0),"Not on Clients — will match a portal client by name",IF(AND(C434="GST",D434&lt;&gt;"",COUNTIF(Clients!$AN$5:$AN$1005,UPPER(D434))=0,COUNTIF(Clients!$G$5:$G$1005,"*"&amp;UPPER(D434)&amp;"*")=0),"GSTIN not on Clients — will be checked in the portal","✔ OK")))))</f>
        <v/>
      </c>
    </row>
    <row r="435">
      <c r="A435" s="38" t="n"/>
      <c r="B435" s="39" t="n"/>
      <c r="C435" s="39" t="n"/>
      <c r="D435" s="38" t="n"/>
      <c r="E435" s="38" t="n"/>
      <c r="F435" s="38" t="n"/>
      <c r="G435" s="37">
        <f>IF(COUNTA(A435:F435)=0,"",IF(A435="EXAMPLE","Example (skipped)",IF(OR(C435="",E435="",F435=""),"✖ Portal, User ID and Password are all needed",IF(AND(A435="",COUNTIF(Clients!$B$5:$B$1005,B435)=0),"Not on Clients — will match a portal client by name",IF(AND(C435="GST",D435&lt;&gt;"",COUNTIF(Clients!$AN$5:$AN$1005,UPPER(D435))=0,COUNTIF(Clients!$G$5:$G$1005,"*"&amp;UPPER(D435)&amp;"*")=0),"GSTIN not on Clients — will be checked in the portal","✔ OK")))))</f>
        <v/>
      </c>
    </row>
    <row r="436">
      <c r="A436" s="38" t="n"/>
      <c r="B436" s="39" t="n"/>
      <c r="C436" s="39" t="n"/>
      <c r="D436" s="38" t="n"/>
      <c r="E436" s="38" t="n"/>
      <c r="F436" s="38" t="n"/>
      <c r="G436" s="37">
        <f>IF(COUNTA(A436:F436)=0,"",IF(A436="EXAMPLE","Example (skipped)",IF(OR(C436="",E436="",F436=""),"✖ Portal, User ID and Password are all needed",IF(AND(A436="",COUNTIF(Clients!$B$5:$B$1005,B436)=0),"Not on Clients — will match a portal client by name",IF(AND(C436="GST",D436&lt;&gt;"",COUNTIF(Clients!$AN$5:$AN$1005,UPPER(D436))=0,COUNTIF(Clients!$G$5:$G$1005,"*"&amp;UPPER(D436)&amp;"*")=0),"GSTIN not on Clients — will be checked in the portal","✔ OK")))))</f>
        <v/>
      </c>
    </row>
    <row r="437">
      <c r="A437" s="38" t="n"/>
      <c r="B437" s="39" t="n"/>
      <c r="C437" s="39" t="n"/>
      <c r="D437" s="38" t="n"/>
      <c r="E437" s="38" t="n"/>
      <c r="F437" s="38" t="n"/>
      <c r="G437" s="37">
        <f>IF(COUNTA(A437:F437)=0,"",IF(A437="EXAMPLE","Example (skipped)",IF(OR(C437="",E437="",F437=""),"✖ Portal, User ID and Password are all needed",IF(AND(A437="",COUNTIF(Clients!$B$5:$B$1005,B437)=0),"Not on Clients — will match a portal client by name",IF(AND(C437="GST",D437&lt;&gt;"",COUNTIF(Clients!$AN$5:$AN$1005,UPPER(D437))=0,COUNTIF(Clients!$G$5:$G$1005,"*"&amp;UPPER(D437)&amp;"*")=0),"GSTIN not on Clients — will be checked in the portal","✔ OK")))))</f>
        <v/>
      </c>
    </row>
    <row r="438">
      <c r="A438" s="38" t="n"/>
      <c r="B438" s="39" t="n"/>
      <c r="C438" s="39" t="n"/>
      <c r="D438" s="38" t="n"/>
      <c r="E438" s="38" t="n"/>
      <c r="F438" s="38" t="n"/>
      <c r="G438" s="37">
        <f>IF(COUNTA(A438:F438)=0,"",IF(A438="EXAMPLE","Example (skipped)",IF(OR(C438="",E438="",F438=""),"✖ Portal, User ID and Password are all needed",IF(AND(A438="",COUNTIF(Clients!$B$5:$B$1005,B438)=0),"Not on Clients — will match a portal client by name",IF(AND(C438="GST",D438&lt;&gt;"",COUNTIF(Clients!$AN$5:$AN$1005,UPPER(D438))=0,COUNTIF(Clients!$G$5:$G$1005,"*"&amp;UPPER(D438)&amp;"*")=0),"GSTIN not on Clients — will be checked in the portal","✔ OK")))))</f>
        <v/>
      </c>
    </row>
    <row r="439">
      <c r="A439" s="38" t="n"/>
      <c r="B439" s="39" t="n"/>
      <c r="C439" s="39" t="n"/>
      <c r="D439" s="38" t="n"/>
      <c r="E439" s="38" t="n"/>
      <c r="F439" s="38" t="n"/>
      <c r="G439" s="37">
        <f>IF(COUNTA(A439:F439)=0,"",IF(A439="EXAMPLE","Example (skipped)",IF(OR(C439="",E439="",F439=""),"✖ Portal, User ID and Password are all needed",IF(AND(A439="",COUNTIF(Clients!$B$5:$B$1005,B439)=0),"Not on Clients — will match a portal client by name",IF(AND(C439="GST",D439&lt;&gt;"",COUNTIF(Clients!$AN$5:$AN$1005,UPPER(D439))=0,COUNTIF(Clients!$G$5:$G$1005,"*"&amp;UPPER(D439)&amp;"*")=0),"GSTIN not on Clients — will be checked in the portal","✔ OK")))))</f>
        <v/>
      </c>
    </row>
    <row r="440">
      <c r="A440" s="38" t="n"/>
      <c r="B440" s="39" t="n"/>
      <c r="C440" s="39" t="n"/>
      <c r="D440" s="38" t="n"/>
      <c r="E440" s="38" t="n"/>
      <c r="F440" s="38" t="n"/>
      <c r="G440" s="37">
        <f>IF(COUNTA(A440:F440)=0,"",IF(A440="EXAMPLE","Example (skipped)",IF(OR(C440="",E440="",F440=""),"✖ Portal, User ID and Password are all needed",IF(AND(A440="",COUNTIF(Clients!$B$5:$B$1005,B440)=0),"Not on Clients — will match a portal client by name",IF(AND(C440="GST",D440&lt;&gt;"",COUNTIF(Clients!$AN$5:$AN$1005,UPPER(D440))=0,COUNTIF(Clients!$G$5:$G$1005,"*"&amp;UPPER(D440)&amp;"*")=0),"GSTIN not on Clients — will be checked in the portal","✔ OK")))))</f>
        <v/>
      </c>
    </row>
    <row r="441">
      <c r="A441" s="38" t="n"/>
      <c r="B441" s="39" t="n"/>
      <c r="C441" s="39" t="n"/>
      <c r="D441" s="38" t="n"/>
      <c r="E441" s="38" t="n"/>
      <c r="F441" s="38" t="n"/>
      <c r="G441" s="37">
        <f>IF(COUNTA(A441:F441)=0,"",IF(A441="EXAMPLE","Example (skipped)",IF(OR(C441="",E441="",F441=""),"✖ Portal, User ID and Password are all needed",IF(AND(A441="",COUNTIF(Clients!$B$5:$B$1005,B441)=0),"Not on Clients — will match a portal client by name",IF(AND(C441="GST",D441&lt;&gt;"",COUNTIF(Clients!$AN$5:$AN$1005,UPPER(D441))=0,COUNTIF(Clients!$G$5:$G$1005,"*"&amp;UPPER(D441)&amp;"*")=0),"GSTIN not on Clients — will be checked in the portal","✔ OK")))))</f>
        <v/>
      </c>
    </row>
    <row r="442">
      <c r="A442" s="38" t="n"/>
      <c r="B442" s="39" t="n"/>
      <c r="C442" s="39" t="n"/>
      <c r="D442" s="38" t="n"/>
      <c r="E442" s="38" t="n"/>
      <c r="F442" s="38" t="n"/>
      <c r="G442" s="37">
        <f>IF(COUNTA(A442:F442)=0,"",IF(A442="EXAMPLE","Example (skipped)",IF(OR(C442="",E442="",F442=""),"✖ Portal, User ID and Password are all needed",IF(AND(A442="",COUNTIF(Clients!$B$5:$B$1005,B442)=0),"Not on Clients — will match a portal client by name",IF(AND(C442="GST",D442&lt;&gt;"",COUNTIF(Clients!$AN$5:$AN$1005,UPPER(D442))=0,COUNTIF(Clients!$G$5:$G$1005,"*"&amp;UPPER(D442)&amp;"*")=0),"GSTIN not on Clients — will be checked in the portal","✔ OK")))))</f>
        <v/>
      </c>
    </row>
    <row r="443">
      <c r="A443" s="38" t="n"/>
      <c r="B443" s="39" t="n"/>
      <c r="C443" s="39" t="n"/>
      <c r="D443" s="38" t="n"/>
      <c r="E443" s="38" t="n"/>
      <c r="F443" s="38" t="n"/>
      <c r="G443" s="37">
        <f>IF(COUNTA(A443:F443)=0,"",IF(A443="EXAMPLE","Example (skipped)",IF(OR(C443="",E443="",F443=""),"✖ Portal, User ID and Password are all needed",IF(AND(A443="",COUNTIF(Clients!$B$5:$B$1005,B443)=0),"Not on Clients — will match a portal client by name",IF(AND(C443="GST",D443&lt;&gt;"",COUNTIF(Clients!$AN$5:$AN$1005,UPPER(D443))=0,COUNTIF(Clients!$G$5:$G$1005,"*"&amp;UPPER(D443)&amp;"*")=0),"GSTIN not on Clients — will be checked in the portal","✔ OK")))))</f>
        <v/>
      </c>
    </row>
    <row r="444">
      <c r="A444" s="38" t="n"/>
      <c r="B444" s="39" t="n"/>
      <c r="C444" s="39" t="n"/>
      <c r="D444" s="38" t="n"/>
      <c r="E444" s="38" t="n"/>
      <c r="F444" s="38" t="n"/>
      <c r="G444" s="37">
        <f>IF(COUNTA(A444:F444)=0,"",IF(A444="EXAMPLE","Example (skipped)",IF(OR(C444="",E444="",F444=""),"✖ Portal, User ID and Password are all needed",IF(AND(A444="",COUNTIF(Clients!$B$5:$B$1005,B444)=0),"Not on Clients — will match a portal client by name",IF(AND(C444="GST",D444&lt;&gt;"",COUNTIF(Clients!$AN$5:$AN$1005,UPPER(D444))=0,COUNTIF(Clients!$G$5:$G$1005,"*"&amp;UPPER(D444)&amp;"*")=0),"GSTIN not on Clients — will be checked in the portal","✔ OK")))))</f>
        <v/>
      </c>
    </row>
    <row r="445">
      <c r="A445" s="38" t="n"/>
      <c r="B445" s="39" t="n"/>
      <c r="C445" s="39" t="n"/>
      <c r="D445" s="38" t="n"/>
      <c r="E445" s="38" t="n"/>
      <c r="F445" s="38" t="n"/>
      <c r="G445" s="37">
        <f>IF(COUNTA(A445:F445)=0,"",IF(A445="EXAMPLE","Example (skipped)",IF(OR(C445="",E445="",F445=""),"✖ Portal, User ID and Password are all needed",IF(AND(A445="",COUNTIF(Clients!$B$5:$B$1005,B445)=0),"Not on Clients — will match a portal client by name",IF(AND(C445="GST",D445&lt;&gt;"",COUNTIF(Clients!$AN$5:$AN$1005,UPPER(D445))=0,COUNTIF(Clients!$G$5:$G$1005,"*"&amp;UPPER(D445)&amp;"*")=0),"GSTIN not on Clients — will be checked in the portal","✔ OK")))))</f>
        <v/>
      </c>
    </row>
    <row r="446">
      <c r="A446" s="38" t="n"/>
      <c r="B446" s="39" t="n"/>
      <c r="C446" s="39" t="n"/>
      <c r="D446" s="38" t="n"/>
      <c r="E446" s="38" t="n"/>
      <c r="F446" s="38" t="n"/>
      <c r="G446" s="37">
        <f>IF(COUNTA(A446:F446)=0,"",IF(A446="EXAMPLE","Example (skipped)",IF(OR(C446="",E446="",F446=""),"✖ Portal, User ID and Password are all needed",IF(AND(A446="",COUNTIF(Clients!$B$5:$B$1005,B446)=0),"Not on Clients — will match a portal client by name",IF(AND(C446="GST",D446&lt;&gt;"",COUNTIF(Clients!$AN$5:$AN$1005,UPPER(D446))=0,COUNTIF(Clients!$G$5:$G$1005,"*"&amp;UPPER(D446)&amp;"*")=0),"GSTIN not on Clients — will be checked in the portal","✔ OK")))))</f>
        <v/>
      </c>
    </row>
    <row r="447">
      <c r="A447" s="38" t="n"/>
      <c r="B447" s="39" t="n"/>
      <c r="C447" s="39" t="n"/>
      <c r="D447" s="38" t="n"/>
      <c r="E447" s="38" t="n"/>
      <c r="F447" s="38" t="n"/>
      <c r="G447" s="37">
        <f>IF(COUNTA(A447:F447)=0,"",IF(A447="EXAMPLE","Example (skipped)",IF(OR(C447="",E447="",F447=""),"✖ Portal, User ID and Password are all needed",IF(AND(A447="",COUNTIF(Clients!$B$5:$B$1005,B447)=0),"Not on Clients — will match a portal client by name",IF(AND(C447="GST",D447&lt;&gt;"",COUNTIF(Clients!$AN$5:$AN$1005,UPPER(D447))=0,COUNTIF(Clients!$G$5:$G$1005,"*"&amp;UPPER(D447)&amp;"*")=0),"GSTIN not on Clients — will be checked in the portal","✔ OK")))))</f>
        <v/>
      </c>
    </row>
    <row r="448">
      <c r="A448" s="38" t="n"/>
      <c r="B448" s="39" t="n"/>
      <c r="C448" s="39" t="n"/>
      <c r="D448" s="38" t="n"/>
      <c r="E448" s="38" t="n"/>
      <c r="F448" s="38" t="n"/>
      <c r="G448" s="37">
        <f>IF(COUNTA(A448:F448)=0,"",IF(A448="EXAMPLE","Example (skipped)",IF(OR(C448="",E448="",F448=""),"✖ Portal, User ID and Password are all needed",IF(AND(A448="",COUNTIF(Clients!$B$5:$B$1005,B448)=0),"Not on Clients — will match a portal client by name",IF(AND(C448="GST",D448&lt;&gt;"",COUNTIF(Clients!$AN$5:$AN$1005,UPPER(D448))=0,COUNTIF(Clients!$G$5:$G$1005,"*"&amp;UPPER(D448)&amp;"*")=0),"GSTIN not on Clients — will be checked in the portal","✔ OK")))))</f>
        <v/>
      </c>
    </row>
    <row r="449">
      <c r="A449" s="38" t="n"/>
      <c r="B449" s="39" t="n"/>
      <c r="C449" s="39" t="n"/>
      <c r="D449" s="38" t="n"/>
      <c r="E449" s="38" t="n"/>
      <c r="F449" s="38" t="n"/>
      <c r="G449" s="37">
        <f>IF(COUNTA(A449:F449)=0,"",IF(A449="EXAMPLE","Example (skipped)",IF(OR(C449="",E449="",F449=""),"✖ Portal, User ID and Password are all needed",IF(AND(A449="",COUNTIF(Clients!$B$5:$B$1005,B449)=0),"Not on Clients — will match a portal client by name",IF(AND(C449="GST",D449&lt;&gt;"",COUNTIF(Clients!$AN$5:$AN$1005,UPPER(D449))=0,COUNTIF(Clients!$G$5:$G$1005,"*"&amp;UPPER(D449)&amp;"*")=0),"GSTIN not on Clients — will be checked in the portal","✔ OK")))))</f>
        <v/>
      </c>
    </row>
    <row r="450">
      <c r="A450" s="38" t="n"/>
      <c r="B450" s="39" t="n"/>
      <c r="C450" s="39" t="n"/>
      <c r="D450" s="38" t="n"/>
      <c r="E450" s="38" t="n"/>
      <c r="F450" s="38" t="n"/>
      <c r="G450" s="37">
        <f>IF(COUNTA(A450:F450)=0,"",IF(A450="EXAMPLE","Example (skipped)",IF(OR(C450="",E450="",F450=""),"✖ Portal, User ID and Password are all needed",IF(AND(A450="",COUNTIF(Clients!$B$5:$B$1005,B450)=0),"Not on Clients — will match a portal client by name",IF(AND(C450="GST",D450&lt;&gt;"",COUNTIF(Clients!$AN$5:$AN$1005,UPPER(D450))=0,COUNTIF(Clients!$G$5:$G$1005,"*"&amp;UPPER(D450)&amp;"*")=0),"GSTIN not on Clients — will be checked in the portal","✔ OK")))))</f>
        <v/>
      </c>
    </row>
    <row r="451">
      <c r="A451" s="38" t="n"/>
      <c r="B451" s="39" t="n"/>
      <c r="C451" s="39" t="n"/>
      <c r="D451" s="38" t="n"/>
      <c r="E451" s="38" t="n"/>
      <c r="F451" s="38" t="n"/>
      <c r="G451" s="37">
        <f>IF(COUNTA(A451:F451)=0,"",IF(A451="EXAMPLE","Example (skipped)",IF(OR(C451="",E451="",F451=""),"✖ Portal, User ID and Password are all needed",IF(AND(A451="",COUNTIF(Clients!$B$5:$B$1005,B451)=0),"Not on Clients — will match a portal client by name",IF(AND(C451="GST",D451&lt;&gt;"",COUNTIF(Clients!$AN$5:$AN$1005,UPPER(D451))=0,COUNTIF(Clients!$G$5:$G$1005,"*"&amp;UPPER(D451)&amp;"*")=0),"GSTIN not on Clients — will be checked in the portal","✔ OK")))))</f>
        <v/>
      </c>
    </row>
    <row r="452">
      <c r="A452" s="38" t="n"/>
      <c r="B452" s="39" t="n"/>
      <c r="C452" s="39" t="n"/>
      <c r="D452" s="38" t="n"/>
      <c r="E452" s="38" t="n"/>
      <c r="F452" s="38" t="n"/>
      <c r="G452" s="37">
        <f>IF(COUNTA(A452:F452)=0,"",IF(A452="EXAMPLE","Example (skipped)",IF(OR(C452="",E452="",F452=""),"✖ Portal, User ID and Password are all needed",IF(AND(A452="",COUNTIF(Clients!$B$5:$B$1005,B452)=0),"Not on Clients — will match a portal client by name",IF(AND(C452="GST",D452&lt;&gt;"",COUNTIF(Clients!$AN$5:$AN$1005,UPPER(D452))=0,COUNTIF(Clients!$G$5:$G$1005,"*"&amp;UPPER(D452)&amp;"*")=0),"GSTIN not on Clients — will be checked in the portal","✔ OK")))))</f>
        <v/>
      </c>
    </row>
    <row r="453">
      <c r="A453" s="38" t="n"/>
      <c r="B453" s="39" t="n"/>
      <c r="C453" s="39" t="n"/>
      <c r="D453" s="38" t="n"/>
      <c r="E453" s="38" t="n"/>
      <c r="F453" s="38" t="n"/>
      <c r="G453" s="37">
        <f>IF(COUNTA(A453:F453)=0,"",IF(A453="EXAMPLE","Example (skipped)",IF(OR(C453="",E453="",F453=""),"✖ Portal, User ID and Password are all needed",IF(AND(A453="",COUNTIF(Clients!$B$5:$B$1005,B453)=0),"Not on Clients — will match a portal client by name",IF(AND(C453="GST",D453&lt;&gt;"",COUNTIF(Clients!$AN$5:$AN$1005,UPPER(D453))=0,COUNTIF(Clients!$G$5:$G$1005,"*"&amp;UPPER(D453)&amp;"*")=0),"GSTIN not on Clients — will be checked in the portal","✔ OK")))))</f>
        <v/>
      </c>
    </row>
    <row r="454">
      <c r="A454" s="38" t="n"/>
      <c r="B454" s="39" t="n"/>
      <c r="C454" s="39" t="n"/>
      <c r="D454" s="38" t="n"/>
      <c r="E454" s="38" t="n"/>
      <c r="F454" s="38" t="n"/>
      <c r="G454" s="37">
        <f>IF(COUNTA(A454:F454)=0,"",IF(A454="EXAMPLE","Example (skipped)",IF(OR(C454="",E454="",F454=""),"✖ Portal, User ID and Password are all needed",IF(AND(A454="",COUNTIF(Clients!$B$5:$B$1005,B454)=0),"Not on Clients — will match a portal client by name",IF(AND(C454="GST",D454&lt;&gt;"",COUNTIF(Clients!$AN$5:$AN$1005,UPPER(D454))=0,COUNTIF(Clients!$G$5:$G$1005,"*"&amp;UPPER(D454)&amp;"*")=0),"GSTIN not on Clients — will be checked in the portal","✔ OK")))))</f>
        <v/>
      </c>
    </row>
    <row r="455">
      <c r="A455" s="38" t="n"/>
      <c r="B455" s="39" t="n"/>
      <c r="C455" s="39" t="n"/>
      <c r="D455" s="38" t="n"/>
      <c r="E455" s="38" t="n"/>
      <c r="F455" s="38" t="n"/>
      <c r="G455" s="37">
        <f>IF(COUNTA(A455:F455)=0,"",IF(A455="EXAMPLE","Example (skipped)",IF(OR(C455="",E455="",F455=""),"✖ Portal, User ID and Password are all needed",IF(AND(A455="",COUNTIF(Clients!$B$5:$B$1005,B455)=0),"Not on Clients — will match a portal client by name",IF(AND(C455="GST",D455&lt;&gt;"",COUNTIF(Clients!$AN$5:$AN$1005,UPPER(D455))=0,COUNTIF(Clients!$G$5:$G$1005,"*"&amp;UPPER(D455)&amp;"*")=0),"GSTIN not on Clients — will be checked in the portal","✔ OK")))))</f>
        <v/>
      </c>
    </row>
    <row r="456">
      <c r="A456" s="38" t="n"/>
      <c r="B456" s="39" t="n"/>
      <c r="C456" s="39" t="n"/>
      <c r="D456" s="38" t="n"/>
      <c r="E456" s="38" t="n"/>
      <c r="F456" s="38" t="n"/>
      <c r="G456" s="37">
        <f>IF(COUNTA(A456:F456)=0,"",IF(A456="EXAMPLE","Example (skipped)",IF(OR(C456="",E456="",F456=""),"✖ Portal, User ID and Password are all needed",IF(AND(A456="",COUNTIF(Clients!$B$5:$B$1005,B456)=0),"Not on Clients — will match a portal client by name",IF(AND(C456="GST",D456&lt;&gt;"",COUNTIF(Clients!$AN$5:$AN$1005,UPPER(D456))=0,COUNTIF(Clients!$G$5:$G$1005,"*"&amp;UPPER(D456)&amp;"*")=0),"GSTIN not on Clients — will be checked in the portal","✔ OK")))))</f>
        <v/>
      </c>
    </row>
    <row r="457">
      <c r="A457" s="38" t="n"/>
      <c r="B457" s="39" t="n"/>
      <c r="C457" s="39" t="n"/>
      <c r="D457" s="38" t="n"/>
      <c r="E457" s="38" t="n"/>
      <c r="F457" s="38" t="n"/>
      <c r="G457" s="37">
        <f>IF(COUNTA(A457:F457)=0,"",IF(A457="EXAMPLE","Example (skipped)",IF(OR(C457="",E457="",F457=""),"✖ Portal, User ID and Password are all needed",IF(AND(A457="",COUNTIF(Clients!$B$5:$B$1005,B457)=0),"Not on Clients — will match a portal client by name",IF(AND(C457="GST",D457&lt;&gt;"",COUNTIF(Clients!$AN$5:$AN$1005,UPPER(D457))=0,COUNTIF(Clients!$G$5:$G$1005,"*"&amp;UPPER(D457)&amp;"*")=0),"GSTIN not on Clients — will be checked in the portal","✔ OK")))))</f>
        <v/>
      </c>
    </row>
    <row r="458">
      <c r="A458" s="38" t="n"/>
      <c r="B458" s="39" t="n"/>
      <c r="C458" s="39" t="n"/>
      <c r="D458" s="38" t="n"/>
      <c r="E458" s="38" t="n"/>
      <c r="F458" s="38" t="n"/>
      <c r="G458" s="37">
        <f>IF(COUNTA(A458:F458)=0,"",IF(A458="EXAMPLE","Example (skipped)",IF(OR(C458="",E458="",F458=""),"✖ Portal, User ID and Password are all needed",IF(AND(A458="",COUNTIF(Clients!$B$5:$B$1005,B458)=0),"Not on Clients — will match a portal client by name",IF(AND(C458="GST",D458&lt;&gt;"",COUNTIF(Clients!$AN$5:$AN$1005,UPPER(D458))=0,COUNTIF(Clients!$G$5:$G$1005,"*"&amp;UPPER(D458)&amp;"*")=0),"GSTIN not on Clients — will be checked in the portal","✔ OK")))))</f>
        <v/>
      </c>
    </row>
    <row r="459">
      <c r="A459" s="38" t="n"/>
      <c r="B459" s="39" t="n"/>
      <c r="C459" s="39" t="n"/>
      <c r="D459" s="38" t="n"/>
      <c r="E459" s="38" t="n"/>
      <c r="F459" s="38" t="n"/>
      <c r="G459" s="37">
        <f>IF(COUNTA(A459:F459)=0,"",IF(A459="EXAMPLE","Example (skipped)",IF(OR(C459="",E459="",F459=""),"✖ Portal, User ID and Password are all needed",IF(AND(A459="",COUNTIF(Clients!$B$5:$B$1005,B459)=0),"Not on Clients — will match a portal client by name",IF(AND(C459="GST",D459&lt;&gt;"",COUNTIF(Clients!$AN$5:$AN$1005,UPPER(D459))=0,COUNTIF(Clients!$G$5:$G$1005,"*"&amp;UPPER(D459)&amp;"*")=0),"GSTIN not on Clients — will be checked in the portal","✔ OK")))))</f>
        <v/>
      </c>
    </row>
    <row r="460">
      <c r="A460" s="38" t="n"/>
      <c r="B460" s="39" t="n"/>
      <c r="C460" s="39" t="n"/>
      <c r="D460" s="38" t="n"/>
      <c r="E460" s="38" t="n"/>
      <c r="F460" s="38" t="n"/>
      <c r="G460" s="37">
        <f>IF(COUNTA(A460:F460)=0,"",IF(A460="EXAMPLE","Example (skipped)",IF(OR(C460="",E460="",F460=""),"✖ Portal, User ID and Password are all needed",IF(AND(A460="",COUNTIF(Clients!$B$5:$B$1005,B460)=0),"Not on Clients — will match a portal client by name",IF(AND(C460="GST",D460&lt;&gt;"",COUNTIF(Clients!$AN$5:$AN$1005,UPPER(D460))=0,COUNTIF(Clients!$G$5:$G$1005,"*"&amp;UPPER(D460)&amp;"*")=0),"GSTIN not on Clients — will be checked in the portal","✔ OK")))))</f>
        <v/>
      </c>
    </row>
    <row r="461">
      <c r="A461" s="38" t="n"/>
      <c r="B461" s="39" t="n"/>
      <c r="C461" s="39" t="n"/>
      <c r="D461" s="38" t="n"/>
      <c r="E461" s="38" t="n"/>
      <c r="F461" s="38" t="n"/>
      <c r="G461" s="37">
        <f>IF(COUNTA(A461:F461)=0,"",IF(A461="EXAMPLE","Example (skipped)",IF(OR(C461="",E461="",F461=""),"✖ Portal, User ID and Password are all needed",IF(AND(A461="",COUNTIF(Clients!$B$5:$B$1005,B461)=0),"Not on Clients — will match a portal client by name",IF(AND(C461="GST",D461&lt;&gt;"",COUNTIF(Clients!$AN$5:$AN$1005,UPPER(D461))=0,COUNTIF(Clients!$G$5:$G$1005,"*"&amp;UPPER(D461)&amp;"*")=0),"GSTIN not on Clients — will be checked in the portal","✔ OK")))))</f>
        <v/>
      </c>
    </row>
    <row r="462">
      <c r="A462" s="38" t="n"/>
      <c r="B462" s="39" t="n"/>
      <c r="C462" s="39" t="n"/>
      <c r="D462" s="38" t="n"/>
      <c r="E462" s="38" t="n"/>
      <c r="F462" s="38" t="n"/>
      <c r="G462" s="37">
        <f>IF(COUNTA(A462:F462)=0,"",IF(A462="EXAMPLE","Example (skipped)",IF(OR(C462="",E462="",F462=""),"✖ Portal, User ID and Password are all needed",IF(AND(A462="",COUNTIF(Clients!$B$5:$B$1005,B462)=0),"Not on Clients — will match a portal client by name",IF(AND(C462="GST",D462&lt;&gt;"",COUNTIF(Clients!$AN$5:$AN$1005,UPPER(D462))=0,COUNTIF(Clients!$G$5:$G$1005,"*"&amp;UPPER(D462)&amp;"*")=0),"GSTIN not on Clients — will be checked in the portal","✔ OK")))))</f>
        <v/>
      </c>
    </row>
    <row r="463">
      <c r="A463" s="38" t="n"/>
      <c r="B463" s="39" t="n"/>
      <c r="C463" s="39" t="n"/>
      <c r="D463" s="38" t="n"/>
      <c r="E463" s="38" t="n"/>
      <c r="F463" s="38" t="n"/>
      <c r="G463" s="37">
        <f>IF(COUNTA(A463:F463)=0,"",IF(A463="EXAMPLE","Example (skipped)",IF(OR(C463="",E463="",F463=""),"✖ Portal, User ID and Password are all needed",IF(AND(A463="",COUNTIF(Clients!$B$5:$B$1005,B463)=0),"Not on Clients — will match a portal client by name",IF(AND(C463="GST",D463&lt;&gt;"",COUNTIF(Clients!$AN$5:$AN$1005,UPPER(D463))=0,COUNTIF(Clients!$G$5:$G$1005,"*"&amp;UPPER(D463)&amp;"*")=0),"GSTIN not on Clients — will be checked in the portal","✔ OK")))))</f>
        <v/>
      </c>
    </row>
    <row r="464">
      <c r="A464" s="38" t="n"/>
      <c r="B464" s="39" t="n"/>
      <c r="C464" s="39" t="n"/>
      <c r="D464" s="38" t="n"/>
      <c r="E464" s="38" t="n"/>
      <c r="F464" s="38" t="n"/>
      <c r="G464" s="37">
        <f>IF(COUNTA(A464:F464)=0,"",IF(A464="EXAMPLE","Example (skipped)",IF(OR(C464="",E464="",F464=""),"✖ Portal, User ID and Password are all needed",IF(AND(A464="",COUNTIF(Clients!$B$5:$B$1005,B464)=0),"Not on Clients — will match a portal client by name",IF(AND(C464="GST",D464&lt;&gt;"",COUNTIF(Clients!$AN$5:$AN$1005,UPPER(D464))=0,COUNTIF(Clients!$G$5:$G$1005,"*"&amp;UPPER(D464)&amp;"*")=0),"GSTIN not on Clients — will be checked in the portal","✔ OK")))))</f>
        <v/>
      </c>
    </row>
    <row r="465">
      <c r="A465" s="38" t="n"/>
      <c r="B465" s="39" t="n"/>
      <c r="C465" s="39" t="n"/>
      <c r="D465" s="38" t="n"/>
      <c r="E465" s="38" t="n"/>
      <c r="F465" s="38" t="n"/>
      <c r="G465" s="37">
        <f>IF(COUNTA(A465:F465)=0,"",IF(A465="EXAMPLE","Example (skipped)",IF(OR(C465="",E465="",F465=""),"✖ Portal, User ID and Password are all needed",IF(AND(A465="",COUNTIF(Clients!$B$5:$B$1005,B465)=0),"Not on Clients — will match a portal client by name",IF(AND(C465="GST",D465&lt;&gt;"",COUNTIF(Clients!$AN$5:$AN$1005,UPPER(D465))=0,COUNTIF(Clients!$G$5:$G$1005,"*"&amp;UPPER(D465)&amp;"*")=0),"GSTIN not on Clients — will be checked in the portal","✔ OK")))))</f>
        <v/>
      </c>
    </row>
    <row r="466">
      <c r="A466" s="38" t="n"/>
      <c r="B466" s="39" t="n"/>
      <c r="C466" s="39" t="n"/>
      <c r="D466" s="38" t="n"/>
      <c r="E466" s="38" t="n"/>
      <c r="F466" s="38" t="n"/>
      <c r="G466" s="37">
        <f>IF(COUNTA(A466:F466)=0,"",IF(A466="EXAMPLE","Example (skipped)",IF(OR(C466="",E466="",F466=""),"✖ Portal, User ID and Password are all needed",IF(AND(A466="",COUNTIF(Clients!$B$5:$B$1005,B466)=0),"Not on Clients — will match a portal client by name",IF(AND(C466="GST",D466&lt;&gt;"",COUNTIF(Clients!$AN$5:$AN$1005,UPPER(D466))=0,COUNTIF(Clients!$G$5:$G$1005,"*"&amp;UPPER(D466)&amp;"*")=0),"GSTIN not on Clients — will be checked in the portal","✔ OK")))))</f>
        <v/>
      </c>
    </row>
    <row r="467">
      <c r="A467" s="38" t="n"/>
      <c r="B467" s="39" t="n"/>
      <c r="C467" s="39" t="n"/>
      <c r="D467" s="38" t="n"/>
      <c r="E467" s="38" t="n"/>
      <c r="F467" s="38" t="n"/>
      <c r="G467" s="37">
        <f>IF(COUNTA(A467:F467)=0,"",IF(A467="EXAMPLE","Example (skipped)",IF(OR(C467="",E467="",F467=""),"✖ Portal, User ID and Password are all needed",IF(AND(A467="",COUNTIF(Clients!$B$5:$B$1005,B467)=0),"Not on Clients — will match a portal client by name",IF(AND(C467="GST",D467&lt;&gt;"",COUNTIF(Clients!$AN$5:$AN$1005,UPPER(D467))=0,COUNTIF(Clients!$G$5:$G$1005,"*"&amp;UPPER(D467)&amp;"*")=0),"GSTIN not on Clients — will be checked in the portal","✔ OK")))))</f>
        <v/>
      </c>
    </row>
    <row r="468">
      <c r="A468" s="38" t="n"/>
      <c r="B468" s="39" t="n"/>
      <c r="C468" s="39" t="n"/>
      <c r="D468" s="38" t="n"/>
      <c r="E468" s="38" t="n"/>
      <c r="F468" s="38" t="n"/>
      <c r="G468" s="37">
        <f>IF(COUNTA(A468:F468)=0,"",IF(A468="EXAMPLE","Example (skipped)",IF(OR(C468="",E468="",F468=""),"✖ Portal, User ID and Password are all needed",IF(AND(A468="",COUNTIF(Clients!$B$5:$B$1005,B468)=0),"Not on Clients — will match a portal client by name",IF(AND(C468="GST",D468&lt;&gt;"",COUNTIF(Clients!$AN$5:$AN$1005,UPPER(D468))=0,COUNTIF(Clients!$G$5:$G$1005,"*"&amp;UPPER(D468)&amp;"*")=0),"GSTIN not on Clients — will be checked in the portal","✔ OK")))))</f>
        <v/>
      </c>
    </row>
    <row r="469">
      <c r="A469" s="38" t="n"/>
      <c r="B469" s="39" t="n"/>
      <c r="C469" s="39" t="n"/>
      <c r="D469" s="38" t="n"/>
      <c r="E469" s="38" t="n"/>
      <c r="F469" s="38" t="n"/>
      <c r="G469" s="37">
        <f>IF(COUNTA(A469:F469)=0,"",IF(A469="EXAMPLE","Example (skipped)",IF(OR(C469="",E469="",F469=""),"✖ Portal, User ID and Password are all needed",IF(AND(A469="",COUNTIF(Clients!$B$5:$B$1005,B469)=0),"Not on Clients — will match a portal client by name",IF(AND(C469="GST",D469&lt;&gt;"",COUNTIF(Clients!$AN$5:$AN$1005,UPPER(D469))=0,COUNTIF(Clients!$G$5:$G$1005,"*"&amp;UPPER(D469)&amp;"*")=0),"GSTIN not on Clients — will be checked in the portal","✔ OK")))))</f>
        <v/>
      </c>
    </row>
    <row r="470">
      <c r="A470" s="38" t="n"/>
      <c r="B470" s="39" t="n"/>
      <c r="C470" s="39" t="n"/>
      <c r="D470" s="38" t="n"/>
      <c r="E470" s="38" t="n"/>
      <c r="F470" s="38" t="n"/>
      <c r="G470" s="37">
        <f>IF(COUNTA(A470:F470)=0,"",IF(A470="EXAMPLE","Example (skipped)",IF(OR(C470="",E470="",F470=""),"✖ Portal, User ID and Password are all needed",IF(AND(A470="",COUNTIF(Clients!$B$5:$B$1005,B470)=0),"Not on Clients — will match a portal client by name",IF(AND(C470="GST",D470&lt;&gt;"",COUNTIF(Clients!$AN$5:$AN$1005,UPPER(D470))=0,COUNTIF(Clients!$G$5:$G$1005,"*"&amp;UPPER(D470)&amp;"*")=0),"GSTIN not on Clients — will be checked in the portal","✔ OK")))))</f>
        <v/>
      </c>
    </row>
    <row r="471">
      <c r="A471" s="38" t="n"/>
      <c r="B471" s="39" t="n"/>
      <c r="C471" s="39" t="n"/>
      <c r="D471" s="38" t="n"/>
      <c r="E471" s="38" t="n"/>
      <c r="F471" s="38" t="n"/>
      <c r="G471" s="37">
        <f>IF(COUNTA(A471:F471)=0,"",IF(A471="EXAMPLE","Example (skipped)",IF(OR(C471="",E471="",F471=""),"✖ Portal, User ID and Password are all needed",IF(AND(A471="",COUNTIF(Clients!$B$5:$B$1005,B471)=0),"Not on Clients — will match a portal client by name",IF(AND(C471="GST",D471&lt;&gt;"",COUNTIF(Clients!$AN$5:$AN$1005,UPPER(D471))=0,COUNTIF(Clients!$G$5:$G$1005,"*"&amp;UPPER(D471)&amp;"*")=0),"GSTIN not on Clients — will be checked in the portal","✔ OK")))))</f>
        <v/>
      </c>
    </row>
    <row r="472">
      <c r="A472" s="38" t="n"/>
      <c r="B472" s="39" t="n"/>
      <c r="C472" s="39" t="n"/>
      <c r="D472" s="38" t="n"/>
      <c r="E472" s="38" t="n"/>
      <c r="F472" s="38" t="n"/>
      <c r="G472" s="37">
        <f>IF(COUNTA(A472:F472)=0,"",IF(A472="EXAMPLE","Example (skipped)",IF(OR(C472="",E472="",F472=""),"✖ Portal, User ID and Password are all needed",IF(AND(A472="",COUNTIF(Clients!$B$5:$B$1005,B472)=0),"Not on Clients — will match a portal client by name",IF(AND(C472="GST",D472&lt;&gt;"",COUNTIF(Clients!$AN$5:$AN$1005,UPPER(D472))=0,COUNTIF(Clients!$G$5:$G$1005,"*"&amp;UPPER(D472)&amp;"*")=0),"GSTIN not on Clients — will be checked in the portal","✔ OK")))))</f>
        <v/>
      </c>
    </row>
    <row r="473">
      <c r="A473" s="38" t="n"/>
      <c r="B473" s="39" t="n"/>
      <c r="C473" s="39" t="n"/>
      <c r="D473" s="38" t="n"/>
      <c r="E473" s="38" t="n"/>
      <c r="F473" s="38" t="n"/>
      <c r="G473" s="37">
        <f>IF(COUNTA(A473:F473)=0,"",IF(A473="EXAMPLE","Example (skipped)",IF(OR(C473="",E473="",F473=""),"✖ Portal, User ID and Password are all needed",IF(AND(A473="",COUNTIF(Clients!$B$5:$B$1005,B473)=0),"Not on Clients — will match a portal client by name",IF(AND(C473="GST",D473&lt;&gt;"",COUNTIF(Clients!$AN$5:$AN$1005,UPPER(D473))=0,COUNTIF(Clients!$G$5:$G$1005,"*"&amp;UPPER(D473)&amp;"*")=0),"GSTIN not on Clients — will be checked in the portal","✔ OK")))))</f>
        <v/>
      </c>
    </row>
    <row r="474">
      <c r="A474" s="38" t="n"/>
      <c r="B474" s="39" t="n"/>
      <c r="C474" s="39" t="n"/>
      <c r="D474" s="38" t="n"/>
      <c r="E474" s="38" t="n"/>
      <c r="F474" s="38" t="n"/>
      <c r="G474" s="37">
        <f>IF(COUNTA(A474:F474)=0,"",IF(A474="EXAMPLE","Example (skipped)",IF(OR(C474="",E474="",F474=""),"✖ Portal, User ID and Password are all needed",IF(AND(A474="",COUNTIF(Clients!$B$5:$B$1005,B474)=0),"Not on Clients — will match a portal client by name",IF(AND(C474="GST",D474&lt;&gt;"",COUNTIF(Clients!$AN$5:$AN$1005,UPPER(D474))=0,COUNTIF(Clients!$G$5:$G$1005,"*"&amp;UPPER(D474)&amp;"*")=0),"GSTIN not on Clients — will be checked in the portal","✔ OK")))))</f>
        <v/>
      </c>
    </row>
    <row r="475">
      <c r="A475" s="38" t="n"/>
      <c r="B475" s="39" t="n"/>
      <c r="C475" s="39" t="n"/>
      <c r="D475" s="38" t="n"/>
      <c r="E475" s="38" t="n"/>
      <c r="F475" s="38" t="n"/>
      <c r="G475" s="37">
        <f>IF(COUNTA(A475:F475)=0,"",IF(A475="EXAMPLE","Example (skipped)",IF(OR(C475="",E475="",F475=""),"✖ Portal, User ID and Password are all needed",IF(AND(A475="",COUNTIF(Clients!$B$5:$B$1005,B475)=0),"Not on Clients — will match a portal client by name",IF(AND(C475="GST",D475&lt;&gt;"",COUNTIF(Clients!$AN$5:$AN$1005,UPPER(D475))=0,COUNTIF(Clients!$G$5:$G$1005,"*"&amp;UPPER(D475)&amp;"*")=0),"GSTIN not on Clients — will be checked in the portal","✔ OK")))))</f>
        <v/>
      </c>
    </row>
    <row r="476">
      <c r="A476" s="38" t="n"/>
      <c r="B476" s="39" t="n"/>
      <c r="C476" s="39" t="n"/>
      <c r="D476" s="38" t="n"/>
      <c r="E476" s="38" t="n"/>
      <c r="F476" s="38" t="n"/>
      <c r="G476" s="37">
        <f>IF(COUNTA(A476:F476)=0,"",IF(A476="EXAMPLE","Example (skipped)",IF(OR(C476="",E476="",F476=""),"✖ Portal, User ID and Password are all needed",IF(AND(A476="",COUNTIF(Clients!$B$5:$B$1005,B476)=0),"Not on Clients — will match a portal client by name",IF(AND(C476="GST",D476&lt;&gt;"",COUNTIF(Clients!$AN$5:$AN$1005,UPPER(D476))=0,COUNTIF(Clients!$G$5:$G$1005,"*"&amp;UPPER(D476)&amp;"*")=0),"GSTIN not on Clients — will be checked in the portal","✔ OK")))))</f>
        <v/>
      </c>
    </row>
    <row r="477">
      <c r="A477" s="38" t="n"/>
      <c r="B477" s="39" t="n"/>
      <c r="C477" s="39" t="n"/>
      <c r="D477" s="38" t="n"/>
      <c r="E477" s="38" t="n"/>
      <c r="F477" s="38" t="n"/>
      <c r="G477" s="37">
        <f>IF(COUNTA(A477:F477)=0,"",IF(A477="EXAMPLE","Example (skipped)",IF(OR(C477="",E477="",F477=""),"✖ Portal, User ID and Password are all needed",IF(AND(A477="",COUNTIF(Clients!$B$5:$B$1005,B477)=0),"Not on Clients — will match a portal client by name",IF(AND(C477="GST",D477&lt;&gt;"",COUNTIF(Clients!$AN$5:$AN$1005,UPPER(D477))=0,COUNTIF(Clients!$G$5:$G$1005,"*"&amp;UPPER(D477)&amp;"*")=0),"GSTIN not on Clients — will be checked in the portal","✔ OK")))))</f>
        <v/>
      </c>
    </row>
    <row r="478">
      <c r="A478" s="38" t="n"/>
      <c r="B478" s="39" t="n"/>
      <c r="C478" s="39" t="n"/>
      <c r="D478" s="38" t="n"/>
      <c r="E478" s="38" t="n"/>
      <c r="F478" s="38" t="n"/>
      <c r="G478" s="37">
        <f>IF(COUNTA(A478:F478)=0,"",IF(A478="EXAMPLE","Example (skipped)",IF(OR(C478="",E478="",F478=""),"✖ Portal, User ID and Password are all needed",IF(AND(A478="",COUNTIF(Clients!$B$5:$B$1005,B478)=0),"Not on Clients — will match a portal client by name",IF(AND(C478="GST",D478&lt;&gt;"",COUNTIF(Clients!$AN$5:$AN$1005,UPPER(D478))=0,COUNTIF(Clients!$G$5:$G$1005,"*"&amp;UPPER(D478)&amp;"*")=0),"GSTIN not on Clients — will be checked in the portal","✔ OK")))))</f>
        <v/>
      </c>
    </row>
    <row r="479">
      <c r="A479" s="38" t="n"/>
      <c r="B479" s="39" t="n"/>
      <c r="C479" s="39" t="n"/>
      <c r="D479" s="38" t="n"/>
      <c r="E479" s="38" t="n"/>
      <c r="F479" s="38" t="n"/>
      <c r="G479" s="37">
        <f>IF(COUNTA(A479:F479)=0,"",IF(A479="EXAMPLE","Example (skipped)",IF(OR(C479="",E479="",F479=""),"✖ Portal, User ID and Password are all needed",IF(AND(A479="",COUNTIF(Clients!$B$5:$B$1005,B479)=0),"Not on Clients — will match a portal client by name",IF(AND(C479="GST",D479&lt;&gt;"",COUNTIF(Clients!$AN$5:$AN$1005,UPPER(D479))=0,COUNTIF(Clients!$G$5:$G$1005,"*"&amp;UPPER(D479)&amp;"*")=0),"GSTIN not on Clients — will be checked in the portal","✔ OK")))))</f>
        <v/>
      </c>
    </row>
    <row r="480">
      <c r="A480" s="38" t="n"/>
      <c r="B480" s="39" t="n"/>
      <c r="C480" s="39" t="n"/>
      <c r="D480" s="38" t="n"/>
      <c r="E480" s="38" t="n"/>
      <c r="F480" s="38" t="n"/>
      <c r="G480" s="37">
        <f>IF(COUNTA(A480:F480)=0,"",IF(A480="EXAMPLE","Example (skipped)",IF(OR(C480="",E480="",F480=""),"✖ Portal, User ID and Password are all needed",IF(AND(A480="",COUNTIF(Clients!$B$5:$B$1005,B480)=0),"Not on Clients — will match a portal client by name",IF(AND(C480="GST",D480&lt;&gt;"",COUNTIF(Clients!$AN$5:$AN$1005,UPPER(D480))=0,COUNTIF(Clients!$G$5:$G$1005,"*"&amp;UPPER(D480)&amp;"*")=0),"GSTIN not on Clients — will be checked in the portal","✔ OK")))))</f>
        <v/>
      </c>
    </row>
    <row r="481">
      <c r="A481" s="38" t="n"/>
      <c r="B481" s="39" t="n"/>
      <c r="C481" s="39" t="n"/>
      <c r="D481" s="38" t="n"/>
      <c r="E481" s="38" t="n"/>
      <c r="F481" s="38" t="n"/>
      <c r="G481" s="37">
        <f>IF(COUNTA(A481:F481)=0,"",IF(A481="EXAMPLE","Example (skipped)",IF(OR(C481="",E481="",F481=""),"✖ Portal, User ID and Password are all needed",IF(AND(A481="",COUNTIF(Clients!$B$5:$B$1005,B481)=0),"Not on Clients — will match a portal client by name",IF(AND(C481="GST",D481&lt;&gt;"",COUNTIF(Clients!$AN$5:$AN$1005,UPPER(D481))=0,COUNTIF(Clients!$G$5:$G$1005,"*"&amp;UPPER(D481)&amp;"*")=0),"GSTIN not on Clients — will be checked in the portal","✔ OK")))))</f>
        <v/>
      </c>
    </row>
    <row r="482">
      <c r="A482" s="38" t="n"/>
      <c r="B482" s="39" t="n"/>
      <c r="C482" s="39" t="n"/>
      <c r="D482" s="38" t="n"/>
      <c r="E482" s="38" t="n"/>
      <c r="F482" s="38" t="n"/>
      <c r="G482" s="37">
        <f>IF(COUNTA(A482:F482)=0,"",IF(A482="EXAMPLE","Example (skipped)",IF(OR(C482="",E482="",F482=""),"✖ Portal, User ID and Password are all needed",IF(AND(A482="",COUNTIF(Clients!$B$5:$B$1005,B482)=0),"Not on Clients — will match a portal client by name",IF(AND(C482="GST",D482&lt;&gt;"",COUNTIF(Clients!$AN$5:$AN$1005,UPPER(D482))=0,COUNTIF(Clients!$G$5:$G$1005,"*"&amp;UPPER(D482)&amp;"*")=0),"GSTIN not on Clients — will be checked in the portal","✔ OK")))))</f>
        <v/>
      </c>
    </row>
    <row r="483">
      <c r="A483" s="38" t="n"/>
      <c r="B483" s="39" t="n"/>
      <c r="C483" s="39" t="n"/>
      <c r="D483" s="38" t="n"/>
      <c r="E483" s="38" t="n"/>
      <c r="F483" s="38" t="n"/>
      <c r="G483" s="37">
        <f>IF(COUNTA(A483:F483)=0,"",IF(A483="EXAMPLE","Example (skipped)",IF(OR(C483="",E483="",F483=""),"✖ Portal, User ID and Password are all needed",IF(AND(A483="",COUNTIF(Clients!$B$5:$B$1005,B483)=0),"Not on Clients — will match a portal client by name",IF(AND(C483="GST",D483&lt;&gt;"",COUNTIF(Clients!$AN$5:$AN$1005,UPPER(D483))=0,COUNTIF(Clients!$G$5:$G$1005,"*"&amp;UPPER(D483)&amp;"*")=0),"GSTIN not on Clients — will be checked in the portal","✔ OK")))))</f>
        <v/>
      </c>
    </row>
    <row r="484">
      <c r="A484" s="38" t="n"/>
      <c r="B484" s="39" t="n"/>
      <c r="C484" s="39" t="n"/>
      <c r="D484" s="38" t="n"/>
      <c r="E484" s="38" t="n"/>
      <c r="F484" s="38" t="n"/>
      <c r="G484" s="37">
        <f>IF(COUNTA(A484:F484)=0,"",IF(A484="EXAMPLE","Example (skipped)",IF(OR(C484="",E484="",F484=""),"✖ Portal, User ID and Password are all needed",IF(AND(A484="",COUNTIF(Clients!$B$5:$B$1005,B484)=0),"Not on Clients — will match a portal client by name",IF(AND(C484="GST",D484&lt;&gt;"",COUNTIF(Clients!$AN$5:$AN$1005,UPPER(D484))=0,COUNTIF(Clients!$G$5:$G$1005,"*"&amp;UPPER(D484)&amp;"*")=0),"GSTIN not on Clients — will be checked in the portal","✔ OK")))))</f>
        <v/>
      </c>
    </row>
    <row r="485">
      <c r="A485" s="38" t="n"/>
      <c r="B485" s="39" t="n"/>
      <c r="C485" s="39" t="n"/>
      <c r="D485" s="38" t="n"/>
      <c r="E485" s="38" t="n"/>
      <c r="F485" s="38" t="n"/>
      <c r="G485" s="37">
        <f>IF(COUNTA(A485:F485)=0,"",IF(A485="EXAMPLE","Example (skipped)",IF(OR(C485="",E485="",F485=""),"✖ Portal, User ID and Password are all needed",IF(AND(A485="",COUNTIF(Clients!$B$5:$B$1005,B485)=0),"Not on Clients — will match a portal client by name",IF(AND(C485="GST",D485&lt;&gt;"",COUNTIF(Clients!$AN$5:$AN$1005,UPPER(D485))=0,COUNTIF(Clients!$G$5:$G$1005,"*"&amp;UPPER(D485)&amp;"*")=0),"GSTIN not on Clients — will be checked in the portal","✔ OK")))))</f>
        <v/>
      </c>
    </row>
    <row r="486">
      <c r="A486" s="38" t="n"/>
      <c r="B486" s="39" t="n"/>
      <c r="C486" s="39" t="n"/>
      <c r="D486" s="38" t="n"/>
      <c r="E486" s="38" t="n"/>
      <c r="F486" s="38" t="n"/>
      <c r="G486" s="37">
        <f>IF(COUNTA(A486:F486)=0,"",IF(A486="EXAMPLE","Example (skipped)",IF(OR(C486="",E486="",F486=""),"✖ Portal, User ID and Password are all needed",IF(AND(A486="",COUNTIF(Clients!$B$5:$B$1005,B486)=0),"Not on Clients — will match a portal client by name",IF(AND(C486="GST",D486&lt;&gt;"",COUNTIF(Clients!$AN$5:$AN$1005,UPPER(D486))=0,COUNTIF(Clients!$G$5:$G$1005,"*"&amp;UPPER(D486)&amp;"*")=0),"GSTIN not on Clients — will be checked in the portal","✔ OK")))))</f>
        <v/>
      </c>
    </row>
    <row r="487">
      <c r="A487" s="38" t="n"/>
      <c r="B487" s="39" t="n"/>
      <c r="C487" s="39" t="n"/>
      <c r="D487" s="38" t="n"/>
      <c r="E487" s="38" t="n"/>
      <c r="F487" s="38" t="n"/>
      <c r="G487" s="37">
        <f>IF(COUNTA(A487:F487)=0,"",IF(A487="EXAMPLE","Example (skipped)",IF(OR(C487="",E487="",F487=""),"✖ Portal, User ID and Password are all needed",IF(AND(A487="",COUNTIF(Clients!$B$5:$B$1005,B487)=0),"Not on Clients — will match a portal client by name",IF(AND(C487="GST",D487&lt;&gt;"",COUNTIF(Clients!$AN$5:$AN$1005,UPPER(D487))=0,COUNTIF(Clients!$G$5:$G$1005,"*"&amp;UPPER(D487)&amp;"*")=0),"GSTIN not on Clients — will be checked in the portal","✔ OK")))))</f>
        <v/>
      </c>
    </row>
    <row r="488">
      <c r="A488" s="38" t="n"/>
      <c r="B488" s="39" t="n"/>
      <c r="C488" s="39" t="n"/>
      <c r="D488" s="38" t="n"/>
      <c r="E488" s="38" t="n"/>
      <c r="F488" s="38" t="n"/>
      <c r="G488" s="37">
        <f>IF(COUNTA(A488:F488)=0,"",IF(A488="EXAMPLE","Example (skipped)",IF(OR(C488="",E488="",F488=""),"✖ Portal, User ID and Password are all needed",IF(AND(A488="",COUNTIF(Clients!$B$5:$B$1005,B488)=0),"Not on Clients — will match a portal client by name",IF(AND(C488="GST",D488&lt;&gt;"",COUNTIF(Clients!$AN$5:$AN$1005,UPPER(D488))=0,COUNTIF(Clients!$G$5:$G$1005,"*"&amp;UPPER(D488)&amp;"*")=0),"GSTIN not on Clients — will be checked in the portal","✔ OK")))))</f>
        <v/>
      </c>
    </row>
    <row r="489">
      <c r="A489" s="38" t="n"/>
      <c r="B489" s="39" t="n"/>
      <c r="C489" s="39" t="n"/>
      <c r="D489" s="38" t="n"/>
      <c r="E489" s="38" t="n"/>
      <c r="F489" s="38" t="n"/>
      <c r="G489" s="37">
        <f>IF(COUNTA(A489:F489)=0,"",IF(A489="EXAMPLE","Example (skipped)",IF(OR(C489="",E489="",F489=""),"✖ Portal, User ID and Password are all needed",IF(AND(A489="",COUNTIF(Clients!$B$5:$B$1005,B489)=0),"Not on Clients — will match a portal client by name",IF(AND(C489="GST",D489&lt;&gt;"",COUNTIF(Clients!$AN$5:$AN$1005,UPPER(D489))=0,COUNTIF(Clients!$G$5:$G$1005,"*"&amp;UPPER(D489)&amp;"*")=0),"GSTIN not on Clients — will be checked in the portal","✔ OK")))))</f>
        <v/>
      </c>
    </row>
    <row r="490">
      <c r="A490" s="38" t="n"/>
      <c r="B490" s="39" t="n"/>
      <c r="C490" s="39" t="n"/>
      <c r="D490" s="38" t="n"/>
      <c r="E490" s="38" t="n"/>
      <c r="F490" s="38" t="n"/>
      <c r="G490" s="37">
        <f>IF(COUNTA(A490:F490)=0,"",IF(A490="EXAMPLE","Example (skipped)",IF(OR(C490="",E490="",F490=""),"✖ Portal, User ID and Password are all needed",IF(AND(A490="",COUNTIF(Clients!$B$5:$B$1005,B490)=0),"Not on Clients — will match a portal client by name",IF(AND(C490="GST",D490&lt;&gt;"",COUNTIF(Clients!$AN$5:$AN$1005,UPPER(D490))=0,COUNTIF(Clients!$G$5:$G$1005,"*"&amp;UPPER(D490)&amp;"*")=0),"GSTIN not on Clients — will be checked in the portal","✔ OK")))))</f>
        <v/>
      </c>
    </row>
    <row r="491">
      <c r="A491" s="38" t="n"/>
      <c r="B491" s="39" t="n"/>
      <c r="C491" s="39" t="n"/>
      <c r="D491" s="38" t="n"/>
      <c r="E491" s="38" t="n"/>
      <c r="F491" s="38" t="n"/>
      <c r="G491" s="37">
        <f>IF(COUNTA(A491:F491)=0,"",IF(A491="EXAMPLE","Example (skipped)",IF(OR(C491="",E491="",F491=""),"✖ Portal, User ID and Password are all needed",IF(AND(A491="",COUNTIF(Clients!$B$5:$B$1005,B491)=0),"Not on Clients — will match a portal client by name",IF(AND(C491="GST",D491&lt;&gt;"",COUNTIF(Clients!$AN$5:$AN$1005,UPPER(D491))=0,COUNTIF(Clients!$G$5:$G$1005,"*"&amp;UPPER(D491)&amp;"*")=0),"GSTIN not on Clients — will be checked in the portal","✔ OK")))))</f>
        <v/>
      </c>
    </row>
    <row r="492">
      <c r="A492" s="38" t="n"/>
      <c r="B492" s="39" t="n"/>
      <c r="C492" s="39" t="n"/>
      <c r="D492" s="38" t="n"/>
      <c r="E492" s="38" t="n"/>
      <c r="F492" s="38" t="n"/>
      <c r="G492" s="37">
        <f>IF(COUNTA(A492:F492)=0,"",IF(A492="EXAMPLE","Example (skipped)",IF(OR(C492="",E492="",F492=""),"✖ Portal, User ID and Password are all needed",IF(AND(A492="",COUNTIF(Clients!$B$5:$B$1005,B492)=0),"Not on Clients — will match a portal client by name",IF(AND(C492="GST",D492&lt;&gt;"",COUNTIF(Clients!$AN$5:$AN$1005,UPPER(D492))=0,COUNTIF(Clients!$G$5:$G$1005,"*"&amp;UPPER(D492)&amp;"*")=0),"GSTIN not on Clients — will be checked in the portal","✔ OK")))))</f>
        <v/>
      </c>
    </row>
    <row r="493">
      <c r="A493" s="38" t="n"/>
      <c r="B493" s="39" t="n"/>
      <c r="C493" s="39" t="n"/>
      <c r="D493" s="38" t="n"/>
      <c r="E493" s="38" t="n"/>
      <c r="F493" s="38" t="n"/>
      <c r="G493" s="37">
        <f>IF(COUNTA(A493:F493)=0,"",IF(A493="EXAMPLE","Example (skipped)",IF(OR(C493="",E493="",F493=""),"✖ Portal, User ID and Password are all needed",IF(AND(A493="",COUNTIF(Clients!$B$5:$B$1005,B493)=0),"Not on Clients — will match a portal client by name",IF(AND(C493="GST",D493&lt;&gt;"",COUNTIF(Clients!$AN$5:$AN$1005,UPPER(D493))=0,COUNTIF(Clients!$G$5:$G$1005,"*"&amp;UPPER(D493)&amp;"*")=0),"GSTIN not on Clients — will be checked in the portal","✔ OK")))))</f>
        <v/>
      </c>
    </row>
    <row r="494">
      <c r="A494" s="38" t="n"/>
      <c r="B494" s="39" t="n"/>
      <c r="C494" s="39" t="n"/>
      <c r="D494" s="38" t="n"/>
      <c r="E494" s="38" t="n"/>
      <c r="F494" s="38" t="n"/>
      <c r="G494" s="37">
        <f>IF(COUNTA(A494:F494)=0,"",IF(A494="EXAMPLE","Example (skipped)",IF(OR(C494="",E494="",F494=""),"✖ Portal, User ID and Password are all needed",IF(AND(A494="",COUNTIF(Clients!$B$5:$B$1005,B494)=0),"Not on Clients — will match a portal client by name",IF(AND(C494="GST",D494&lt;&gt;"",COUNTIF(Clients!$AN$5:$AN$1005,UPPER(D494))=0,COUNTIF(Clients!$G$5:$G$1005,"*"&amp;UPPER(D494)&amp;"*")=0),"GSTIN not on Clients — will be checked in the portal","✔ OK")))))</f>
        <v/>
      </c>
    </row>
    <row r="495">
      <c r="A495" s="38" t="n"/>
      <c r="B495" s="39" t="n"/>
      <c r="C495" s="39" t="n"/>
      <c r="D495" s="38" t="n"/>
      <c r="E495" s="38" t="n"/>
      <c r="F495" s="38" t="n"/>
      <c r="G495" s="37">
        <f>IF(COUNTA(A495:F495)=0,"",IF(A495="EXAMPLE","Example (skipped)",IF(OR(C495="",E495="",F495=""),"✖ Portal, User ID and Password are all needed",IF(AND(A495="",COUNTIF(Clients!$B$5:$B$1005,B495)=0),"Not on Clients — will match a portal client by name",IF(AND(C495="GST",D495&lt;&gt;"",COUNTIF(Clients!$AN$5:$AN$1005,UPPER(D495))=0,COUNTIF(Clients!$G$5:$G$1005,"*"&amp;UPPER(D495)&amp;"*")=0),"GSTIN not on Clients — will be checked in the portal","✔ OK")))))</f>
        <v/>
      </c>
    </row>
    <row r="496">
      <c r="A496" s="38" t="n"/>
      <c r="B496" s="39" t="n"/>
      <c r="C496" s="39" t="n"/>
      <c r="D496" s="38" t="n"/>
      <c r="E496" s="38" t="n"/>
      <c r="F496" s="38" t="n"/>
      <c r="G496" s="37">
        <f>IF(COUNTA(A496:F496)=0,"",IF(A496="EXAMPLE","Example (skipped)",IF(OR(C496="",E496="",F496=""),"✖ Portal, User ID and Password are all needed",IF(AND(A496="",COUNTIF(Clients!$B$5:$B$1005,B496)=0),"Not on Clients — will match a portal client by name",IF(AND(C496="GST",D496&lt;&gt;"",COUNTIF(Clients!$AN$5:$AN$1005,UPPER(D496))=0,COUNTIF(Clients!$G$5:$G$1005,"*"&amp;UPPER(D496)&amp;"*")=0),"GSTIN not on Clients — will be checked in the portal","✔ OK")))))</f>
        <v/>
      </c>
    </row>
    <row r="497">
      <c r="A497" s="38" t="n"/>
      <c r="B497" s="39" t="n"/>
      <c r="C497" s="39" t="n"/>
      <c r="D497" s="38" t="n"/>
      <c r="E497" s="38" t="n"/>
      <c r="F497" s="38" t="n"/>
      <c r="G497" s="37">
        <f>IF(COUNTA(A497:F497)=0,"",IF(A497="EXAMPLE","Example (skipped)",IF(OR(C497="",E497="",F497=""),"✖ Portal, User ID and Password are all needed",IF(AND(A497="",COUNTIF(Clients!$B$5:$B$1005,B497)=0),"Not on Clients — will match a portal client by name",IF(AND(C497="GST",D497&lt;&gt;"",COUNTIF(Clients!$AN$5:$AN$1005,UPPER(D497))=0,COUNTIF(Clients!$G$5:$G$1005,"*"&amp;UPPER(D497)&amp;"*")=0),"GSTIN not on Clients — will be checked in the portal","✔ OK")))))</f>
        <v/>
      </c>
    </row>
    <row r="498">
      <c r="A498" s="38" t="n"/>
      <c r="B498" s="39" t="n"/>
      <c r="C498" s="39" t="n"/>
      <c r="D498" s="38" t="n"/>
      <c r="E498" s="38" t="n"/>
      <c r="F498" s="38" t="n"/>
      <c r="G498" s="37">
        <f>IF(COUNTA(A498:F498)=0,"",IF(A498="EXAMPLE","Example (skipped)",IF(OR(C498="",E498="",F498=""),"✖ Portal, User ID and Password are all needed",IF(AND(A498="",COUNTIF(Clients!$B$5:$B$1005,B498)=0),"Not on Clients — will match a portal client by name",IF(AND(C498="GST",D498&lt;&gt;"",COUNTIF(Clients!$AN$5:$AN$1005,UPPER(D498))=0,COUNTIF(Clients!$G$5:$G$1005,"*"&amp;UPPER(D498)&amp;"*")=0),"GSTIN not on Clients — will be checked in the portal","✔ OK")))))</f>
        <v/>
      </c>
    </row>
    <row r="499">
      <c r="A499" s="38" t="n"/>
      <c r="B499" s="39" t="n"/>
      <c r="C499" s="39" t="n"/>
      <c r="D499" s="38" t="n"/>
      <c r="E499" s="38" t="n"/>
      <c r="F499" s="38" t="n"/>
      <c r="G499" s="37">
        <f>IF(COUNTA(A499:F499)=0,"",IF(A499="EXAMPLE","Example (skipped)",IF(OR(C499="",E499="",F499=""),"✖ Portal, User ID and Password are all needed",IF(AND(A499="",COUNTIF(Clients!$B$5:$B$1005,B499)=0),"Not on Clients — will match a portal client by name",IF(AND(C499="GST",D499&lt;&gt;"",COUNTIF(Clients!$AN$5:$AN$1005,UPPER(D499))=0,COUNTIF(Clients!$G$5:$G$1005,"*"&amp;UPPER(D499)&amp;"*")=0),"GSTIN not on Clients — will be checked in the portal","✔ OK")))))</f>
        <v/>
      </c>
    </row>
    <row r="500">
      <c r="A500" s="38" t="n"/>
      <c r="B500" s="39" t="n"/>
      <c r="C500" s="39" t="n"/>
      <c r="D500" s="38" t="n"/>
      <c r="E500" s="38" t="n"/>
      <c r="F500" s="38" t="n"/>
      <c r="G500" s="37">
        <f>IF(COUNTA(A500:F500)=0,"",IF(A500="EXAMPLE","Example (skipped)",IF(OR(C500="",E500="",F500=""),"✖ Portal, User ID and Password are all needed",IF(AND(A500="",COUNTIF(Clients!$B$5:$B$1005,B500)=0),"Not on Clients — will match a portal client by name",IF(AND(C500="GST",D500&lt;&gt;"",COUNTIF(Clients!$AN$5:$AN$1005,UPPER(D500))=0,COUNTIF(Clients!$G$5:$G$1005,"*"&amp;UPPER(D500)&amp;"*")=0),"GSTIN not on Clients — will be checked in the portal","✔ OK")))))</f>
        <v/>
      </c>
    </row>
    <row r="501">
      <c r="A501" s="38" t="n"/>
      <c r="B501" s="39" t="n"/>
      <c r="C501" s="39" t="n"/>
      <c r="D501" s="38" t="n"/>
      <c r="E501" s="38" t="n"/>
      <c r="F501" s="38" t="n"/>
      <c r="G501" s="37">
        <f>IF(COUNTA(A501:F501)=0,"",IF(A501="EXAMPLE","Example (skipped)",IF(OR(C501="",E501="",F501=""),"✖ Portal, User ID and Password are all needed",IF(AND(A501="",COUNTIF(Clients!$B$5:$B$1005,B501)=0),"Not on Clients — will match a portal client by name",IF(AND(C501="GST",D501&lt;&gt;"",COUNTIF(Clients!$AN$5:$AN$1005,UPPER(D501))=0,COUNTIF(Clients!$G$5:$G$1005,"*"&amp;UPPER(D501)&amp;"*")=0),"GSTIN not on Clients — will be checked in the portal","✔ OK")))))</f>
        <v/>
      </c>
    </row>
    <row r="502">
      <c r="A502" s="38" t="n"/>
      <c r="B502" s="39" t="n"/>
      <c r="C502" s="39" t="n"/>
      <c r="D502" s="38" t="n"/>
      <c r="E502" s="38" t="n"/>
      <c r="F502" s="38" t="n"/>
      <c r="G502" s="37">
        <f>IF(COUNTA(A502:F502)=0,"",IF(A502="EXAMPLE","Example (skipped)",IF(OR(C502="",E502="",F502=""),"✖ Portal, User ID and Password are all needed",IF(AND(A502="",COUNTIF(Clients!$B$5:$B$1005,B502)=0),"Not on Clients — will match a portal client by name",IF(AND(C502="GST",D502&lt;&gt;"",COUNTIF(Clients!$AN$5:$AN$1005,UPPER(D502))=0,COUNTIF(Clients!$G$5:$G$1005,"*"&amp;UPPER(D502)&amp;"*")=0),"GSTIN not on Clients — will be checked in the portal","✔ OK")))))</f>
        <v/>
      </c>
    </row>
    <row r="503">
      <c r="A503" s="38" t="n"/>
      <c r="B503" s="39" t="n"/>
      <c r="C503" s="39" t="n"/>
      <c r="D503" s="38" t="n"/>
      <c r="E503" s="38" t="n"/>
      <c r="F503" s="38" t="n"/>
      <c r="G503" s="37">
        <f>IF(COUNTA(A503:F503)=0,"",IF(A503="EXAMPLE","Example (skipped)",IF(OR(C503="",E503="",F503=""),"✖ Portal, User ID and Password are all needed",IF(AND(A503="",COUNTIF(Clients!$B$5:$B$1005,B503)=0),"Not on Clients — will match a portal client by name",IF(AND(C503="GST",D503&lt;&gt;"",COUNTIF(Clients!$AN$5:$AN$1005,UPPER(D503))=0,COUNTIF(Clients!$G$5:$G$1005,"*"&amp;UPPER(D503)&amp;"*")=0),"GSTIN not on Clients — will be checked in the portal","✔ OK")))))</f>
        <v/>
      </c>
    </row>
    <row r="504">
      <c r="A504" s="38" t="n"/>
      <c r="B504" s="39" t="n"/>
      <c r="C504" s="39" t="n"/>
      <c r="D504" s="38" t="n"/>
      <c r="E504" s="38" t="n"/>
      <c r="F504" s="38" t="n"/>
      <c r="G504" s="37">
        <f>IF(COUNTA(A504:F504)=0,"",IF(A504="EXAMPLE","Example (skipped)",IF(OR(C504="",E504="",F504=""),"✖ Portal, User ID and Password are all needed",IF(AND(A504="",COUNTIF(Clients!$B$5:$B$1005,B504)=0),"Not on Clients — will match a portal client by name",IF(AND(C504="GST",D504&lt;&gt;"",COUNTIF(Clients!$AN$5:$AN$1005,UPPER(D504))=0,COUNTIF(Clients!$G$5:$G$1005,"*"&amp;UPPER(D504)&amp;"*")=0),"GSTIN not on Clients — will be checked in the portal","✔ OK")))))</f>
        <v/>
      </c>
    </row>
    <row r="505">
      <c r="A505" s="38" t="n"/>
      <c r="B505" s="39" t="n"/>
      <c r="C505" s="39" t="n"/>
      <c r="D505" s="38" t="n"/>
      <c r="E505" s="38" t="n"/>
      <c r="F505" s="38" t="n"/>
      <c r="G505" s="37">
        <f>IF(COUNTA(A505:F505)=0,"",IF(A505="EXAMPLE","Example (skipped)",IF(OR(C505="",E505="",F505=""),"✖ Portal, User ID and Password are all needed",IF(AND(A505="",COUNTIF(Clients!$B$5:$B$1005,B505)=0),"Not on Clients — will match a portal client by name",IF(AND(C505="GST",D505&lt;&gt;"",COUNTIF(Clients!$AN$5:$AN$1005,UPPER(D505))=0,COUNTIF(Clients!$G$5:$G$1005,"*"&amp;UPPER(D505)&amp;"*")=0),"GSTIN not on Clients — will be checked in the portal","✔ OK")))))</f>
        <v/>
      </c>
    </row>
    <row r="506">
      <c r="A506" s="38" t="n"/>
      <c r="B506" s="39" t="n"/>
      <c r="C506" s="39" t="n"/>
      <c r="D506" s="38" t="n"/>
      <c r="E506" s="38" t="n"/>
      <c r="F506" s="38" t="n"/>
      <c r="G506" s="37">
        <f>IF(COUNTA(A506:F506)=0,"",IF(A506="EXAMPLE","Example (skipped)",IF(OR(C506="",E506="",F506=""),"✖ Portal, User ID and Password are all needed",IF(AND(A506="",COUNTIF(Clients!$B$5:$B$1005,B506)=0),"Not on Clients — will match a portal client by name",IF(AND(C506="GST",D506&lt;&gt;"",COUNTIF(Clients!$AN$5:$AN$1005,UPPER(D506))=0,COUNTIF(Clients!$G$5:$G$1005,"*"&amp;UPPER(D506)&amp;"*")=0),"GSTIN not on Clients — will be checked in the portal","✔ OK")))))</f>
        <v/>
      </c>
    </row>
    <row r="507">
      <c r="A507" s="38" t="n"/>
      <c r="B507" s="39" t="n"/>
      <c r="C507" s="39" t="n"/>
      <c r="D507" s="38" t="n"/>
      <c r="E507" s="38" t="n"/>
      <c r="F507" s="38" t="n"/>
      <c r="G507" s="37">
        <f>IF(COUNTA(A507:F507)=0,"",IF(A507="EXAMPLE","Example (skipped)",IF(OR(C507="",E507="",F507=""),"✖ Portal, User ID and Password are all needed",IF(AND(A507="",COUNTIF(Clients!$B$5:$B$1005,B507)=0),"Not on Clients — will match a portal client by name",IF(AND(C507="GST",D507&lt;&gt;"",COUNTIF(Clients!$AN$5:$AN$1005,UPPER(D507))=0,COUNTIF(Clients!$G$5:$G$1005,"*"&amp;UPPER(D507)&amp;"*")=0),"GSTIN not on Clients — will be checked in the portal","✔ OK")))))</f>
        <v/>
      </c>
    </row>
    <row r="508">
      <c r="A508" s="38" t="n"/>
      <c r="B508" s="39" t="n"/>
      <c r="C508" s="39" t="n"/>
      <c r="D508" s="38" t="n"/>
      <c r="E508" s="38" t="n"/>
      <c r="F508" s="38" t="n"/>
      <c r="G508" s="37">
        <f>IF(COUNTA(A508:F508)=0,"",IF(A508="EXAMPLE","Example (skipped)",IF(OR(C508="",E508="",F508=""),"✖ Portal, User ID and Password are all needed",IF(AND(A508="",COUNTIF(Clients!$B$5:$B$1005,B508)=0),"Not on Clients — will match a portal client by name",IF(AND(C508="GST",D508&lt;&gt;"",COUNTIF(Clients!$AN$5:$AN$1005,UPPER(D508))=0,COUNTIF(Clients!$G$5:$G$1005,"*"&amp;UPPER(D508)&amp;"*")=0),"GSTIN not on Clients — will be checked in the portal","✔ OK")))))</f>
        <v/>
      </c>
    </row>
    <row r="509">
      <c r="A509" s="38" t="n"/>
      <c r="B509" s="39" t="n"/>
      <c r="C509" s="39" t="n"/>
      <c r="D509" s="38" t="n"/>
      <c r="E509" s="38" t="n"/>
      <c r="F509" s="38" t="n"/>
      <c r="G509" s="37">
        <f>IF(COUNTA(A509:F509)=0,"",IF(A509="EXAMPLE","Example (skipped)",IF(OR(C509="",E509="",F509=""),"✖ Portal, User ID and Password are all needed",IF(AND(A509="",COUNTIF(Clients!$B$5:$B$1005,B509)=0),"Not on Clients — will match a portal client by name",IF(AND(C509="GST",D509&lt;&gt;"",COUNTIF(Clients!$AN$5:$AN$1005,UPPER(D509))=0,COUNTIF(Clients!$G$5:$G$1005,"*"&amp;UPPER(D509)&amp;"*")=0),"GSTIN not on Clients — will be checked in the portal","✔ OK")))))</f>
        <v/>
      </c>
    </row>
    <row r="510">
      <c r="A510" s="38" t="n"/>
      <c r="B510" s="39" t="n"/>
      <c r="C510" s="39" t="n"/>
      <c r="D510" s="38" t="n"/>
      <c r="E510" s="38" t="n"/>
      <c r="F510" s="38" t="n"/>
      <c r="G510" s="37">
        <f>IF(COUNTA(A510:F510)=0,"",IF(A510="EXAMPLE","Example (skipped)",IF(OR(C510="",E510="",F510=""),"✖ Portal, User ID and Password are all needed",IF(AND(A510="",COUNTIF(Clients!$B$5:$B$1005,B510)=0),"Not on Clients — will match a portal client by name",IF(AND(C510="GST",D510&lt;&gt;"",COUNTIF(Clients!$AN$5:$AN$1005,UPPER(D510))=0,COUNTIF(Clients!$G$5:$G$1005,"*"&amp;UPPER(D510)&amp;"*")=0),"GSTIN not on Clients — will be checked in the portal","✔ OK")))))</f>
        <v/>
      </c>
    </row>
    <row r="511">
      <c r="A511" s="38" t="n"/>
      <c r="B511" s="39" t="n"/>
      <c r="C511" s="39" t="n"/>
      <c r="D511" s="38" t="n"/>
      <c r="E511" s="38" t="n"/>
      <c r="F511" s="38" t="n"/>
      <c r="G511" s="37">
        <f>IF(COUNTA(A511:F511)=0,"",IF(A511="EXAMPLE","Example (skipped)",IF(OR(C511="",E511="",F511=""),"✖ Portal, User ID and Password are all needed",IF(AND(A511="",COUNTIF(Clients!$B$5:$B$1005,B511)=0),"Not on Clients — will match a portal client by name",IF(AND(C511="GST",D511&lt;&gt;"",COUNTIF(Clients!$AN$5:$AN$1005,UPPER(D511))=0,COUNTIF(Clients!$G$5:$G$1005,"*"&amp;UPPER(D511)&amp;"*")=0),"GSTIN not on Clients — will be checked in the portal","✔ OK")))))</f>
        <v/>
      </c>
    </row>
    <row r="512">
      <c r="A512" s="38" t="n"/>
      <c r="B512" s="39" t="n"/>
      <c r="C512" s="39" t="n"/>
      <c r="D512" s="38" t="n"/>
      <c r="E512" s="38" t="n"/>
      <c r="F512" s="38" t="n"/>
      <c r="G512" s="37">
        <f>IF(COUNTA(A512:F512)=0,"",IF(A512="EXAMPLE","Example (skipped)",IF(OR(C512="",E512="",F512=""),"✖ Portal, User ID and Password are all needed",IF(AND(A512="",COUNTIF(Clients!$B$5:$B$1005,B512)=0),"Not on Clients — will match a portal client by name",IF(AND(C512="GST",D512&lt;&gt;"",COUNTIF(Clients!$AN$5:$AN$1005,UPPER(D512))=0,COUNTIF(Clients!$G$5:$G$1005,"*"&amp;UPPER(D512)&amp;"*")=0),"GSTIN not on Clients — will be checked in the portal","✔ OK")))))</f>
        <v/>
      </c>
    </row>
    <row r="513">
      <c r="A513" s="38" t="n"/>
      <c r="B513" s="39" t="n"/>
      <c r="C513" s="39" t="n"/>
      <c r="D513" s="38" t="n"/>
      <c r="E513" s="38" t="n"/>
      <c r="F513" s="38" t="n"/>
      <c r="G513" s="37">
        <f>IF(COUNTA(A513:F513)=0,"",IF(A513="EXAMPLE","Example (skipped)",IF(OR(C513="",E513="",F513=""),"✖ Portal, User ID and Password are all needed",IF(AND(A513="",COUNTIF(Clients!$B$5:$B$1005,B513)=0),"Not on Clients — will match a portal client by name",IF(AND(C513="GST",D513&lt;&gt;"",COUNTIF(Clients!$AN$5:$AN$1005,UPPER(D513))=0,COUNTIF(Clients!$G$5:$G$1005,"*"&amp;UPPER(D513)&amp;"*")=0),"GSTIN not on Clients — will be checked in the portal","✔ OK")))))</f>
        <v/>
      </c>
    </row>
    <row r="514">
      <c r="A514" s="38" t="n"/>
      <c r="B514" s="39" t="n"/>
      <c r="C514" s="39" t="n"/>
      <c r="D514" s="38" t="n"/>
      <c r="E514" s="38" t="n"/>
      <c r="F514" s="38" t="n"/>
      <c r="G514" s="37">
        <f>IF(COUNTA(A514:F514)=0,"",IF(A514="EXAMPLE","Example (skipped)",IF(OR(C514="",E514="",F514=""),"✖ Portal, User ID and Password are all needed",IF(AND(A514="",COUNTIF(Clients!$B$5:$B$1005,B514)=0),"Not on Clients — will match a portal client by name",IF(AND(C514="GST",D514&lt;&gt;"",COUNTIF(Clients!$AN$5:$AN$1005,UPPER(D514))=0,COUNTIF(Clients!$G$5:$G$1005,"*"&amp;UPPER(D514)&amp;"*")=0),"GSTIN not on Clients — will be checked in the portal","✔ OK")))))</f>
        <v/>
      </c>
    </row>
    <row r="515">
      <c r="A515" s="38" t="n"/>
      <c r="B515" s="39" t="n"/>
      <c r="C515" s="39" t="n"/>
      <c r="D515" s="38" t="n"/>
      <c r="E515" s="38" t="n"/>
      <c r="F515" s="38" t="n"/>
      <c r="G515" s="37">
        <f>IF(COUNTA(A515:F515)=0,"",IF(A515="EXAMPLE","Example (skipped)",IF(OR(C515="",E515="",F515=""),"✖ Portal, User ID and Password are all needed",IF(AND(A515="",COUNTIF(Clients!$B$5:$B$1005,B515)=0),"Not on Clients — will match a portal client by name",IF(AND(C515="GST",D515&lt;&gt;"",COUNTIF(Clients!$AN$5:$AN$1005,UPPER(D515))=0,COUNTIF(Clients!$G$5:$G$1005,"*"&amp;UPPER(D515)&amp;"*")=0),"GSTIN not on Clients — will be checked in the portal","✔ OK")))))</f>
        <v/>
      </c>
    </row>
    <row r="516">
      <c r="A516" s="38" t="n"/>
      <c r="B516" s="39" t="n"/>
      <c r="C516" s="39" t="n"/>
      <c r="D516" s="38" t="n"/>
      <c r="E516" s="38" t="n"/>
      <c r="F516" s="38" t="n"/>
      <c r="G516" s="37">
        <f>IF(COUNTA(A516:F516)=0,"",IF(A516="EXAMPLE","Example (skipped)",IF(OR(C516="",E516="",F516=""),"✖ Portal, User ID and Password are all needed",IF(AND(A516="",COUNTIF(Clients!$B$5:$B$1005,B516)=0),"Not on Clients — will match a portal client by name",IF(AND(C516="GST",D516&lt;&gt;"",COUNTIF(Clients!$AN$5:$AN$1005,UPPER(D516))=0,COUNTIF(Clients!$G$5:$G$1005,"*"&amp;UPPER(D516)&amp;"*")=0),"GSTIN not on Clients — will be checked in the portal","✔ OK")))))</f>
        <v/>
      </c>
    </row>
    <row r="517">
      <c r="A517" s="38" t="n"/>
      <c r="B517" s="39" t="n"/>
      <c r="C517" s="39" t="n"/>
      <c r="D517" s="38" t="n"/>
      <c r="E517" s="38" t="n"/>
      <c r="F517" s="38" t="n"/>
      <c r="G517" s="37">
        <f>IF(COUNTA(A517:F517)=0,"",IF(A517="EXAMPLE","Example (skipped)",IF(OR(C517="",E517="",F517=""),"✖ Portal, User ID and Password are all needed",IF(AND(A517="",COUNTIF(Clients!$B$5:$B$1005,B517)=0),"Not on Clients — will match a portal client by name",IF(AND(C517="GST",D517&lt;&gt;"",COUNTIF(Clients!$AN$5:$AN$1005,UPPER(D517))=0,COUNTIF(Clients!$G$5:$G$1005,"*"&amp;UPPER(D517)&amp;"*")=0),"GSTIN not on Clients — will be checked in the portal","✔ OK")))))</f>
        <v/>
      </c>
    </row>
    <row r="518">
      <c r="A518" s="38" t="n"/>
      <c r="B518" s="39" t="n"/>
      <c r="C518" s="39" t="n"/>
      <c r="D518" s="38" t="n"/>
      <c r="E518" s="38" t="n"/>
      <c r="F518" s="38" t="n"/>
      <c r="G518" s="37">
        <f>IF(COUNTA(A518:F518)=0,"",IF(A518="EXAMPLE","Example (skipped)",IF(OR(C518="",E518="",F518=""),"✖ Portal, User ID and Password are all needed",IF(AND(A518="",COUNTIF(Clients!$B$5:$B$1005,B518)=0),"Not on Clients — will match a portal client by name",IF(AND(C518="GST",D518&lt;&gt;"",COUNTIF(Clients!$AN$5:$AN$1005,UPPER(D518))=0,COUNTIF(Clients!$G$5:$G$1005,"*"&amp;UPPER(D518)&amp;"*")=0),"GSTIN not on Clients — will be checked in the portal","✔ OK")))))</f>
        <v/>
      </c>
    </row>
    <row r="519">
      <c r="A519" s="38" t="n"/>
      <c r="B519" s="39" t="n"/>
      <c r="C519" s="39" t="n"/>
      <c r="D519" s="38" t="n"/>
      <c r="E519" s="38" t="n"/>
      <c r="F519" s="38" t="n"/>
      <c r="G519" s="37">
        <f>IF(COUNTA(A519:F519)=0,"",IF(A519="EXAMPLE","Example (skipped)",IF(OR(C519="",E519="",F519=""),"✖ Portal, User ID and Password are all needed",IF(AND(A519="",COUNTIF(Clients!$B$5:$B$1005,B519)=0),"Not on Clients — will match a portal client by name",IF(AND(C519="GST",D519&lt;&gt;"",COUNTIF(Clients!$AN$5:$AN$1005,UPPER(D519))=0,COUNTIF(Clients!$G$5:$G$1005,"*"&amp;UPPER(D519)&amp;"*")=0),"GSTIN not on Clients — will be checked in the portal","✔ OK")))))</f>
        <v/>
      </c>
    </row>
    <row r="520">
      <c r="A520" s="38" t="n"/>
      <c r="B520" s="39" t="n"/>
      <c r="C520" s="39" t="n"/>
      <c r="D520" s="38" t="n"/>
      <c r="E520" s="38" t="n"/>
      <c r="F520" s="38" t="n"/>
      <c r="G520" s="37">
        <f>IF(COUNTA(A520:F520)=0,"",IF(A520="EXAMPLE","Example (skipped)",IF(OR(C520="",E520="",F520=""),"✖ Portal, User ID and Password are all needed",IF(AND(A520="",COUNTIF(Clients!$B$5:$B$1005,B520)=0),"Not on Clients — will match a portal client by name",IF(AND(C520="GST",D520&lt;&gt;"",COUNTIF(Clients!$AN$5:$AN$1005,UPPER(D520))=0,COUNTIF(Clients!$G$5:$G$1005,"*"&amp;UPPER(D520)&amp;"*")=0),"GSTIN not on Clients — will be checked in the portal","✔ OK")))))</f>
        <v/>
      </c>
    </row>
    <row r="521">
      <c r="A521" s="38" t="n"/>
      <c r="B521" s="39" t="n"/>
      <c r="C521" s="39" t="n"/>
      <c r="D521" s="38" t="n"/>
      <c r="E521" s="38" t="n"/>
      <c r="F521" s="38" t="n"/>
      <c r="G521" s="37">
        <f>IF(COUNTA(A521:F521)=0,"",IF(A521="EXAMPLE","Example (skipped)",IF(OR(C521="",E521="",F521=""),"✖ Portal, User ID and Password are all needed",IF(AND(A521="",COUNTIF(Clients!$B$5:$B$1005,B521)=0),"Not on Clients — will match a portal client by name",IF(AND(C521="GST",D521&lt;&gt;"",COUNTIF(Clients!$AN$5:$AN$1005,UPPER(D521))=0,COUNTIF(Clients!$G$5:$G$1005,"*"&amp;UPPER(D521)&amp;"*")=0),"GSTIN not on Clients — will be checked in the portal","✔ OK")))))</f>
        <v/>
      </c>
    </row>
    <row r="522">
      <c r="A522" s="38" t="n"/>
      <c r="B522" s="39" t="n"/>
      <c r="C522" s="39" t="n"/>
      <c r="D522" s="38" t="n"/>
      <c r="E522" s="38" t="n"/>
      <c r="F522" s="38" t="n"/>
      <c r="G522" s="37">
        <f>IF(COUNTA(A522:F522)=0,"",IF(A522="EXAMPLE","Example (skipped)",IF(OR(C522="",E522="",F522=""),"✖ Portal, User ID and Password are all needed",IF(AND(A522="",COUNTIF(Clients!$B$5:$B$1005,B522)=0),"Not on Clients — will match a portal client by name",IF(AND(C522="GST",D522&lt;&gt;"",COUNTIF(Clients!$AN$5:$AN$1005,UPPER(D522))=0,COUNTIF(Clients!$G$5:$G$1005,"*"&amp;UPPER(D522)&amp;"*")=0),"GSTIN not on Clients — will be checked in the portal","✔ OK")))))</f>
        <v/>
      </c>
    </row>
    <row r="523">
      <c r="A523" s="38" t="n"/>
      <c r="B523" s="39" t="n"/>
      <c r="C523" s="39" t="n"/>
      <c r="D523" s="38" t="n"/>
      <c r="E523" s="38" t="n"/>
      <c r="F523" s="38" t="n"/>
      <c r="G523" s="37">
        <f>IF(COUNTA(A523:F523)=0,"",IF(A523="EXAMPLE","Example (skipped)",IF(OR(C523="",E523="",F523=""),"✖ Portal, User ID and Password are all needed",IF(AND(A523="",COUNTIF(Clients!$B$5:$B$1005,B523)=0),"Not on Clients — will match a portal client by name",IF(AND(C523="GST",D523&lt;&gt;"",COUNTIF(Clients!$AN$5:$AN$1005,UPPER(D523))=0,COUNTIF(Clients!$G$5:$G$1005,"*"&amp;UPPER(D523)&amp;"*")=0),"GSTIN not on Clients — will be checked in the portal","✔ OK")))))</f>
        <v/>
      </c>
    </row>
    <row r="524">
      <c r="A524" s="38" t="n"/>
      <c r="B524" s="39" t="n"/>
      <c r="C524" s="39" t="n"/>
      <c r="D524" s="38" t="n"/>
      <c r="E524" s="38" t="n"/>
      <c r="F524" s="38" t="n"/>
      <c r="G524" s="37">
        <f>IF(COUNTA(A524:F524)=0,"",IF(A524="EXAMPLE","Example (skipped)",IF(OR(C524="",E524="",F524=""),"✖ Portal, User ID and Password are all needed",IF(AND(A524="",COUNTIF(Clients!$B$5:$B$1005,B524)=0),"Not on Clients — will match a portal client by name",IF(AND(C524="GST",D524&lt;&gt;"",COUNTIF(Clients!$AN$5:$AN$1005,UPPER(D524))=0,COUNTIF(Clients!$G$5:$G$1005,"*"&amp;UPPER(D524)&amp;"*")=0),"GSTIN not on Clients — will be checked in the portal","✔ OK")))))</f>
        <v/>
      </c>
    </row>
    <row r="525">
      <c r="A525" s="38" t="n"/>
      <c r="B525" s="39" t="n"/>
      <c r="C525" s="39" t="n"/>
      <c r="D525" s="38" t="n"/>
      <c r="E525" s="38" t="n"/>
      <c r="F525" s="38" t="n"/>
      <c r="G525" s="37">
        <f>IF(COUNTA(A525:F525)=0,"",IF(A525="EXAMPLE","Example (skipped)",IF(OR(C525="",E525="",F525=""),"✖ Portal, User ID and Password are all needed",IF(AND(A525="",COUNTIF(Clients!$B$5:$B$1005,B525)=0),"Not on Clients — will match a portal client by name",IF(AND(C525="GST",D525&lt;&gt;"",COUNTIF(Clients!$AN$5:$AN$1005,UPPER(D525))=0,COUNTIF(Clients!$G$5:$G$1005,"*"&amp;UPPER(D525)&amp;"*")=0),"GSTIN not on Clients — will be checked in the portal","✔ OK")))))</f>
        <v/>
      </c>
    </row>
    <row r="526">
      <c r="A526" s="38" t="n"/>
      <c r="B526" s="39" t="n"/>
      <c r="C526" s="39" t="n"/>
      <c r="D526" s="38" t="n"/>
      <c r="E526" s="38" t="n"/>
      <c r="F526" s="38" t="n"/>
      <c r="G526" s="37">
        <f>IF(COUNTA(A526:F526)=0,"",IF(A526="EXAMPLE","Example (skipped)",IF(OR(C526="",E526="",F526=""),"✖ Portal, User ID and Password are all needed",IF(AND(A526="",COUNTIF(Clients!$B$5:$B$1005,B526)=0),"Not on Clients — will match a portal client by name",IF(AND(C526="GST",D526&lt;&gt;"",COUNTIF(Clients!$AN$5:$AN$1005,UPPER(D526))=0,COUNTIF(Clients!$G$5:$G$1005,"*"&amp;UPPER(D526)&amp;"*")=0),"GSTIN not on Clients — will be checked in the portal","✔ OK")))))</f>
        <v/>
      </c>
    </row>
    <row r="527">
      <c r="A527" s="38" t="n"/>
      <c r="B527" s="39" t="n"/>
      <c r="C527" s="39" t="n"/>
      <c r="D527" s="38" t="n"/>
      <c r="E527" s="38" t="n"/>
      <c r="F527" s="38" t="n"/>
      <c r="G527" s="37">
        <f>IF(COUNTA(A527:F527)=0,"",IF(A527="EXAMPLE","Example (skipped)",IF(OR(C527="",E527="",F527=""),"✖ Portal, User ID and Password are all needed",IF(AND(A527="",COUNTIF(Clients!$B$5:$B$1005,B527)=0),"Not on Clients — will match a portal client by name",IF(AND(C527="GST",D527&lt;&gt;"",COUNTIF(Clients!$AN$5:$AN$1005,UPPER(D527))=0,COUNTIF(Clients!$G$5:$G$1005,"*"&amp;UPPER(D527)&amp;"*")=0),"GSTIN not on Clients — will be checked in the portal","✔ OK")))))</f>
        <v/>
      </c>
    </row>
    <row r="528">
      <c r="A528" s="38" t="n"/>
      <c r="B528" s="39" t="n"/>
      <c r="C528" s="39" t="n"/>
      <c r="D528" s="38" t="n"/>
      <c r="E528" s="38" t="n"/>
      <c r="F528" s="38" t="n"/>
      <c r="G528" s="37">
        <f>IF(COUNTA(A528:F528)=0,"",IF(A528="EXAMPLE","Example (skipped)",IF(OR(C528="",E528="",F528=""),"✖ Portal, User ID and Password are all needed",IF(AND(A528="",COUNTIF(Clients!$B$5:$B$1005,B528)=0),"Not on Clients — will match a portal client by name",IF(AND(C528="GST",D528&lt;&gt;"",COUNTIF(Clients!$AN$5:$AN$1005,UPPER(D528))=0,COUNTIF(Clients!$G$5:$G$1005,"*"&amp;UPPER(D528)&amp;"*")=0),"GSTIN not on Clients — will be checked in the portal","✔ OK")))))</f>
        <v/>
      </c>
    </row>
    <row r="529">
      <c r="A529" s="38" t="n"/>
      <c r="B529" s="39" t="n"/>
      <c r="C529" s="39" t="n"/>
      <c r="D529" s="38" t="n"/>
      <c r="E529" s="38" t="n"/>
      <c r="F529" s="38" t="n"/>
      <c r="G529" s="37">
        <f>IF(COUNTA(A529:F529)=0,"",IF(A529="EXAMPLE","Example (skipped)",IF(OR(C529="",E529="",F529=""),"✖ Portal, User ID and Password are all needed",IF(AND(A529="",COUNTIF(Clients!$B$5:$B$1005,B529)=0),"Not on Clients — will match a portal client by name",IF(AND(C529="GST",D529&lt;&gt;"",COUNTIF(Clients!$AN$5:$AN$1005,UPPER(D529))=0,COUNTIF(Clients!$G$5:$G$1005,"*"&amp;UPPER(D529)&amp;"*")=0),"GSTIN not on Clients — will be checked in the portal","✔ OK")))))</f>
        <v/>
      </c>
    </row>
    <row r="530">
      <c r="A530" s="38" t="n"/>
      <c r="B530" s="39" t="n"/>
      <c r="C530" s="39" t="n"/>
      <c r="D530" s="38" t="n"/>
      <c r="E530" s="38" t="n"/>
      <c r="F530" s="38" t="n"/>
      <c r="G530" s="37">
        <f>IF(COUNTA(A530:F530)=0,"",IF(A530="EXAMPLE","Example (skipped)",IF(OR(C530="",E530="",F530=""),"✖ Portal, User ID and Password are all needed",IF(AND(A530="",COUNTIF(Clients!$B$5:$B$1005,B530)=0),"Not on Clients — will match a portal client by name",IF(AND(C530="GST",D530&lt;&gt;"",COUNTIF(Clients!$AN$5:$AN$1005,UPPER(D530))=0,COUNTIF(Clients!$G$5:$G$1005,"*"&amp;UPPER(D530)&amp;"*")=0),"GSTIN not on Clients — will be checked in the portal","✔ OK")))))</f>
        <v/>
      </c>
    </row>
    <row r="531">
      <c r="A531" s="38" t="n"/>
      <c r="B531" s="39" t="n"/>
      <c r="C531" s="39" t="n"/>
      <c r="D531" s="38" t="n"/>
      <c r="E531" s="38" t="n"/>
      <c r="F531" s="38" t="n"/>
      <c r="G531" s="37">
        <f>IF(COUNTA(A531:F531)=0,"",IF(A531="EXAMPLE","Example (skipped)",IF(OR(C531="",E531="",F531=""),"✖ Portal, User ID and Password are all needed",IF(AND(A531="",COUNTIF(Clients!$B$5:$B$1005,B531)=0),"Not on Clients — will match a portal client by name",IF(AND(C531="GST",D531&lt;&gt;"",COUNTIF(Clients!$AN$5:$AN$1005,UPPER(D531))=0,COUNTIF(Clients!$G$5:$G$1005,"*"&amp;UPPER(D531)&amp;"*")=0),"GSTIN not on Clients — will be checked in the portal","✔ OK")))))</f>
        <v/>
      </c>
    </row>
    <row r="532">
      <c r="A532" s="38" t="n"/>
      <c r="B532" s="39" t="n"/>
      <c r="C532" s="39" t="n"/>
      <c r="D532" s="38" t="n"/>
      <c r="E532" s="38" t="n"/>
      <c r="F532" s="38" t="n"/>
      <c r="G532" s="37">
        <f>IF(COUNTA(A532:F532)=0,"",IF(A532="EXAMPLE","Example (skipped)",IF(OR(C532="",E532="",F532=""),"✖ Portal, User ID and Password are all needed",IF(AND(A532="",COUNTIF(Clients!$B$5:$B$1005,B532)=0),"Not on Clients — will match a portal client by name",IF(AND(C532="GST",D532&lt;&gt;"",COUNTIF(Clients!$AN$5:$AN$1005,UPPER(D532))=0,COUNTIF(Clients!$G$5:$G$1005,"*"&amp;UPPER(D532)&amp;"*")=0),"GSTIN not on Clients — will be checked in the portal","✔ OK")))))</f>
        <v/>
      </c>
    </row>
    <row r="533">
      <c r="A533" s="38" t="n"/>
      <c r="B533" s="39" t="n"/>
      <c r="C533" s="39" t="n"/>
      <c r="D533" s="38" t="n"/>
      <c r="E533" s="38" t="n"/>
      <c r="F533" s="38" t="n"/>
      <c r="G533" s="37">
        <f>IF(COUNTA(A533:F533)=0,"",IF(A533="EXAMPLE","Example (skipped)",IF(OR(C533="",E533="",F533=""),"✖ Portal, User ID and Password are all needed",IF(AND(A533="",COUNTIF(Clients!$B$5:$B$1005,B533)=0),"Not on Clients — will match a portal client by name",IF(AND(C533="GST",D533&lt;&gt;"",COUNTIF(Clients!$AN$5:$AN$1005,UPPER(D533))=0,COUNTIF(Clients!$G$5:$G$1005,"*"&amp;UPPER(D533)&amp;"*")=0),"GSTIN not on Clients — will be checked in the portal","✔ OK")))))</f>
        <v/>
      </c>
    </row>
    <row r="534">
      <c r="A534" s="38" t="n"/>
      <c r="B534" s="39" t="n"/>
      <c r="C534" s="39" t="n"/>
      <c r="D534" s="38" t="n"/>
      <c r="E534" s="38" t="n"/>
      <c r="F534" s="38" t="n"/>
      <c r="G534" s="37">
        <f>IF(COUNTA(A534:F534)=0,"",IF(A534="EXAMPLE","Example (skipped)",IF(OR(C534="",E534="",F534=""),"✖ Portal, User ID and Password are all needed",IF(AND(A534="",COUNTIF(Clients!$B$5:$B$1005,B534)=0),"Not on Clients — will match a portal client by name",IF(AND(C534="GST",D534&lt;&gt;"",COUNTIF(Clients!$AN$5:$AN$1005,UPPER(D534))=0,COUNTIF(Clients!$G$5:$G$1005,"*"&amp;UPPER(D534)&amp;"*")=0),"GSTIN not on Clients — will be checked in the portal","✔ OK")))))</f>
        <v/>
      </c>
    </row>
    <row r="535">
      <c r="A535" s="38" t="n"/>
      <c r="B535" s="39" t="n"/>
      <c r="C535" s="39" t="n"/>
      <c r="D535" s="38" t="n"/>
      <c r="E535" s="38" t="n"/>
      <c r="F535" s="38" t="n"/>
      <c r="G535" s="37">
        <f>IF(COUNTA(A535:F535)=0,"",IF(A535="EXAMPLE","Example (skipped)",IF(OR(C535="",E535="",F535=""),"✖ Portal, User ID and Password are all needed",IF(AND(A535="",COUNTIF(Clients!$B$5:$B$1005,B535)=0),"Not on Clients — will match a portal client by name",IF(AND(C535="GST",D535&lt;&gt;"",COUNTIF(Clients!$AN$5:$AN$1005,UPPER(D535))=0,COUNTIF(Clients!$G$5:$G$1005,"*"&amp;UPPER(D535)&amp;"*")=0),"GSTIN not on Clients — will be checked in the portal","✔ OK")))))</f>
        <v/>
      </c>
    </row>
    <row r="536">
      <c r="A536" s="38" t="n"/>
      <c r="B536" s="39" t="n"/>
      <c r="C536" s="39" t="n"/>
      <c r="D536" s="38" t="n"/>
      <c r="E536" s="38" t="n"/>
      <c r="F536" s="38" t="n"/>
      <c r="G536" s="37">
        <f>IF(COUNTA(A536:F536)=0,"",IF(A536="EXAMPLE","Example (skipped)",IF(OR(C536="",E536="",F536=""),"✖ Portal, User ID and Password are all needed",IF(AND(A536="",COUNTIF(Clients!$B$5:$B$1005,B536)=0),"Not on Clients — will match a portal client by name",IF(AND(C536="GST",D536&lt;&gt;"",COUNTIF(Clients!$AN$5:$AN$1005,UPPER(D536))=0,COUNTIF(Clients!$G$5:$G$1005,"*"&amp;UPPER(D536)&amp;"*")=0),"GSTIN not on Clients — will be checked in the portal","✔ OK")))))</f>
        <v/>
      </c>
    </row>
    <row r="537">
      <c r="A537" s="38" t="n"/>
      <c r="B537" s="39" t="n"/>
      <c r="C537" s="39" t="n"/>
      <c r="D537" s="38" t="n"/>
      <c r="E537" s="38" t="n"/>
      <c r="F537" s="38" t="n"/>
      <c r="G537" s="37">
        <f>IF(COUNTA(A537:F537)=0,"",IF(A537="EXAMPLE","Example (skipped)",IF(OR(C537="",E537="",F537=""),"✖ Portal, User ID and Password are all needed",IF(AND(A537="",COUNTIF(Clients!$B$5:$B$1005,B537)=0),"Not on Clients — will match a portal client by name",IF(AND(C537="GST",D537&lt;&gt;"",COUNTIF(Clients!$AN$5:$AN$1005,UPPER(D537))=0,COUNTIF(Clients!$G$5:$G$1005,"*"&amp;UPPER(D537)&amp;"*")=0),"GSTIN not on Clients — will be checked in the portal","✔ OK")))))</f>
        <v/>
      </c>
    </row>
    <row r="538">
      <c r="A538" s="38" t="n"/>
      <c r="B538" s="39" t="n"/>
      <c r="C538" s="39" t="n"/>
      <c r="D538" s="38" t="n"/>
      <c r="E538" s="38" t="n"/>
      <c r="F538" s="38" t="n"/>
      <c r="G538" s="37">
        <f>IF(COUNTA(A538:F538)=0,"",IF(A538="EXAMPLE","Example (skipped)",IF(OR(C538="",E538="",F538=""),"✖ Portal, User ID and Password are all needed",IF(AND(A538="",COUNTIF(Clients!$B$5:$B$1005,B538)=0),"Not on Clients — will match a portal client by name",IF(AND(C538="GST",D538&lt;&gt;"",COUNTIF(Clients!$AN$5:$AN$1005,UPPER(D538))=0,COUNTIF(Clients!$G$5:$G$1005,"*"&amp;UPPER(D538)&amp;"*")=0),"GSTIN not on Clients — will be checked in the portal","✔ OK")))))</f>
        <v/>
      </c>
    </row>
    <row r="539">
      <c r="A539" s="38" t="n"/>
      <c r="B539" s="39" t="n"/>
      <c r="C539" s="39" t="n"/>
      <c r="D539" s="38" t="n"/>
      <c r="E539" s="38" t="n"/>
      <c r="F539" s="38" t="n"/>
      <c r="G539" s="37">
        <f>IF(COUNTA(A539:F539)=0,"",IF(A539="EXAMPLE","Example (skipped)",IF(OR(C539="",E539="",F539=""),"✖ Portal, User ID and Password are all needed",IF(AND(A539="",COUNTIF(Clients!$B$5:$B$1005,B539)=0),"Not on Clients — will match a portal client by name",IF(AND(C539="GST",D539&lt;&gt;"",COUNTIF(Clients!$AN$5:$AN$1005,UPPER(D539))=0,COUNTIF(Clients!$G$5:$G$1005,"*"&amp;UPPER(D539)&amp;"*")=0),"GSTIN not on Clients — will be checked in the portal","✔ OK")))))</f>
        <v/>
      </c>
    </row>
    <row r="540">
      <c r="A540" s="38" t="n"/>
      <c r="B540" s="39" t="n"/>
      <c r="C540" s="39" t="n"/>
      <c r="D540" s="38" t="n"/>
      <c r="E540" s="38" t="n"/>
      <c r="F540" s="38" t="n"/>
      <c r="G540" s="37">
        <f>IF(COUNTA(A540:F540)=0,"",IF(A540="EXAMPLE","Example (skipped)",IF(OR(C540="",E540="",F540=""),"✖ Portal, User ID and Password are all needed",IF(AND(A540="",COUNTIF(Clients!$B$5:$B$1005,B540)=0),"Not on Clients — will match a portal client by name",IF(AND(C540="GST",D540&lt;&gt;"",COUNTIF(Clients!$AN$5:$AN$1005,UPPER(D540))=0,COUNTIF(Clients!$G$5:$G$1005,"*"&amp;UPPER(D540)&amp;"*")=0),"GSTIN not on Clients — will be checked in the portal","✔ OK")))))</f>
        <v/>
      </c>
    </row>
    <row r="541">
      <c r="A541" s="38" t="n"/>
      <c r="B541" s="39" t="n"/>
      <c r="C541" s="39" t="n"/>
      <c r="D541" s="38" t="n"/>
      <c r="E541" s="38" t="n"/>
      <c r="F541" s="38" t="n"/>
      <c r="G541" s="37">
        <f>IF(COUNTA(A541:F541)=0,"",IF(A541="EXAMPLE","Example (skipped)",IF(OR(C541="",E541="",F541=""),"✖ Portal, User ID and Password are all needed",IF(AND(A541="",COUNTIF(Clients!$B$5:$B$1005,B541)=0),"Not on Clients — will match a portal client by name",IF(AND(C541="GST",D541&lt;&gt;"",COUNTIF(Clients!$AN$5:$AN$1005,UPPER(D541))=0,COUNTIF(Clients!$G$5:$G$1005,"*"&amp;UPPER(D541)&amp;"*")=0),"GSTIN not on Clients — will be checked in the portal","✔ OK")))))</f>
        <v/>
      </c>
    </row>
    <row r="542">
      <c r="A542" s="38" t="n"/>
      <c r="B542" s="39" t="n"/>
      <c r="C542" s="39" t="n"/>
      <c r="D542" s="38" t="n"/>
      <c r="E542" s="38" t="n"/>
      <c r="F542" s="38" t="n"/>
      <c r="G542" s="37">
        <f>IF(COUNTA(A542:F542)=0,"",IF(A542="EXAMPLE","Example (skipped)",IF(OR(C542="",E542="",F542=""),"✖ Portal, User ID and Password are all needed",IF(AND(A542="",COUNTIF(Clients!$B$5:$B$1005,B542)=0),"Not on Clients — will match a portal client by name",IF(AND(C542="GST",D542&lt;&gt;"",COUNTIF(Clients!$AN$5:$AN$1005,UPPER(D542))=0,COUNTIF(Clients!$G$5:$G$1005,"*"&amp;UPPER(D542)&amp;"*")=0),"GSTIN not on Clients — will be checked in the portal","✔ OK")))))</f>
        <v/>
      </c>
    </row>
    <row r="543">
      <c r="A543" s="38" t="n"/>
      <c r="B543" s="39" t="n"/>
      <c r="C543" s="39" t="n"/>
      <c r="D543" s="38" t="n"/>
      <c r="E543" s="38" t="n"/>
      <c r="F543" s="38" t="n"/>
      <c r="G543" s="37">
        <f>IF(COUNTA(A543:F543)=0,"",IF(A543="EXAMPLE","Example (skipped)",IF(OR(C543="",E543="",F543=""),"✖ Portal, User ID and Password are all needed",IF(AND(A543="",COUNTIF(Clients!$B$5:$B$1005,B543)=0),"Not on Clients — will match a portal client by name",IF(AND(C543="GST",D543&lt;&gt;"",COUNTIF(Clients!$AN$5:$AN$1005,UPPER(D543))=0,COUNTIF(Clients!$G$5:$G$1005,"*"&amp;UPPER(D543)&amp;"*")=0),"GSTIN not on Clients — will be checked in the portal","✔ OK")))))</f>
        <v/>
      </c>
    </row>
    <row r="544">
      <c r="A544" s="38" t="n"/>
      <c r="B544" s="39" t="n"/>
      <c r="C544" s="39" t="n"/>
      <c r="D544" s="38" t="n"/>
      <c r="E544" s="38" t="n"/>
      <c r="F544" s="38" t="n"/>
      <c r="G544" s="37">
        <f>IF(COUNTA(A544:F544)=0,"",IF(A544="EXAMPLE","Example (skipped)",IF(OR(C544="",E544="",F544=""),"✖ Portal, User ID and Password are all needed",IF(AND(A544="",COUNTIF(Clients!$B$5:$B$1005,B544)=0),"Not on Clients — will match a portal client by name",IF(AND(C544="GST",D544&lt;&gt;"",COUNTIF(Clients!$AN$5:$AN$1005,UPPER(D544))=0,COUNTIF(Clients!$G$5:$G$1005,"*"&amp;UPPER(D544)&amp;"*")=0),"GSTIN not on Clients — will be checked in the portal","✔ OK")))))</f>
        <v/>
      </c>
    </row>
    <row r="545">
      <c r="A545" s="38" t="n"/>
      <c r="B545" s="39" t="n"/>
      <c r="C545" s="39" t="n"/>
      <c r="D545" s="38" t="n"/>
      <c r="E545" s="38" t="n"/>
      <c r="F545" s="38" t="n"/>
      <c r="G545" s="37">
        <f>IF(COUNTA(A545:F545)=0,"",IF(A545="EXAMPLE","Example (skipped)",IF(OR(C545="",E545="",F545=""),"✖ Portal, User ID and Password are all needed",IF(AND(A545="",COUNTIF(Clients!$B$5:$B$1005,B545)=0),"Not on Clients — will match a portal client by name",IF(AND(C545="GST",D545&lt;&gt;"",COUNTIF(Clients!$AN$5:$AN$1005,UPPER(D545))=0,COUNTIF(Clients!$G$5:$G$1005,"*"&amp;UPPER(D545)&amp;"*")=0),"GSTIN not on Clients — will be checked in the portal","✔ OK")))))</f>
        <v/>
      </c>
    </row>
    <row r="546">
      <c r="A546" s="38" t="n"/>
      <c r="B546" s="39" t="n"/>
      <c r="C546" s="39" t="n"/>
      <c r="D546" s="38" t="n"/>
      <c r="E546" s="38" t="n"/>
      <c r="F546" s="38" t="n"/>
      <c r="G546" s="37">
        <f>IF(COUNTA(A546:F546)=0,"",IF(A546="EXAMPLE","Example (skipped)",IF(OR(C546="",E546="",F546=""),"✖ Portal, User ID and Password are all needed",IF(AND(A546="",COUNTIF(Clients!$B$5:$B$1005,B546)=0),"Not on Clients — will match a portal client by name",IF(AND(C546="GST",D546&lt;&gt;"",COUNTIF(Clients!$AN$5:$AN$1005,UPPER(D546))=0,COUNTIF(Clients!$G$5:$G$1005,"*"&amp;UPPER(D546)&amp;"*")=0),"GSTIN not on Clients — will be checked in the portal","✔ OK")))))</f>
        <v/>
      </c>
    </row>
    <row r="547">
      <c r="A547" s="38" t="n"/>
      <c r="B547" s="39" t="n"/>
      <c r="C547" s="39" t="n"/>
      <c r="D547" s="38" t="n"/>
      <c r="E547" s="38" t="n"/>
      <c r="F547" s="38" t="n"/>
      <c r="G547" s="37">
        <f>IF(COUNTA(A547:F547)=0,"",IF(A547="EXAMPLE","Example (skipped)",IF(OR(C547="",E547="",F547=""),"✖ Portal, User ID and Password are all needed",IF(AND(A547="",COUNTIF(Clients!$B$5:$B$1005,B547)=0),"Not on Clients — will match a portal client by name",IF(AND(C547="GST",D547&lt;&gt;"",COUNTIF(Clients!$AN$5:$AN$1005,UPPER(D547))=0,COUNTIF(Clients!$G$5:$G$1005,"*"&amp;UPPER(D547)&amp;"*")=0),"GSTIN not on Clients — will be checked in the portal","✔ OK")))))</f>
        <v/>
      </c>
    </row>
    <row r="548">
      <c r="A548" s="38" t="n"/>
      <c r="B548" s="39" t="n"/>
      <c r="C548" s="39" t="n"/>
      <c r="D548" s="38" t="n"/>
      <c r="E548" s="38" t="n"/>
      <c r="F548" s="38" t="n"/>
      <c r="G548" s="37">
        <f>IF(COUNTA(A548:F548)=0,"",IF(A548="EXAMPLE","Example (skipped)",IF(OR(C548="",E548="",F548=""),"✖ Portal, User ID and Password are all needed",IF(AND(A548="",COUNTIF(Clients!$B$5:$B$1005,B548)=0),"Not on Clients — will match a portal client by name",IF(AND(C548="GST",D548&lt;&gt;"",COUNTIF(Clients!$AN$5:$AN$1005,UPPER(D548))=0,COUNTIF(Clients!$G$5:$G$1005,"*"&amp;UPPER(D548)&amp;"*")=0),"GSTIN not on Clients — will be checked in the portal","✔ OK")))))</f>
        <v/>
      </c>
    </row>
    <row r="549">
      <c r="A549" s="38" t="n"/>
      <c r="B549" s="39" t="n"/>
      <c r="C549" s="39" t="n"/>
      <c r="D549" s="38" t="n"/>
      <c r="E549" s="38" t="n"/>
      <c r="F549" s="38" t="n"/>
      <c r="G549" s="37">
        <f>IF(COUNTA(A549:F549)=0,"",IF(A549="EXAMPLE","Example (skipped)",IF(OR(C549="",E549="",F549=""),"✖ Portal, User ID and Password are all needed",IF(AND(A549="",COUNTIF(Clients!$B$5:$B$1005,B549)=0),"Not on Clients — will match a portal client by name",IF(AND(C549="GST",D549&lt;&gt;"",COUNTIF(Clients!$AN$5:$AN$1005,UPPER(D549))=0,COUNTIF(Clients!$G$5:$G$1005,"*"&amp;UPPER(D549)&amp;"*")=0),"GSTIN not on Clients — will be checked in the portal","✔ OK")))))</f>
        <v/>
      </c>
    </row>
    <row r="550">
      <c r="A550" s="38" t="n"/>
      <c r="B550" s="39" t="n"/>
      <c r="C550" s="39" t="n"/>
      <c r="D550" s="38" t="n"/>
      <c r="E550" s="38" t="n"/>
      <c r="F550" s="38" t="n"/>
      <c r="G550" s="37">
        <f>IF(COUNTA(A550:F550)=0,"",IF(A550="EXAMPLE","Example (skipped)",IF(OR(C550="",E550="",F550=""),"✖ Portal, User ID and Password are all needed",IF(AND(A550="",COUNTIF(Clients!$B$5:$B$1005,B550)=0),"Not on Clients — will match a portal client by name",IF(AND(C550="GST",D550&lt;&gt;"",COUNTIF(Clients!$AN$5:$AN$1005,UPPER(D550))=0,COUNTIF(Clients!$G$5:$G$1005,"*"&amp;UPPER(D550)&amp;"*")=0),"GSTIN not on Clients — will be checked in the portal","✔ OK")))))</f>
        <v/>
      </c>
    </row>
    <row r="551">
      <c r="A551" s="38" t="n"/>
      <c r="B551" s="39" t="n"/>
      <c r="C551" s="39" t="n"/>
      <c r="D551" s="38" t="n"/>
      <c r="E551" s="38" t="n"/>
      <c r="F551" s="38" t="n"/>
      <c r="G551" s="37">
        <f>IF(COUNTA(A551:F551)=0,"",IF(A551="EXAMPLE","Example (skipped)",IF(OR(C551="",E551="",F551=""),"✖ Portal, User ID and Password are all needed",IF(AND(A551="",COUNTIF(Clients!$B$5:$B$1005,B551)=0),"Not on Clients — will match a portal client by name",IF(AND(C551="GST",D551&lt;&gt;"",COUNTIF(Clients!$AN$5:$AN$1005,UPPER(D551))=0,COUNTIF(Clients!$G$5:$G$1005,"*"&amp;UPPER(D551)&amp;"*")=0),"GSTIN not on Clients — will be checked in the portal","✔ OK")))))</f>
        <v/>
      </c>
    </row>
    <row r="552">
      <c r="A552" s="38" t="n"/>
      <c r="B552" s="39" t="n"/>
      <c r="C552" s="39" t="n"/>
      <c r="D552" s="38" t="n"/>
      <c r="E552" s="38" t="n"/>
      <c r="F552" s="38" t="n"/>
      <c r="G552" s="37">
        <f>IF(COUNTA(A552:F552)=0,"",IF(A552="EXAMPLE","Example (skipped)",IF(OR(C552="",E552="",F552=""),"✖ Portal, User ID and Password are all needed",IF(AND(A552="",COUNTIF(Clients!$B$5:$B$1005,B552)=0),"Not on Clients — will match a portal client by name",IF(AND(C552="GST",D552&lt;&gt;"",COUNTIF(Clients!$AN$5:$AN$1005,UPPER(D552))=0,COUNTIF(Clients!$G$5:$G$1005,"*"&amp;UPPER(D552)&amp;"*")=0),"GSTIN not on Clients — will be checked in the portal","✔ OK")))))</f>
        <v/>
      </c>
    </row>
    <row r="553">
      <c r="A553" s="38" t="n"/>
      <c r="B553" s="39" t="n"/>
      <c r="C553" s="39" t="n"/>
      <c r="D553" s="38" t="n"/>
      <c r="E553" s="38" t="n"/>
      <c r="F553" s="38" t="n"/>
      <c r="G553" s="37">
        <f>IF(COUNTA(A553:F553)=0,"",IF(A553="EXAMPLE","Example (skipped)",IF(OR(C553="",E553="",F553=""),"✖ Portal, User ID and Password are all needed",IF(AND(A553="",COUNTIF(Clients!$B$5:$B$1005,B553)=0),"Not on Clients — will match a portal client by name",IF(AND(C553="GST",D553&lt;&gt;"",COUNTIF(Clients!$AN$5:$AN$1005,UPPER(D553))=0,COUNTIF(Clients!$G$5:$G$1005,"*"&amp;UPPER(D553)&amp;"*")=0),"GSTIN not on Clients — will be checked in the portal","✔ OK")))))</f>
        <v/>
      </c>
    </row>
    <row r="554">
      <c r="A554" s="38" t="n"/>
      <c r="B554" s="39" t="n"/>
      <c r="C554" s="39" t="n"/>
      <c r="D554" s="38" t="n"/>
      <c r="E554" s="38" t="n"/>
      <c r="F554" s="38" t="n"/>
      <c r="G554" s="37">
        <f>IF(COUNTA(A554:F554)=0,"",IF(A554="EXAMPLE","Example (skipped)",IF(OR(C554="",E554="",F554=""),"✖ Portal, User ID and Password are all needed",IF(AND(A554="",COUNTIF(Clients!$B$5:$B$1005,B554)=0),"Not on Clients — will match a portal client by name",IF(AND(C554="GST",D554&lt;&gt;"",COUNTIF(Clients!$AN$5:$AN$1005,UPPER(D554))=0,COUNTIF(Clients!$G$5:$G$1005,"*"&amp;UPPER(D554)&amp;"*")=0),"GSTIN not on Clients — will be checked in the portal","✔ OK")))))</f>
        <v/>
      </c>
    </row>
    <row r="555">
      <c r="A555" s="38" t="n"/>
      <c r="B555" s="39" t="n"/>
      <c r="C555" s="39" t="n"/>
      <c r="D555" s="38" t="n"/>
      <c r="E555" s="38" t="n"/>
      <c r="F555" s="38" t="n"/>
      <c r="G555" s="37">
        <f>IF(COUNTA(A555:F555)=0,"",IF(A555="EXAMPLE","Example (skipped)",IF(OR(C555="",E555="",F555=""),"✖ Portal, User ID and Password are all needed",IF(AND(A555="",COUNTIF(Clients!$B$5:$B$1005,B555)=0),"Not on Clients — will match a portal client by name",IF(AND(C555="GST",D555&lt;&gt;"",COUNTIF(Clients!$AN$5:$AN$1005,UPPER(D555))=0,COUNTIF(Clients!$G$5:$G$1005,"*"&amp;UPPER(D555)&amp;"*")=0),"GSTIN not on Clients — will be checked in the portal","✔ OK")))))</f>
        <v/>
      </c>
    </row>
    <row r="556">
      <c r="A556" s="38" t="n"/>
      <c r="B556" s="39" t="n"/>
      <c r="C556" s="39" t="n"/>
      <c r="D556" s="38" t="n"/>
      <c r="E556" s="38" t="n"/>
      <c r="F556" s="38" t="n"/>
      <c r="G556" s="37">
        <f>IF(COUNTA(A556:F556)=0,"",IF(A556="EXAMPLE","Example (skipped)",IF(OR(C556="",E556="",F556=""),"✖ Portal, User ID and Password are all needed",IF(AND(A556="",COUNTIF(Clients!$B$5:$B$1005,B556)=0),"Not on Clients — will match a portal client by name",IF(AND(C556="GST",D556&lt;&gt;"",COUNTIF(Clients!$AN$5:$AN$1005,UPPER(D556))=0,COUNTIF(Clients!$G$5:$G$1005,"*"&amp;UPPER(D556)&amp;"*")=0),"GSTIN not on Clients — will be checked in the portal","✔ OK")))))</f>
        <v/>
      </c>
    </row>
    <row r="557">
      <c r="A557" s="38" t="n"/>
      <c r="B557" s="39" t="n"/>
      <c r="C557" s="39" t="n"/>
      <c r="D557" s="38" t="n"/>
      <c r="E557" s="38" t="n"/>
      <c r="F557" s="38" t="n"/>
      <c r="G557" s="37">
        <f>IF(COUNTA(A557:F557)=0,"",IF(A557="EXAMPLE","Example (skipped)",IF(OR(C557="",E557="",F557=""),"✖ Portal, User ID and Password are all needed",IF(AND(A557="",COUNTIF(Clients!$B$5:$B$1005,B557)=0),"Not on Clients — will match a portal client by name",IF(AND(C557="GST",D557&lt;&gt;"",COUNTIF(Clients!$AN$5:$AN$1005,UPPER(D557))=0,COUNTIF(Clients!$G$5:$G$1005,"*"&amp;UPPER(D557)&amp;"*")=0),"GSTIN not on Clients — will be checked in the portal","✔ OK")))))</f>
        <v/>
      </c>
    </row>
    <row r="558">
      <c r="A558" s="38" t="n"/>
      <c r="B558" s="39" t="n"/>
      <c r="C558" s="39" t="n"/>
      <c r="D558" s="38" t="n"/>
      <c r="E558" s="38" t="n"/>
      <c r="F558" s="38" t="n"/>
      <c r="G558" s="37">
        <f>IF(COUNTA(A558:F558)=0,"",IF(A558="EXAMPLE","Example (skipped)",IF(OR(C558="",E558="",F558=""),"✖ Portal, User ID and Password are all needed",IF(AND(A558="",COUNTIF(Clients!$B$5:$B$1005,B558)=0),"Not on Clients — will match a portal client by name",IF(AND(C558="GST",D558&lt;&gt;"",COUNTIF(Clients!$AN$5:$AN$1005,UPPER(D558))=0,COUNTIF(Clients!$G$5:$G$1005,"*"&amp;UPPER(D558)&amp;"*")=0),"GSTIN not on Clients — will be checked in the portal","✔ OK")))))</f>
        <v/>
      </c>
    </row>
    <row r="559">
      <c r="A559" s="38" t="n"/>
      <c r="B559" s="39" t="n"/>
      <c r="C559" s="39" t="n"/>
      <c r="D559" s="38" t="n"/>
      <c r="E559" s="38" t="n"/>
      <c r="F559" s="38" t="n"/>
      <c r="G559" s="37">
        <f>IF(COUNTA(A559:F559)=0,"",IF(A559="EXAMPLE","Example (skipped)",IF(OR(C559="",E559="",F559=""),"✖ Portal, User ID and Password are all needed",IF(AND(A559="",COUNTIF(Clients!$B$5:$B$1005,B559)=0),"Not on Clients — will match a portal client by name",IF(AND(C559="GST",D559&lt;&gt;"",COUNTIF(Clients!$AN$5:$AN$1005,UPPER(D559))=0,COUNTIF(Clients!$G$5:$G$1005,"*"&amp;UPPER(D559)&amp;"*")=0),"GSTIN not on Clients — will be checked in the portal","✔ OK")))))</f>
        <v/>
      </c>
    </row>
    <row r="560">
      <c r="A560" s="38" t="n"/>
      <c r="B560" s="39" t="n"/>
      <c r="C560" s="39" t="n"/>
      <c r="D560" s="38" t="n"/>
      <c r="E560" s="38" t="n"/>
      <c r="F560" s="38" t="n"/>
      <c r="G560" s="37">
        <f>IF(COUNTA(A560:F560)=0,"",IF(A560="EXAMPLE","Example (skipped)",IF(OR(C560="",E560="",F560=""),"✖ Portal, User ID and Password are all needed",IF(AND(A560="",COUNTIF(Clients!$B$5:$B$1005,B560)=0),"Not on Clients — will match a portal client by name",IF(AND(C560="GST",D560&lt;&gt;"",COUNTIF(Clients!$AN$5:$AN$1005,UPPER(D560))=0,COUNTIF(Clients!$G$5:$G$1005,"*"&amp;UPPER(D560)&amp;"*")=0),"GSTIN not on Clients — will be checked in the portal","✔ OK")))))</f>
        <v/>
      </c>
    </row>
    <row r="561">
      <c r="A561" s="38" t="n"/>
      <c r="B561" s="39" t="n"/>
      <c r="C561" s="39" t="n"/>
      <c r="D561" s="38" t="n"/>
      <c r="E561" s="38" t="n"/>
      <c r="F561" s="38" t="n"/>
      <c r="G561" s="37">
        <f>IF(COUNTA(A561:F561)=0,"",IF(A561="EXAMPLE","Example (skipped)",IF(OR(C561="",E561="",F561=""),"✖ Portal, User ID and Password are all needed",IF(AND(A561="",COUNTIF(Clients!$B$5:$B$1005,B561)=0),"Not on Clients — will match a portal client by name",IF(AND(C561="GST",D561&lt;&gt;"",COUNTIF(Clients!$AN$5:$AN$1005,UPPER(D561))=0,COUNTIF(Clients!$G$5:$G$1005,"*"&amp;UPPER(D561)&amp;"*")=0),"GSTIN not on Clients — will be checked in the portal","✔ OK")))))</f>
        <v/>
      </c>
    </row>
    <row r="562">
      <c r="A562" s="38" t="n"/>
      <c r="B562" s="39" t="n"/>
      <c r="C562" s="39" t="n"/>
      <c r="D562" s="38" t="n"/>
      <c r="E562" s="38" t="n"/>
      <c r="F562" s="38" t="n"/>
      <c r="G562" s="37">
        <f>IF(COUNTA(A562:F562)=0,"",IF(A562="EXAMPLE","Example (skipped)",IF(OR(C562="",E562="",F562=""),"✖ Portal, User ID and Password are all needed",IF(AND(A562="",COUNTIF(Clients!$B$5:$B$1005,B562)=0),"Not on Clients — will match a portal client by name",IF(AND(C562="GST",D562&lt;&gt;"",COUNTIF(Clients!$AN$5:$AN$1005,UPPER(D562))=0,COUNTIF(Clients!$G$5:$G$1005,"*"&amp;UPPER(D562)&amp;"*")=0),"GSTIN not on Clients — will be checked in the portal","✔ OK")))))</f>
        <v/>
      </c>
    </row>
    <row r="563">
      <c r="A563" s="38" t="n"/>
      <c r="B563" s="39" t="n"/>
      <c r="C563" s="39" t="n"/>
      <c r="D563" s="38" t="n"/>
      <c r="E563" s="38" t="n"/>
      <c r="F563" s="38" t="n"/>
      <c r="G563" s="37">
        <f>IF(COUNTA(A563:F563)=0,"",IF(A563="EXAMPLE","Example (skipped)",IF(OR(C563="",E563="",F563=""),"✖ Portal, User ID and Password are all needed",IF(AND(A563="",COUNTIF(Clients!$B$5:$B$1005,B563)=0),"Not on Clients — will match a portal client by name",IF(AND(C563="GST",D563&lt;&gt;"",COUNTIF(Clients!$AN$5:$AN$1005,UPPER(D563))=0,COUNTIF(Clients!$G$5:$G$1005,"*"&amp;UPPER(D563)&amp;"*")=0),"GSTIN not on Clients — will be checked in the portal","✔ OK")))))</f>
        <v/>
      </c>
    </row>
    <row r="564">
      <c r="A564" s="38" t="n"/>
      <c r="B564" s="39" t="n"/>
      <c r="C564" s="39" t="n"/>
      <c r="D564" s="38" t="n"/>
      <c r="E564" s="38" t="n"/>
      <c r="F564" s="38" t="n"/>
      <c r="G564" s="37">
        <f>IF(COUNTA(A564:F564)=0,"",IF(A564="EXAMPLE","Example (skipped)",IF(OR(C564="",E564="",F564=""),"✖ Portal, User ID and Password are all needed",IF(AND(A564="",COUNTIF(Clients!$B$5:$B$1005,B564)=0),"Not on Clients — will match a portal client by name",IF(AND(C564="GST",D564&lt;&gt;"",COUNTIF(Clients!$AN$5:$AN$1005,UPPER(D564))=0,COUNTIF(Clients!$G$5:$G$1005,"*"&amp;UPPER(D564)&amp;"*")=0),"GSTIN not on Clients — will be checked in the portal","✔ OK")))))</f>
        <v/>
      </c>
    </row>
    <row r="565">
      <c r="A565" s="38" t="n"/>
      <c r="B565" s="39" t="n"/>
      <c r="C565" s="39" t="n"/>
      <c r="D565" s="38" t="n"/>
      <c r="E565" s="38" t="n"/>
      <c r="F565" s="38" t="n"/>
      <c r="G565" s="37">
        <f>IF(COUNTA(A565:F565)=0,"",IF(A565="EXAMPLE","Example (skipped)",IF(OR(C565="",E565="",F565=""),"✖ Portal, User ID and Password are all needed",IF(AND(A565="",COUNTIF(Clients!$B$5:$B$1005,B565)=0),"Not on Clients — will match a portal client by name",IF(AND(C565="GST",D565&lt;&gt;"",COUNTIF(Clients!$AN$5:$AN$1005,UPPER(D565))=0,COUNTIF(Clients!$G$5:$G$1005,"*"&amp;UPPER(D565)&amp;"*")=0),"GSTIN not on Clients — will be checked in the portal","✔ OK")))))</f>
        <v/>
      </c>
    </row>
    <row r="566">
      <c r="A566" s="38" t="n"/>
      <c r="B566" s="39" t="n"/>
      <c r="C566" s="39" t="n"/>
      <c r="D566" s="38" t="n"/>
      <c r="E566" s="38" t="n"/>
      <c r="F566" s="38" t="n"/>
      <c r="G566" s="37">
        <f>IF(COUNTA(A566:F566)=0,"",IF(A566="EXAMPLE","Example (skipped)",IF(OR(C566="",E566="",F566=""),"✖ Portal, User ID and Password are all needed",IF(AND(A566="",COUNTIF(Clients!$B$5:$B$1005,B566)=0),"Not on Clients — will match a portal client by name",IF(AND(C566="GST",D566&lt;&gt;"",COUNTIF(Clients!$AN$5:$AN$1005,UPPER(D566))=0,COUNTIF(Clients!$G$5:$G$1005,"*"&amp;UPPER(D566)&amp;"*")=0),"GSTIN not on Clients — will be checked in the portal","✔ OK")))))</f>
        <v/>
      </c>
    </row>
    <row r="567">
      <c r="A567" s="38" t="n"/>
      <c r="B567" s="39" t="n"/>
      <c r="C567" s="39" t="n"/>
      <c r="D567" s="38" t="n"/>
      <c r="E567" s="38" t="n"/>
      <c r="F567" s="38" t="n"/>
      <c r="G567" s="37">
        <f>IF(COUNTA(A567:F567)=0,"",IF(A567="EXAMPLE","Example (skipped)",IF(OR(C567="",E567="",F567=""),"✖ Portal, User ID and Password are all needed",IF(AND(A567="",COUNTIF(Clients!$B$5:$B$1005,B567)=0),"Not on Clients — will match a portal client by name",IF(AND(C567="GST",D567&lt;&gt;"",COUNTIF(Clients!$AN$5:$AN$1005,UPPER(D567))=0,COUNTIF(Clients!$G$5:$G$1005,"*"&amp;UPPER(D567)&amp;"*")=0),"GSTIN not on Clients — will be checked in the portal","✔ OK")))))</f>
        <v/>
      </c>
    </row>
    <row r="568">
      <c r="A568" s="38" t="n"/>
      <c r="B568" s="39" t="n"/>
      <c r="C568" s="39" t="n"/>
      <c r="D568" s="38" t="n"/>
      <c r="E568" s="38" t="n"/>
      <c r="F568" s="38" t="n"/>
      <c r="G568" s="37">
        <f>IF(COUNTA(A568:F568)=0,"",IF(A568="EXAMPLE","Example (skipped)",IF(OR(C568="",E568="",F568=""),"✖ Portal, User ID and Password are all needed",IF(AND(A568="",COUNTIF(Clients!$B$5:$B$1005,B568)=0),"Not on Clients — will match a portal client by name",IF(AND(C568="GST",D568&lt;&gt;"",COUNTIF(Clients!$AN$5:$AN$1005,UPPER(D568))=0,COUNTIF(Clients!$G$5:$G$1005,"*"&amp;UPPER(D568)&amp;"*")=0),"GSTIN not on Clients — will be checked in the portal","✔ OK")))))</f>
        <v/>
      </c>
    </row>
    <row r="569">
      <c r="A569" s="38" t="n"/>
      <c r="B569" s="39" t="n"/>
      <c r="C569" s="39" t="n"/>
      <c r="D569" s="38" t="n"/>
      <c r="E569" s="38" t="n"/>
      <c r="F569" s="38" t="n"/>
      <c r="G569" s="37">
        <f>IF(COUNTA(A569:F569)=0,"",IF(A569="EXAMPLE","Example (skipped)",IF(OR(C569="",E569="",F569=""),"✖ Portal, User ID and Password are all needed",IF(AND(A569="",COUNTIF(Clients!$B$5:$B$1005,B569)=0),"Not on Clients — will match a portal client by name",IF(AND(C569="GST",D569&lt;&gt;"",COUNTIF(Clients!$AN$5:$AN$1005,UPPER(D569))=0,COUNTIF(Clients!$G$5:$G$1005,"*"&amp;UPPER(D569)&amp;"*")=0),"GSTIN not on Clients — will be checked in the portal","✔ OK")))))</f>
        <v/>
      </c>
    </row>
    <row r="570">
      <c r="A570" s="38" t="n"/>
      <c r="B570" s="39" t="n"/>
      <c r="C570" s="39" t="n"/>
      <c r="D570" s="38" t="n"/>
      <c r="E570" s="38" t="n"/>
      <c r="F570" s="38" t="n"/>
      <c r="G570" s="37">
        <f>IF(COUNTA(A570:F570)=0,"",IF(A570="EXAMPLE","Example (skipped)",IF(OR(C570="",E570="",F570=""),"✖ Portal, User ID and Password are all needed",IF(AND(A570="",COUNTIF(Clients!$B$5:$B$1005,B570)=0),"Not on Clients — will match a portal client by name",IF(AND(C570="GST",D570&lt;&gt;"",COUNTIF(Clients!$AN$5:$AN$1005,UPPER(D570))=0,COUNTIF(Clients!$G$5:$G$1005,"*"&amp;UPPER(D570)&amp;"*")=0),"GSTIN not on Clients — will be checked in the portal","✔ OK")))))</f>
        <v/>
      </c>
    </row>
    <row r="571">
      <c r="A571" s="38" t="n"/>
      <c r="B571" s="39" t="n"/>
      <c r="C571" s="39" t="n"/>
      <c r="D571" s="38" t="n"/>
      <c r="E571" s="38" t="n"/>
      <c r="F571" s="38" t="n"/>
      <c r="G571" s="37">
        <f>IF(COUNTA(A571:F571)=0,"",IF(A571="EXAMPLE","Example (skipped)",IF(OR(C571="",E571="",F571=""),"✖ Portal, User ID and Password are all needed",IF(AND(A571="",COUNTIF(Clients!$B$5:$B$1005,B571)=0),"Not on Clients — will match a portal client by name",IF(AND(C571="GST",D571&lt;&gt;"",COUNTIF(Clients!$AN$5:$AN$1005,UPPER(D571))=0,COUNTIF(Clients!$G$5:$G$1005,"*"&amp;UPPER(D571)&amp;"*")=0),"GSTIN not on Clients — will be checked in the portal","✔ OK")))))</f>
        <v/>
      </c>
    </row>
    <row r="572">
      <c r="A572" s="38" t="n"/>
      <c r="B572" s="39" t="n"/>
      <c r="C572" s="39" t="n"/>
      <c r="D572" s="38" t="n"/>
      <c r="E572" s="38" t="n"/>
      <c r="F572" s="38" t="n"/>
      <c r="G572" s="37">
        <f>IF(COUNTA(A572:F572)=0,"",IF(A572="EXAMPLE","Example (skipped)",IF(OR(C572="",E572="",F572=""),"✖ Portal, User ID and Password are all needed",IF(AND(A572="",COUNTIF(Clients!$B$5:$B$1005,B572)=0),"Not on Clients — will match a portal client by name",IF(AND(C572="GST",D572&lt;&gt;"",COUNTIF(Clients!$AN$5:$AN$1005,UPPER(D572))=0,COUNTIF(Clients!$G$5:$G$1005,"*"&amp;UPPER(D572)&amp;"*")=0),"GSTIN not on Clients — will be checked in the portal","✔ OK")))))</f>
        <v/>
      </c>
    </row>
    <row r="573">
      <c r="A573" s="38" t="n"/>
      <c r="B573" s="39" t="n"/>
      <c r="C573" s="39" t="n"/>
      <c r="D573" s="38" t="n"/>
      <c r="E573" s="38" t="n"/>
      <c r="F573" s="38" t="n"/>
      <c r="G573" s="37">
        <f>IF(COUNTA(A573:F573)=0,"",IF(A573="EXAMPLE","Example (skipped)",IF(OR(C573="",E573="",F573=""),"✖ Portal, User ID and Password are all needed",IF(AND(A573="",COUNTIF(Clients!$B$5:$B$1005,B573)=0),"Not on Clients — will match a portal client by name",IF(AND(C573="GST",D573&lt;&gt;"",COUNTIF(Clients!$AN$5:$AN$1005,UPPER(D573))=0,COUNTIF(Clients!$G$5:$G$1005,"*"&amp;UPPER(D573)&amp;"*")=0),"GSTIN not on Clients — will be checked in the portal","✔ OK")))))</f>
        <v/>
      </c>
    </row>
    <row r="574">
      <c r="A574" s="38" t="n"/>
      <c r="B574" s="39" t="n"/>
      <c r="C574" s="39" t="n"/>
      <c r="D574" s="38" t="n"/>
      <c r="E574" s="38" t="n"/>
      <c r="F574" s="38" t="n"/>
      <c r="G574" s="37">
        <f>IF(COUNTA(A574:F574)=0,"",IF(A574="EXAMPLE","Example (skipped)",IF(OR(C574="",E574="",F574=""),"✖ Portal, User ID and Password are all needed",IF(AND(A574="",COUNTIF(Clients!$B$5:$B$1005,B574)=0),"Not on Clients — will match a portal client by name",IF(AND(C574="GST",D574&lt;&gt;"",COUNTIF(Clients!$AN$5:$AN$1005,UPPER(D574))=0,COUNTIF(Clients!$G$5:$G$1005,"*"&amp;UPPER(D574)&amp;"*")=0),"GSTIN not on Clients — will be checked in the portal","✔ OK")))))</f>
        <v/>
      </c>
    </row>
    <row r="575">
      <c r="A575" s="38" t="n"/>
      <c r="B575" s="39" t="n"/>
      <c r="C575" s="39" t="n"/>
      <c r="D575" s="38" t="n"/>
      <c r="E575" s="38" t="n"/>
      <c r="F575" s="38" t="n"/>
      <c r="G575" s="37">
        <f>IF(COUNTA(A575:F575)=0,"",IF(A575="EXAMPLE","Example (skipped)",IF(OR(C575="",E575="",F575=""),"✖ Portal, User ID and Password are all needed",IF(AND(A575="",COUNTIF(Clients!$B$5:$B$1005,B575)=0),"Not on Clients — will match a portal client by name",IF(AND(C575="GST",D575&lt;&gt;"",COUNTIF(Clients!$AN$5:$AN$1005,UPPER(D575))=0,COUNTIF(Clients!$G$5:$G$1005,"*"&amp;UPPER(D575)&amp;"*")=0),"GSTIN not on Clients — will be checked in the portal","✔ OK")))))</f>
        <v/>
      </c>
    </row>
    <row r="576">
      <c r="A576" s="38" t="n"/>
      <c r="B576" s="39" t="n"/>
      <c r="C576" s="39" t="n"/>
      <c r="D576" s="38" t="n"/>
      <c r="E576" s="38" t="n"/>
      <c r="F576" s="38" t="n"/>
      <c r="G576" s="37">
        <f>IF(COUNTA(A576:F576)=0,"",IF(A576="EXAMPLE","Example (skipped)",IF(OR(C576="",E576="",F576=""),"✖ Portal, User ID and Password are all needed",IF(AND(A576="",COUNTIF(Clients!$B$5:$B$1005,B576)=0),"Not on Clients — will match a portal client by name",IF(AND(C576="GST",D576&lt;&gt;"",COUNTIF(Clients!$AN$5:$AN$1005,UPPER(D576))=0,COUNTIF(Clients!$G$5:$G$1005,"*"&amp;UPPER(D576)&amp;"*")=0),"GSTIN not on Clients — will be checked in the portal","✔ OK")))))</f>
        <v/>
      </c>
    </row>
    <row r="577">
      <c r="A577" s="38" t="n"/>
      <c r="B577" s="39" t="n"/>
      <c r="C577" s="39" t="n"/>
      <c r="D577" s="38" t="n"/>
      <c r="E577" s="38" t="n"/>
      <c r="F577" s="38" t="n"/>
      <c r="G577" s="37">
        <f>IF(COUNTA(A577:F577)=0,"",IF(A577="EXAMPLE","Example (skipped)",IF(OR(C577="",E577="",F577=""),"✖ Portal, User ID and Password are all needed",IF(AND(A577="",COUNTIF(Clients!$B$5:$B$1005,B577)=0),"Not on Clients — will match a portal client by name",IF(AND(C577="GST",D577&lt;&gt;"",COUNTIF(Clients!$AN$5:$AN$1005,UPPER(D577))=0,COUNTIF(Clients!$G$5:$G$1005,"*"&amp;UPPER(D577)&amp;"*")=0),"GSTIN not on Clients — will be checked in the portal","✔ OK")))))</f>
        <v/>
      </c>
    </row>
    <row r="578">
      <c r="A578" s="38" t="n"/>
      <c r="B578" s="39" t="n"/>
      <c r="C578" s="39" t="n"/>
      <c r="D578" s="38" t="n"/>
      <c r="E578" s="38" t="n"/>
      <c r="F578" s="38" t="n"/>
      <c r="G578" s="37">
        <f>IF(COUNTA(A578:F578)=0,"",IF(A578="EXAMPLE","Example (skipped)",IF(OR(C578="",E578="",F578=""),"✖ Portal, User ID and Password are all needed",IF(AND(A578="",COUNTIF(Clients!$B$5:$B$1005,B578)=0),"Not on Clients — will match a portal client by name",IF(AND(C578="GST",D578&lt;&gt;"",COUNTIF(Clients!$AN$5:$AN$1005,UPPER(D578))=0,COUNTIF(Clients!$G$5:$G$1005,"*"&amp;UPPER(D578)&amp;"*")=0),"GSTIN not on Clients — will be checked in the portal","✔ OK")))))</f>
        <v/>
      </c>
    </row>
    <row r="579">
      <c r="A579" s="38" t="n"/>
      <c r="B579" s="39" t="n"/>
      <c r="C579" s="39" t="n"/>
      <c r="D579" s="38" t="n"/>
      <c r="E579" s="38" t="n"/>
      <c r="F579" s="38" t="n"/>
      <c r="G579" s="37">
        <f>IF(COUNTA(A579:F579)=0,"",IF(A579="EXAMPLE","Example (skipped)",IF(OR(C579="",E579="",F579=""),"✖ Portal, User ID and Password are all needed",IF(AND(A579="",COUNTIF(Clients!$B$5:$B$1005,B579)=0),"Not on Clients — will match a portal client by name",IF(AND(C579="GST",D579&lt;&gt;"",COUNTIF(Clients!$AN$5:$AN$1005,UPPER(D579))=0,COUNTIF(Clients!$G$5:$G$1005,"*"&amp;UPPER(D579)&amp;"*")=0),"GSTIN not on Clients — will be checked in the portal","✔ OK")))))</f>
        <v/>
      </c>
    </row>
    <row r="580">
      <c r="A580" s="38" t="n"/>
      <c r="B580" s="39" t="n"/>
      <c r="C580" s="39" t="n"/>
      <c r="D580" s="38" t="n"/>
      <c r="E580" s="38" t="n"/>
      <c r="F580" s="38" t="n"/>
      <c r="G580" s="37">
        <f>IF(COUNTA(A580:F580)=0,"",IF(A580="EXAMPLE","Example (skipped)",IF(OR(C580="",E580="",F580=""),"✖ Portal, User ID and Password are all needed",IF(AND(A580="",COUNTIF(Clients!$B$5:$B$1005,B580)=0),"Not on Clients — will match a portal client by name",IF(AND(C580="GST",D580&lt;&gt;"",COUNTIF(Clients!$AN$5:$AN$1005,UPPER(D580))=0,COUNTIF(Clients!$G$5:$G$1005,"*"&amp;UPPER(D580)&amp;"*")=0),"GSTIN not on Clients — will be checked in the portal","✔ OK")))))</f>
        <v/>
      </c>
    </row>
    <row r="581">
      <c r="A581" s="38" t="n"/>
      <c r="B581" s="39" t="n"/>
      <c r="C581" s="39" t="n"/>
      <c r="D581" s="38" t="n"/>
      <c r="E581" s="38" t="n"/>
      <c r="F581" s="38" t="n"/>
      <c r="G581" s="37">
        <f>IF(COUNTA(A581:F581)=0,"",IF(A581="EXAMPLE","Example (skipped)",IF(OR(C581="",E581="",F581=""),"✖ Portal, User ID and Password are all needed",IF(AND(A581="",COUNTIF(Clients!$B$5:$B$1005,B581)=0),"Not on Clients — will match a portal client by name",IF(AND(C581="GST",D581&lt;&gt;"",COUNTIF(Clients!$AN$5:$AN$1005,UPPER(D581))=0,COUNTIF(Clients!$G$5:$G$1005,"*"&amp;UPPER(D581)&amp;"*")=0),"GSTIN not on Clients — will be checked in the portal","✔ OK")))))</f>
        <v/>
      </c>
    </row>
    <row r="582">
      <c r="A582" s="38" t="n"/>
      <c r="B582" s="39" t="n"/>
      <c r="C582" s="39" t="n"/>
      <c r="D582" s="38" t="n"/>
      <c r="E582" s="38" t="n"/>
      <c r="F582" s="38" t="n"/>
      <c r="G582" s="37">
        <f>IF(COUNTA(A582:F582)=0,"",IF(A582="EXAMPLE","Example (skipped)",IF(OR(C582="",E582="",F582=""),"✖ Portal, User ID and Password are all needed",IF(AND(A582="",COUNTIF(Clients!$B$5:$B$1005,B582)=0),"Not on Clients — will match a portal client by name",IF(AND(C582="GST",D582&lt;&gt;"",COUNTIF(Clients!$AN$5:$AN$1005,UPPER(D582))=0,COUNTIF(Clients!$G$5:$G$1005,"*"&amp;UPPER(D582)&amp;"*")=0),"GSTIN not on Clients — will be checked in the portal","✔ OK")))))</f>
        <v/>
      </c>
    </row>
    <row r="583">
      <c r="A583" s="38" t="n"/>
      <c r="B583" s="39" t="n"/>
      <c r="C583" s="39" t="n"/>
      <c r="D583" s="38" t="n"/>
      <c r="E583" s="38" t="n"/>
      <c r="F583" s="38" t="n"/>
      <c r="G583" s="37">
        <f>IF(COUNTA(A583:F583)=0,"",IF(A583="EXAMPLE","Example (skipped)",IF(OR(C583="",E583="",F583=""),"✖ Portal, User ID and Password are all needed",IF(AND(A583="",COUNTIF(Clients!$B$5:$B$1005,B583)=0),"Not on Clients — will match a portal client by name",IF(AND(C583="GST",D583&lt;&gt;"",COUNTIF(Clients!$AN$5:$AN$1005,UPPER(D583))=0,COUNTIF(Clients!$G$5:$G$1005,"*"&amp;UPPER(D583)&amp;"*")=0),"GSTIN not on Clients — will be checked in the portal","✔ OK")))))</f>
        <v/>
      </c>
    </row>
    <row r="584">
      <c r="A584" s="38" t="n"/>
      <c r="B584" s="39" t="n"/>
      <c r="C584" s="39" t="n"/>
      <c r="D584" s="38" t="n"/>
      <c r="E584" s="38" t="n"/>
      <c r="F584" s="38" t="n"/>
      <c r="G584" s="37">
        <f>IF(COUNTA(A584:F584)=0,"",IF(A584="EXAMPLE","Example (skipped)",IF(OR(C584="",E584="",F584=""),"✖ Portal, User ID and Password are all needed",IF(AND(A584="",COUNTIF(Clients!$B$5:$B$1005,B584)=0),"Not on Clients — will match a portal client by name",IF(AND(C584="GST",D584&lt;&gt;"",COUNTIF(Clients!$AN$5:$AN$1005,UPPER(D584))=0,COUNTIF(Clients!$G$5:$G$1005,"*"&amp;UPPER(D584)&amp;"*")=0),"GSTIN not on Clients — will be checked in the portal","✔ OK")))))</f>
        <v/>
      </c>
    </row>
    <row r="585">
      <c r="A585" s="38" t="n"/>
      <c r="B585" s="39" t="n"/>
      <c r="C585" s="39" t="n"/>
      <c r="D585" s="38" t="n"/>
      <c r="E585" s="38" t="n"/>
      <c r="F585" s="38" t="n"/>
      <c r="G585" s="37">
        <f>IF(COUNTA(A585:F585)=0,"",IF(A585="EXAMPLE","Example (skipped)",IF(OR(C585="",E585="",F585=""),"✖ Portal, User ID and Password are all needed",IF(AND(A585="",COUNTIF(Clients!$B$5:$B$1005,B585)=0),"Not on Clients — will match a portal client by name",IF(AND(C585="GST",D585&lt;&gt;"",COUNTIF(Clients!$AN$5:$AN$1005,UPPER(D585))=0,COUNTIF(Clients!$G$5:$G$1005,"*"&amp;UPPER(D585)&amp;"*")=0),"GSTIN not on Clients — will be checked in the portal","✔ OK")))))</f>
        <v/>
      </c>
    </row>
    <row r="586">
      <c r="A586" s="38" t="n"/>
      <c r="B586" s="39" t="n"/>
      <c r="C586" s="39" t="n"/>
      <c r="D586" s="38" t="n"/>
      <c r="E586" s="38" t="n"/>
      <c r="F586" s="38" t="n"/>
      <c r="G586" s="37">
        <f>IF(COUNTA(A586:F586)=0,"",IF(A586="EXAMPLE","Example (skipped)",IF(OR(C586="",E586="",F586=""),"✖ Portal, User ID and Password are all needed",IF(AND(A586="",COUNTIF(Clients!$B$5:$B$1005,B586)=0),"Not on Clients — will match a portal client by name",IF(AND(C586="GST",D586&lt;&gt;"",COUNTIF(Clients!$AN$5:$AN$1005,UPPER(D586))=0,COUNTIF(Clients!$G$5:$G$1005,"*"&amp;UPPER(D586)&amp;"*")=0),"GSTIN not on Clients — will be checked in the portal","✔ OK")))))</f>
        <v/>
      </c>
    </row>
    <row r="587">
      <c r="A587" s="38" t="n"/>
      <c r="B587" s="39" t="n"/>
      <c r="C587" s="39" t="n"/>
      <c r="D587" s="38" t="n"/>
      <c r="E587" s="38" t="n"/>
      <c r="F587" s="38" t="n"/>
      <c r="G587" s="37">
        <f>IF(COUNTA(A587:F587)=0,"",IF(A587="EXAMPLE","Example (skipped)",IF(OR(C587="",E587="",F587=""),"✖ Portal, User ID and Password are all needed",IF(AND(A587="",COUNTIF(Clients!$B$5:$B$1005,B587)=0),"Not on Clients — will match a portal client by name",IF(AND(C587="GST",D587&lt;&gt;"",COUNTIF(Clients!$AN$5:$AN$1005,UPPER(D587))=0,COUNTIF(Clients!$G$5:$G$1005,"*"&amp;UPPER(D587)&amp;"*")=0),"GSTIN not on Clients — will be checked in the portal","✔ OK")))))</f>
        <v/>
      </c>
    </row>
    <row r="588">
      <c r="A588" s="38" t="n"/>
      <c r="B588" s="39" t="n"/>
      <c r="C588" s="39" t="n"/>
      <c r="D588" s="38" t="n"/>
      <c r="E588" s="38" t="n"/>
      <c r="F588" s="38" t="n"/>
      <c r="G588" s="37">
        <f>IF(COUNTA(A588:F588)=0,"",IF(A588="EXAMPLE","Example (skipped)",IF(OR(C588="",E588="",F588=""),"✖ Portal, User ID and Password are all needed",IF(AND(A588="",COUNTIF(Clients!$B$5:$B$1005,B588)=0),"Not on Clients — will match a portal client by name",IF(AND(C588="GST",D588&lt;&gt;"",COUNTIF(Clients!$AN$5:$AN$1005,UPPER(D588))=0,COUNTIF(Clients!$G$5:$G$1005,"*"&amp;UPPER(D588)&amp;"*")=0),"GSTIN not on Clients — will be checked in the portal","✔ OK")))))</f>
        <v/>
      </c>
    </row>
    <row r="589">
      <c r="A589" s="38" t="n"/>
      <c r="B589" s="39" t="n"/>
      <c r="C589" s="39" t="n"/>
      <c r="D589" s="38" t="n"/>
      <c r="E589" s="38" t="n"/>
      <c r="F589" s="38" t="n"/>
      <c r="G589" s="37">
        <f>IF(COUNTA(A589:F589)=0,"",IF(A589="EXAMPLE","Example (skipped)",IF(OR(C589="",E589="",F589=""),"✖ Portal, User ID and Password are all needed",IF(AND(A589="",COUNTIF(Clients!$B$5:$B$1005,B589)=0),"Not on Clients — will match a portal client by name",IF(AND(C589="GST",D589&lt;&gt;"",COUNTIF(Clients!$AN$5:$AN$1005,UPPER(D589))=0,COUNTIF(Clients!$G$5:$G$1005,"*"&amp;UPPER(D589)&amp;"*")=0),"GSTIN not on Clients — will be checked in the portal","✔ OK")))))</f>
        <v/>
      </c>
    </row>
    <row r="590">
      <c r="A590" s="38" t="n"/>
      <c r="B590" s="39" t="n"/>
      <c r="C590" s="39" t="n"/>
      <c r="D590" s="38" t="n"/>
      <c r="E590" s="38" t="n"/>
      <c r="F590" s="38" t="n"/>
      <c r="G590" s="37">
        <f>IF(COUNTA(A590:F590)=0,"",IF(A590="EXAMPLE","Example (skipped)",IF(OR(C590="",E590="",F590=""),"✖ Portal, User ID and Password are all needed",IF(AND(A590="",COUNTIF(Clients!$B$5:$B$1005,B590)=0),"Not on Clients — will match a portal client by name",IF(AND(C590="GST",D590&lt;&gt;"",COUNTIF(Clients!$AN$5:$AN$1005,UPPER(D590))=0,COUNTIF(Clients!$G$5:$G$1005,"*"&amp;UPPER(D590)&amp;"*")=0),"GSTIN not on Clients — will be checked in the portal","✔ OK")))))</f>
        <v/>
      </c>
    </row>
    <row r="591">
      <c r="A591" s="38" t="n"/>
      <c r="B591" s="39" t="n"/>
      <c r="C591" s="39" t="n"/>
      <c r="D591" s="38" t="n"/>
      <c r="E591" s="38" t="n"/>
      <c r="F591" s="38" t="n"/>
      <c r="G591" s="37">
        <f>IF(COUNTA(A591:F591)=0,"",IF(A591="EXAMPLE","Example (skipped)",IF(OR(C591="",E591="",F591=""),"✖ Portal, User ID and Password are all needed",IF(AND(A591="",COUNTIF(Clients!$B$5:$B$1005,B591)=0),"Not on Clients — will match a portal client by name",IF(AND(C591="GST",D591&lt;&gt;"",COUNTIF(Clients!$AN$5:$AN$1005,UPPER(D591))=0,COUNTIF(Clients!$G$5:$G$1005,"*"&amp;UPPER(D591)&amp;"*")=0),"GSTIN not on Clients — will be checked in the portal","✔ OK")))))</f>
        <v/>
      </c>
    </row>
    <row r="592">
      <c r="A592" s="38" t="n"/>
      <c r="B592" s="39" t="n"/>
      <c r="C592" s="39" t="n"/>
      <c r="D592" s="38" t="n"/>
      <c r="E592" s="38" t="n"/>
      <c r="F592" s="38" t="n"/>
      <c r="G592" s="37">
        <f>IF(COUNTA(A592:F592)=0,"",IF(A592="EXAMPLE","Example (skipped)",IF(OR(C592="",E592="",F592=""),"✖ Portal, User ID and Password are all needed",IF(AND(A592="",COUNTIF(Clients!$B$5:$B$1005,B592)=0),"Not on Clients — will match a portal client by name",IF(AND(C592="GST",D592&lt;&gt;"",COUNTIF(Clients!$AN$5:$AN$1005,UPPER(D592))=0,COUNTIF(Clients!$G$5:$G$1005,"*"&amp;UPPER(D592)&amp;"*")=0),"GSTIN not on Clients — will be checked in the portal","✔ OK")))))</f>
        <v/>
      </c>
    </row>
    <row r="593">
      <c r="A593" s="38" t="n"/>
      <c r="B593" s="39" t="n"/>
      <c r="C593" s="39" t="n"/>
      <c r="D593" s="38" t="n"/>
      <c r="E593" s="38" t="n"/>
      <c r="F593" s="38" t="n"/>
      <c r="G593" s="37">
        <f>IF(COUNTA(A593:F593)=0,"",IF(A593="EXAMPLE","Example (skipped)",IF(OR(C593="",E593="",F593=""),"✖ Portal, User ID and Password are all needed",IF(AND(A593="",COUNTIF(Clients!$B$5:$B$1005,B593)=0),"Not on Clients — will match a portal client by name",IF(AND(C593="GST",D593&lt;&gt;"",COUNTIF(Clients!$AN$5:$AN$1005,UPPER(D593))=0,COUNTIF(Clients!$G$5:$G$1005,"*"&amp;UPPER(D593)&amp;"*")=0),"GSTIN not on Clients — will be checked in the portal","✔ OK")))))</f>
        <v/>
      </c>
    </row>
    <row r="594">
      <c r="A594" s="38" t="n"/>
      <c r="B594" s="39" t="n"/>
      <c r="C594" s="39" t="n"/>
      <c r="D594" s="38" t="n"/>
      <c r="E594" s="38" t="n"/>
      <c r="F594" s="38" t="n"/>
      <c r="G594" s="37">
        <f>IF(COUNTA(A594:F594)=0,"",IF(A594="EXAMPLE","Example (skipped)",IF(OR(C594="",E594="",F594=""),"✖ Portal, User ID and Password are all needed",IF(AND(A594="",COUNTIF(Clients!$B$5:$B$1005,B594)=0),"Not on Clients — will match a portal client by name",IF(AND(C594="GST",D594&lt;&gt;"",COUNTIF(Clients!$AN$5:$AN$1005,UPPER(D594))=0,COUNTIF(Clients!$G$5:$G$1005,"*"&amp;UPPER(D594)&amp;"*")=0),"GSTIN not on Clients — will be checked in the portal","✔ OK")))))</f>
        <v/>
      </c>
    </row>
    <row r="595">
      <c r="A595" s="38" t="n"/>
      <c r="B595" s="39" t="n"/>
      <c r="C595" s="39" t="n"/>
      <c r="D595" s="38" t="n"/>
      <c r="E595" s="38" t="n"/>
      <c r="F595" s="38" t="n"/>
      <c r="G595" s="37">
        <f>IF(COUNTA(A595:F595)=0,"",IF(A595="EXAMPLE","Example (skipped)",IF(OR(C595="",E595="",F595=""),"✖ Portal, User ID and Password are all needed",IF(AND(A595="",COUNTIF(Clients!$B$5:$B$1005,B595)=0),"Not on Clients — will match a portal client by name",IF(AND(C595="GST",D595&lt;&gt;"",COUNTIF(Clients!$AN$5:$AN$1005,UPPER(D595))=0,COUNTIF(Clients!$G$5:$G$1005,"*"&amp;UPPER(D595)&amp;"*")=0),"GSTIN not on Clients — will be checked in the portal","✔ OK")))))</f>
        <v/>
      </c>
    </row>
    <row r="596">
      <c r="A596" s="38" t="n"/>
      <c r="B596" s="39" t="n"/>
      <c r="C596" s="39" t="n"/>
      <c r="D596" s="38" t="n"/>
      <c r="E596" s="38" t="n"/>
      <c r="F596" s="38" t="n"/>
      <c r="G596" s="37">
        <f>IF(COUNTA(A596:F596)=0,"",IF(A596="EXAMPLE","Example (skipped)",IF(OR(C596="",E596="",F596=""),"✖ Portal, User ID and Password are all needed",IF(AND(A596="",COUNTIF(Clients!$B$5:$B$1005,B596)=0),"Not on Clients — will match a portal client by name",IF(AND(C596="GST",D596&lt;&gt;"",COUNTIF(Clients!$AN$5:$AN$1005,UPPER(D596))=0,COUNTIF(Clients!$G$5:$G$1005,"*"&amp;UPPER(D596)&amp;"*")=0),"GSTIN not on Clients — will be checked in the portal","✔ OK")))))</f>
        <v/>
      </c>
    </row>
    <row r="597">
      <c r="A597" s="38" t="n"/>
      <c r="B597" s="39" t="n"/>
      <c r="C597" s="39" t="n"/>
      <c r="D597" s="38" t="n"/>
      <c r="E597" s="38" t="n"/>
      <c r="F597" s="38" t="n"/>
      <c r="G597" s="37">
        <f>IF(COUNTA(A597:F597)=0,"",IF(A597="EXAMPLE","Example (skipped)",IF(OR(C597="",E597="",F597=""),"✖ Portal, User ID and Password are all needed",IF(AND(A597="",COUNTIF(Clients!$B$5:$B$1005,B597)=0),"Not on Clients — will match a portal client by name",IF(AND(C597="GST",D597&lt;&gt;"",COUNTIF(Clients!$AN$5:$AN$1005,UPPER(D597))=0,COUNTIF(Clients!$G$5:$G$1005,"*"&amp;UPPER(D597)&amp;"*")=0),"GSTIN not on Clients — will be checked in the portal","✔ OK")))))</f>
        <v/>
      </c>
    </row>
    <row r="598">
      <c r="A598" s="38" t="n"/>
      <c r="B598" s="39" t="n"/>
      <c r="C598" s="39" t="n"/>
      <c r="D598" s="38" t="n"/>
      <c r="E598" s="38" t="n"/>
      <c r="F598" s="38" t="n"/>
      <c r="G598" s="37">
        <f>IF(COUNTA(A598:F598)=0,"",IF(A598="EXAMPLE","Example (skipped)",IF(OR(C598="",E598="",F598=""),"✖ Portal, User ID and Password are all needed",IF(AND(A598="",COUNTIF(Clients!$B$5:$B$1005,B598)=0),"Not on Clients — will match a portal client by name",IF(AND(C598="GST",D598&lt;&gt;"",COUNTIF(Clients!$AN$5:$AN$1005,UPPER(D598))=0,COUNTIF(Clients!$G$5:$G$1005,"*"&amp;UPPER(D598)&amp;"*")=0),"GSTIN not on Clients — will be checked in the portal","✔ OK")))))</f>
        <v/>
      </c>
    </row>
    <row r="599">
      <c r="A599" s="38" t="n"/>
      <c r="B599" s="39" t="n"/>
      <c r="C599" s="39" t="n"/>
      <c r="D599" s="38" t="n"/>
      <c r="E599" s="38" t="n"/>
      <c r="F599" s="38" t="n"/>
      <c r="G599" s="37">
        <f>IF(COUNTA(A599:F599)=0,"",IF(A599="EXAMPLE","Example (skipped)",IF(OR(C599="",E599="",F599=""),"✖ Portal, User ID and Password are all needed",IF(AND(A599="",COUNTIF(Clients!$B$5:$B$1005,B599)=0),"Not on Clients — will match a portal client by name",IF(AND(C599="GST",D599&lt;&gt;"",COUNTIF(Clients!$AN$5:$AN$1005,UPPER(D599))=0,COUNTIF(Clients!$G$5:$G$1005,"*"&amp;UPPER(D599)&amp;"*")=0),"GSTIN not on Clients — will be checked in the portal","✔ OK")))))</f>
        <v/>
      </c>
    </row>
    <row r="600">
      <c r="A600" s="38" t="n"/>
      <c r="B600" s="39" t="n"/>
      <c r="C600" s="39" t="n"/>
      <c r="D600" s="38" t="n"/>
      <c r="E600" s="38" t="n"/>
      <c r="F600" s="38" t="n"/>
      <c r="G600" s="37">
        <f>IF(COUNTA(A600:F600)=0,"",IF(A600="EXAMPLE","Example (skipped)",IF(OR(C600="",E600="",F600=""),"✖ Portal, User ID and Password are all needed",IF(AND(A600="",COUNTIF(Clients!$B$5:$B$1005,B600)=0),"Not on Clients — will match a portal client by name",IF(AND(C600="GST",D600&lt;&gt;"",COUNTIF(Clients!$AN$5:$AN$1005,UPPER(D600))=0,COUNTIF(Clients!$G$5:$G$1005,"*"&amp;UPPER(D600)&amp;"*")=0),"GSTIN not on Clients — will be checked in the portal","✔ OK")))))</f>
        <v/>
      </c>
    </row>
    <row r="601">
      <c r="A601" s="38" t="n"/>
      <c r="B601" s="39" t="n"/>
      <c r="C601" s="39" t="n"/>
      <c r="D601" s="38" t="n"/>
      <c r="E601" s="38" t="n"/>
      <c r="F601" s="38" t="n"/>
      <c r="G601" s="37">
        <f>IF(COUNTA(A601:F601)=0,"",IF(A601="EXAMPLE","Example (skipped)",IF(OR(C601="",E601="",F601=""),"✖ Portal, User ID and Password are all needed",IF(AND(A601="",COUNTIF(Clients!$B$5:$B$1005,B601)=0),"Not on Clients — will match a portal client by name",IF(AND(C601="GST",D601&lt;&gt;"",COUNTIF(Clients!$AN$5:$AN$1005,UPPER(D601))=0,COUNTIF(Clients!$G$5:$G$1005,"*"&amp;UPPER(D601)&amp;"*")=0),"GSTIN not on Clients — will be checked in the portal","✔ OK")))))</f>
        <v/>
      </c>
    </row>
    <row r="602">
      <c r="A602" s="38" t="n"/>
      <c r="B602" s="39" t="n"/>
      <c r="C602" s="39" t="n"/>
      <c r="D602" s="38" t="n"/>
      <c r="E602" s="38" t="n"/>
      <c r="F602" s="38" t="n"/>
      <c r="G602" s="37">
        <f>IF(COUNTA(A602:F602)=0,"",IF(A602="EXAMPLE","Example (skipped)",IF(OR(C602="",E602="",F602=""),"✖ Portal, User ID and Password are all needed",IF(AND(A602="",COUNTIF(Clients!$B$5:$B$1005,B602)=0),"Not on Clients — will match a portal client by name",IF(AND(C602="GST",D602&lt;&gt;"",COUNTIF(Clients!$AN$5:$AN$1005,UPPER(D602))=0,COUNTIF(Clients!$G$5:$G$1005,"*"&amp;UPPER(D602)&amp;"*")=0),"GSTIN not on Clients — will be checked in the portal","✔ OK")))))</f>
        <v/>
      </c>
    </row>
    <row r="603">
      <c r="A603" s="38" t="n"/>
      <c r="B603" s="39" t="n"/>
      <c r="C603" s="39" t="n"/>
      <c r="D603" s="38" t="n"/>
      <c r="E603" s="38" t="n"/>
      <c r="F603" s="38" t="n"/>
      <c r="G603" s="37">
        <f>IF(COUNTA(A603:F603)=0,"",IF(A603="EXAMPLE","Example (skipped)",IF(OR(C603="",E603="",F603=""),"✖ Portal, User ID and Password are all needed",IF(AND(A603="",COUNTIF(Clients!$B$5:$B$1005,B603)=0),"Not on Clients — will match a portal client by name",IF(AND(C603="GST",D603&lt;&gt;"",COUNTIF(Clients!$AN$5:$AN$1005,UPPER(D603))=0,COUNTIF(Clients!$G$5:$G$1005,"*"&amp;UPPER(D603)&amp;"*")=0),"GSTIN not on Clients — will be checked in the portal","✔ OK")))))</f>
        <v/>
      </c>
    </row>
    <row r="604">
      <c r="A604" s="38" t="n"/>
      <c r="B604" s="39" t="n"/>
      <c r="C604" s="39" t="n"/>
      <c r="D604" s="38" t="n"/>
      <c r="E604" s="38" t="n"/>
      <c r="F604" s="38" t="n"/>
      <c r="G604" s="37">
        <f>IF(COUNTA(A604:F604)=0,"",IF(A604="EXAMPLE","Example (skipped)",IF(OR(C604="",E604="",F604=""),"✖ Portal, User ID and Password are all needed",IF(AND(A604="",COUNTIF(Clients!$B$5:$B$1005,B604)=0),"Not on Clients — will match a portal client by name",IF(AND(C604="GST",D604&lt;&gt;"",COUNTIF(Clients!$AN$5:$AN$1005,UPPER(D604))=0,COUNTIF(Clients!$G$5:$G$1005,"*"&amp;UPPER(D604)&amp;"*")=0),"GSTIN not on Clients — will be checked in the portal","✔ OK")))))</f>
        <v/>
      </c>
    </row>
    <row r="605">
      <c r="A605" s="38" t="n"/>
      <c r="B605" s="39" t="n"/>
      <c r="C605" s="39" t="n"/>
      <c r="D605" s="38" t="n"/>
      <c r="E605" s="38" t="n"/>
      <c r="F605" s="38" t="n"/>
      <c r="G605" s="37">
        <f>IF(COUNTA(A605:F605)=0,"",IF(A605="EXAMPLE","Example (skipped)",IF(OR(C605="",E605="",F605=""),"✖ Portal, User ID and Password are all needed",IF(AND(A605="",COUNTIF(Clients!$B$5:$B$1005,B605)=0),"Not on Clients — will match a portal client by name",IF(AND(C605="GST",D605&lt;&gt;"",COUNTIF(Clients!$AN$5:$AN$1005,UPPER(D605))=0,COUNTIF(Clients!$G$5:$G$1005,"*"&amp;UPPER(D605)&amp;"*")=0),"GSTIN not on Clients — will be checked in the portal","✔ OK")))))</f>
        <v/>
      </c>
    </row>
    <row r="606">
      <c r="A606" s="38" t="n"/>
      <c r="B606" s="39" t="n"/>
      <c r="C606" s="39" t="n"/>
      <c r="D606" s="38" t="n"/>
      <c r="E606" s="38" t="n"/>
      <c r="F606" s="38" t="n"/>
      <c r="G606" s="37">
        <f>IF(COUNTA(A606:F606)=0,"",IF(A606="EXAMPLE","Example (skipped)",IF(OR(C606="",E606="",F606=""),"✖ Portal, User ID and Password are all needed",IF(AND(A606="",COUNTIF(Clients!$B$5:$B$1005,B606)=0),"Not on Clients — will match a portal client by name",IF(AND(C606="GST",D606&lt;&gt;"",COUNTIF(Clients!$AN$5:$AN$1005,UPPER(D606))=0,COUNTIF(Clients!$G$5:$G$1005,"*"&amp;UPPER(D606)&amp;"*")=0),"GSTIN not on Clients — will be checked in the portal","✔ OK")))))</f>
        <v/>
      </c>
    </row>
    <row r="607">
      <c r="A607" s="38" t="n"/>
      <c r="B607" s="39" t="n"/>
      <c r="C607" s="39" t="n"/>
      <c r="D607" s="38" t="n"/>
      <c r="E607" s="38" t="n"/>
      <c r="F607" s="38" t="n"/>
      <c r="G607" s="37">
        <f>IF(COUNTA(A607:F607)=0,"",IF(A607="EXAMPLE","Example (skipped)",IF(OR(C607="",E607="",F607=""),"✖ Portal, User ID and Password are all needed",IF(AND(A607="",COUNTIF(Clients!$B$5:$B$1005,B607)=0),"Not on Clients — will match a portal client by name",IF(AND(C607="GST",D607&lt;&gt;"",COUNTIF(Clients!$AN$5:$AN$1005,UPPER(D607))=0,COUNTIF(Clients!$G$5:$G$1005,"*"&amp;UPPER(D607)&amp;"*")=0),"GSTIN not on Clients — will be checked in the portal","✔ OK")))))</f>
        <v/>
      </c>
    </row>
    <row r="608">
      <c r="A608" s="38" t="n"/>
      <c r="B608" s="39" t="n"/>
      <c r="C608" s="39" t="n"/>
      <c r="D608" s="38" t="n"/>
      <c r="E608" s="38" t="n"/>
      <c r="F608" s="38" t="n"/>
      <c r="G608" s="37">
        <f>IF(COUNTA(A608:F608)=0,"",IF(A608="EXAMPLE","Example (skipped)",IF(OR(C608="",E608="",F608=""),"✖ Portal, User ID and Password are all needed",IF(AND(A608="",COUNTIF(Clients!$B$5:$B$1005,B608)=0),"Not on Clients — will match a portal client by name",IF(AND(C608="GST",D608&lt;&gt;"",COUNTIF(Clients!$AN$5:$AN$1005,UPPER(D608))=0,COUNTIF(Clients!$G$5:$G$1005,"*"&amp;UPPER(D608)&amp;"*")=0),"GSTIN not on Clients — will be checked in the portal","✔ OK")))))</f>
        <v/>
      </c>
    </row>
    <row r="609">
      <c r="A609" s="38" t="n"/>
      <c r="B609" s="39" t="n"/>
      <c r="C609" s="39" t="n"/>
      <c r="D609" s="38" t="n"/>
      <c r="E609" s="38" t="n"/>
      <c r="F609" s="38" t="n"/>
      <c r="G609" s="37">
        <f>IF(COUNTA(A609:F609)=0,"",IF(A609="EXAMPLE","Example (skipped)",IF(OR(C609="",E609="",F609=""),"✖ Portal, User ID and Password are all needed",IF(AND(A609="",COUNTIF(Clients!$B$5:$B$1005,B609)=0),"Not on Clients — will match a portal client by name",IF(AND(C609="GST",D609&lt;&gt;"",COUNTIF(Clients!$AN$5:$AN$1005,UPPER(D609))=0,COUNTIF(Clients!$G$5:$G$1005,"*"&amp;UPPER(D609)&amp;"*")=0),"GSTIN not on Clients — will be checked in the portal","✔ OK")))))</f>
        <v/>
      </c>
    </row>
    <row r="610">
      <c r="A610" s="38" t="n"/>
      <c r="B610" s="39" t="n"/>
      <c r="C610" s="39" t="n"/>
      <c r="D610" s="38" t="n"/>
      <c r="E610" s="38" t="n"/>
      <c r="F610" s="38" t="n"/>
      <c r="G610" s="37">
        <f>IF(COUNTA(A610:F610)=0,"",IF(A610="EXAMPLE","Example (skipped)",IF(OR(C610="",E610="",F610=""),"✖ Portal, User ID and Password are all needed",IF(AND(A610="",COUNTIF(Clients!$B$5:$B$1005,B610)=0),"Not on Clients — will match a portal client by name",IF(AND(C610="GST",D610&lt;&gt;"",COUNTIF(Clients!$AN$5:$AN$1005,UPPER(D610))=0,COUNTIF(Clients!$G$5:$G$1005,"*"&amp;UPPER(D610)&amp;"*")=0),"GSTIN not on Clients — will be checked in the portal","✔ OK")))))</f>
        <v/>
      </c>
    </row>
    <row r="611">
      <c r="A611" s="38" t="n"/>
      <c r="B611" s="39" t="n"/>
      <c r="C611" s="39" t="n"/>
      <c r="D611" s="38" t="n"/>
      <c r="E611" s="38" t="n"/>
      <c r="F611" s="38" t="n"/>
      <c r="G611" s="37">
        <f>IF(COUNTA(A611:F611)=0,"",IF(A611="EXAMPLE","Example (skipped)",IF(OR(C611="",E611="",F611=""),"✖ Portal, User ID and Password are all needed",IF(AND(A611="",COUNTIF(Clients!$B$5:$B$1005,B611)=0),"Not on Clients — will match a portal client by name",IF(AND(C611="GST",D611&lt;&gt;"",COUNTIF(Clients!$AN$5:$AN$1005,UPPER(D611))=0,COUNTIF(Clients!$G$5:$G$1005,"*"&amp;UPPER(D611)&amp;"*")=0),"GSTIN not on Clients — will be checked in the portal","✔ OK")))))</f>
        <v/>
      </c>
    </row>
    <row r="612">
      <c r="A612" s="38" t="n"/>
      <c r="B612" s="39" t="n"/>
      <c r="C612" s="39" t="n"/>
      <c r="D612" s="38" t="n"/>
      <c r="E612" s="38" t="n"/>
      <c r="F612" s="38" t="n"/>
      <c r="G612" s="37">
        <f>IF(COUNTA(A612:F612)=0,"",IF(A612="EXAMPLE","Example (skipped)",IF(OR(C612="",E612="",F612=""),"✖ Portal, User ID and Password are all needed",IF(AND(A612="",COUNTIF(Clients!$B$5:$B$1005,B612)=0),"Not on Clients — will match a portal client by name",IF(AND(C612="GST",D612&lt;&gt;"",COUNTIF(Clients!$AN$5:$AN$1005,UPPER(D612))=0,COUNTIF(Clients!$G$5:$G$1005,"*"&amp;UPPER(D612)&amp;"*")=0),"GSTIN not on Clients — will be checked in the portal","✔ OK")))))</f>
        <v/>
      </c>
    </row>
    <row r="613">
      <c r="A613" s="38" t="n"/>
      <c r="B613" s="39" t="n"/>
      <c r="C613" s="39" t="n"/>
      <c r="D613" s="38" t="n"/>
      <c r="E613" s="38" t="n"/>
      <c r="F613" s="38" t="n"/>
      <c r="G613" s="37">
        <f>IF(COUNTA(A613:F613)=0,"",IF(A613="EXAMPLE","Example (skipped)",IF(OR(C613="",E613="",F613=""),"✖ Portal, User ID and Password are all needed",IF(AND(A613="",COUNTIF(Clients!$B$5:$B$1005,B613)=0),"Not on Clients — will match a portal client by name",IF(AND(C613="GST",D613&lt;&gt;"",COUNTIF(Clients!$AN$5:$AN$1005,UPPER(D613))=0,COUNTIF(Clients!$G$5:$G$1005,"*"&amp;UPPER(D613)&amp;"*")=0),"GSTIN not on Clients — will be checked in the portal","✔ OK")))))</f>
        <v/>
      </c>
    </row>
    <row r="614">
      <c r="A614" s="38" t="n"/>
      <c r="B614" s="39" t="n"/>
      <c r="C614" s="39" t="n"/>
      <c r="D614" s="38" t="n"/>
      <c r="E614" s="38" t="n"/>
      <c r="F614" s="38" t="n"/>
      <c r="G614" s="37">
        <f>IF(COUNTA(A614:F614)=0,"",IF(A614="EXAMPLE","Example (skipped)",IF(OR(C614="",E614="",F614=""),"✖ Portal, User ID and Password are all needed",IF(AND(A614="",COUNTIF(Clients!$B$5:$B$1005,B614)=0),"Not on Clients — will match a portal client by name",IF(AND(C614="GST",D614&lt;&gt;"",COUNTIF(Clients!$AN$5:$AN$1005,UPPER(D614))=0,COUNTIF(Clients!$G$5:$G$1005,"*"&amp;UPPER(D614)&amp;"*")=0),"GSTIN not on Clients — will be checked in the portal","✔ OK")))))</f>
        <v/>
      </c>
    </row>
    <row r="615">
      <c r="A615" s="38" t="n"/>
      <c r="B615" s="39" t="n"/>
      <c r="C615" s="39" t="n"/>
      <c r="D615" s="38" t="n"/>
      <c r="E615" s="38" t="n"/>
      <c r="F615" s="38" t="n"/>
      <c r="G615" s="37">
        <f>IF(COUNTA(A615:F615)=0,"",IF(A615="EXAMPLE","Example (skipped)",IF(OR(C615="",E615="",F615=""),"✖ Portal, User ID and Password are all needed",IF(AND(A615="",COUNTIF(Clients!$B$5:$B$1005,B615)=0),"Not on Clients — will match a portal client by name",IF(AND(C615="GST",D615&lt;&gt;"",COUNTIF(Clients!$AN$5:$AN$1005,UPPER(D615))=0,COUNTIF(Clients!$G$5:$G$1005,"*"&amp;UPPER(D615)&amp;"*")=0),"GSTIN not on Clients — will be checked in the portal","✔ OK")))))</f>
        <v/>
      </c>
    </row>
    <row r="616">
      <c r="A616" s="38" t="n"/>
      <c r="B616" s="39" t="n"/>
      <c r="C616" s="39" t="n"/>
      <c r="D616" s="38" t="n"/>
      <c r="E616" s="38" t="n"/>
      <c r="F616" s="38" t="n"/>
      <c r="G616" s="37">
        <f>IF(COUNTA(A616:F616)=0,"",IF(A616="EXAMPLE","Example (skipped)",IF(OR(C616="",E616="",F616=""),"✖ Portal, User ID and Password are all needed",IF(AND(A616="",COUNTIF(Clients!$B$5:$B$1005,B616)=0),"Not on Clients — will match a portal client by name",IF(AND(C616="GST",D616&lt;&gt;"",COUNTIF(Clients!$AN$5:$AN$1005,UPPER(D616))=0,COUNTIF(Clients!$G$5:$G$1005,"*"&amp;UPPER(D616)&amp;"*")=0),"GSTIN not on Clients — will be checked in the portal","✔ OK")))))</f>
        <v/>
      </c>
    </row>
    <row r="617">
      <c r="A617" s="38" t="n"/>
      <c r="B617" s="39" t="n"/>
      <c r="C617" s="39" t="n"/>
      <c r="D617" s="38" t="n"/>
      <c r="E617" s="38" t="n"/>
      <c r="F617" s="38" t="n"/>
      <c r="G617" s="37">
        <f>IF(COUNTA(A617:F617)=0,"",IF(A617="EXAMPLE","Example (skipped)",IF(OR(C617="",E617="",F617=""),"✖ Portal, User ID and Password are all needed",IF(AND(A617="",COUNTIF(Clients!$B$5:$B$1005,B617)=0),"Not on Clients — will match a portal client by name",IF(AND(C617="GST",D617&lt;&gt;"",COUNTIF(Clients!$AN$5:$AN$1005,UPPER(D617))=0,COUNTIF(Clients!$G$5:$G$1005,"*"&amp;UPPER(D617)&amp;"*")=0),"GSTIN not on Clients — will be checked in the portal","✔ OK")))))</f>
        <v/>
      </c>
    </row>
    <row r="618">
      <c r="A618" s="38" t="n"/>
      <c r="B618" s="39" t="n"/>
      <c r="C618" s="39" t="n"/>
      <c r="D618" s="38" t="n"/>
      <c r="E618" s="38" t="n"/>
      <c r="F618" s="38" t="n"/>
      <c r="G618" s="37">
        <f>IF(COUNTA(A618:F618)=0,"",IF(A618="EXAMPLE","Example (skipped)",IF(OR(C618="",E618="",F618=""),"✖ Portal, User ID and Password are all needed",IF(AND(A618="",COUNTIF(Clients!$B$5:$B$1005,B618)=0),"Not on Clients — will match a portal client by name",IF(AND(C618="GST",D618&lt;&gt;"",COUNTIF(Clients!$AN$5:$AN$1005,UPPER(D618))=0,COUNTIF(Clients!$G$5:$G$1005,"*"&amp;UPPER(D618)&amp;"*")=0),"GSTIN not on Clients — will be checked in the portal","✔ OK")))))</f>
        <v/>
      </c>
    </row>
    <row r="619">
      <c r="A619" s="38" t="n"/>
      <c r="B619" s="39" t="n"/>
      <c r="C619" s="39" t="n"/>
      <c r="D619" s="38" t="n"/>
      <c r="E619" s="38" t="n"/>
      <c r="F619" s="38" t="n"/>
      <c r="G619" s="37">
        <f>IF(COUNTA(A619:F619)=0,"",IF(A619="EXAMPLE","Example (skipped)",IF(OR(C619="",E619="",F619=""),"✖ Portal, User ID and Password are all needed",IF(AND(A619="",COUNTIF(Clients!$B$5:$B$1005,B619)=0),"Not on Clients — will match a portal client by name",IF(AND(C619="GST",D619&lt;&gt;"",COUNTIF(Clients!$AN$5:$AN$1005,UPPER(D619))=0,COUNTIF(Clients!$G$5:$G$1005,"*"&amp;UPPER(D619)&amp;"*")=0),"GSTIN not on Clients — will be checked in the portal","✔ OK")))))</f>
        <v/>
      </c>
    </row>
    <row r="620">
      <c r="A620" s="38" t="n"/>
      <c r="B620" s="39" t="n"/>
      <c r="C620" s="39" t="n"/>
      <c r="D620" s="38" t="n"/>
      <c r="E620" s="38" t="n"/>
      <c r="F620" s="38" t="n"/>
      <c r="G620" s="37">
        <f>IF(COUNTA(A620:F620)=0,"",IF(A620="EXAMPLE","Example (skipped)",IF(OR(C620="",E620="",F620=""),"✖ Portal, User ID and Password are all needed",IF(AND(A620="",COUNTIF(Clients!$B$5:$B$1005,B620)=0),"Not on Clients — will match a portal client by name",IF(AND(C620="GST",D620&lt;&gt;"",COUNTIF(Clients!$AN$5:$AN$1005,UPPER(D620))=0,COUNTIF(Clients!$G$5:$G$1005,"*"&amp;UPPER(D620)&amp;"*")=0),"GSTIN not on Clients — will be checked in the portal","✔ OK")))))</f>
        <v/>
      </c>
    </row>
    <row r="621">
      <c r="A621" s="38" t="n"/>
      <c r="B621" s="39" t="n"/>
      <c r="C621" s="39" t="n"/>
      <c r="D621" s="38" t="n"/>
      <c r="E621" s="38" t="n"/>
      <c r="F621" s="38" t="n"/>
      <c r="G621" s="37">
        <f>IF(COUNTA(A621:F621)=0,"",IF(A621="EXAMPLE","Example (skipped)",IF(OR(C621="",E621="",F621=""),"✖ Portal, User ID and Password are all needed",IF(AND(A621="",COUNTIF(Clients!$B$5:$B$1005,B621)=0),"Not on Clients — will match a portal client by name",IF(AND(C621="GST",D621&lt;&gt;"",COUNTIF(Clients!$AN$5:$AN$1005,UPPER(D621))=0,COUNTIF(Clients!$G$5:$G$1005,"*"&amp;UPPER(D621)&amp;"*")=0),"GSTIN not on Clients — will be checked in the portal","✔ OK")))))</f>
        <v/>
      </c>
    </row>
    <row r="622">
      <c r="A622" s="38" t="n"/>
      <c r="B622" s="39" t="n"/>
      <c r="C622" s="39" t="n"/>
      <c r="D622" s="38" t="n"/>
      <c r="E622" s="38" t="n"/>
      <c r="F622" s="38" t="n"/>
      <c r="G622" s="37">
        <f>IF(COUNTA(A622:F622)=0,"",IF(A622="EXAMPLE","Example (skipped)",IF(OR(C622="",E622="",F622=""),"✖ Portal, User ID and Password are all needed",IF(AND(A622="",COUNTIF(Clients!$B$5:$B$1005,B622)=0),"Not on Clients — will match a portal client by name",IF(AND(C622="GST",D622&lt;&gt;"",COUNTIF(Clients!$AN$5:$AN$1005,UPPER(D622))=0,COUNTIF(Clients!$G$5:$G$1005,"*"&amp;UPPER(D622)&amp;"*")=0),"GSTIN not on Clients — will be checked in the portal","✔ OK")))))</f>
        <v/>
      </c>
    </row>
    <row r="623">
      <c r="A623" s="38" t="n"/>
      <c r="B623" s="39" t="n"/>
      <c r="C623" s="39" t="n"/>
      <c r="D623" s="38" t="n"/>
      <c r="E623" s="38" t="n"/>
      <c r="F623" s="38" t="n"/>
      <c r="G623" s="37">
        <f>IF(COUNTA(A623:F623)=0,"",IF(A623="EXAMPLE","Example (skipped)",IF(OR(C623="",E623="",F623=""),"✖ Portal, User ID and Password are all needed",IF(AND(A623="",COUNTIF(Clients!$B$5:$B$1005,B623)=0),"Not on Clients — will match a portal client by name",IF(AND(C623="GST",D623&lt;&gt;"",COUNTIF(Clients!$AN$5:$AN$1005,UPPER(D623))=0,COUNTIF(Clients!$G$5:$G$1005,"*"&amp;UPPER(D623)&amp;"*")=0),"GSTIN not on Clients — will be checked in the portal","✔ OK")))))</f>
        <v/>
      </c>
    </row>
    <row r="624">
      <c r="A624" s="38" t="n"/>
      <c r="B624" s="39" t="n"/>
      <c r="C624" s="39" t="n"/>
      <c r="D624" s="38" t="n"/>
      <c r="E624" s="38" t="n"/>
      <c r="F624" s="38" t="n"/>
      <c r="G624" s="37">
        <f>IF(COUNTA(A624:F624)=0,"",IF(A624="EXAMPLE","Example (skipped)",IF(OR(C624="",E624="",F624=""),"✖ Portal, User ID and Password are all needed",IF(AND(A624="",COUNTIF(Clients!$B$5:$B$1005,B624)=0),"Not on Clients — will match a portal client by name",IF(AND(C624="GST",D624&lt;&gt;"",COUNTIF(Clients!$AN$5:$AN$1005,UPPER(D624))=0,COUNTIF(Clients!$G$5:$G$1005,"*"&amp;UPPER(D624)&amp;"*")=0),"GSTIN not on Clients — will be checked in the portal","✔ OK")))))</f>
        <v/>
      </c>
    </row>
    <row r="625">
      <c r="A625" s="38" t="n"/>
      <c r="B625" s="39" t="n"/>
      <c r="C625" s="39" t="n"/>
      <c r="D625" s="38" t="n"/>
      <c r="E625" s="38" t="n"/>
      <c r="F625" s="38" t="n"/>
      <c r="G625" s="37">
        <f>IF(COUNTA(A625:F625)=0,"",IF(A625="EXAMPLE","Example (skipped)",IF(OR(C625="",E625="",F625=""),"✖ Portal, User ID and Password are all needed",IF(AND(A625="",COUNTIF(Clients!$B$5:$B$1005,B625)=0),"Not on Clients — will match a portal client by name",IF(AND(C625="GST",D625&lt;&gt;"",COUNTIF(Clients!$AN$5:$AN$1005,UPPER(D625))=0,COUNTIF(Clients!$G$5:$G$1005,"*"&amp;UPPER(D625)&amp;"*")=0),"GSTIN not on Clients — will be checked in the portal","✔ OK")))))</f>
        <v/>
      </c>
    </row>
    <row r="626">
      <c r="A626" s="38" t="n"/>
      <c r="B626" s="39" t="n"/>
      <c r="C626" s="39" t="n"/>
      <c r="D626" s="38" t="n"/>
      <c r="E626" s="38" t="n"/>
      <c r="F626" s="38" t="n"/>
      <c r="G626" s="37">
        <f>IF(COUNTA(A626:F626)=0,"",IF(A626="EXAMPLE","Example (skipped)",IF(OR(C626="",E626="",F626=""),"✖ Portal, User ID and Password are all needed",IF(AND(A626="",COUNTIF(Clients!$B$5:$B$1005,B626)=0),"Not on Clients — will match a portal client by name",IF(AND(C626="GST",D626&lt;&gt;"",COUNTIF(Clients!$AN$5:$AN$1005,UPPER(D626))=0,COUNTIF(Clients!$G$5:$G$1005,"*"&amp;UPPER(D626)&amp;"*")=0),"GSTIN not on Clients — will be checked in the portal","✔ OK")))))</f>
        <v/>
      </c>
    </row>
    <row r="627">
      <c r="A627" s="38" t="n"/>
      <c r="B627" s="39" t="n"/>
      <c r="C627" s="39" t="n"/>
      <c r="D627" s="38" t="n"/>
      <c r="E627" s="38" t="n"/>
      <c r="F627" s="38" t="n"/>
      <c r="G627" s="37">
        <f>IF(COUNTA(A627:F627)=0,"",IF(A627="EXAMPLE","Example (skipped)",IF(OR(C627="",E627="",F627=""),"✖ Portal, User ID and Password are all needed",IF(AND(A627="",COUNTIF(Clients!$B$5:$B$1005,B627)=0),"Not on Clients — will match a portal client by name",IF(AND(C627="GST",D627&lt;&gt;"",COUNTIF(Clients!$AN$5:$AN$1005,UPPER(D627))=0,COUNTIF(Clients!$G$5:$G$1005,"*"&amp;UPPER(D627)&amp;"*")=0),"GSTIN not on Clients — will be checked in the portal","✔ OK")))))</f>
        <v/>
      </c>
    </row>
    <row r="628">
      <c r="A628" s="38" t="n"/>
      <c r="B628" s="39" t="n"/>
      <c r="C628" s="39" t="n"/>
      <c r="D628" s="38" t="n"/>
      <c r="E628" s="38" t="n"/>
      <c r="F628" s="38" t="n"/>
      <c r="G628" s="37">
        <f>IF(COUNTA(A628:F628)=0,"",IF(A628="EXAMPLE","Example (skipped)",IF(OR(C628="",E628="",F628=""),"✖ Portal, User ID and Password are all needed",IF(AND(A628="",COUNTIF(Clients!$B$5:$B$1005,B628)=0),"Not on Clients — will match a portal client by name",IF(AND(C628="GST",D628&lt;&gt;"",COUNTIF(Clients!$AN$5:$AN$1005,UPPER(D628))=0,COUNTIF(Clients!$G$5:$G$1005,"*"&amp;UPPER(D628)&amp;"*")=0),"GSTIN not on Clients — will be checked in the portal","✔ OK")))))</f>
        <v/>
      </c>
    </row>
    <row r="629">
      <c r="A629" s="38" t="n"/>
      <c r="B629" s="39" t="n"/>
      <c r="C629" s="39" t="n"/>
      <c r="D629" s="38" t="n"/>
      <c r="E629" s="38" t="n"/>
      <c r="F629" s="38" t="n"/>
      <c r="G629" s="37">
        <f>IF(COUNTA(A629:F629)=0,"",IF(A629="EXAMPLE","Example (skipped)",IF(OR(C629="",E629="",F629=""),"✖ Portal, User ID and Password are all needed",IF(AND(A629="",COUNTIF(Clients!$B$5:$B$1005,B629)=0),"Not on Clients — will match a portal client by name",IF(AND(C629="GST",D629&lt;&gt;"",COUNTIF(Clients!$AN$5:$AN$1005,UPPER(D629))=0,COUNTIF(Clients!$G$5:$G$1005,"*"&amp;UPPER(D629)&amp;"*")=0),"GSTIN not on Clients — will be checked in the portal","✔ OK")))))</f>
        <v/>
      </c>
    </row>
    <row r="630">
      <c r="A630" s="38" t="n"/>
      <c r="B630" s="39" t="n"/>
      <c r="C630" s="39" t="n"/>
      <c r="D630" s="38" t="n"/>
      <c r="E630" s="38" t="n"/>
      <c r="F630" s="38" t="n"/>
      <c r="G630" s="37">
        <f>IF(COUNTA(A630:F630)=0,"",IF(A630="EXAMPLE","Example (skipped)",IF(OR(C630="",E630="",F630=""),"✖ Portal, User ID and Password are all needed",IF(AND(A630="",COUNTIF(Clients!$B$5:$B$1005,B630)=0),"Not on Clients — will match a portal client by name",IF(AND(C630="GST",D630&lt;&gt;"",COUNTIF(Clients!$AN$5:$AN$1005,UPPER(D630))=0,COUNTIF(Clients!$G$5:$G$1005,"*"&amp;UPPER(D630)&amp;"*")=0),"GSTIN not on Clients — will be checked in the portal","✔ OK")))))</f>
        <v/>
      </c>
    </row>
    <row r="631">
      <c r="A631" s="38" t="n"/>
      <c r="B631" s="39" t="n"/>
      <c r="C631" s="39" t="n"/>
      <c r="D631" s="38" t="n"/>
      <c r="E631" s="38" t="n"/>
      <c r="F631" s="38" t="n"/>
      <c r="G631" s="37">
        <f>IF(COUNTA(A631:F631)=0,"",IF(A631="EXAMPLE","Example (skipped)",IF(OR(C631="",E631="",F631=""),"✖ Portal, User ID and Password are all needed",IF(AND(A631="",COUNTIF(Clients!$B$5:$B$1005,B631)=0),"Not on Clients — will match a portal client by name",IF(AND(C631="GST",D631&lt;&gt;"",COUNTIF(Clients!$AN$5:$AN$1005,UPPER(D631))=0,COUNTIF(Clients!$G$5:$G$1005,"*"&amp;UPPER(D631)&amp;"*")=0),"GSTIN not on Clients — will be checked in the portal","✔ OK")))))</f>
        <v/>
      </c>
    </row>
    <row r="632">
      <c r="A632" s="38" t="n"/>
      <c r="B632" s="39" t="n"/>
      <c r="C632" s="39" t="n"/>
      <c r="D632" s="38" t="n"/>
      <c r="E632" s="38" t="n"/>
      <c r="F632" s="38" t="n"/>
      <c r="G632" s="37">
        <f>IF(COUNTA(A632:F632)=0,"",IF(A632="EXAMPLE","Example (skipped)",IF(OR(C632="",E632="",F632=""),"✖ Portal, User ID and Password are all needed",IF(AND(A632="",COUNTIF(Clients!$B$5:$B$1005,B632)=0),"Not on Clients — will match a portal client by name",IF(AND(C632="GST",D632&lt;&gt;"",COUNTIF(Clients!$AN$5:$AN$1005,UPPER(D632))=0,COUNTIF(Clients!$G$5:$G$1005,"*"&amp;UPPER(D632)&amp;"*")=0),"GSTIN not on Clients — will be checked in the portal","✔ OK")))))</f>
        <v/>
      </c>
    </row>
    <row r="633">
      <c r="A633" s="38" t="n"/>
      <c r="B633" s="39" t="n"/>
      <c r="C633" s="39" t="n"/>
      <c r="D633" s="38" t="n"/>
      <c r="E633" s="38" t="n"/>
      <c r="F633" s="38" t="n"/>
      <c r="G633" s="37">
        <f>IF(COUNTA(A633:F633)=0,"",IF(A633="EXAMPLE","Example (skipped)",IF(OR(C633="",E633="",F633=""),"✖ Portal, User ID and Password are all needed",IF(AND(A633="",COUNTIF(Clients!$B$5:$B$1005,B633)=0),"Not on Clients — will match a portal client by name",IF(AND(C633="GST",D633&lt;&gt;"",COUNTIF(Clients!$AN$5:$AN$1005,UPPER(D633))=0,COUNTIF(Clients!$G$5:$G$1005,"*"&amp;UPPER(D633)&amp;"*")=0),"GSTIN not on Clients — will be checked in the portal","✔ OK")))))</f>
        <v/>
      </c>
    </row>
    <row r="634">
      <c r="A634" s="38" t="n"/>
      <c r="B634" s="39" t="n"/>
      <c r="C634" s="39" t="n"/>
      <c r="D634" s="38" t="n"/>
      <c r="E634" s="38" t="n"/>
      <c r="F634" s="38" t="n"/>
      <c r="G634" s="37">
        <f>IF(COUNTA(A634:F634)=0,"",IF(A634="EXAMPLE","Example (skipped)",IF(OR(C634="",E634="",F634=""),"✖ Portal, User ID and Password are all needed",IF(AND(A634="",COUNTIF(Clients!$B$5:$B$1005,B634)=0),"Not on Clients — will match a portal client by name",IF(AND(C634="GST",D634&lt;&gt;"",COUNTIF(Clients!$AN$5:$AN$1005,UPPER(D634))=0,COUNTIF(Clients!$G$5:$G$1005,"*"&amp;UPPER(D634)&amp;"*")=0),"GSTIN not on Clients — will be checked in the portal","✔ OK")))))</f>
        <v/>
      </c>
    </row>
    <row r="635">
      <c r="A635" s="38" t="n"/>
      <c r="B635" s="39" t="n"/>
      <c r="C635" s="39" t="n"/>
      <c r="D635" s="38" t="n"/>
      <c r="E635" s="38" t="n"/>
      <c r="F635" s="38" t="n"/>
      <c r="G635" s="37">
        <f>IF(COUNTA(A635:F635)=0,"",IF(A635="EXAMPLE","Example (skipped)",IF(OR(C635="",E635="",F635=""),"✖ Portal, User ID and Password are all needed",IF(AND(A635="",COUNTIF(Clients!$B$5:$B$1005,B635)=0),"Not on Clients — will match a portal client by name",IF(AND(C635="GST",D635&lt;&gt;"",COUNTIF(Clients!$AN$5:$AN$1005,UPPER(D635))=0,COUNTIF(Clients!$G$5:$G$1005,"*"&amp;UPPER(D635)&amp;"*")=0),"GSTIN not on Clients — will be checked in the portal","✔ OK")))))</f>
        <v/>
      </c>
    </row>
    <row r="636">
      <c r="A636" s="38" t="n"/>
      <c r="B636" s="39" t="n"/>
      <c r="C636" s="39" t="n"/>
      <c r="D636" s="38" t="n"/>
      <c r="E636" s="38" t="n"/>
      <c r="F636" s="38" t="n"/>
      <c r="G636" s="37">
        <f>IF(COUNTA(A636:F636)=0,"",IF(A636="EXAMPLE","Example (skipped)",IF(OR(C636="",E636="",F636=""),"✖ Portal, User ID and Password are all needed",IF(AND(A636="",COUNTIF(Clients!$B$5:$B$1005,B636)=0),"Not on Clients — will match a portal client by name",IF(AND(C636="GST",D636&lt;&gt;"",COUNTIF(Clients!$AN$5:$AN$1005,UPPER(D636))=0,COUNTIF(Clients!$G$5:$G$1005,"*"&amp;UPPER(D636)&amp;"*")=0),"GSTIN not on Clients — will be checked in the portal","✔ OK")))))</f>
        <v/>
      </c>
    </row>
    <row r="637">
      <c r="A637" s="38" t="n"/>
      <c r="B637" s="39" t="n"/>
      <c r="C637" s="39" t="n"/>
      <c r="D637" s="38" t="n"/>
      <c r="E637" s="38" t="n"/>
      <c r="F637" s="38" t="n"/>
      <c r="G637" s="37">
        <f>IF(COUNTA(A637:F637)=0,"",IF(A637="EXAMPLE","Example (skipped)",IF(OR(C637="",E637="",F637=""),"✖ Portal, User ID and Password are all needed",IF(AND(A637="",COUNTIF(Clients!$B$5:$B$1005,B637)=0),"Not on Clients — will match a portal client by name",IF(AND(C637="GST",D637&lt;&gt;"",COUNTIF(Clients!$AN$5:$AN$1005,UPPER(D637))=0,COUNTIF(Clients!$G$5:$G$1005,"*"&amp;UPPER(D637)&amp;"*")=0),"GSTIN not on Clients — will be checked in the portal","✔ OK")))))</f>
        <v/>
      </c>
    </row>
    <row r="638">
      <c r="A638" s="38" t="n"/>
      <c r="B638" s="39" t="n"/>
      <c r="C638" s="39" t="n"/>
      <c r="D638" s="38" t="n"/>
      <c r="E638" s="38" t="n"/>
      <c r="F638" s="38" t="n"/>
      <c r="G638" s="37">
        <f>IF(COUNTA(A638:F638)=0,"",IF(A638="EXAMPLE","Example (skipped)",IF(OR(C638="",E638="",F638=""),"✖ Portal, User ID and Password are all needed",IF(AND(A638="",COUNTIF(Clients!$B$5:$B$1005,B638)=0),"Not on Clients — will match a portal client by name",IF(AND(C638="GST",D638&lt;&gt;"",COUNTIF(Clients!$AN$5:$AN$1005,UPPER(D638))=0,COUNTIF(Clients!$G$5:$G$1005,"*"&amp;UPPER(D638)&amp;"*")=0),"GSTIN not on Clients — will be checked in the portal","✔ OK")))))</f>
        <v/>
      </c>
    </row>
    <row r="639">
      <c r="A639" s="38" t="n"/>
      <c r="B639" s="39" t="n"/>
      <c r="C639" s="39" t="n"/>
      <c r="D639" s="38" t="n"/>
      <c r="E639" s="38" t="n"/>
      <c r="F639" s="38" t="n"/>
      <c r="G639" s="37">
        <f>IF(COUNTA(A639:F639)=0,"",IF(A639="EXAMPLE","Example (skipped)",IF(OR(C639="",E639="",F639=""),"✖ Portal, User ID and Password are all needed",IF(AND(A639="",COUNTIF(Clients!$B$5:$B$1005,B639)=0),"Not on Clients — will match a portal client by name",IF(AND(C639="GST",D639&lt;&gt;"",COUNTIF(Clients!$AN$5:$AN$1005,UPPER(D639))=0,COUNTIF(Clients!$G$5:$G$1005,"*"&amp;UPPER(D639)&amp;"*")=0),"GSTIN not on Clients — will be checked in the portal","✔ OK")))))</f>
        <v/>
      </c>
    </row>
    <row r="640">
      <c r="A640" s="38" t="n"/>
      <c r="B640" s="39" t="n"/>
      <c r="C640" s="39" t="n"/>
      <c r="D640" s="38" t="n"/>
      <c r="E640" s="38" t="n"/>
      <c r="F640" s="38" t="n"/>
      <c r="G640" s="37">
        <f>IF(COUNTA(A640:F640)=0,"",IF(A640="EXAMPLE","Example (skipped)",IF(OR(C640="",E640="",F640=""),"✖ Portal, User ID and Password are all needed",IF(AND(A640="",COUNTIF(Clients!$B$5:$B$1005,B640)=0),"Not on Clients — will match a portal client by name",IF(AND(C640="GST",D640&lt;&gt;"",COUNTIF(Clients!$AN$5:$AN$1005,UPPER(D640))=0,COUNTIF(Clients!$G$5:$G$1005,"*"&amp;UPPER(D640)&amp;"*")=0),"GSTIN not on Clients — will be checked in the portal","✔ OK")))))</f>
        <v/>
      </c>
    </row>
    <row r="641">
      <c r="A641" s="38" t="n"/>
      <c r="B641" s="39" t="n"/>
      <c r="C641" s="39" t="n"/>
      <c r="D641" s="38" t="n"/>
      <c r="E641" s="38" t="n"/>
      <c r="F641" s="38" t="n"/>
      <c r="G641" s="37">
        <f>IF(COUNTA(A641:F641)=0,"",IF(A641="EXAMPLE","Example (skipped)",IF(OR(C641="",E641="",F641=""),"✖ Portal, User ID and Password are all needed",IF(AND(A641="",COUNTIF(Clients!$B$5:$B$1005,B641)=0),"Not on Clients — will match a portal client by name",IF(AND(C641="GST",D641&lt;&gt;"",COUNTIF(Clients!$AN$5:$AN$1005,UPPER(D641))=0,COUNTIF(Clients!$G$5:$G$1005,"*"&amp;UPPER(D641)&amp;"*")=0),"GSTIN not on Clients — will be checked in the portal","✔ OK")))))</f>
        <v/>
      </c>
    </row>
    <row r="642">
      <c r="A642" s="38" t="n"/>
      <c r="B642" s="39" t="n"/>
      <c r="C642" s="39" t="n"/>
      <c r="D642" s="38" t="n"/>
      <c r="E642" s="38" t="n"/>
      <c r="F642" s="38" t="n"/>
      <c r="G642" s="37">
        <f>IF(COUNTA(A642:F642)=0,"",IF(A642="EXAMPLE","Example (skipped)",IF(OR(C642="",E642="",F642=""),"✖ Portal, User ID and Password are all needed",IF(AND(A642="",COUNTIF(Clients!$B$5:$B$1005,B642)=0),"Not on Clients — will match a portal client by name",IF(AND(C642="GST",D642&lt;&gt;"",COUNTIF(Clients!$AN$5:$AN$1005,UPPER(D642))=0,COUNTIF(Clients!$G$5:$G$1005,"*"&amp;UPPER(D642)&amp;"*")=0),"GSTIN not on Clients — will be checked in the portal","✔ OK")))))</f>
        <v/>
      </c>
    </row>
    <row r="643">
      <c r="A643" s="38" t="n"/>
      <c r="B643" s="39" t="n"/>
      <c r="C643" s="39" t="n"/>
      <c r="D643" s="38" t="n"/>
      <c r="E643" s="38" t="n"/>
      <c r="F643" s="38" t="n"/>
      <c r="G643" s="37">
        <f>IF(COUNTA(A643:F643)=0,"",IF(A643="EXAMPLE","Example (skipped)",IF(OR(C643="",E643="",F643=""),"✖ Portal, User ID and Password are all needed",IF(AND(A643="",COUNTIF(Clients!$B$5:$B$1005,B643)=0),"Not on Clients — will match a portal client by name",IF(AND(C643="GST",D643&lt;&gt;"",COUNTIF(Clients!$AN$5:$AN$1005,UPPER(D643))=0,COUNTIF(Clients!$G$5:$G$1005,"*"&amp;UPPER(D643)&amp;"*")=0),"GSTIN not on Clients — will be checked in the portal","✔ OK")))))</f>
        <v/>
      </c>
    </row>
    <row r="644">
      <c r="A644" s="38" t="n"/>
      <c r="B644" s="39" t="n"/>
      <c r="C644" s="39" t="n"/>
      <c r="D644" s="38" t="n"/>
      <c r="E644" s="38" t="n"/>
      <c r="F644" s="38" t="n"/>
      <c r="G644" s="37">
        <f>IF(COUNTA(A644:F644)=0,"",IF(A644="EXAMPLE","Example (skipped)",IF(OR(C644="",E644="",F644=""),"✖ Portal, User ID and Password are all needed",IF(AND(A644="",COUNTIF(Clients!$B$5:$B$1005,B644)=0),"Not on Clients — will match a portal client by name",IF(AND(C644="GST",D644&lt;&gt;"",COUNTIF(Clients!$AN$5:$AN$1005,UPPER(D644))=0,COUNTIF(Clients!$G$5:$G$1005,"*"&amp;UPPER(D644)&amp;"*")=0),"GSTIN not on Clients — will be checked in the portal","✔ OK")))))</f>
        <v/>
      </c>
    </row>
    <row r="645">
      <c r="A645" s="38" t="n"/>
      <c r="B645" s="39" t="n"/>
      <c r="C645" s="39" t="n"/>
      <c r="D645" s="38" t="n"/>
      <c r="E645" s="38" t="n"/>
      <c r="F645" s="38" t="n"/>
      <c r="G645" s="37">
        <f>IF(COUNTA(A645:F645)=0,"",IF(A645="EXAMPLE","Example (skipped)",IF(OR(C645="",E645="",F645=""),"✖ Portal, User ID and Password are all needed",IF(AND(A645="",COUNTIF(Clients!$B$5:$B$1005,B645)=0),"Not on Clients — will match a portal client by name",IF(AND(C645="GST",D645&lt;&gt;"",COUNTIF(Clients!$AN$5:$AN$1005,UPPER(D645))=0,COUNTIF(Clients!$G$5:$G$1005,"*"&amp;UPPER(D645)&amp;"*")=0),"GSTIN not on Clients — will be checked in the portal","✔ OK")))))</f>
        <v/>
      </c>
    </row>
    <row r="646">
      <c r="A646" s="38" t="n"/>
      <c r="B646" s="39" t="n"/>
      <c r="C646" s="39" t="n"/>
      <c r="D646" s="38" t="n"/>
      <c r="E646" s="38" t="n"/>
      <c r="F646" s="38" t="n"/>
      <c r="G646" s="37">
        <f>IF(COUNTA(A646:F646)=0,"",IF(A646="EXAMPLE","Example (skipped)",IF(OR(C646="",E646="",F646=""),"✖ Portal, User ID and Password are all needed",IF(AND(A646="",COUNTIF(Clients!$B$5:$B$1005,B646)=0),"Not on Clients — will match a portal client by name",IF(AND(C646="GST",D646&lt;&gt;"",COUNTIF(Clients!$AN$5:$AN$1005,UPPER(D646))=0,COUNTIF(Clients!$G$5:$G$1005,"*"&amp;UPPER(D646)&amp;"*")=0),"GSTIN not on Clients — will be checked in the portal","✔ OK")))))</f>
        <v/>
      </c>
    </row>
    <row r="647">
      <c r="A647" s="38" t="n"/>
      <c r="B647" s="39" t="n"/>
      <c r="C647" s="39" t="n"/>
      <c r="D647" s="38" t="n"/>
      <c r="E647" s="38" t="n"/>
      <c r="F647" s="38" t="n"/>
      <c r="G647" s="37">
        <f>IF(COUNTA(A647:F647)=0,"",IF(A647="EXAMPLE","Example (skipped)",IF(OR(C647="",E647="",F647=""),"✖ Portal, User ID and Password are all needed",IF(AND(A647="",COUNTIF(Clients!$B$5:$B$1005,B647)=0),"Not on Clients — will match a portal client by name",IF(AND(C647="GST",D647&lt;&gt;"",COUNTIF(Clients!$AN$5:$AN$1005,UPPER(D647))=0,COUNTIF(Clients!$G$5:$G$1005,"*"&amp;UPPER(D647)&amp;"*")=0),"GSTIN not on Clients — will be checked in the portal","✔ OK")))))</f>
        <v/>
      </c>
    </row>
    <row r="648">
      <c r="A648" s="38" t="n"/>
      <c r="B648" s="39" t="n"/>
      <c r="C648" s="39" t="n"/>
      <c r="D648" s="38" t="n"/>
      <c r="E648" s="38" t="n"/>
      <c r="F648" s="38" t="n"/>
      <c r="G648" s="37">
        <f>IF(COUNTA(A648:F648)=0,"",IF(A648="EXAMPLE","Example (skipped)",IF(OR(C648="",E648="",F648=""),"✖ Portal, User ID and Password are all needed",IF(AND(A648="",COUNTIF(Clients!$B$5:$B$1005,B648)=0),"Not on Clients — will match a portal client by name",IF(AND(C648="GST",D648&lt;&gt;"",COUNTIF(Clients!$AN$5:$AN$1005,UPPER(D648))=0,COUNTIF(Clients!$G$5:$G$1005,"*"&amp;UPPER(D648)&amp;"*")=0),"GSTIN not on Clients — will be checked in the portal","✔ OK")))))</f>
        <v/>
      </c>
    </row>
    <row r="649">
      <c r="A649" s="38" t="n"/>
      <c r="B649" s="39" t="n"/>
      <c r="C649" s="39" t="n"/>
      <c r="D649" s="38" t="n"/>
      <c r="E649" s="38" t="n"/>
      <c r="F649" s="38" t="n"/>
      <c r="G649" s="37">
        <f>IF(COUNTA(A649:F649)=0,"",IF(A649="EXAMPLE","Example (skipped)",IF(OR(C649="",E649="",F649=""),"✖ Portal, User ID and Password are all needed",IF(AND(A649="",COUNTIF(Clients!$B$5:$B$1005,B649)=0),"Not on Clients — will match a portal client by name",IF(AND(C649="GST",D649&lt;&gt;"",COUNTIF(Clients!$AN$5:$AN$1005,UPPER(D649))=0,COUNTIF(Clients!$G$5:$G$1005,"*"&amp;UPPER(D649)&amp;"*")=0),"GSTIN not on Clients — will be checked in the portal","✔ OK")))))</f>
        <v/>
      </c>
    </row>
    <row r="650">
      <c r="A650" s="38" t="n"/>
      <c r="B650" s="39" t="n"/>
      <c r="C650" s="39" t="n"/>
      <c r="D650" s="38" t="n"/>
      <c r="E650" s="38" t="n"/>
      <c r="F650" s="38" t="n"/>
      <c r="G650" s="37">
        <f>IF(COUNTA(A650:F650)=0,"",IF(A650="EXAMPLE","Example (skipped)",IF(OR(C650="",E650="",F650=""),"✖ Portal, User ID and Password are all needed",IF(AND(A650="",COUNTIF(Clients!$B$5:$B$1005,B650)=0),"Not on Clients — will match a portal client by name",IF(AND(C650="GST",D650&lt;&gt;"",COUNTIF(Clients!$AN$5:$AN$1005,UPPER(D650))=0,COUNTIF(Clients!$G$5:$G$1005,"*"&amp;UPPER(D650)&amp;"*")=0),"GSTIN not on Clients — will be checked in the portal","✔ OK")))))</f>
        <v/>
      </c>
    </row>
    <row r="651">
      <c r="A651" s="38" t="n"/>
      <c r="B651" s="39" t="n"/>
      <c r="C651" s="39" t="n"/>
      <c r="D651" s="38" t="n"/>
      <c r="E651" s="38" t="n"/>
      <c r="F651" s="38" t="n"/>
      <c r="G651" s="37">
        <f>IF(COUNTA(A651:F651)=0,"",IF(A651="EXAMPLE","Example (skipped)",IF(OR(C651="",E651="",F651=""),"✖ Portal, User ID and Password are all needed",IF(AND(A651="",COUNTIF(Clients!$B$5:$B$1005,B651)=0),"Not on Clients — will match a portal client by name",IF(AND(C651="GST",D651&lt;&gt;"",COUNTIF(Clients!$AN$5:$AN$1005,UPPER(D651))=0,COUNTIF(Clients!$G$5:$G$1005,"*"&amp;UPPER(D651)&amp;"*")=0),"GSTIN not on Clients — will be checked in the portal","✔ OK")))))</f>
        <v/>
      </c>
    </row>
    <row r="652">
      <c r="A652" s="38" t="n"/>
      <c r="B652" s="39" t="n"/>
      <c r="C652" s="39" t="n"/>
      <c r="D652" s="38" t="n"/>
      <c r="E652" s="38" t="n"/>
      <c r="F652" s="38" t="n"/>
      <c r="G652" s="37">
        <f>IF(COUNTA(A652:F652)=0,"",IF(A652="EXAMPLE","Example (skipped)",IF(OR(C652="",E652="",F652=""),"✖ Portal, User ID and Password are all needed",IF(AND(A652="",COUNTIF(Clients!$B$5:$B$1005,B652)=0),"Not on Clients — will match a portal client by name",IF(AND(C652="GST",D652&lt;&gt;"",COUNTIF(Clients!$AN$5:$AN$1005,UPPER(D652))=0,COUNTIF(Clients!$G$5:$G$1005,"*"&amp;UPPER(D652)&amp;"*")=0),"GSTIN not on Clients — will be checked in the portal","✔ OK")))))</f>
        <v/>
      </c>
    </row>
    <row r="653">
      <c r="A653" s="38" t="n"/>
      <c r="B653" s="39" t="n"/>
      <c r="C653" s="39" t="n"/>
      <c r="D653" s="38" t="n"/>
      <c r="E653" s="38" t="n"/>
      <c r="F653" s="38" t="n"/>
      <c r="G653" s="37">
        <f>IF(COUNTA(A653:F653)=0,"",IF(A653="EXAMPLE","Example (skipped)",IF(OR(C653="",E653="",F653=""),"✖ Portal, User ID and Password are all needed",IF(AND(A653="",COUNTIF(Clients!$B$5:$B$1005,B653)=0),"Not on Clients — will match a portal client by name",IF(AND(C653="GST",D653&lt;&gt;"",COUNTIF(Clients!$AN$5:$AN$1005,UPPER(D653))=0,COUNTIF(Clients!$G$5:$G$1005,"*"&amp;UPPER(D653)&amp;"*")=0),"GSTIN not on Clients — will be checked in the portal","✔ OK")))))</f>
        <v/>
      </c>
    </row>
    <row r="654">
      <c r="A654" s="38" t="n"/>
      <c r="B654" s="39" t="n"/>
      <c r="C654" s="39" t="n"/>
      <c r="D654" s="38" t="n"/>
      <c r="E654" s="38" t="n"/>
      <c r="F654" s="38" t="n"/>
      <c r="G654" s="37">
        <f>IF(COUNTA(A654:F654)=0,"",IF(A654="EXAMPLE","Example (skipped)",IF(OR(C654="",E654="",F654=""),"✖ Portal, User ID and Password are all needed",IF(AND(A654="",COUNTIF(Clients!$B$5:$B$1005,B654)=0),"Not on Clients — will match a portal client by name",IF(AND(C654="GST",D654&lt;&gt;"",COUNTIF(Clients!$AN$5:$AN$1005,UPPER(D654))=0,COUNTIF(Clients!$G$5:$G$1005,"*"&amp;UPPER(D654)&amp;"*")=0),"GSTIN not on Clients — will be checked in the portal","✔ OK")))))</f>
        <v/>
      </c>
    </row>
    <row r="655">
      <c r="A655" s="38" t="n"/>
      <c r="B655" s="39" t="n"/>
      <c r="C655" s="39" t="n"/>
      <c r="D655" s="38" t="n"/>
      <c r="E655" s="38" t="n"/>
      <c r="F655" s="38" t="n"/>
      <c r="G655" s="37">
        <f>IF(COUNTA(A655:F655)=0,"",IF(A655="EXAMPLE","Example (skipped)",IF(OR(C655="",E655="",F655=""),"✖ Portal, User ID and Password are all needed",IF(AND(A655="",COUNTIF(Clients!$B$5:$B$1005,B655)=0),"Not on Clients — will match a portal client by name",IF(AND(C655="GST",D655&lt;&gt;"",COUNTIF(Clients!$AN$5:$AN$1005,UPPER(D655))=0,COUNTIF(Clients!$G$5:$G$1005,"*"&amp;UPPER(D655)&amp;"*")=0),"GSTIN not on Clients — will be checked in the portal","✔ OK")))))</f>
        <v/>
      </c>
    </row>
    <row r="656">
      <c r="A656" s="38" t="n"/>
      <c r="B656" s="39" t="n"/>
      <c r="C656" s="39" t="n"/>
      <c r="D656" s="38" t="n"/>
      <c r="E656" s="38" t="n"/>
      <c r="F656" s="38" t="n"/>
      <c r="G656" s="37">
        <f>IF(COUNTA(A656:F656)=0,"",IF(A656="EXAMPLE","Example (skipped)",IF(OR(C656="",E656="",F656=""),"✖ Portal, User ID and Password are all needed",IF(AND(A656="",COUNTIF(Clients!$B$5:$B$1005,B656)=0),"Not on Clients — will match a portal client by name",IF(AND(C656="GST",D656&lt;&gt;"",COUNTIF(Clients!$AN$5:$AN$1005,UPPER(D656))=0,COUNTIF(Clients!$G$5:$G$1005,"*"&amp;UPPER(D656)&amp;"*")=0),"GSTIN not on Clients — will be checked in the portal","✔ OK")))))</f>
        <v/>
      </c>
    </row>
    <row r="657">
      <c r="A657" s="38" t="n"/>
      <c r="B657" s="39" t="n"/>
      <c r="C657" s="39" t="n"/>
      <c r="D657" s="38" t="n"/>
      <c r="E657" s="38" t="n"/>
      <c r="F657" s="38" t="n"/>
      <c r="G657" s="37">
        <f>IF(COUNTA(A657:F657)=0,"",IF(A657="EXAMPLE","Example (skipped)",IF(OR(C657="",E657="",F657=""),"✖ Portal, User ID and Password are all needed",IF(AND(A657="",COUNTIF(Clients!$B$5:$B$1005,B657)=0),"Not on Clients — will match a portal client by name",IF(AND(C657="GST",D657&lt;&gt;"",COUNTIF(Clients!$AN$5:$AN$1005,UPPER(D657))=0,COUNTIF(Clients!$G$5:$G$1005,"*"&amp;UPPER(D657)&amp;"*")=0),"GSTIN not on Clients — will be checked in the portal","✔ OK")))))</f>
        <v/>
      </c>
    </row>
    <row r="658">
      <c r="A658" s="38" t="n"/>
      <c r="B658" s="39" t="n"/>
      <c r="C658" s="39" t="n"/>
      <c r="D658" s="38" t="n"/>
      <c r="E658" s="38" t="n"/>
      <c r="F658" s="38" t="n"/>
      <c r="G658" s="37">
        <f>IF(COUNTA(A658:F658)=0,"",IF(A658="EXAMPLE","Example (skipped)",IF(OR(C658="",E658="",F658=""),"✖ Portal, User ID and Password are all needed",IF(AND(A658="",COUNTIF(Clients!$B$5:$B$1005,B658)=0),"Not on Clients — will match a portal client by name",IF(AND(C658="GST",D658&lt;&gt;"",COUNTIF(Clients!$AN$5:$AN$1005,UPPER(D658))=0,COUNTIF(Clients!$G$5:$G$1005,"*"&amp;UPPER(D658)&amp;"*")=0),"GSTIN not on Clients — will be checked in the portal","✔ OK")))))</f>
        <v/>
      </c>
    </row>
    <row r="659">
      <c r="A659" s="38" t="n"/>
      <c r="B659" s="39" t="n"/>
      <c r="C659" s="39" t="n"/>
      <c r="D659" s="38" t="n"/>
      <c r="E659" s="38" t="n"/>
      <c r="F659" s="38" t="n"/>
      <c r="G659" s="37">
        <f>IF(COUNTA(A659:F659)=0,"",IF(A659="EXAMPLE","Example (skipped)",IF(OR(C659="",E659="",F659=""),"✖ Portal, User ID and Password are all needed",IF(AND(A659="",COUNTIF(Clients!$B$5:$B$1005,B659)=0),"Not on Clients — will match a portal client by name",IF(AND(C659="GST",D659&lt;&gt;"",COUNTIF(Clients!$AN$5:$AN$1005,UPPER(D659))=0,COUNTIF(Clients!$G$5:$G$1005,"*"&amp;UPPER(D659)&amp;"*")=0),"GSTIN not on Clients — will be checked in the portal","✔ OK")))))</f>
        <v/>
      </c>
    </row>
    <row r="660">
      <c r="A660" s="38" t="n"/>
      <c r="B660" s="39" t="n"/>
      <c r="C660" s="39" t="n"/>
      <c r="D660" s="38" t="n"/>
      <c r="E660" s="38" t="n"/>
      <c r="F660" s="38" t="n"/>
      <c r="G660" s="37">
        <f>IF(COUNTA(A660:F660)=0,"",IF(A660="EXAMPLE","Example (skipped)",IF(OR(C660="",E660="",F660=""),"✖ Portal, User ID and Password are all needed",IF(AND(A660="",COUNTIF(Clients!$B$5:$B$1005,B660)=0),"Not on Clients — will match a portal client by name",IF(AND(C660="GST",D660&lt;&gt;"",COUNTIF(Clients!$AN$5:$AN$1005,UPPER(D660))=0,COUNTIF(Clients!$G$5:$G$1005,"*"&amp;UPPER(D660)&amp;"*")=0),"GSTIN not on Clients — will be checked in the portal","✔ OK")))))</f>
        <v/>
      </c>
    </row>
    <row r="661">
      <c r="A661" s="38" t="n"/>
      <c r="B661" s="39" t="n"/>
      <c r="C661" s="39" t="n"/>
      <c r="D661" s="38" t="n"/>
      <c r="E661" s="38" t="n"/>
      <c r="F661" s="38" t="n"/>
      <c r="G661" s="37">
        <f>IF(COUNTA(A661:F661)=0,"",IF(A661="EXAMPLE","Example (skipped)",IF(OR(C661="",E661="",F661=""),"✖ Portal, User ID and Password are all needed",IF(AND(A661="",COUNTIF(Clients!$B$5:$B$1005,B661)=0),"Not on Clients — will match a portal client by name",IF(AND(C661="GST",D661&lt;&gt;"",COUNTIF(Clients!$AN$5:$AN$1005,UPPER(D661))=0,COUNTIF(Clients!$G$5:$G$1005,"*"&amp;UPPER(D661)&amp;"*")=0),"GSTIN not on Clients — will be checked in the portal","✔ OK")))))</f>
        <v/>
      </c>
    </row>
    <row r="662">
      <c r="A662" s="38" t="n"/>
      <c r="B662" s="39" t="n"/>
      <c r="C662" s="39" t="n"/>
      <c r="D662" s="38" t="n"/>
      <c r="E662" s="38" t="n"/>
      <c r="F662" s="38" t="n"/>
      <c r="G662" s="37">
        <f>IF(COUNTA(A662:F662)=0,"",IF(A662="EXAMPLE","Example (skipped)",IF(OR(C662="",E662="",F662=""),"✖ Portal, User ID and Password are all needed",IF(AND(A662="",COUNTIF(Clients!$B$5:$B$1005,B662)=0),"Not on Clients — will match a portal client by name",IF(AND(C662="GST",D662&lt;&gt;"",COUNTIF(Clients!$AN$5:$AN$1005,UPPER(D662))=0,COUNTIF(Clients!$G$5:$G$1005,"*"&amp;UPPER(D662)&amp;"*")=0),"GSTIN not on Clients — will be checked in the portal","✔ OK")))))</f>
        <v/>
      </c>
    </row>
    <row r="663">
      <c r="A663" s="38" t="n"/>
      <c r="B663" s="39" t="n"/>
      <c r="C663" s="39" t="n"/>
      <c r="D663" s="38" t="n"/>
      <c r="E663" s="38" t="n"/>
      <c r="F663" s="38" t="n"/>
      <c r="G663" s="37">
        <f>IF(COUNTA(A663:F663)=0,"",IF(A663="EXAMPLE","Example (skipped)",IF(OR(C663="",E663="",F663=""),"✖ Portal, User ID and Password are all needed",IF(AND(A663="",COUNTIF(Clients!$B$5:$B$1005,B663)=0),"Not on Clients — will match a portal client by name",IF(AND(C663="GST",D663&lt;&gt;"",COUNTIF(Clients!$AN$5:$AN$1005,UPPER(D663))=0,COUNTIF(Clients!$G$5:$G$1005,"*"&amp;UPPER(D663)&amp;"*")=0),"GSTIN not on Clients — will be checked in the portal","✔ OK")))))</f>
        <v/>
      </c>
    </row>
    <row r="664">
      <c r="A664" s="38" t="n"/>
      <c r="B664" s="39" t="n"/>
      <c r="C664" s="39" t="n"/>
      <c r="D664" s="38" t="n"/>
      <c r="E664" s="38" t="n"/>
      <c r="F664" s="38" t="n"/>
      <c r="G664" s="37">
        <f>IF(COUNTA(A664:F664)=0,"",IF(A664="EXAMPLE","Example (skipped)",IF(OR(C664="",E664="",F664=""),"✖ Portal, User ID and Password are all needed",IF(AND(A664="",COUNTIF(Clients!$B$5:$B$1005,B664)=0),"Not on Clients — will match a portal client by name",IF(AND(C664="GST",D664&lt;&gt;"",COUNTIF(Clients!$AN$5:$AN$1005,UPPER(D664))=0,COUNTIF(Clients!$G$5:$G$1005,"*"&amp;UPPER(D664)&amp;"*")=0),"GSTIN not on Clients — will be checked in the portal","✔ OK")))))</f>
        <v/>
      </c>
    </row>
    <row r="665">
      <c r="A665" s="38" t="n"/>
      <c r="B665" s="39" t="n"/>
      <c r="C665" s="39" t="n"/>
      <c r="D665" s="38" t="n"/>
      <c r="E665" s="38" t="n"/>
      <c r="F665" s="38" t="n"/>
      <c r="G665" s="37">
        <f>IF(COUNTA(A665:F665)=0,"",IF(A665="EXAMPLE","Example (skipped)",IF(OR(C665="",E665="",F665=""),"✖ Portal, User ID and Password are all needed",IF(AND(A665="",COUNTIF(Clients!$B$5:$B$1005,B665)=0),"Not on Clients — will match a portal client by name",IF(AND(C665="GST",D665&lt;&gt;"",COUNTIF(Clients!$AN$5:$AN$1005,UPPER(D665))=0,COUNTIF(Clients!$G$5:$G$1005,"*"&amp;UPPER(D665)&amp;"*")=0),"GSTIN not on Clients — will be checked in the portal","✔ OK")))))</f>
        <v/>
      </c>
    </row>
    <row r="666">
      <c r="A666" s="38" t="n"/>
      <c r="B666" s="39" t="n"/>
      <c r="C666" s="39" t="n"/>
      <c r="D666" s="38" t="n"/>
      <c r="E666" s="38" t="n"/>
      <c r="F666" s="38" t="n"/>
      <c r="G666" s="37">
        <f>IF(COUNTA(A666:F666)=0,"",IF(A666="EXAMPLE","Example (skipped)",IF(OR(C666="",E666="",F666=""),"✖ Portal, User ID and Password are all needed",IF(AND(A666="",COUNTIF(Clients!$B$5:$B$1005,B666)=0),"Not on Clients — will match a portal client by name",IF(AND(C666="GST",D666&lt;&gt;"",COUNTIF(Clients!$AN$5:$AN$1005,UPPER(D666))=0,COUNTIF(Clients!$G$5:$G$1005,"*"&amp;UPPER(D666)&amp;"*")=0),"GSTIN not on Clients — will be checked in the portal","✔ OK")))))</f>
        <v/>
      </c>
    </row>
    <row r="667">
      <c r="A667" s="38" t="n"/>
      <c r="B667" s="39" t="n"/>
      <c r="C667" s="39" t="n"/>
      <c r="D667" s="38" t="n"/>
      <c r="E667" s="38" t="n"/>
      <c r="F667" s="38" t="n"/>
      <c r="G667" s="37">
        <f>IF(COUNTA(A667:F667)=0,"",IF(A667="EXAMPLE","Example (skipped)",IF(OR(C667="",E667="",F667=""),"✖ Portal, User ID and Password are all needed",IF(AND(A667="",COUNTIF(Clients!$B$5:$B$1005,B667)=0),"Not on Clients — will match a portal client by name",IF(AND(C667="GST",D667&lt;&gt;"",COUNTIF(Clients!$AN$5:$AN$1005,UPPER(D667))=0,COUNTIF(Clients!$G$5:$G$1005,"*"&amp;UPPER(D667)&amp;"*")=0),"GSTIN not on Clients — will be checked in the portal","✔ OK")))))</f>
        <v/>
      </c>
    </row>
    <row r="668">
      <c r="A668" s="38" t="n"/>
      <c r="B668" s="39" t="n"/>
      <c r="C668" s="39" t="n"/>
      <c r="D668" s="38" t="n"/>
      <c r="E668" s="38" t="n"/>
      <c r="F668" s="38" t="n"/>
      <c r="G668" s="37">
        <f>IF(COUNTA(A668:F668)=0,"",IF(A668="EXAMPLE","Example (skipped)",IF(OR(C668="",E668="",F668=""),"✖ Portal, User ID and Password are all needed",IF(AND(A668="",COUNTIF(Clients!$B$5:$B$1005,B668)=0),"Not on Clients — will match a portal client by name",IF(AND(C668="GST",D668&lt;&gt;"",COUNTIF(Clients!$AN$5:$AN$1005,UPPER(D668))=0,COUNTIF(Clients!$G$5:$G$1005,"*"&amp;UPPER(D668)&amp;"*")=0),"GSTIN not on Clients — will be checked in the portal","✔ OK")))))</f>
        <v/>
      </c>
    </row>
    <row r="669">
      <c r="A669" s="38" t="n"/>
      <c r="B669" s="39" t="n"/>
      <c r="C669" s="39" t="n"/>
      <c r="D669" s="38" t="n"/>
      <c r="E669" s="38" t="n"/>
      <c r="F669" s="38" t="n"/>
      <c r="G669" s="37">
        <f>IF(COUNTA(A669:F669)=0,"",IF(A669="EXAMPLE","Example (skipped)",IF(OR(C669="",E669="",F669=""),"✖ Portal, User ID and Password are all needed",IF(AND(A669="",COUNTIF(Clients!$B$5:$B$1005,B669)=0),"Not on Clients — will match a portal client by name",IF(AND(C669="GST",D669&lt;&gt;"",COUNTIF(Clients!$AN$5:$AN$1005,UPPER(D669))=0,COUNTIF(Clients!$G$5:$G$1005,"*"&amp;UPPER(D669)&amp;"*")=0),"GSTIN not on Clients — will be checked in the portal","✔ OK")))))</f>
        <v/>
      </c>
    </row>
    <row r="670">
      <c r="A670" s="38" t="n"/>
      <c r="B670" s="39" t="n"/>
      <c r="C670" s="39" t="n"/>
      <c r="D670" s="38" t="n"/>
      <c r="E670" s="38" t="n"/>
      <c r="F670" s="38" t="n"/>
      <c r="G670" s="37">
        <f>IF(COUNTA(A670:F670)=0,"",IF(A670="EXAMPLE","Example (skipped)",IF(OR(C670="",E670="",F670=""),"✖ Portal, User ID and Password are all needed",IF(AND(A670="",COUNTIF(Clients!$B$5:$B$1005,B670)=0),"Not on Clients — will match a portal client by name",IF(AND(C670="GST",D670&lt;&gt;"",COUNTIF(Clients!$AN$5:$AN$1005,UPPER(D670))=0,COUNTIF(Clients!$G$5:$G$1005,"*"&amp;UPPER(D670)&amp;"*")=0),"GSTIN not on Clients — will be checked in the portal","✔ OK")))))</f>
        <v/>
      </c>
    </row>
    <row r="671">
      <c r="A671" s="38" t="n"/>
      <c r="B671" s="39" t="n"/>
      <c r="C671" s="39" t="n"/>
      <c r="D671" s="38" t="n"/>
      <c r="E671" s="38" t="n"/>
      <c r="F671" s="38" t="n"/>
      <c r="G671" s="37">
        <f>IF(COUNTA(A671:F671)=0,"",IF(A671="EXAMPLE","Example (skipped)",IF(OR(C671="",E671="",F671=""),"✖ Portal, User ID and Password are all needed",IF(AND(A671="",COUNTIF(Clients!$B$5:$B$1005,B671)=0),"Not on Clients — will match a portal client by name",IF(AND(C671="GST",D671&lt;&gt;"",COUNTIF(Clients!$AN$5:$AN$1005,UPPER(D671))=0,COUNTIF(Clients!$G$5:$G$1005,"*"&amp;UPPER(D671)&amp;"*")=0),"GSTIN not on Clients — will be checked in the portal","✔ OK")))))</f>
        <v/>
      </c>
    </row>
    <row r="672">
      <c r="A672" s="38" t="n"/>
      <c r="B672" s="39" t="n"/>
      <c r="C672" s="39" t="n"/>
      <c r="D672" s="38" t="n"/>
      <c r="E672" s="38" t="n"/>
      <c r="F672" s="38" t="n"/>
      <c r="G672" s="37">
        <f>IF(COUNTA(A672:F672)=0,"",IF(A672="EXAMPLE","Example (skipped)",IF(OR(C672="",E672="",F672=""),"✖ Portal, User ID and Password are all needed",IF(AND(A672="",COUNTIF(Clients!$B$5:$B$1005,B672)=0),"Not on Clients — will match a portal client by name",IF(AND(C672="GST",D672&lt;&gt;"",COUNTIF(Clients!$AN$5:$AN$1005,UPPER(D672))=0,COUNTIF(Clients!$G$5:$G$1005,"*"&amp;UPPER(D672)&amp;"*")=0),"GSTIN not on Clients — will be checked in the portal","✔ OK")))))</f>
        <v/>
      </c>
    </row>
    <row r="673">
      <c r="A673" s="38" t="n"/>
      <c r="B673" s="39" t="n"/>
      <c r="C673" s="39" t="n"/>
      <c r="D673" s="38" t="n"/>
      <c r="E673" s="38" t="n"/>
      <c r="F673" s="38" t="n"/>
      <c r="G673" s="37">
        <f>IF(COUNTA(A673:F673)=0,"",IF(A673="EXAMPLE","Example (skipped)",IF(OR(C673="",E673="",F673=""),"✖ Portal, User ID and Password are all needed",IF(AND(A673="",COUNTIF(Clients!$B$5:$B$1005,B673)=0),"Not on Clients — will match a portal client by name",IF(AND(C673="GST",D673&lt;&gt;"",COUNTIF(Clients!$AN$5:$AN$1005,UPPER(D673))=0,COUNTIF(Clients!$G$5:$G$1005,"*"&amp;UPPER(D673)&amp;"*")=0),"GSTIN not on Clients — will be checked in the portal","✔ OK")))))</f>
        <v/>
      </c>
    </row>
    <row r="674">
      <c r="A674" s="38" t="n"/>
      <c r="B674" s="39" t="n"/>
      <c r="C674" s="39" t="n"/>
      <c r="D674" s="38" t="n"/>
      <c r="E674" s="38" t="n"/>
      <c r="F674" s="38" t="n"/>
      <c r="G674" s="37">
        <f>IF(COUNTA(A674:F674)=0,"",IF(A674="EXAMPLE","Example (skipped)",IF(OR(C674="",E674="",F674=""),"✖ Portal, User ID and Password are all needed",IF(AND(A674="",COUNTIF(Clients!$B$5:$B$1005,B674)=0),"Not on Clients — will match a portal client by name",IF(AND(C674="GST",D674&lt;&gt;"",COUNTIF(Clients!$AN$5:$AN$1005,UPPER(D674))=0,COUNTIF(Clients!$G$5:$G$1005,"*"&amp;UPPER(D674)&amp;"*")=0),"GSTIN not on Clients — will be checked in the portal","✔ OK")))))</f>
        <v/>
      </c>
    </row>
    <row r="675">
      <c r="A675" s="38" t="n"/>
      <c r="B675" s="39" t="n"/>
      <c r="C675" s="39" t="n"/>
      <c r="D675" s="38" t="n"/>
      <c r="E675" s="38" t="n"/>
      <c r="F675" s="38" t="n"/>
      <c r="G675" s="37">
        <f>IF(COUNTA(A675:F675)=0,"",IF(A675="EXAMPLE","Example (skipped)",IF(OR(C675="",E675="",F675=""),"✖ Portal, User ID and Password are all needed",IF(AND(A675="",COUNTIF(Clients!$B$5:$B$1005,B675)=0),"Not on Clients — will match a portal client by name",IF(AND(C675="GST",D675&lt;&gt;"",COUNTIF(Clients!$AN$5:$AN$1005,UPPER(D675))=0,COUNTIF(Clients!$G$5:$G$1005,"*"&amp;UPPER(D675)&amp;"*")=0),"GSTIN not on Clients — will be checked in the portal","✔ OK")))))</f>
        <v/>
      </c>
    </row>
    <row r="676">
      <c r="A676" s="38" t="n"/>
      <c r="B676" s="39" t="n"/>
      <c r="C676" s="39" t="n"/>
      <c r="D676" s="38" t="n"/>
      <c r="E676" s="38" t="n"/>
      <c r="F676" s="38" t="n"/>
      <c r="G676" s="37">
        <f>IF(COUNTA(A676:F676)=0,"",IF(A676="EXAMPLE","Example (skipped)",IF(OR(C676="",E676="",F676=""),"✖ Portal, User ID and Password are all needed",IF(AND(A676="",COUNTIF(Clients!$B$5:$B$1005,B676)=0),"Not on Clients — will match a portal client by name",IF(AND(C676="GST",D676&lt;&gt;"",COUNTIF(Clients!$AN$5:$AN$1005,UPPER(D676))=0,COUNTIF(Clients!$G$5:$G$1005,"*"&amp;UPPER(D676)&amp;"*")=0),"GSTIN not on Clients — will be checked in the portal","✔ OK")))))</f>
        <v/>
      </c>
    </row>
    <row r="677">
      <c r="A677" s="38" t="n"/>
      <c r="B677" s="39" t="n"/>
      <c r="C677" s="39" t="n"/>
      <c r="D677" s="38" t="n"/>
      <c r="E677" s="38" t="n"/>
      <c r="F677" s="38" t="n"/>
      <c r="G677" s="37">
        <f>IF(COUNTA(A677:F677)=0,"",IF(A677="EXAMPLE","Example (skipped)",IF(OR(C677="",E677="",F677=""),"✖ Portal, User ID and Password are all needed",IF(AND(A677="",COUNTIF(Clients!$B$5:$B$1005,B677)=0),"Not on Clients — will match a portal client by name",IF(AND(C677="GST",D677&lt;&gt;"",COUNTIF(Clients!$AN$5:$AN$1005,UPPER(D677))=0,COUNTIF(Clients!$G$5:$G$1005,"*"&amp;UPPER(D677)&amp;"*")=0),"GSTIN not on Clients — will be checked in the portal","✔ OK")))))</f>
        <v/>
      </c>
    </row>
    <row r="678">
      <c r="A678" s="38" t="n"/>
      <c r="B678" s="39" t="n"/>
      <c r="C678" s="39" t="n"/>
      <c r="D678" s="38" t="n"/>
      <c r="E678" s="38" t="n"/>
      <c r="F678" s="38" t="n"/>
      <c r="G678" s="37">
        <f>IF(COUNTA(A678:F678)=0,"",IF(A678="EXAMPLE","Example (skipped)",IF(OR(C678="",E678="",F678=""),"✖ Portal, User ID and Password are all needed",IF(AND(A678="",COUNTIF(Clients!$B$5:$B$1005,B678)=0),"Not on Clients — will match a portal client by name",IF(AND(C678="GST",D678&lt;&gt;"",COUNTIF(Clients!$AN$5:$AN$1005,UPPER(D678))=0,COUNTIF(Clients!$G$5:$G$1005,"*"&amp;UPPER(D678)&amp;"*")=0),"GSTIN not on Clients — will be checked in the portal","✔ OK")))))</f>
        <v/>
      </c>
    </row>
    <row r="679">
      <c r="A679" s="38" t="n"/>
      <c r="B679" s="39" t="n"/>
      <c r="C679" s="39" t="n"/>
      <c r="D679" s="38" t="n"/>
      <c r="E679" s="38" t="n"/>
      <c r="F679" s="38" t="n"/>
      <c r="G679" s="37">
        <f>IF(COUNTA(A679:F679)=0,"",IF(A679="EXAMPLE","Example (skipped)",IF(OR(C679="",E679="",F679=""),"✖ Portal, User ID and Password are all needed",IF(AND(A679="",COUNTIF(Clients!$B$5:$B$1005,B679)=0),"Not on Clients — will match a portal client by name",IF(AND(C679="GST",D679&lt;&gt;"",COUNTIF(Clients!$AN$5:$AN$1005,UPPER(D679))=0,COUNTIF(Clients!$G$5:$G$1005,"*"&amp;UPPER(D679)&amp;"*")=0),"GSTIN not on Clients — will be checked in the portal","✔ OK")))))</f>
        <v/>
      </c>
    </row>
    <row r="680">
      <c r="A680" s="38" t="n"/>
      <c r="B680" s="39" t="n"/>
      <c r="C680" s="39" t="n"/>
      <c r="D680" s="38" t="n"/>
      <c r="E680" s="38" t="n"/>
      <c r="F680" s="38" t="n"/>
      <c r="G680" s="37">
        <f>IF(COUNTA(A680:F680)=0,"",IF(A680="EXAMPLE","Example (skipped)",IF(OR(C680="",E680="",F680=""),"✖ Portal, User ID and Password are all needed",IF(AND(A680="",COUNTIF(Clients!$B$5:$B$1005,B680)=0),"Not on Clients — will match a portal client by name",IF(AND(C680="GST",D680&lt;&gt;"",COUNTIF(Clients!$AN$5:$AN$1005,UPPER(D680))=0,COUNTIF(Clients!$G$5:$G$1005,"*"&amp;UPPER(D680)&amp;"*")=0),"GSTIN not on Clients — will be checked in the portal","✔ OK")))))</f>
        <v/>
      </c>
    </row>
    <row r="681">
      <c r="A681" s="38" t="n"/>
      <c r="B681" s="39" t="n"/>
      <c r="C681" s="39" t="n"/>
      <c r="D681" s="38" t="n"/>
      <c r="E681" s="38" t="n"/>
      <c r="F681" s="38" t="n"/>
      <c r="G681" s="37">
        <f>IF(COUNTA(A681:F681)=0,"",IF(A681="EXAMPLE","Example (skipped)",IF(OR(C681="",E681="",F681=""),"✖ Portal, User ID and Password are all needed",IF(AND(A681="",COUNTIF(Clients!$B$5:$B$1005,B681)=0),"Not on Clients — will match a portal client by name",IF(AND(C681="GST",D681&lt;&gt;"",COUNTIF(Clients!$AN$5:$AN$1005,UPPER(D681))=0,COUNTIF(Clients!$G$5:$G$1005,"*"&amp;UPPER(D681)&amp;"*")=0),"GSTIN not on Clients — will be checked in the portal","✔ OK")))))</f>
        <v/>
      </c>
    </row>
    <row r="682">
      <c r="A682" s="38" t="n"/>
      <c r="B682" s="39" t="n"/>
      <c r="C682" s="39" t="n"/>
      <c r="D682" s="38" t="n"/>
      <c r="E682" s="38" t="n"/>
      <c r="F682" s="38" t="n"/>
      <c r="G682" s="37">
        <f>IF(COUNTA(A682:F682)=0,"",IF(A682="EXAMPLE","Example (skipped)",IF(OR(C682="",E682="",F682=""),"✖ Portal, User ID and Password are all needed",IF(AND(A682="",COUNTIF(Clients!$B$5:$B$1005,B682)=0),"Not on Clients — will match a portal client by name",IF(AND(C682="GST",D682&lt;&gt;"",COUNTIF(Clients!$AN$5:$AN$1005,UPPER(D682))=0,COUNTIF(Clients!$G$5:$G$1005,"*"&amp;UPPER(D682)&amp;"*")=0),"GSTIN not on Clients — will be checked in the portal","✔ OK")))))</f>
        <v/>
      </c>
    </row>
    <row r="683">
      <c r="A683" s="38" t="n"/>
      <c r="B683" s="39" t="n"/>
      <c r="C683" s="39" t="n"/>
      <c r="D683" s="38" t="n"/>
      <c r="E683" s="38" t="n"/>
      <c r="F683" s="38" t="n"/>
      <c r="G683" s="37">
        <f>IF(COUNTA(A683:F683)=0,"",IF(A683="EXAMPLE","Example (skipped)",IF(OR(C683="",E683="",F683=""),"✖ Portal, User ID and Password are all needed",IF(AND(A683="",COUNTIF(Clients!$B$5:$B$1005,B683)=0),"Not on Clients — will match a portal client by name",IF(AND(C683="GST",D683&lt;&gt;"",COUNTIF(Clients!$AN$5:$AN$1005,UPPER(D683))=0,COUNTIF(Clients!$G$5:$G$1005,"*"&amp;UPPER(D683)&amp;"*")=0),"GSTIN not on Clients — will be checked in the portal","✔ OK")))))</f>
        <v/>
      </c>
    </row>
    <row r="684">
      <c r="A684" s="38" t="n"/>
      <c r="B684" s="39" t="n"/>
      <c r="C684" s="39" t="n"/>
      <c r="D684" s="38" t="n"/>
      <c r="E684" s="38" t="n"/>
      <c r="F684" s="38" t="n"/>
      <c r="G684" s="37">
        <f>IF(COUNTA(A684:F684)=0,"",IF(A684="EXAMPLE","Example (skipped)",IF(OR(C684="",E684="",F684=""),"✖ Portal, User ID and Password are all needed",IF(AND(A684="",COUNTIF(Clients!$B$5:$B$1005,B684)=0),"Not on Clients — will match a portal client by name",IF(AND(C684="GST",D684&lt;&gt;"",COUNTIF(Clients!$AN$5:$AN$1005,UPPER(D684))=0,COUNTIF(Clients!$G$5:$G$1005,"*"&amp;UPPER(D684)&amp;"*")=0),"GSTIN not on Clients — will be checked in the portal","✔ OK")))))</f>
        <v/>
      </c>
    </row>
    <row r="685">
      <c r="A685" s="38" t="n"/>
      <c r="B685" s="39" t="n"/>
      <c r="C685" s="39" t="n"/>
      <c r="D685" s="38" t="n"/>
      <c r="E685" s="38" t="n"/>
      <c r="F685" s="38" t="n"/>
      <c r="G685" s="37">
        <f>IF(COUNTA(A685:F685)=0,"",IF(A685="EXAMPLE","Example (skipped)",IF(OR(C685="",E685="",F685=""),"✖ Portal, User ID and Password are all needed",IF(AND(A685="",COUNTIF(Clients!$B$5:$B$1005,B685)=0),"Not on Clients — will match a portal client by name",IF(AND(C685="GST",D685&lt;&gt;"",COUNTIF(Clients!$AN$5:$AN$1005,UPPER(D685))=0,COUNTIF(Clients!$G$5:$G$1005,"*"&amp;UPPER(D685)&amp;"*")=0),"GSTIN not on Clients — will be checked in the portal","✔ OK")))))</f>
        <v/>
      </c>
    </row>
    <row r="686">
      <c r="A686" s="38" t="n"/>
      <c r="B686" s="39" t="n"/>
      <c r="C686" s="39" t="n"/>
      <c r="D686" s="38" t="n"/>
      <c r="E686" s="38" t="n"/>
      <c r="F686" s="38" t="n"/>
      <c r="G686" s="37">
        <f>IF(COUNTA(A686:F686)=0,"",IF(A686="EXAMPLE","Example (skipped)",IF(OR(C686="",E686="",F686=""),"✖ Portal, User ID and Password are all needed",IF(AND(A686="",COUNTIF(Clients!$B$5:$B$1005,B686)=0),"Not on Clients — will match a portal client by name",IF(AND(C686="GST",D686&lt;&gt;"",COUNTIF(Clients!$AN$5:$AN$1005,UPPER(D686))=0,COUNTIF(Clients!$G$5:$G$1005,"*"&amp;UPPER(D686)&amp;"*")=0),"GSTIN not on Clients — will be checked in the portal","✔ OK")))))</f>
        <v/>
      </c>
    </row>
    <row r="687">
      <c r="A687" s="38" t="n"/>
      <c r="B687" s="39" t="n"/>
      <c r="C687" s="39" t="n"/>
      <c r="D687" s="38" t="n"/>
      <c r="E687" s="38" t="n"/>
      <c r="F687" s="38" t="n"/>
      <c r="G687" s="37">
        <f>IF(COUNTA(A687:F687)=0,"",IF(A687="EXAMPLE","Example (skipped)",IF(OR(C687="",E687="",F687=""),"✖ Portal, User ID and Password are all needed",IF(AND(A687="",COUNTIF(Clients!$B$5:$B$1005,B687)=0),"Not on Clients — will match a portal client by name",IF(AND(C687="GST",D687&lt;&gt;"",COUNTIF(Clients!$AN$5:$AN$1005,UPPER(D687))=0,COUNTIF(Clients!$G$5:$G$1005,"*"&amp;UPPER(D687)&amp;"*")=0),"GSTIN not on Clients — will be checked in the portal","✔ OK")))))</f>
        <v/>
      </c>
    </row>
    <row r="688">
      <c r="A688" s="38" t="n"/>
      <c r="B688" s="39" t="n"/>
      <c r="C688" s="39" t="n"/>
      <c r="D688" s="38" t="n"/>
      <c r="E688" s="38" t="n"/>
      <c r="F688" s="38" t="n"/>
      <c r="G688" s="37">
        <f>IF(COUNTA(A688:F688)=0,"",IF(A688="EXAMPLE","Example (skipped)",IF(OR(C688="",E688="",F688=""),"✖ Portal, User ID and Password are all needed",IF(AND(A688="",COUNTIF(Clients!$B$5:$B$1005,B688)=0),"Not on Clients — will match a portal client by name",IF(AND(C688="GST",D688&lt;&gt;"",COUNTIF(Clients!$AN$5:$AN$1005,UPPER(D688))=0,COUNTIF(Clients!$G$5:$G$1005,"*"&amp;UPPER(D688)&amp;"*")=0),"GSTIN not on Clients — will be checked in the portal","✔ OK")))))</f>
        <v/>
      </c>
    </row>
    <row r="689">
      <c r="A689" s="38" t="n"/>
      <c r="B689" s="39" t="n"/>
      <c r="C689" s="39" t="n"/>
      <c r="D689" s="38" t="n"/>
      <c r="E689" s="38" t="n"/>
      <c r="F689" s="38" t="n"/>
      <c r="G689" s="37">
        <f>IF(COUNTA(A689:F689)=0,"",IF(A689="EXAMPLE","Example (skipped)",IF(OR(C689="",E689="",F689=""),"✖ Portal, User ID and Password are all needed",IF(AND(A689="",COUNTIF(Clients!$B$5:$B$1005,B689)=0),"Not on Clients — will match a portal client by name",IF(AND(C689="GST",D689&lt;&gt;"",COUNTIF(Clients!$AN$5:$AN$1005,UPPER(D689))=0,COUNTIF(Clients!$G$5:$G$1005,"*"&amp;UPPER(D689)&amp;"*")=0),"GSTIN not on Clients — will be checked in the portal","✔ OK")))))</f>
        <v/>
      </c>
    </row>
    <row r="690">
      <c r="A690" s="38" t="n"/>
      <c r="B690" s="39" t="n"/>
      <c r="C690" s="39" t="n"/>
      <c r="D690" s="38" t="n"/>
      <c r="E690" s="38" t="n"/>
      <c r="F690" s="38" t="n"/>
      <c r="G690" s="37">
        <f>IF(COUNTA(A690:F690)=0,"",IF(A690="EXAMPLE","Example (skipped)",IF(OR(C690="",E690="",F690=""),"✖ Portal, User ID and Password are all needed",IF(AND(A690="",COUNTIF(Clients!$B$5:$B$1005,B690)=0),"Not on Clients — will match a portal client by name",IF(AND(C690="GST",D690&lt;&gt;"",COUNTIF(Clients!$AN$5:$AN$1005,UPPER(D690))=0,COUNTIF(Clients!$G$5:$G$1005,"*"&amp;UPPER(D690)&amp;"*")=0),"GSTIN not on Clients — will be checked in the portal","✔ OK")))))</f>
        <v/>
      </c>
    </row>
    <row r="691">
      <c r="A691" s="38" t="n"/>
      <c r="B691" s="39" t="n"/>
      <c r="C691" s="39" t="n"/>
      <c r="D691" s="38" t="n"/>
      <c r="E691" s="38" t="n"/>
      <c r="F691" s="38" t="n"/>
      <c r="G691" s="37">
        <f>IF(COUNTA(A691:F691)=0,"",IF(A691="EXAMPLE","Example (skipped)",IF(OR(C691="",E691="",F691=""),"✖ Portal, User ID and Password are all needed",IF(AND(A691="",COUNTIF(Clients!$B$5:$B$1005,B691)=0),"Not on Clients — will match a portal client by name",IF(AND(C691="GST",D691&lt;&gt;"",COUNTIF(Clients!$AN$5:$AN$1005,UPPER(D691))=0,COUNTIF(Clients!$G$5:$G$1005,"*"&amp;UPPER(D691)&amp;"*")=0),"GSTIN not on Clients — will be checked in the portal","✔ OK")))))</f>
        <v/>
      </c>
    </row>
    <row r="692">
      <c r="A692" s="38" t="n"/>
      <c r="B692" s="39" t="n"/>
      <c r="C692" s="39" t="n"/>
      <c r="D692" s="38" t="n"/>
      <c r="E692" s="38" t="n"/>
      <c r="F692" s="38" t="n"/>
      <c r="G692" s="37">
        <f>IF(COUNTA(A692:F692)=0,"",IF(A692="EXAMPLE","Example (skipped)",IF(OR(C692="",E692="",F692=""),"✖ Portal, User ID and Password are all needed",IF(AND(A692="",COUNTIF(Clients!$B$5:$B$1005,B692)=0),"Not on Clients — will match a portal client by name",IF(AND(C692="GST",D692&lt;&gt;"",COUNTIF(Clients!$AN$5:$AN$1005,UPPER(D692))=0,COUNTIF(Clients!$G$5:$G$1005,"*"&amp;UPPER(D692)&amp;"*")=0),"GSTIN not on Clients — will be checked in the portal","✔ OK")))))</f>
        <v/>
      </c>
    </row>
    <row r="693">
      <c r="A693" s="38" t="n"/>
      <c r="B693" s="39" t="n"/>
      <c r="C693" s="39" t="n"/>
      <c r="D693" s="38" t="n"/>
      <c r="E693" s="38" t="n"/>
      <c r="F693" s="38" t="n"/>
      <c r="G693" s="37">
        <f>IF(COUNTA(A693:F693)=0,"",IF(A693="EXAMPLE","Example (skipped)",IF(OR(C693="",E693="",F693=""),"✖ Portal, User ID and Password are all needed",IF(AND(A693="",COUNTIF(Clients!$B$5:$B$1005,B693)=0),"Not on Clients — will match a portal client by name",IF(AND(C693="GST",D693&lt;&gt;"",COUNTIF(Clients!$AN$5:$AN$1005,UPPER(D693))=0,COUNTIF(Clients!$G$5:$G$1005,"*"&amp;UPPER(D693)&amp;"*")=0),"GSTIN not on Clients — will be checked in the portal","✔ OK")))))</f>
        <v/>
      </c>
    </row>
    <row r="694">
      <c r="A694" s="38" t="n"/>
      <c r="B694" s="39" t="n"/>
      <c r="C694" s="39" t="n"/>
      <c r="D694" s="38" t="n"/>
      <c r="E694" s="38" t="n"/>
      <c r="F694" s="38" t="n"/>
      <c r="G694" s="37">
        <f>IF(COUNTA(A694:F694)=0,"",IF(A694="EXAMPLE","Example (skipped)",IF(OR(C694="",E694="",F694=""),"✖ Portal, User ID and Password are all needed",IF(AND(A694="",COUNTIF(Clients!$B$5:$B$1005,B694)=0),"Not on Clients — will match a portal client by name",IF(AND(C694="GST",D694&lt;&gt;"",COUNTIF(Clients!$AN$5:$AN$1005,UPPER(D694))=0,COUNTIF(Clients!$G$5:$G$1005,"*"&amp;UPPER(D694)&amp;"*")=0),"GSTIN not on Clients — will be checked in the portal","✔ OK")))))</f>
        <v/>
      </c>
    </row>
    <row r="695">
      <c r="A695" s="38" t="n"/>
      <c r="B695" s="39" t="n"/>
      <c r="C695" s="39" t="n"/>
      <c r="D695" s="38" t="n"/>
      <c r="E695" s="38" t="n"/>
      <c r="F695" s="38" t="n"/>
      <c r="G695" s="37">
        <f>IF(COUNTA(A695:F695)=0,"",IF(A695="EXAMPLE","Example (skipped)",IF(OR(C695="",E695="",F695=""),"✖ Portal, User ID and Password are all needed",IF(AND(A695="",COUNTIF(Clients!$B$5:$B$1005,B695)=0),"Not on Clients — will match a portal client by name",IF(AND(C695="GST",D695&lt;&gt;"",COUNTIF(Clients!$AN$5:$AN$1005,UPPER(D695))=0,COUNTIF(Clients!$G$5:$G$1005,"*"&amp;UPPER(D695)&amp;"*")=0),"GSTIN not on Clients — will be checked in the portal","✔ OK")))))</f>
        <v/>
      </c>
    </row>
    <row r="696">
      <c r="A696" s="38" t="n"/>
      <c r="B696" s="39" t="n"/>
      <c r="C696" s="39" t="n"/>
      <c r="D696" s="38" t="n"/>
      <c r="E696" s="38" t="n"/>
      <c r="F696" s="38" t="n"/>
      <c r="G696" s="37">
        <f>IF(COUNTA(A696:F696)=0,"",IF(A696="EXAMPLE","Example (skipped)",IF(OR(C696="",E696="",F696=""),"✖ Portal, User ID and Password are all needed",IF(AND(A696="",COUNTIF(Clients!$B$5:$B$1005,B696)=0),"Not on Clients — will match a portal client by name",IF(AND(C696="GST",D696&lt;&gt;"",COUNTIF(Clients!$AN$5:$AN$1005,UPPER(D696))=0,COUNTIF(Clients!$G$5:$G$1005,"*"&amp;UPPER(D696)&amp;"*")=0),"GSTIN not on Clients — will be checked in the portal","✔ OK")))))</f>
        <v/>
      </c>
    </row>
    <row r="697">
      <c r="A697" s="38" t="n"/>
      <c r="B697" s="39" t="n"/>
      <c r="C697" s="39" t="n"/>
      <c r="D697" s="38" t="n"/>
      <c r="E697" s="38" t="n"/>
      <c r="F697" s="38" t="n"/>
      <c r="G697" s="37">
        <f>IF(COUNTA(A697:F697)=0,"",IF(A697="EXAMPLE","Example (skipped)",IF(OR(C697="",E697="",F697=""),"✖ Portal, User ID and Password are all needed",IF(AND(A697="",COUNTIF(Clients!$B$5:$B$1005,B697)=0),"Not on Clients — will match a portal client by name",IF(AND(C697="GST",D697&lt;&gt;"",COUNTIF(Clients!$AN$5:$AN$1005,UPPER(D697))=0,COUNTIF(Clients!$G$5:$G$1005,"*"&amp;UPPER(D697)&amp;"*")=0),"GSTIN not on Clients — will be checked in the portal","✔ OK")))))</f>
        <v/>
      </c>
    </row>
    <row r="698">
      <c r="A698" s="38" t="n"/>
      <c r="B698" s="39" t="n"/>
      <c r="C698" s="39" t="n"/>
      <c r="D698" s="38" t="n"/>
      <c r="E698" s="38" t="n"/>
      <c r="F698" s="38" t="n"/>
      <c r="G698" s="37">
        <f>IF(COUNTA(A698:F698)=0,"",IF(A698="EXAMPLE","Example (skipped)",IF(OR(C698="",E698="",F698=""),"✖ Portal, User ID and Password are all needed",IF(AND(A698="",COUNTIF(Clients!$B$5:$B$1005,B698)=0),"Not on Clients — will match a portal client by name",IF(AND(C698="GST",D698&lt;&gt;"",COUNTIF(Clients!$AN$5:$AN$1005,UPPER(D698))=0,COUNTIF(Clients!$G$5:$G$1005,"*"&amp;UPPER(D698)&amp;"*")=0),"GSTIN not on Clients — will be checked in the portal","✔ OK")))))</f>
        <v/>
      </c>
    </row>
    <row r="699">
      <c r="A699" s="38" t="n"/>
      <c r="B699" s="39" t="n"/>
      <c r="C699" s="39" t="n"/>
      <c r="D699" s="38" t="n"/>
      <c r="E699" s="38" t="n"/>
      <c r="F699" s="38" t="n"/>
      <c r="G699" s="37">
        <f>IF(COUNTA(A699:F699)=0,"",IF(A699="EXAMPLE","Example (skipped)",IF(OR(C699="",E699="",F699=""),"✖ Portal, User ID and Password are all needed",IF(AND(A699="",COUNTIF(Clients!$B$5:$B$1005,B699)=0),"Not on Clients — will match a portal client by name",IF(AND(C699="GST",D699&lt;&gt;"",COUNTIF(Clients!$AN$5:$AN$1005,UPPER(D699))=0,COUNTIF(Clients!$G$5:$G$1005,"*"&amp;UPPER(D699)&amp;"*")=0),"GSTIN not on Clients — will be checked in the portal","✔ OK")))))</f>
        <v/>
      </c>
    </row>
    <row r="700">
      <c r="A700" s="38" t="n"/>
      <c r="B700" s="39" t="n"/>
      <c r="C700" s="39" t="n"/>
      <c r="D700" s="38" t="n"/>
      <c r="E700" s="38" t="n"/>
      <c r="F700" s="38" t="n"/>
      <c r="G700" s="37">
        <f>IF(COUNTA(A700:F700)=0,"",IF(A700="EXAMPLE","Example (skipped)",IF(OR(C700="",E700="",F700=""),"✖ Portal, User ID and Password are all needed",IF(AND(A700="",COUNTIF(Clients!$B$5:$B$1005,B700)=0),"Not on Clients — will match a portal client by name",IF(AND(C700="GST",D700&lt;&gt;"",COUNTIF(Clients!$AN$5:$AN$1005,UPPER(D700))=0,COUNTIF(Clients!$G$5:$G$1005,"*"&amp;UPPER(D700)&amp;"*")=0),"GSTIN not on Clients — will be checked in the portal","✔ OK")))))</f>
        <v/>
      </c>
    </row>
    <row r="701">
      <c r="A701" s="38" t="n"/>
      <c r="B701" s="39" t="n"/>
      <c r="C701" s="39" t="n"/>
      <c r="D701" s="38" t="n"/>
      <c r="E701" s="38" t="n"/>
      <c r="F701" s="38" t="n"/>
      <c r="G701" s="37">
        <f>IF(COUNTA(A701:F701)=0,"",IF(A701="EXAMPLE","Example (skipped)",IF(OR(C701="",E701="",F701=""),"✖ Portal, User ID and Password are all needed",IF(AND(A701="",COUNTIF(Clients!$B$5:$B$1005,B701)=0),"Not on Clients — will match a portal client by name",IF(AND(C701="GST",D701&lt;&gt;"",COUNTIF(Clients!$AN$5:$AN$1005,UPPER(D701))=0,COUNTIF(Clients!$G$5:$G$1005,"*"&amp;UPPER(D701)&amp;"*")=0),"GSTIN not on Clients — will be checked in the portal","✔ OK")))))</f>
        <v/>
      </c>
    </row>
    <row r="702">
      <c r="A702" s="38" t="n"/>
      <c r="B702" s="39" t="n"/>
      <c r="C702" s="39" t="n"/>
      <c r="D702" s="38" t="n"/>
      <c r="E702" s="38" t="n"/>
      <c r="F702" s="38" t="n"/>
      <c r="G702" s="37">
        <f>IF(COUNTA(A702:F702)=0,"",IF(A702="EXAMPLE","Example (skipped)",IF(OR(C702="",E702="",F702=""),"✖ Portal, User ID and Password are all needed",IF(AND(A702="",COUNTIF(Clients!$B$5:$B$1005,B702)=0),"Not on Clients — will match a portal client by name",IF(AND(C702="GST",D702&lt;&gt;"",COUNTIF(Clients!$AN$5:$AN$1005,UPPER(D702))=0,COUNTIF(Clients!$G$5:$G$1005,"*"&amp;UPPER(D702)&amp;"*")=0),"GSTIN not on Clients — will be checked in the portal","✔ OK")))))</f>
        <v/>
      </c>
    </row>
    <row r="703">
      <c r="A703" s="38" t="n"/>
      <c r="B703" s="39" t="n"/>
      <c r="C703" s="39" t="n"/>
      <c r="D703" s="38" t="n"/>
      <c r="E703" s="38" t="n"/>
      <c r="F703" s="38" t="n"/>
      <c r="G703" s="37">
        <f>IF(COUNTA(A703:F703)=0,"",IF(A703="EXAMPLE","Example (skipped)",IF(OR(C703="",E703="",F703=""),"✖ Portal, User ID and Password are all needed",IF(AND(A703="",COUNTIF(Clients!$B$5:$B$1005,B703)=0),"Not on Clients — will match a portal client by name",IF(AND(C703="GST",D703&lt;&gt;"",COUNTIF(Clients!$AN$5:$AN$1005,UPPER(D703))=0,COUNTIF(Clients!$G$5:$G$1005,"*"&amp;UPPER(D703)&amp;"*")=0),"GSTIN not on Clients — will be checked in the portal","✔ OK")))))</f>
        <v/>
      </c>
    </row>
    <row r="704">
      <c r="A704" s="38" t="n"/>
      <c r="B704" s="39" t="n"/>
      <c r="C704" s="39" t="n"/>
      <c r="D704" s="38" t="n"/>
      <c r="E704" s="38" t="n"/>
      <c r="F704" s="38" t="n"/>
      <c r="G704" s="37">
        <f>IF(COUNTA(A704:F704)=0,"",IF(A704="EXAMPLE","Example (skipped)",IF(OR(C704="",E704="",F704=""),"✖ Portal, User ID and Password are all needed",IF(AND(A704="",COUNTIF(Clients!$B$5:$B$1005,B704)=0),"Not on Clients — will match a portal client by name",IF(AND(C704="GST",D704&lt;&gt;"",COUNTIF(Clients!$AN$5:$AN$1005,UPPER(D704))=0,COUNTIF(Clients!$G$5:$G$1005,"*"&amp;UPPER(D704)&amp;"*")=0),"GSTIN not on Clients — will be checked in the portal","✔ OK")))))</f>
        <v/>
      </c>
    </row>
    <row r="705">
      <c r="A705" s="38" t="n"/>
      <c r="B705" s="39" t="n"/>
      <c r="C705" s="39" t="n"/>
      <c r="D705" s="38" t="n"/>
      <c r="E705" s="38" t="n"/>
      <c r="F705" s="38" t="n"/>
      <c r="G705" s="37">
        <f>IF(COUNTA(A705:F705)=0,"",IF(A705="EXAMPLE","Example (skipped)",IF(OR(C705="",E705="",F705=""),"✖ Portal, User ID and Password are all needed",IF(AND(A705="",COUNTIF(Clients!$B$5:$B$1005,B705)=0),"Not on Clients — will match a portal client by name",IF(AND(C705="GST",D705&lt;&gt;"",COUNTIF(Clients!$AN$5:$AN$1005,UPPER(D705))=0,COUNTIF(Clients!$G$5:$G$1005,"*"&amp;UPPER(D705)&amp;"*")=0),"GSTIN not on Clients — will be checked in the portal","✔ OK")))))</f>
        <v/>
      </c>
    </row>
    <row r="706">
      <c r="A706" s="38" t="n"/>
      <c r="B706" s="39" t="n"/>
      <c r="C706" s="39" t="n"/>
      <c r="D706" s="38" t="n"/>
      <c r="E706" s="38" t="n"/>
      <c r="F706" s="38" t="n"/>
      <c r="G706" s="37">
        <f>IF(COUNTA(A706:F706)=0,"",IF(A706="EXAMPLE","Example (skipped)",IF(OR(C706="",E706="",F706=""),"✖ Portal, User ID and Password are all needed",IF(AND(A706="",COUNTIF(Clients!$B$5:$B$1005,B706)=0),"Not on Clients — will match a portal client by name",IF(AND(C706="GST",D706&lt;&gt;"",COUNTIF(Clients!$AN$5:$AN$1005,UPPER(D706))=0,COUNTIF(Clients!$G$5:$G$1005,"*"&amp;UPPER(D706)&amp;"*")=0),"GSTIN not on Clients — will be checked in the portal","✔ OK")))))</f>
        <v/>
      </c>
    </row>
    <row r="707">
      <c r="A707" s="38" t="n"/>
      <c r="B707" s="39" t="n"/>
      <c r="C707" s="39" t="n"/>
      <c r="D707" s="38" t="n"/>
      <c r="E707" s="38" t="n"/>
      <c r="F707" s="38" t="n"/>
      <c r="G707" s="37">
        <f>IF(COUNTA(A707:F707)=0,"",IF(A707="EXAMPLE","Example (skipped)",IF(OR(C707="",E707="",F707=""),"✖ Portal, User ID and Password are all needed",IF(AND(A707="",COUNTIF(Clients!$B$5:$B$1005,B707)=0),"Not on Clients — will match a portal client by name",IF(AND(C707="GST",D707&lt;&gt;"",COUNTIF(Clients!$AN$5:$AN$1005,UPPER(D707))=0,COUNTIF(Clients!$G$5:$G$1005,"*"&amp;UPPER(D707)&amp;"*")=0),"GSTIN not on Clients — will be checked in the portal","✔ OK")))))</f>
        <v/>
      </c>
    </row>
    <row r="708">
      <c r="A708" s="38" t="n"/>
      <c r="B708" s="39" t="n"/>
      <c r="C708" s="39" t="n"/>
      <c r="D708" s="38" t="n"/>
      <c r="E708" s="38" t="n"/>
      <c r="F708" s="38" t="n"/>
      <c r="G708" s="37">
        <f>IF(COUNTA(A708:F708)=0,"",IF(A708="EXAMPLE","Example (skipped)",IF(OR(C708="",E708="",F708=""),"✖ Portal, User ID and Password are all needed",IF(AND(A708="",COUNTIF(Clients!$B$5:$B$1005,B708)=0),"Not on Clients — will match a portal client by name",IF(AND(C708="GST",D708&lt;&gt;"",COUNTIF(Clients!$AN$5:$AN$1005,UPPER(D708))=0,COUNTIF(Clients!$G$5:$G$1005,"*"&amp;UPPER(D708)&amp;"*")=0),"GSTIN not on Clients — will be checked in the portal","✔ OK")))))</f>
        <v/>
      </c>
    </row>
    <row r="709">
      <c r="A709" s="38" t="n"/>
      <c r="B709" s="39" t="n"/>
      <c r="C709" s="39" t="n"/>
      <c r="D709" s="38" t="n"/>
      <c r="E709" s="38" t="n"/>
      <c r="F709" s="38" t="n"/>
      <c r="G709" s="37">
        <f>IF(COUNTA(A709:F709)=0,"",IF(A709="EXAMPLE","Example (skipped)",IF(OR(C709="",E709="",F709=""),"✖ Portal, User ID and Password are all needed",IF(AND(A709="",COUNTIF(Clients!$B$5:$B$1005,B709)=0),"Not on Clients — will match a portal client by name",IF(AND(C709="GST",D709&lt;&gt;"",COUNTIF(Clients!$AN$5:$AN$1005,UPPER(D709))=0,COUNTIF(Clients!$G$5:$G$1005,"*"&amp;UPPER(D709)&amp;"*")=0),"GSTIN not on Clients — will be checked in the portal","✔ OK")))))</f>
        <v/>
      </c>
    </row>
    <row r="710">
      <c r="A710" s="38" t="n"/>
      <c r="B710" s="39" t="n"/>
      <c r="C710" s="39" t="n"/>
      <c r="D710" s="38" t="n"/>
      <c r="E710" s="38" t="n"/>
      <c r="F710" s="38" t="n"/>
      <c r="G710" s="37">
        <f>IF(COUNTA(A710:F710)=0,"",IF(A710="EXAMPLE","Example (skipped)",IF(OR(C710="",E710="",F710=""),"✖ Portal, User ID and Password are all needed",IF(AND(A710="",COUNTIF(Clients!$B$5:$B$1005,B710)=0),"Not on Clients — will match a portal client by name",IF(AND(C710="GST",D710&lt;&gt;"",COUNTIF(Clients!$AN$5:$AN$1005,UPPER(D710))=0,COUNTIF(Clients!$G$5:$G$1005,"*"&amp;UPPER(D710)&amp;"*")=0),"GSTIN not on Clients — will be checked in the portal","✔ OK")))))</f>
        <v/>
      </c>
    </row>
    <row r="711">
      <c r="A711" s="38" t="n"/>
      <c r="B711" s="39" t="n"/>
      <c r="C711" s="39" t="n"/>
      <c r="D711" s="38" t="n"/>
      <c r="E711" s="38" t="n"/>
      <c r="F711" s="38" t="n"/>
      <c r="G711" s="37">
        <f>IF(COUNTA(A711:F711)=0,"",IF(A711="EXAMPLE","Example (skipped)",IF(OR(C711="",E711="",F711=""),"✖ Portal, User ID and Password are all needed",IF(AND(A711="",COUNTIF(Clients!$B$5:$B$1005,B711)=0),"Not on Clients — will match a portal client by name",IF(AND(C711="GST",D711&lt;&gt;"",COUNTIF(Clients!$AN$5:$AN$1005,UPPER(D711))=0,COUNTIF(Clients!$G$5:$G$1005,"*"&amp;UPPER(D711)&amp;"*")=0),"GSTIN not on Clients — will be checked in the portal","✔ OK")))))</f>
        <v/>
      </c>
    </row>
    <row r="712">
      <c r="A712" s="38" t="n"/>
      <c r="B712" s="39" t="n"/>
      <c r="C712" s="39" t="n"/>
      <c r="D712" s="38" t="n"/>
      <c r="E712" s="38" t="n"/>
      <c r="F712" s="38" t="n"/>
      <c r="G712" s="37">
        <f>IF(COUNTA(A712:F712)=0,"",IF(A712="EXAMPLE","Example (skipped)",IF(OR(C712="",E712="",F712=""),"✖ Portal, User ID and Password are all needed",IF(AND(A712="",COUNTIF(Clients!$B$5:$B$1005,B712)=0),"Not on Clients — will match a portal client by name",IF(AND(C712="GST",D712&lt;&gt;"",COUNTIF(Clients!$AN$5:$AN$1005,UPPER(D712))=0,COUNTIF(Clients!$G$5:$G$1005,"*"&amp;UPPER(D712)&amp;"*")=0),"GSTIN not on Clients — will be checked in the portal","✔ OK")))))</f>
        <v/>
      </c>
    </row>
    <row r="713">
      <c r="A713" s="38" t="n"/>
      <c r="B713" s="39" t="n"/>
      <c r="C713" s="39" t="n"/>
      <c r="D713" s="38" t="n"/>
      <c r="E713" s="38" t="n"/>
      <c r="F713" s="38" t="n"/>
      <c r="G713" s="37">
        <f>IF(COUNTA(A713:F713)=0,"",IF(A713="EXAMPLE","Example (skipped)",IF(OR(C713="",E713="",F713=""),"✖ Portal, User ID and Password are all needed",IF(AND(A713="",COUNTIF(Clients!$B$5:$B$1005,B713)=0),"Not on Clients — will match a portal client by name",IF(AND(C713="GST",D713&lt;&gt;"",COUNTIF(Clients!$AN$5:$AN$1005,UPPER(D713))=0,COUNTIF(Clients!$G$5:$G$1005,"*"&amp;UPPER(D713)&amp;"*")=0),"GSTIN not on Clients — will be checked in the portal","✔ OK")))))</f>
        <v/>
      </c>
    </row>
    <row r="714">
      <c r="A714" s="38" t="n"/>
      <c r="B714" s="39" t="n"/>
      <c r="C714" s="39" t="n"/>
      <c r="D714" s="38" t="n"/>
      <c r="E714" s="38" t="n"/>
      <c r="F714" s="38" t="n"/>
      <c r="G714" s="37">
        <f>IF(COUNTA(A714:F714)=0,"",IF(A714="EXAMPLE","Example (skipped)",IF(OR(C714="",E714="",F714=""),"✖ Portal, User ID and Password are all needed",IF(AND(A714="",COUNTIF(Clients!$B$5:$B$1005,B714)=0),"Not on Clients — will match a portal client by name",IF(AND(C714="GST",D714&lt;&gt;"",COUNTIF(Clients!$AN$5:$AN$1005,UPPER(D714))=0,COUNTIF(Clients!$G$5:$G$1005,"*"&amp;UPPER(D714)&amp;"*")=0),"GSTIN not on Clients — will be checked in the portal","✔ OK")))))</f>
        <v/>
      </c>
    </row>
    <row r="715">
      <c r="A715" s="38" t="n"/>
      <c r="B715" s="39" t="n"/>
      <c r="C715" s="39" t="n"/>
      <c r="D715" s="38" t="n"/>
      <c r="E715" s="38" t="n"/>
      <c r="F715" s="38" t="n"/>
      <c r="G715" s="37">
        <f>IF(COUNTA(A715:F715)=0,"",IF(A715="EXAMPLE","Example (skipped)",IF(OR(C715="",E715="",F715=""),"✖ Portal, User ID and Password are all needed",IF(AND(A715="",COUNTIF(Clients!$B$5:$B$1005,B715)=0),"Not on Clients — will match a portal client by name",IF(AND(C715="GST",D715&lt;&gt;"",COUNTIF(Clients!$AN$5:$AN$1005,UPPER(D715))=0,COUNTIF(Clients!$G$5:$G$1005,"*"&amp;UPPER(D715)&amp;"*")=0),"GSTIN not on Clients — will be checked in the portal","✔ OK")))))</f>
        <v/>
      </c>
    </row>
    <row r="716">
      <c r="A716" s="38" t="n"/>
      <c r="B716" s="39" t="n"/>
      <c r="C716" s="39" t="n"/>
      <c r="D716" s="38" t="n"/>
      <c r="E716" s="38" t="n"/>
      <c r="F716" s="38" t="n"/>
      <c r="G716" s="37">
        <f>IF(COUNTA(A716:F716)=0,"",IF(A716="EXAMPLE","Example (skipped)",IF(OR(C716="",E716="",F716=""),"✖ Portal, User ID and Password are all needed",IF(AND(A716="",COUNTIF(Clients!$B$5:$B$1005,B716)=0),"Not on Clients — will match a portal client by name",IF(AND(C716="GST",D716&lt;&gt;"",COUNTIF(Clients!$AN$5:$AN$1005,UPPER(D716))=0,COUNTIF(Clients!$G$5:$G$1005,"*"&amp;UPPER(D716)&amp;"*")=0),"GSTIN not on Clients — will be checked in the portal","✔ OK")))))</f>
        <v/>
      </c>
    </row>
    <row r="717">
      <c r="A717" s="38" t="n"/>
      <c r="B717" s="39" t="n"/>
      <c r="C717" s="39" t="n"/>
      <c r="D717" s="38" t="n"/>
      <c r="E717" s="38" t="n"/>
      <c r="F717" s="38" t="n"/>
      <c r="G717" s="37">
        <f>IF(COUNTA(A717:F717)=0,"",IF(A717="EXAMPLE","Example (skipped)",IF(OR(C717="",E717="",F717=""),"✖ Portal, User ID and Password are all needed",IF(AND(A717="",COUNTIF(Clients!$B$5:$B$1005,B717)=0),"Not on Clients — will match a portal client by name",IF(AND(C717="GST",D717&lt;&gt;"",COUNTIF(Clients!$AN$5:$AN$1005,UPPER(D717))=0,COUNTIF(Clients!$G$5:$G$1005,"*"&amp;UPPER(D717)&amp;"*")=0),"GSTIN not on Clients — will be checked in the portal","✔ OK")))))</f>
        <v/>
      </c>
    </row>
    <row r="718">
      <c r="A718" s="38" t="n"/>
      <c r="B718" s="39" t="n"/>
      <c r="C718" s="39" t="n"/>
      <c r="D718" s="38" t="n"/>
      <c r="E718" s="38" t="n"/>
      <c r="F718" s="38" t="n"/>
      <c r="G718" s="37">
        <f>IF(COUNTA(A718:F718)=0,"",IF(A718="EXAMPLE","Example (skipped)",IF(OR(C718="",E718="",F718=""),"✖ Portal, User ID and Password are all needed",IF(AND(A718="",COUNTIF(Clients!$B$5:$B$1005,B718)=0),"Not on Clients — will match a portal client by name",IF(AND(C718="GST",D718&lt;&gt;"",COUNTIF(Clients!$AN$5:$AN$1005,UPPER(D718))=0,COUNTIF(Clients!$G$5:$G$1005,"*"&amp;UPPER(D718)&amp;"*")=0),"GSTIN not on Clients — will be checked in the portal","✔ OK")))))</f>
        <v/>
      </c>
    </row>
    <row r="719">
      <c r="A719" s="38" t="n"/>
      <c r="B719" s="39" t="n"/>
      <c r="C719" s="39" t="n"/>
      <c r="D719" s="38" t="n"/>
      <c r="E719" s="38" t="n"/>
      <c r="F719" s="38" t="n"/>
      <c r="G719" s="37">
        <f>IF(COUNTA(A719:F719)=0,"",IF(A719="EXAMPLE","Example (skipped)",IF(OR(C719="",E719="",F719=""),"✖ Portal, User ID and Password are all needed",IF(AND(A719="",COUNTIF(Clients!$B$5:$B$1005,B719)=0),"Not on Clients — will match a portal client by name",IF(AND(C719="GST",D719&lt;&gt;"",COUNTIF(Clients!$AN$5:$AN$1005,UPPER(D719))=0,COUNTIF(Clients!$G$5:$G$1005,"*"&amp;UPPER(D719)&amp;"*")=0),"GSTIN not on Clients — will be checked in the portal","✔ OK")))))</f>
        <v/>
      </c>
    </row>
    <row r="720">
      <c r="A720" s="38" t="n"/>
      <c r="B720" s="39" t="n"/>
      <c r="C720" s="39" t="n"/>
      <c r="D720" s="38" t="n"/>
      <c r="E720" s="38" t="n"/>
      <c r="F720" s="38" t="n"/>
      <c r="G720" s="37">
        <f>IF(COUNTA(A720:F720)=0,"",IF(A720="EXAMPLE","Example (skipped)",IF(OR(C720="",E720="",F720=""),"✖ Portal, User ID and Password are all needed",IF(AND(A720="",COUNTIF(Clients!$B$5:$B$1005,B720)=0),"Not on Clients — will match a portal client by name",IF(AND(C720="GST",D720&lt;&gt;"",COUNTIF(Clients!$AN$5:$AN$1005,UPPER(D720))=0,COUNTIF(Clients!$G$5:$G$1005,"*"&amp;UPPER(D720)&amp;"*")=0),"GSTIN not on Clients — will be checked in the portal","✔ OK")))))</f>
        <v/>
      </c>
    </row>
    <row r="721">
      <c r="A721" s="38" t="n"/>
      <c r="B721" s="39" t="n"/>
      <c r="C721" s="39" t="n"/>
      <c r="D721" s="38" t="n"/>
      <c r="E721" s="38" t="n"/>
      <c r="F721" s="38" t="n"/>
      <c r="G721" s="37">
        <f>IF(COUNTA(A721:F721)=0,"",IF(A721="EXAMPLE","Example (skipped)",IF(OR(C721="",E721="",F721=""),"✖ Portal, User ID and Password are all needed",IF(AND(A721="",COUNTIF(Clients!$B$5:$B$1005,B721)=0),"Not on Clients — will match a portal client by name",IF(AND(C721="GST",D721&lt;&gt;"",COUNTIF(Clients!$AN$5:$AN$1005,UPPER(D721))=0,COUNTIF(Clients!$G$5:$G$1005,"*"&amp;UPPER(D721)&amp;"*")=0),"GSTIN not on Clients — will be checked in the portal","✔ OK")))))</f>
        <v/>
      </c>
    </row>
    <row r="722">
      <c r="A722" s="38" t="n"/>
      <c r="B722" s="39" t="n"/>
      <c r="C722" s="39" t="n"/>
      <c r="D722" s="38" t="n"/>
      <c r="E722" s="38" t="n"/>
      <c r="F722" s="38" t="n"/>
      <c r="G722" s="37">
        <f>IF(COUNTA(A722:F722)=0,"",IF(A722="EXAMPLE","Example (skipped)",IF(OR(C722="",E722="",F722=""),"✖ Portal, User ID and Password are all needed",IF(AND(A722="",COUNTIF(Clients!$B$5:$B$1005,B722)=0),"Not on Clients — will match a portal client by name",IF(AND(C722="GST",D722&lt;&gt;"",COUNTIF(Clients!$AN$5:$AN$1005,UPPER(D722))=0,COUNTIF(Clients!$G$5:$G$1005,"*"&amp;UPPER(D722)&amp;"*")=0),"GSTIN not on Clients — will be checked in the portal","✔ OK")))))</f>
        <v/>
      </c>
    </row>
    <row r="723">
      <c r="A723" s="38" t="n"/>
      <c r="B723" s="39" t="n"/>
      <c r="C723" s="39" t="n"/>
      <c r="D723" s="38" t="n"/>
      <c r="E723" s="38" t="n"/>
      <c r="F723" s="38" t="n"/>
      <c r="G723" s="37">
        <f>IF(COUNTA(A723:F723)=0,"",IF(A723="EXAMPLE","Example (skipped)",IF(OR(C723="",E723="",F723=""),"✖ Portal, User ID and Password are all needed",IF(AND(A723="",COUNTIF(Clients!$B$5:$B$1005,B723)=0),"Not on Clients — will match a portal client by name",IF(AND(C723="GST",D723&lt;&gt;"",COUNTIF(Clients!$AN$5:$AN$1005,UPPER(D723))=0,COUNTIF(Clients!$G$5:$G$1005,"*"&amp;UPPER(D723)&amp;"*")=0),"GSTIN not on Clients — will be checked in the portal","✔ OK")))))</f>
        <v/>
      </c>
    </row>
    <row r="724">
      <c r="A724" s="38" t="n"/>
      <c r="B724" s="39" t="n"/>
      <c r="C724" s="39" t="n"/>
      <c r="D724" s="38" t="n"/>
      <c r="E724" s="38" t="n"/>
      <c r="F724" s="38" t="n"/>
      <c r="G724" s="37">
        <f>IF(COUNTA(A724:F724)=0,"",IF(A724="EXAMPLE","Example (skipped)",IF(OR(C724="",E724="",F724=""),"✖ Portal, User ID and Password are all needed",IF(AND(A724="",COUNTIF(Clients!$B$5:$B$1005,B724)=0),"Not on Clients — will match a portal client by name",IF(AND(C724="GST",D724&lt;&gt;"",COUNTIF(Clients!$AN$5:$AN$1005,UPPER(D724))=0,COUNTIF(Clients!$G$5:$G$1005,"*"&amp;UPPER(D724)&amp;"*")=0),"GSTIN not on Clients — will be checked in the portal","✔ OK")))))</f>
        <v/>
      </c>
    </row>
    <row r="725">
      <c r="A725" s="38" t="n"/>
      <c r="B725" s="39" t="n"/>
      <c r="C725" s="39" t="n"/>
      <c r="D725" s="38" t="n"/>
      <c r="E725" s="38" t="n"/>
      <c r="F725" s="38" t="n"/>
      <c r="G725" s="37">
        <f>IF(COUNTA(A725:F725)=0,"",IF(A725="EXAMPLE","Example (skipped)",IF(OR(C725="",E725="",F725=""),"✖ Portal, User ID and Password are all needed",IF(AND(A725="",COUNTIF(Clients!$B$5:$B$1005,B725)=0),"Not on Clients — will match a portal client by name",IF(AND(C725="GST",D725&lt;&gt;"",COUNTIF(Clients!$AN$5:$AN$1005,UPPER(D725))=0,COUNTIF(Clients!$G$5:$G$1005,"*"&amp;UPPER(D725)&amp;"*")=0),"GSTIN not on Clients — will be checked in the portal","✔ OK")))))</f>
        <v/>
      </c>
    </row>
    <row r="726">
      <c r="A726" s="38" t="n"/>
      <c r="B726" s="39" t="n"/>
      <c r="C726" s="39" t="n"/>
      <c r="D726" s="38" t="n"/>
      <c r="E726" s="38" t="n"/>
      <c r="F726" s="38" t="n"/>
      <c r="G726" s="37">
        <f>IF(COUNTA(A726:F726)=0,"",IF(A726="EXAMPLE","Example (skipped)",IF(OR(C726="",E726="",F726=""),"✖ Portal, User ID and Password are all needed",IF(AND(A726="",COUNTIF(Clients!$B$5:$B$1005,B726)=0),"Not on Clients — will match a portal client by name",IF(AND(C726="GST",D726&lt;&gt;"",COUNTIF(Clients!$AN$5:$AN$1005,UPPER(D726))=0,COUNTIF(Clients!$G$5:$G$1005,"*"&amp;UPPER(D726)&amp;"*")=0),"GSTIN not on Clients — will be checked in the portal","✔ OK")))))</f>
        <v/>
      </c>
    </row>
    <row r="727">
      <c r="A727" s="38" t="n"/>
      <c r="B727" s="39" t="n"/>
      <c r="C727" s="39" t="n"/>
      <c r="D727" s="38" t="n"/>
      <c r="E727" s="38" t="n"/>
      <c r="F727" s="38" t="n"/>
      <c r="G727" s="37">
        <f>IF(COUNTA(A727:F727)=0,"",IF(A727="EXAMPLE","Example (skipped)",IF(OR(C727="",E727="",F727=""),"✖ Portal, User ID and Password are all needed",IF(AND(A727="",COUNTIF(Clients!$B$5:$B$1005,B727)=0),"Not on Clients — will match a portal client by name",IF(AND(C727="GST",D727&lt;&gt;"",COUNTIF(Clients!$AN$5:$AN$1005,UPPER(D727))=0,COUNTIF(Clients!$G$5:$G$1005,"*"&amp;UPPER(D727)&amp;"*")=0),"GSTIN not on Clients — will be checked in the portal","✔ OK")))))</f>
        <v/>
      </c>
    </row>
    <row r="728">
      <c r="A728" s="38" t="n"/>
      <c r="B728" s="39" t="n"/>
      <c r="C728" s="39" t="n"/>
      <c r="D728" s="38" t="n"/>
      <c r="E728" s="38" t="n"/>
      <c r="F728" s="38" t="n"/>
      <c r="G728" s="37">
        <f>IF(COUNTA(A728:F728)=0,"",IF(A728="EXAMPLE","Example (skipped)",IF(OR(C728="",E728="",F728=""),"✖ Portal, User ID and Password are all needed",IF(AND(A728="",COUNTIF(Clients!$B$5:$B$1005,B728)=0),"Not on Clients — will match a portal client by name",IF(AND(C728="GST",D728&lt;&gt;"",COUNTIF(Clients!$AN$5:$AN$1005,UPPER(D728))=0,COUNTIF(Clients!$G$5:$G$1005,"*"&amp;UPPER(D728)&amp;"*")=0),"GSTIN not on Clients — will be checked in the portal","✔ OK")))))</f>
        <v/>
      </c>
    </row>
    <row r="729">
      <c r="A729" s="38" t="n"/>
      <c r="B729" s="39" t="n"/>
      <c r="C729" s="39" t="n"/>
      <c r="D729" s="38" t="n"/>
      <c r="E729" s="38" t="n"/>
      <c r="F729" s="38" t="n"/>
      <c r="G729" s="37">
        <f>IF(COUNTA(A729:F729)=0,"",IF(A729="EXAMPLE","Example (skipped)",IF(OR(C729="",E729="",F729=""),"✖ Portal, User ID and Password are all needed",IF(AND(A729="",COUNTIF(Clients!$B$5:$B$1005,B729)=0),"Not on Clients — will match a portal client by name",IF(AND(C729="GST",D729&lt;&gt;"",COUNTIF(Clients!$AN$5:$AN$1005,UPPER(D729))=0,COUNTIF(Clients!$G$5:$G$1005,"*"&amp;UPPER(D729)&amp;"*")=0),"GSTIN not on Clients — will be checked in the portal","✔ OK")))))</f>
        <v/>
      </c>
    </row>
    <row r="730">
      <c r="A730" s="38" t="n"/>
      <c r="B730" s="39" t="n"/>
      <c r="C730" s="39" t="n"/>
      <c r="D730" s="38" t="n"/>
      <c r="E730" s="38" t="n"/>
      <c r="F730" s="38" t="n"/>
      <c r="G730" s="37">
        <f>IF(COUNTA(A730:F730)=0,"",IF(A730="EXAMPLE","Example (skipped)",IF(OR(C730="",E730="",F730=""),"✖ Portal, User ID and Password are all needed",IF(AND(A730="",COUNTIF(Clients!$B$5:$B$1005,B730)=0),"Not on Clients — will match a portal client by name",IF(AND(C730="GST",D730&lt;&gt;"",COUNTIF(Clients!$AN$5:$AN$1005,UPPER(D730))=0,COUNTIF(Clients!$G$5:$G$1005,"*"&amp;UPPER(D730)&amp;"*")=0),"GSTIN not on Clients — will be checked in the portal","✔ OK")))))</f>
        <v/>
      </c>
    </row>
    <row r="731">
      <c r="A731" s="38" t="n"/>
      <c r="B731" s="39" t="n"/>
      <c r="C731" s="39" t="n"/>
      <c r="D731" s="38" t="n"/>
      <c r="E731" s="38" t="n"/>
      <c r="F731" s="38" t="n"/>
      <c r="G731" s="37">
        <f>IF(COUNTA(A731:F731)=0,"",IF(A731="EXAMPLE","Example (skipped)",IF(OR(C731="",E731="",F731=""),"✖ Portal, User ID and Password are all needed",IF(AND(A731="",COUNTIF(Clients!$B$5:$B$1005,B731)=0),"Not on Clients — will match a portal client by name",IF(AND(C731="GST",D731&lt;&gt;"",COUNTIF(Clients!$AN$5:$AN$1005,UPPER(D731))=0,COUNTIF(Clients!$G$5:$G$1005,"*"&amp;UPPER(D731)&amp;"*")=0),"GSTIN not on Clients — will be checked in the portal","✔ OK")))))</f>
        <v/>
      </c>
    </row>
    <row r="732">
      <c r="A732" s="38" t="n"/>
      <c r="B732" s="39" t="n"/>
      <c r="C732" s="39" t="n"/>
      <c r="D732" s="38" t="n"/>
      <c r="E732" s="38" t="n"/>
      <c r="F732" s="38" t="n"/>
      <c r="G732" s="37">
        <f>IF(COUNTA(A732:F732)=0,"",IF(A732="EXAMPLE","Example (skipped)",IF(OR(C732="",E732="",F732=""),"✖ Portal, User ID and Password are all needed",IF(AND(A732="",COUNTIF(Clients!$B$5:$B$1005,B732)=0),"Not on Clients — will match a portal client by name",IF(AND(C732="GST",D732&lt;&gt;"",COUNTIF(Clients!$AN$5:$AN$1005,UPPER(D732))=0,COUNTIF(Clients!$G$5:$G$1005,"*"&amp;UPPER(D732)&amp;"*")=0),"GSTIN not on Clients — will be checked in the portal","✔ OK")))))</f>
        <v/>
      </c>
    </row>
    <row r="733">
      <c r="A733" s="38" t="n"/>
      <c r="B733" s="39" t="n"/>
      <c r="C733" s="39" t="n"/>
      <c r="D733" s="38" t="n"/>
      <c r="E733" s="38" t="n"/>
      <c r="F733" s="38" t="n"/>
      <c r="G733" s="37">
        <f>IF(COUNTA(A733:F733)=0,"",IF(A733="EXAMPLE","Example (skipped)",IF(OR(C733="",E733="",F733=""),"✖ Portal, User ID and Password are all needed",IF(AND(A733="",COUNTIF(Clients!$B$5:$B$1005,B733)=0),"Not on Clients — will match a portal client by name",IF(AND(C733="GST",D733&lt;&gt;"",COUNTIF(Clients!$AN$5:$AN$1005,UPPER(D733))=0,COUNTIF(Clients!$G$5:$G$1005,"*"&amp;UPPER(D733)&amp;"*")=0),"GSTIN not on Clients — will be checked in the portal","✔ OK")))))</f>
        <v/>
      </c>
    </row>
    <row r="734">
      <c r="A734" s="38" t="n"/>
      <c r="B734" s="39" t="n"/>
      <c r="C734" s="39" t="n"/>
      <c r="D734" s="38" t="n"/>
      <c r="E734" s="38" t="n"/>
      <c r="F734" s="38" t="n"/>
      <c r="G734" s="37">
        <f>IF(COUNTA(A734:F734)=0,"",IF(A734="EXAMPLE","Example (skipped)",IF(OR(C734="",E734="",F734=""),"✖ Portal, User ID and Password are all needed",IF(AND(A734="",COUNTIF(Clients!$B$5:$B$1005,B734)=0),"Not on Clients — will match a portal client by name",IF(AND(C734="GST",D734&lt;&gt;"",COUNTIF(Clients!$AN$5:$AN$1005,UPPER(D734))=0,COUNTIF(Clients!$G$5:$G$1005,"*"&amp;UPPER(D734)&amp;"*")=0),"GSTIN not on Clients — will be checked in the portal","✔ OK")))))</f>
        <v/>
      </c>
    </row>
    <row r="735">
      <c r="A735" s="38" t="n"/>
      <c r="B735" s="39" t="n"/>
      <c r="C735" s="39" t="n"/>
      <c r="D735" s="38" t="n"/>
      <c r="E735" s="38" t="n"/>
      <c r="F735" s="38" t="n"/>
      <c r="G735" s="37">
        <f>IF(COUNTA(A735:F735)=0,"",IF(A735="EXAMPLE","Example (skipped)",IF(OR(C735="",E735="",F735=""),"✖ Portal, User ID and Password are all needed",IF(AND(A735="",COUNTIF(Clients!$B$5:$B$1005,B735)=0),"Not on Clients — will match a portal client by name",IF(AND(C735="GST",D735&lt;&gt;"",COUNTIF(Clients!$AN$5:$AN$1005,UPPER(D735))=0,COUNTIF(Clients!$G$5:$G$1005,"*"&amp;UPPER(D735)&amp;"*")=0),"GSTIN not on Clients — will be checked in the portal","✔ OK")))))</f>
        <v/>
      </c>
    </row>
    <row r="736">
      <c r="A736" s="38" t="n"/>
      <c r="B736" s="39" t="n"/>
      <c r="C736" s="39" t="n"/>
      <c r="D736" s="38" t="n"/>
      <c r="E736" s="38" t="n"/>
      <c r="F736" s="38" t="n"/>
      <c r="G736" s="37">
        <f>IF(COUNTA(A736:F736)=0,"",IF(A736="EXAMPLE","Example (skipped)",IF(OR(C736="",E736="",F736=""),"✖ Portal, User ID and Password are all needed",IF(AND(A736="",COUNTIF(Clients!$B$5:$B$1005,B736)=0),"Not on Clients — will match a portal client by name",IF(AND(C736="GST",D736&lt;&gt;"",COUNTIF(Clients!$AN$5:$AN$1005,UPPER(D736))=0,COUNTIF(Clients!$G$5:$G$1005,"*"&amp;UPPER(D736)&amp;"*")=0),"GSTIN not on Clients — will be checked in the portal","✔ OK")))))</f>
        <v/>
      </c>
    </row>
    <row r="737">
      <c r="A737" s="38" t="n"/>
      <c r="B737" s="39" t="n"/>
      <c r="C737" s="39" t="n"/>
      <c r="D737" s="38" t="n"/>
      <c r="E737" s="38" t="n"/>
      <c r="F737" s="38" t="n"/>
      <c r="G737" s="37">
        <f>IF(COUNTA(A737:F737)=0,"",IF(A737="EXAMPLE","Example (skipped)",IF(OR(C737="",E737="",F737=""),"✖ Portal, User ID and Password are all needed",IF(AND(A737="",COUNTIF(Clients!$B$5:$B$1005,B737)=0),"Not on Clients — will match a portal client by name",IF(AND(C737="GST",D737&lt;&gt;"",COUNTIF(Clients!$AN$5:$AN$1005,UPPER(D737))=0,COUNTIF(Clients!$G$5:$G$1005,"*"&amp;UPPER(D737)&amp;"*")=0),"GSTIN not on Clients — will be checked in the portal","✔ OK")))))</f>
        <v/>
      </c>
    </row>
    <row r="738">
      <c r="A738" s="38" t="n"/>
      <c r="B738" s="39" t="n"/>
      <c r="C738" s="39" t="n"/>
      <c r="D738" s="38" t="n"/>
      <c r="E738" s="38" t="n"/>
      <c r="F738" s="38" t="n"/>
      <c r="G738" s="37">
        <f>IF(COUNTA(A738:F738)=0,"",IF(A738="EXAMPLE","Example (skipped)",IF(OR(C738="",E738="",F738=""),"✖ Portal, User ID and Password are all needed",IF(AND(A738="",COUNTIF(Clients!$B$5:$B$1005,B738)=0),"Not on Clients — will match a portal client by name",IF(AND(C738="GST",D738&lt;&gt;"",COUNTIF(Clients!$AN$5:$AN$1005,UPPER(D738))=0,COUNTIF(Clients!$G$5:$G$1005,"*"&amp;UPPER(D738)&amp;"*")=0),"GSTIN not on Clients — will be checked in the portal","✔ OK")))))</f>
        <v/>
      </c>
    </row>
    <row r="739">
      <c r="A739" s="38" t="n"/>
      <c r="B739" s="39" t="n"/>
      <c r="C739" s="39" t="n"/>
      <c r="D739" s="38" t="n"/>
      <c r="E739" s="38" t="n"/>
      <c r="F739" s="38" t="n"/>
      <c r="G739" s="37">
        <f>IF(COUNTA(A739:F739)=0,"",IF(A739="EXAMPLE","Example (skipped)",IF(OR(C739="",E739="",F739=""),"✖ Portal, User ID and Password are all needed",IF(AND(A739="",COUNTIF(Clients!$B$5:$B$1005,B739)=0),"Not on Clients — will match a portal client by name",IF(AND(C739="GST",D739&lt;&gt;"",COUNTIF(Clients!$AN$5:$AN$1005,UPPER(D739))=0,COUNTIF(Clients!$G$5:$G$1005,"*"&amp;UPPER(D739)&amp;"*")=0),"GSTIN not on Clients — will be checked in the portal","✔ OK")))))</f>
        <v/>
      </c>
    </row>
    <row r="740">
      <c r="A740" s="38" t="n"/>
      <c r="B740" s="39" t="n"/>
      <c r="C740" s="39" t="n"/>
      <c r="D740" s="38" t="n"/>
      <c r="E740" s="38" t="n"/>
      <c r="F740" s="38" t="n"/>
      <c r="G740" s="37">
        <f>IF(COUNTA(A740:F740)=0,"",IF(A740="EXAMPLE","Example (skipped)",IF(OR(C740="",E740="",F740=""),"✖ Portal, User ID and Password are all needed",IF(AND(A740="",COUNTIF(Clients!$B$5:$B$1005,B740)=0),"Not on Clients — will match a portal client by name",IF(AND(C740="GST",D740&lt;&gt;"",COUNTIF(Clients!$AN$5:$AN$1005,UPPER(D740))=0,COUNTIF(Clients!$G$5:$G$1005,"*"&amp;UPPER(D740)&amp;"*")=0),"GSTIN not on Clients — will be checked in the portal","✔ OK")))))</f>
        <v/>
      </c>
    </row>
    <row r="741">
      <c r="A741" s="38" t="n"/>
      <c r="B741" s="39" t="n"/>
      <c r="C741" s="39" t="n"/>
      <c r="D741" s="38" t="n"/>
      <c r="E741" s="38" t="n"/>
      <c r="F741" s="38" t="n"/>
      <c r="G741" s="37">
        <f>IF(COUNTA(A741:F741)=0,"",IF(A741="EXAMPLE","Example (skipped)",IF(OR(C741="",E741="",F741=""),"✖ Portal, User ID and Password are all needed",IF(AND(A741="",COUNTIF(Clients!$B$5:$B$1005,B741)=0),"Not on Clients — will match a portal client by name",IF(AND(C741="GST",D741&lt;&gt;"",COUNTIF(Clients!$AN$5:$AN$1005,UPPER(D741))=0,COUNTIF(Clients!$G$5:$G$1005,"*"&amp;UPPER(D741)&amp;"*")=0),"GSTIN not on Clients — will be checked in the portal","✔ OK")))))</f>
        <v/>
      </c>
    </row>
    <row r="742">
      <c r="A742" s="38" t="n"/>
      <c r="B742" s="39" t="n"/>
      <c r="C742" s="39" t="n"/>
      <c r="D742" s="38" t="n"/>
      <c r="E742" s="38" t="n"/>
      <c r="F742" s="38" t="n"/>
      <c r="G742" s="37">
        <f>IF(COUNTA(A742:F742)=0,"",IF(A742="EXAMPLE","Example (skipped)",IF(OR(C742="",E742="",F742=""),"✖ Portal, User ID and Password are all needed",IF(AND(A742="",COUNTIF(Clients!$B$5:$B$1005,B742)=0),"Not on Clients — will match a portal client by name",IF(AND(C742="GST",D742&lt;&gt;"",COUNTIF(Clients!$AN$5:$AN$1005,UPPER(D742))=0,COUNTIF(Clients!$G$5:$G$1005,"*"&amp;UPPER(D742)&amp;"*")=0),"GSTIN not on Clients — will be checked in the portal","✔ OK")))))</f>
        <v/>
      </c>
    </row>
    <row r="743">
      <c r="A743" s="38" t="n"/>
      <c r="B743" s="39" t="n"/>
      <c r="C743" s="39" t="n"/>
      <c r="D743" s="38" t="n"/>
      <c r="E743" s="38" t="n"/>
      <c r="F743" s="38" t="n"/>
      <c r="G743" s="37">
        <f>IF(COUNTA(A743:F743)=0,"",IF(A743="EXAMPLE","Example (skipped)",IF(OR(C743="",E743="",F743=""),"✖ Portal, User ID and Password are all needed",IF(AND(A743="",COUNTIF(Clients!$B$5:$B$1005,B743)=0),"Not on Clients — will match a portal client by name",IF(AND(C743="GST",D743&lt;&gt;"",COUNTIF(Clients!$AN$5:$AN$1005,UPPER(D743))=0,COUNTIF(Clients!$G$5:$G$1005,"*"&amp;UPPER(D743)&amp;"*")=0),"GSTIN not on Clients — will be checked in the portal","✔ OK")))))</f>
        <v/>
      </c>
    </row>
    <row r="744">
      <c r="A744" s="38" t="n"/>
      <c r="B744" s="39" t="n"/>
      <c r="C744" s="39" t="n"/>
      <c r="D744" s="38" t="n"/>
      <c r="E744" s="38" t="n"/>
      <c r="F744" s="38" t="n"/>
      <c r="G744" s="37">
        <f>IF(COUNTA(A744:F744)=0,"",IF(A744="EXAMPLE","Example (skipped)",IF(OR(C744="",E744="",F744=""),"✖ Portal, User ID and Password are all needed",IF(AND(A744="",COUNTIF(Clients!$B$5:$B$1005,B744)=0),"Not on Clients — will match a portal client by name",IF(AND(C744="GST",D744&lt;&gt;"",COUNTIF(Clients!$AN$5:$AN$1005,UPPER(D744))=0,COUNTIF(Clients!$G$5:$G$1005,"*"&amp;UPPER(D744)&amp;"*")=0),"GSTIN not on Clients — will be checked in the portal","✔ OK")))))</f>
        <v/>
      </c>
    </row>
    <row r="745">
      <c r="A745" s="38" t="n"/>
      <c r="B745" s="39" t="n"/>
      <c r="C745" s="39" t="n"/>
      <c r="D745" s="38" t="n"/>
      <c r="E745" s="38" t="n"/>
      <c r="F745" s="38" t="n"/>
      <c r="G745" s="37">
        <f>IF(COUNTA(A745:F745)=0,"",IF(A745="EXAMPLE","Example (skipped)",IF(OR(C745="",E745="",F745=""),"✖ Portal, User ID and Password are all needed",IF(AND(A745="",COUNTIF(Clients!$B$5:$B$1005,B745)=0),"Not on Clients — will match a portal client by name",IF(AND(C745="GST",D745&lt;&gt;"",COUNTIF(Clients!$AN$5:$AN$1005,UPPER(D745))=0,COUNTIF(Clients!$G$5:$G$1005,"*"&amp;UPPER(D745)&amp;"*")=0),"GSTIN not on Clients — will be checked in the portal","✔ OK")))))</f>
        <v/>
      </c>
    </row>
    <row r="746">
      <c r="A746" s="38" t="n"/>
      <c r="B746" s="39" t="n"/>
      <c r="C746" s="39" t="n"/>
      <c r="D746" s="38" t="n"/>
      <c r="E746" s="38" t="n"/>
      <c r="F746" s="38" t="n"/>
      <c r="G746" s="37">
        <f>IF(COUNTA(A746:F746)=0,"",IF(A746="EXAMPLE","Example (skipped)",IF(OR(C746="",E746="",F746=""),"✖ Portal, User ID and Password are all needed",IF(AND(A746="",COUNTIF(Clients!$B$5:$B$1005,B746)=0),"Not on Clients — will match a portal client by name",IF(AND(C746="GST",D746&lt;&gt;"",COUNTIF(Clients!$AN$5:$AN$1005,UPPER(D746))=0,COUNTIF(Clients!$G$5:$G$1005,"*"&amp;UPPER(D746)&amp;"*")=0),"GSTIN not on Clients — will be checked in the portal","✔ OK")))))</f>
        <v/>
      </c>
    </row>
    <row r="747">
      <c r="A747" s="38" t="n"/>
      <c r="B747" s="39" t="n"/>
      <c r="C747" s="39" t="n"/>
      <c r="D747" s="38" t="n"/>
      <c r="E747" s="38" t="n"/>
      <c r="F747" s="38" t="n"/>
      <c r="G747" s="37">
        <f>IF(COUNTA(A747:F747)=0,"",IF(A747="EXAMPLE","Example (skipped)",IF(OR(C747="",E747="",F747=""),"✖ Portal, User ID and Password are all needed",IF(AND(A747="",COUNTIF(Clients!$B$5:$B$1005,B747)=0),"Not on Clients — will match a portal client by name",IF(AND(C747="GST",D747&lt;&gt;"",COUNTIF(Clients!$AN$5:$AN$1005,UPPER(D747))=0,COUNTIF(Clients!$G$5:$G$1005,"*"&amp;UPPER(D747)&amp;"*")=0),"GSTIN not on Clients — will be checked in the portal","✔ OK")))))</f>
        <v/>
      </c>
    </row>
    <row r="748">
      <c r="A748" s="38" t="n"/>
      <c r="B748" s="39" t="n"/>
      <c r="C748" s="39" t="n"/>
      <c r="D748" s="38" t="n"/>
      <c r="E748" s="38" t="n"/>
      <c r="F748" s="38" t="n"/>
      <c r="G748" s="37">
        <f>IF(COUNTA(A748:F748)=0,"",IF(A748="EXAMPLE","Example (skipped)",IF(OR(C748="",E748="",F748=""),"✖ Portal, User ID and Password are all needed",IF(AND(A748="",COUNTIF(Clients!$B$5:$B$1005,B748)=0),"Not on Clients — will match a portal client by name",IF(AND(C748="GST",D748&lt;&gt;"",COUNTIF(Clients!$AN$5:$AN$1005,UPPER(D748))=0,COUNTIF(Clients!$G$5:$G$1005,"*"&amp;UPPER(D748)&amp;"*")=0),"GSTIN not on Clients — will be checked in the portal","✔ OK")))))</f>
        <v/>
      </c>
    </row>
    <row r="749">
      <c r="A749" s="38" t="n"/>
      <c r="B749" s="39" t="n"/>
      <c r="C749" s="39" t="n"/>
      <c r="D749" s="38" t="n"/>
      <c r="E749" s="38" t="n"/>
      <c r="F749" s="38" t="n"/>
      <c r="G749" s="37">
        <f>IF(COUNTA(A749:F749)=0,"",IF(A749="EXAMPLE","Example (skipped)",IF(OR(C749="",E749="",F749=""),"✖ Portal, User ID and Password are all needed",IF(AND(A749="",COUNTIF(Clients!$B$5:$B$1005,B749)=0),"Not on Clients — will match a portal client by name",IF(AND(C749="GST",D749&lt;&gt;"",COUNTIF(Clients!$AN$5:$AN$1005,UPPER(D749))=0,COUNTIF(Clients!$G$5:$G$1005,"*"&amp;UPPER(D749)&amp;"*")=0),"GSTIN not on Clients — will be checked in the portal","✔ OK")))))</f>
        <v/>
      </c>
    </row>
    <row r="750">
      <c r="A750" s="38" t="n"/>
      <c r="B750" s="39" t="n"/>
      <c r="C750" s="39" t="n"/>
      <c r="D750" s="38" t="n"/>
      <c r="E750" s="38" t="n"/>
      <c r="F750" s="38" t="n"/>
      <c r="G750" s="37">
        <f>IF(COUNTA(A750:F750)=0,"",IF(A750="EXAMPLE","Example (skipped)",IF(OR(C750="",E750="",F750=""),"✖ Portal, User ID and Password are all needed",IF(AND(A750="",COUNTIF(Clients!$B$5:$B$1005,B750)=0),"Not on Clients — will match a portal client by name",IF(AND(C750="GST",D750&lt;&gt;"",COUNTIF(Clients!$AN$5:$AN$1005,UPPER(D750))=0,COUNTIF(Clients!$G$5:$G$1005,"*"&amp;UPPER(D750)&amp;"*")=0),"GSTIN not on Clients — will be checked in the portal","✔ OK")))))</f>
        <v/>
      </c>
    </row>
    <row r="751">
      <c r="A751" s="38" t="n"/>
      <c r="B751" s="39" t="n"/>
      <c r="C751" s="39" t="n"/>
      <c r="D751" s="38" t="n"/>
      <c r="E751" s="38" t="n"/>
      <c r="F751" s="38" t="n"/>
      <c r="G751" s="37">
        <f>IF(COUNTA(A751:F751)=0,"",IF(A751="EXAMPLE","Example (skipped)",IF(OR(C751="",E751="",F751=""),"✖ Portal, User ID and Password are all needed",IF(AND(A751="",COUNTIF(Clients!$B$5:$B$1005,B751)=0),"Not on Clients — will match a portal client by name",IF(AND(C751="GST",D751&lt;&gt;"",COUNTIF(Clients!$AN$5:$AN$1005,UPPER(D751))=0,COUNTIF(Clients!$G$5:$G$1005,"*"&amp;UPPER(D751)&amp;"*")=0),"GSTIN not on Clients — will be checked in the portal","✔ OK")))))</f>
        <v/>
      </c>
    </row>
    <row r="752">
      <c r="A752" s="38" t="n"/>
      <c r="B752" s="39" t="n"/>
      <c r="C752" s="39" t="n"/>
      <c r="D752" s="38" t="n"/>
      <c r="E752" s="38" t="n"/>
      <c r="F752" s="38" t="n"/>
      <c r="G752" s="37">
        <f>IF(COUNTA(A752:F752)=0,"",IF(A752="EXAMPLE","Example (skipped)",IF(OR(C752="",E752="",F752=""),"✖ Portal, User ID and Password are all needed",IF(AND(A752="",COUNTIF(Clients!$B$5:$B$1005,B752)=0),"Not on Clients — will match a portal client by name",IF(AND(C752="GST",D752&lt;&gt;"",COUNTIF(Clients!$AN$5:$AN$1005,UPPER(D752))=0,COUNTIF(Clients!$G$5:$G$1005,"*"&amp;UPPER(D752)&amp;"*")=0),"GSTIN not on Clients — will be checked in the portal","✔ OK")))))</f>
        <v/>
      </c>
    </row>
    <row r="753">
      <c r="A753" s="38" t="n"/>
      <c r="B753" s="39" t="n"/>
      <c r="C753" s="39" t="n"/>
      <c r="D753" s="38" t="n"/>
      <c r="E753" s="38" t="n"/>
      <c r="F753" s="38" t="n"/>
      <c r="G753" s="37">
        <f>IF(COUNTA(A753:F753)=0,"",IF(A753="EXAMPLE","Example (skipped)",IF(OR(C753="",E753="",F753=""),"✖ Portal, User ID and Password are all needed",IF(AND(A753="",COUNTIF(Clients!$B$5:$B$1005,B753)=0),"Not on Clients — will match a portal client by name",IF(AND(C753="GST",D753&lt;&gt;"",COUNTIF(Clients!$AN$5:$AN$1005,UPPER(D753))=0,COUNTIF(Clients!$G$5:$G$1005,"*"&amp;UPPER(D753)&amp;"*")=0),"GSTIN not on Clients — will be checked in the portal","✔ OK")))))</f>
        <v/>
      </c>
    </row>
    <row r="754">
      <c r="A754" s="38" t="n"/>
      <c r="B754" s="39" t="n"/>
      <c r="C754" s="39" t="n"/>
      <c r="D754" s="38" t="n"/>
      <c r="E754" s="38" t="n"/>
      <c r="F754" s="38" t="n"/>
      <c r="G754" s="37">
        <f>IF(COUNTA(A754:F754)=0,"",IF(A754="EXAMPLE","Example (skipped)",IF(OR(C754="",E754="",F754=""),"✖ Portal, User ID and Password are all needed",IF(AND(A754="",COUNTIF(Clients!$B$5:$B$1005,B754)=0),"Not on Clients — will match a portal client by name",IF(AND(C754="GST",D754&lt;&gt;"",COUNTIF(Clients!$AN$5:$AN$1005,UPPER(D754))=0,COUNTIF(Clients!$G$5:$G$1005,"*"&amp;UPPER(D754)&amp;"*")=0),"GSTIN not on Clients — will be checked in the portal","✔ OK")))))</f>
        <v/>
      </c>
    </row>
    <row r="755">
      <c r="A755" s="38" t="n"/>
      <c r="B755" s="39" t="n"/>
      <c r="C755" s="39" t="n"/>
      <c r="D755" s="38" t="n"/>
      <c r="E755" s="38" t="n"/>
      <c r="F755" s="38" t="n"/>
      <c r="G755" s="37">
        <f>IF(COUNTA(A755:F755)=0,"",IF(A755="EXAMPLE","Example (skipped)",IF(OR(C755="",E755="",F755=""),"✖ Portal, User ID and Password are all needed",IF(AND(A755="",COUNTIF(Clients!$B$5:$B$1005,B755)=0),"Not on Clients — will match a portal client by name",IF(AND(C755="GST",D755&lt;&gt;"",COUNTIF(Clients!$AN$5:$AN$1005,UPPER(D755))=0,COUNTIF(Clients!$G$5:$G$1005,"*"&amp;UPPER(D755)&amp;"*")=0),"GSTIN not on Clients — will be checked in the portal","✔ OK")))))</f>
        <v/>
      </c>
    </row>
    <row r="756">
      <c r="A756" s="38" t="n"/>
      <c r="B756" s="39" t="n"/>
      <c r="C756" s="39" t="n"/>
      <c r="D756" s="38" t="n"/>
      <c r="E756" s="38" t="n"/>
      <c r="F756" s="38" t="n"/>
      <c r="G756" s="37">
        <f>IF(COUNTA(A756:F756)=0,"",IF(A756="EXAMPLE","Example (skipped)",IF(OR(C756="",E756="",F756=""),"✖ Portal, User ID and Password are all needed",IF(AND(A756="",COUNTIF(Clients!$B$5:$B$1005,B756)=0),"Not on Clients — will match a portal client by name",IF(AND(C756="GST",D756&lt;&gt;"",COUNTIF(Clients!$AN$5:$AN$1005,UPPER(D756))=0,COUNTIF(Clients!$G$5:$G$1005,"*"&amp;UPPER(D756)&amp;"*")=0),"GSTIN not on Clients — will be checked in the portal","✔ OK")))))</f>
        <v/>
      </c>
    </row>
    <row r="757">
      <c r="A757" s="38" t="n"/>
      <c r="B757" s="39" t="n"/>
      <c r="C757" s="39" t="n"/>
      <c r="D757" s="38" t="n"/>
      <c r="E757" s="38" t="n"/>
      <c r="F757" s="38" t="n"/>
      <c r="G757" s="37">
        <f>IF(COUNTA(A757:F757)=0,"",IF(A757="EXAMPLE","Example (skipped)",IF(OR(C757="",E757="",F757=""),"✖ Portal, User ID and Password are all needed",IF(AND(A757="",COUNTIF(Clients!$B$5:$B$1005,B757)=0),"Not on Clients — will match a portal client by name",IF(AND(C757="GST",D757&lt;&gt;"",COUNTIF(Clients!$AN$5:$AN$1005,UPPER(D757))=0,COUNTIF(Clients!$G$5:$G$1005,"*"&amp;UPPER(D757)&amp;"*")=0),"GSTIN not on Clients — will be checked in the portal","✔ OK")))))</f>
        <v/>
      </c>
    </row>
    <row r="758">
      <c r="A758" s="38" t="n"/>
      <c r="B758" s="39" t="n"/>
      <c r="C758" s="39" t="n"/>
      <c r="D758" s="38" t="n"/>
      <c r="E758" s="38" t="n"/>
      <c r="F758" s="38" t="n"/>
      <c r="G758" s="37">
        <f>IF(COUNTA(A758:F758)=0,"",IF(A758="EXAMPLE","Example (skipped)",IF(OR(C758="",E758="",F758=""),"✖ Portal, User ID and Password are all needed",IF(AND(A758="",COUNTIF(Clients!$B$5:$B$1005,B758)=0),"Not on Clients — will match a portal client by name",IF(AND(C758="GST",D758&lt;&gt;"",COUNTIF(Clients!$AN$5:$AN$1005,UPPER(D758))=0,COUNTIF(Clients!$G$5:$G$1005,"*"&amp;UPPER(D758)&amp;"*")=0),"GSTIN not on Clients — will be checked in the portal","✔ OK")))))</f>
        <v/>
      </c>
    </row>
    <row r="759">
      <c r="A759" s="38" t="n"/>
      <c r="B759" s="39" t="n"/>
      <c r="C759" s="39" t="n"/>
      <c r="D759" s="38" t="n"/>
      <c r="E759" s="38" t="n"/>
      <c r="F759" s="38" t="n"/>
      <c r="G759" s="37">
        <f>IF(COUNTA(A759:F759)=0,"",IF(A759="EXAMPLE","Example (skipped)",IF(OR(C759="",E759="",F759=""),"✖ Portal, User ID and Password are all needed",IF(AND(A759="",COUNTIF(Clients!$B$5:$B$1005,B759)=0),"Not on Clients — will match a portal client by name",IF(AND(C759="GST",D759&lt;&gt;"",COUNTIF(Clients!$AN$5:$AN$1005,UPPER(D759))=0,COUNTIF(Clients!$G$5:$G$1005,"*"&amp;UPPER(D759)&amp;"*")=0),"GSTIN not on Clients — will be checked in the portal","✔ OK")))))</f>
        <v/>
      </c>
    </row>
    <row r="760">
      <c r="A760" s="38" t="n"/>
      <c r="B760" s="39" t="n"/>
      <c r="C760" s="39" t="n"/>
      <c r="D760" s="38" t="n"/>
      <c r="E760" s="38" t="n"/>
      <c r="F760" s="38" t="n"/>
      <c r="G760" s="37">
        <f>IF(COUNTA(A760:F760)=0,"",IF(A760="EXAMPLE","Example (skipped)",IF(OR(C760="",E760="",F760=""),"✖ Portal, User ID and Password are all needed",IF(AND(A760="",COUNTIF(Clients!$B$5:$B$1005,B760)=0),"Not on Clients — will match a portal client by name",IF(AND(C760="GST",D760&lt;&gt;"",COUNTIF(Clients!$AN$5:$AN$1005,UPPER(D760))=0,COUNTIF(Clients!$G$5:$G$1005,"*"&amp;UPPER(D760)&amp;"*")=0),"GSTIN not on Clients — will be checked in the portal","✔ OK")))))</f>
        <v/>
      </c>
    </row>
    <row r="761">
      <c r="A761" s="38" t="n"/>
      <c r="B761" s="39" t="n"/>
      <c r="C761" s="39" t="n"/>
      <c r="D761" s="38" t="n"/>
      <c r="E761" s="38" t="n"/>
      <c r="F761" s="38" t="n"/>
      <c r="G761" s="37">
        <f>IF(COUNTA(A761:F761)=0,"",IF(A761="EXAMPLE","Example (skipped)",IF(OR(C761="",E761="",F761=""),"✖ Portal, User ID and Password are all needed",IF(AND(A761="",COUNTIF(Clients!$B$5:$B$1005,B761)=0),"Not on Clients — will match a portal client by name",IF(AND(C761="GST",D761&lt;&gt;"",COUNTIF(Clients!$AN$5:$AN$1005,UPPER(D761))=0,COUNTIF(Clients!$G$5:$G$1005,"*"&amp;UPPER(D761)&amp;"*")=0),"GSTIN not on Clients — will be checked in the portal","✔ OK")))))</f>
        <v/>
      </c>
    </row>
    <row r="762">
      <c r="A762" s="38" t="n"/>
      <c r="B762" s="39" t="n"/>
      <c r="C762" s="39" t="n"/>
      <c r="D762" s="38" t="n"/>
      <c r="E762" s="38" t="n"/>
      <c r="F762" s="38" t="n"/>
      <c r="G762" s="37">
        <f>IF(COUNTA(A762:F762)=0,"",IF(A762="EXAMPLE","Example (skipped)",IF(OR(C762="",E762="",F762=""),"✖ Portal, User ID and Password are all needed",IF(AND(A762="",COUNTIF(Clients!$B$5:$B$1005,B762)=0),"Not on Clients — will match a portal client by name",IF(AND(C762="GST",D762&lt;&gt;"",COUNTIF(Clients!$AN$5:$AN$1005,UPPER(D762))=0,COUNTIF(Clients!$G$5:$G$1005,"*"&amp;UPPER(D762)&amp;"*")=0),"GSTIN not on Clients — will be checked in the portal","✔ OK")))))</f>
        <v/>
      </c>
    </row>
    <row r="763">
      <c r="A763" s="38" t="n"/>
      <c r="B763" s="39" t="n"/>
      <c r="C763" s="39" t="n"/>
      <c r="D763" s="38" t="n"/>
      <c r="E763" s="38" t="n"/>
      <c r="F763" s="38" t="n"/>
      <c r="G763" s="37">
        <f>IF(COUNTA(A763:F763)=0,"",IF(A763="EXAMPLE","Example (skipped)",IF(OR(C763="",E763="",F763=""),"✖ Portal, User ID and Password are all needed",IF(AND(A763="",COUNTIF(Clients!$B$5:$B$1005,B763)=0),"Not on Clients — will match a portal client by name",IF(AND(C763="GST",D763&lt;&gt;"",COUNTIF(Clients!$AN$5:$AN$1005,UPPER(D763))=0,COUNTIF(Clients!$G$5:$G$1005,"*"&amp;UPPER(D763)&amp;"*")=0),"GSTIN not on Clients — will be checked in the portal","✔ OK")))))</f>
        <v/>
      </c>
    </row>
    <row r="764">
      <c r="A764" s="38" t="n"/>
      <c r="B764" s="39" t="n"/>
      <c r="C764" s="39" t="n"/>
      <c r="D764" s="38" t="n"/>
      <c r="E764" s="38" t="n"/>
      <c r="F764" s="38" t="n"/>
      <c r="G764" s="37">
        <f>IF(COUNTA(A764:F764)=0,"",IF(A764="EXAMPLE","Example (skipped)",IF(OR(C764="",E764="",F764=""),"✖ Portal, User ID and Password are all needed",IF(AND(A764="",COUNTIF(Clients!$B$5:$B$1005,B764)=0),"Not on Clients — will match a portal client by name",IF(AND(C764="GST",D764&lt;&gt;"",COUNTIF(Clients!$AN$5:$AN$1005,UPPER(D764))=0,COUNTIF(Clients!$G$5:$G$1005,"*"&amp;UPPER(D764)&amp;"*")=0),"GSTIN not on Clients — will be checked in the portal","✔ OK")))))</f>
        <v/>
      </c>
    </row>
    <row r="765">
      <c r="A765" s="38" t="n"/>
      <c r="B765" s="39" t="n"/>
      <c r="C765" s="39" t="n"/>
      <c r="D765" s="38" t="n"/>
      <c r="E765" s="38" t="n"/>
      <c r="F765" s="38" t="n"/>
      <c r="G765" s="37">
        <f>IF(COUNTA(A765:F765)=0,"",IF(A765="EXAMPLE","Example (skipped)",IF(OR(C765="",E765="",F765=""),"✖ Portal, User ID and Password are all needed",IF(AND(A765="",COUNTIF(Clients!$B$5:$B$1005,B765)=0),"Not on Clients — will match a portal client by name",IF(AND(C765="GST",D765&lt;&gt;"",COUNTIF(Clients!$AN$5:$AN$1005,UPPER(D765))=0,COUNTIF(Clients!$G$5:$G$1005,"*"&amp;UPPER(D765)&amp;"*")=0),"GSTIN not on Clients — will be checked in the portal","✔ OK")))))</f>
        <v/>
      </c>
    </row>
    <row r="766">
      <c r="A766" s="38" t="n"/>
      <c r="B766" s="39" t="n"/>
      <c r="C766" s="39" t="n"/>
      <c r="D766" s="38" t="n"/>
      <c r="E766" s="38" t="n"/>
      <c r="F766" s="38" t="n"/>
      <c r="G766" s="37">
        <f>IF(COUNTA(A766:F766)=0,"",IF(A766="EXAMPLE","Example (skipped)",IF(OR(C766="",E766="",F766=""),"✖ Portal, User ID and Password are all needed",IF(AND(A766="",COUNTIF(Clients!$B$5:$B$1005,B766)=0),"Not on Clients — will match a portal client by name",IF(AND(C766="GST",D766&lt;&gt;"",COUNTIF(Clients!$AN$5:$AN$1005,UPPER(D766))=0,COUNTIF(Clients!$G$5:$G$1005,"*"&amp;UPPER(D766)&amp;"*")=0),"GSTIN not on Clients — will be checked in the portal","✔ OK")))))</f>
        <v/>
      </c>
    </row>
    <row r="767">
      <c r="A767" s="38" t="n"/>
      <c r="B767" s="39" t="n"/>
      <c r="C767" s="39" t="n"/>
      <c r="D767" s="38" t="n"/>
      <c r="E767" s="38" t="n"/>
      <c r="F767" s="38" t="n"/>
      <c r="G767" s="37">
        <f>IF(COUNTA(A767:F767)=0,"",IF(A767="EXAMPLE","Example (skipped)",IF(OR(C767="",E767="",F767=""),"✖ Portal, User ID and Password are all needed",IF(AND(A767="",COUNTIF(Clients!$B$5:$B$1005,B767)=0),"Not on Clients — will match a portal client by name",IF(AND(C767="GST",D767&lt;&gt;"",COUNTIF(Clients!$AN$5:$AN$1005,UPPER(D767))=0,COUNTIF(Clients!$G$5:$G$1005,"*"&amp;UPPER(D767)&amp;"*")=0),"GSTIN not on Clients — will be checked in the portal","✔ OK")))))</f>
        <v/>
      </c>
    </row>
    <row r="768">
      <c r="A768" s="38" t="n"/>
      <c r="B768" s="39" t="n"/>
      <c r="C768" s="39" t="n"/>
      <c r="D768" s="38" t="n"/>
      <c r="E768" s="38" t="n"/>
      <c r="F768" s="38" t="n"/>
      <c r="G768" s="37">
        <f>IF(COUNTA(A768:F768)=0,"",IF(A768="EXAMPLE","Example (skipped)",IF(OR(C768="",E768="",F768=""),"✖ Portal, User ID and Password are all needed",IF(AND(A768="",COUNTIF(Clients!$B$5:$B$1005,B768)=0),"Not on Clients — will match a portal client by name",IF(AND(C768="GST",D768&lt;&gt;"",COUNTIF(Clients!$AN$5:$AN$1005,UPPER(D768))=0,COUNTIF(Clients!$G$5:$G$1005,"*"&amp;UPPER(D768)&amp;"*")=0),"GSTIN not on Clients — will be checked in the portal","✔ OK")))))</f>
        <v/>
      </c>
    </row>
    <row r="769">
      <c r="A769" s="38" t="n"/>
      <c r="B769" s="39" t="n"/>
      <c r="C769" s="39" t="n"/>
      <c r="D769" s="38" t="n"/>
      <c r="E769" s="38" t="n"/>
      <c r="F769" s="38" t="n"/>
      <c r="G769" s="37">
        <f>IF(COUNTA(A769:F769)=0,"",IF(A769="EXAMPLE","Example (skipped)",IF(OR(C769="",E769="",F769=""),"✖ Portal, User ID and Password are all needed",IF(AND(A769="",COUNTIF(Clients!$B$5:$B$1005,B769)=0),"Not on Clients — will match a portal client by name",IF(AND(C769="GST",D769&lt;&gt;"",COUNTIF(Clients!$AN$5:$AN$1005,UPPER(D769))=0,COUNTIF(Clients!$G$5:$G$1005,"*"&amp;UPPER(D769)&amp;"*")=0),"GSTIN not on Clients — will be checked in the portal","✔ OK")))))</f>
        <v/>
      </c>
    </row>
    <row r="770">
      <c r="A770" s="38" t="n"/>
      <c r="B770" s="39" t="n"/>
      <c r="C770" s="39" t="n"/>
      <c r="D770" s="38" t="n"/>
      <c r="E770" s="38" t="n"/>
      <c r="F770" s="38" t="n"/>
      <c r="G770" s="37">
        <f>IF(COUNTA(A770:F770)=0,"",IF(A770="EXAMPLE","Example (skipped)",IF(OR(C770="",E770="",F770=""),"✖ Portal, User ID and Password are all needed",IF(AND(A770="",COUNTIF(Clients!$B$5:$B$1005,B770)=0),"Not on Clients — will match a portal client by name",IF(AND(C770="GST",D770&lt;&gt;"",COUNTIF(Clients!$AN$5:$AN$1005,UPPER(D770))=0,COUNTIF(Clients!$G$5:$G$1005,"*"&amp;UPPER(D770)&amp;"*")=0),"GSTIN not on Clients — will be checked in the portal","✔ OK")))))</f>
        <v/>
      </c>
    </row>
    <row r="771">
      <c r="A771" s="38" t="n"/>
      <c r="B771" s="39" t="n"/>
      <c r="C771" s="39" t="n"/>
      <c r="D771" s="38" t="n"/>
      <c r="E771" s="38" t="n"/>
      <c r="F771" s="38" t="n"/>
      <c r="G771" s="37">
        <f>IF(COUNTA(A771:F771)=0,"",IF(A771="EXAMPLE","Example (skipped)",IF(OR(C771="",E771="",F771=""),"✖ Portal, User ID and Password are all needed",IF(AND(A771="",COUNTIF(Clients!$B$5:$B$1005,B771)=0),"Not on Clients — will match a portal client by name",IF(AND(C771="GST",D771&lt;&gt;"",COUNTIF(Clients!$AN$5:$AN$1005,UPPER(D771))=0,COUNTIF(Clients!$G$5:$G$1005,"*"&amp;UPPER(D771)&amp;"*")=0),"GSTIN not on Clients — will be checked in the portal","✔ OK")))))</f>
        <v/>
      </c>
    </row>
    <row r="772">
      <c r="A772" s="38" t="n"/>
      <c r="B772" s="39" t="n"/>
      <c r="C772" s="39" t="n"/>
      <c r="D772" s="38" t="n"/>
      <c r="E772" s="38" t="n"/>
      <c r="F772" s="38" t="n"/>
      <c r="G772" s="37">
        <f>IF(COUNTA(A772:F772)=0,"",IF(A772="EXAMPLE","Example (skipped)",IF(OR(C772="",E772="",F772=""),"✖ Portal, User ID and Password are all needed",IF(AND(A772="",COUNTIF(Clients!$B$5:$B$1005,B772)=0),"Not on Clients — will match a portal client by name",IF(AND(C772="GST",D772&lt;&gt;"",COUNTIF(Clients!$AN$5:$AN$1005,UPPER(D772))=0,COUNTIF(Clients!$G$5:$G$1005,"*"&amp;UPPER(D772)&amp;"*")=0),"GSTIN not on Clients — will be checked in the portal","✔ OK")))))</f>
        <v/>
      </c>
    </row>
    <row r="773">
      <c r="A773" s="38" t="n"/>
      <c r="B773" s="39" t="n"/>
      <c r="C773" s="39" t="n"/>
      <c r="D773" s="38" t="n"/>
      <c r="E773" s="38" t="n"/>
      <c r="F773" s="38" t="n"/>
      <c r="G773" s="37">
        <f>IF(COUNTA(A773:F773)=0,"",IF(A773="EXAMPLE","Example (skipped)",IF(OR(C773="",E773="",F773=""),"✖ Portal, User ID and Password are all needed",IF(AND(A773="",COUNTIF(Clients!$B$5:$B$1005,B773)=0),"Not on Clients — will match a portal client by name",IF(AND(C773="GST",D773&lt;&gt;"",COUNTIF(Clients!$AN$5:$AN$1005,UPPER(D773))=0,COUNTIF(Clients!$G$5:$G$1005,"*"&amp;UPPER(D773)&amp;"*")=0),"GSTIN not on Clients — will be checked in the portal","✔ OK")))))</f>
        <v/>
      </c>
    </row>
    <row r="774">
      <c r="A774" s="38" t="n"/>
      <c r="B774" s="39" t="n"/>
      <c r="C774" s="39" t="n"/>
      <c r="D774" s="38" t="n"/>
      <c r="E774" s="38" t="n"/>
      <c r="F774" s="38" t="n"/>
      <c r="G774" s="37">
        <f>IF(COUNTA(A774:F774)=0,"",IF(A774="EXAMPLE","Example (skipped)",IF(OR(C774="",E774="",F774=""),"✖ Portal, User ID and Password are all needed",IF(AND(A774="",COUNTIF(Clients!$B$5:$B$1005,B774)=0),"Not on Clients — will match a portal client by name",IF(AND(C774="GST",D774&lt;&gt;"",COUNTIF(Clients!$AN$5:$AN$1005,UPPER(D774))=0,COUNTIF(Clients!$G$5:$G$1005,"*"&amp;UPPER(D774)&amp;"*")=0),"GSTIN not on Clients — will be checked in the portal","✔ OK")))))</f>
        <v/>
      </c>
    </row>
    <row r="775">
      <c r="A775" s="38" t="n"/>
      <c r="B775" s="39" t="n"/>
      <c r="C775" s="39" t="n"/>
      <c r="D775" s="38" t="n"/>
      <c r="E775" s="38" t="n"/>
      <c r="F775" s="38" t="n"/>
      <c r="G775" s="37">
        <f>IF(COUNTA(A775:F775)=0,"",IF(A775="EXAMPLE","Example (skipped)",IF(OR(C775="",E775="",F775=""),"✖ Portal, User ID and Password are all needed",IF(AND(A775="",COUNTIF(Clients!$B$5:$B$1005,B775)=0),"Not on Clients — will match a portal client by name",IF(AND(C775="GST",D775&lt;&gt;"",COUNTIF(Clients!$AN$5:$AN$1005,UPPER(D775))=0,COUNTIF(Clients!$G$5:$G$1005,"*"&amp;UPPER(D775)&amp;"*")=0),"GSTIN not on Clients — will be checked in the portal","✔ OK")))))</f>
        <v/>
      </c>
    </row>
    <row r="776">
      <c r="A776" s="38" t="n"/>
      <c r="B776" s="39" t="n"/>
      <c r="C776" s="39" t="n"/>
      <c r="D776" s="38" t="n"/>
      <c r="E776" s="38" t="n"/>
      <c r="F776" s="38" t="n"/>
      <c r="G776" s="37">
        <f>IF(COUNTA(A776:F776)=0,"",IF(A776="EXAMPLE","Example (skipped)",IF(OR(C776="",E776="",F776=""),"✖ Portal, User ID and Password are all needed",IF(AND(A776="",COUNTIF(Clients!$B$5:$B$1005,B776)=0),"Not on Clients — will match a portal client by name",IF(AND(C776="GST",D776&lt;&gt;"",COUNTIF(Clients!$AN$5:$AN$1005,UPPER(D776))=0,COUNTIF(Clients!$G$5:$G$1005,"*"&amp;UPPER(D776)&amp;"*")=0),"GSTIN not on Clients — will be checked in the portal","✔ OK")))))</f>
        <v/>
      </c>
    </row>
    <row r="777">
      <c r="A777" s="38" t="n"/>
      <c r="B777" s="39" t="n"/>
      <c r="C777" s="39" t="n"/>
      <c r="D777" s="38" t="n"/>
      <c r="E777" s="38" t="n"/>
      <c r="F777" s="38" t="n"/>
      <c r="G777" s="37">
        <f>IF(COUNTA(A777:F777)=0,"",IF(A777="EXAMPLE","Example (skipped)",IF(OR(C777="",E777="",F777=""),"✖ Portal, User ID and Password are all needed",IF(AND(A777="",COUNTIF(Clients!$B$5:$B$1005,B777)=0),"Not on Clients — will match a portal client by name",IF(AND(C777="GST",D777&lt;&gt;"",COUNTIF(Clients!$AN$5:$AN$1005,UPPER(D777))=0,COUNTIF(Clients!$G$5:$G$1005,"*"&amp;UPPER(D777)&amp;"*")=0),"GSTIN not on Clients — will be checked in the portal","✔ OK")))))</f>
        <v/>
      </c>
    </row>
    <row r="778">
      <c r="A778" s="38" t="n"/>
      <c r="B778" s="39" t="n"/>
      <c r="C778" s="39" t="n"/>
      <c r="D778" s="38" t="n"/>
      <c r="E778" s="38" t="n"/>
      <c r="F778" s="38" t="n"/>
      <c r="G778" s="37">
        <f>IF(COUNTA(A778:F778)=0,"",IF(A778="EXAMPLE","Example (skipped)",IF(OR(C778="",E778="",F778=""),"✖ Portal, User ID and Password are all needed",IF(AND(A778="",COUNTIF(Clients!$B$5:$B$1005,B778)=0),"Not on Clients — will match a portal client by name",IF(AND(C778="GST",D778&lt;&gt;"",COUNTIF(Clients!$AN$5:$AN$1005,UPPER(D778))=0,COUNTIF(Clients!$G$5:$G$1005,"*"&amp;UPPER(D778)&amp;"*")=0),"GSTIN not on Clients — will be checked in the portal","✔ OK")))))</f>
        <v/>
      </c>
    </row>
    <row r="779">
      <c r="A779" s="38" t="n"/>
      <c r="B779" s="39" t="n"/>
      <c r="C779" s="39" t="n"/>
      <c r="D779" s="38" t="n"/>
      <c r="E779" s="38" t="n"/>
      <c r="F779" s="38" t="n"/>
      <c r="G779" s="37">
        <f>IF(COUNTA(A779:F779)=0,"",IF(A779="EXAMPLE","Example (skipped)",IF(OR(C779="",E779="",F779=""),"✖ Portal, User ID and Password are all needed",IF(AND(A779="",COUNTIF(Clients!$B$5:$B$1005,B779)=0),"Not on Clients — will match a portal client by name",IF(AND(C779="GST",D779&lt;&gt;"",COUNTIF(Clients!$AN$5:$AN$1005,UPPER(D779))=0,COUNTIF(Clients!$G$5:$G$1005,"*"&amp;UPPER(D779)&amp;"*")=0),"GSTIN not on Clients — will be checked in the portal","✔ OK")))))</f>
        <v/>
      </c>
    </row>
    <row r="780">
      <c r="A780" s="38" t="n"/>
      <c r="B780" s="39" t="n"/>
      <c r="C780" s="39" t="n"/>
      <c r="D780" s="38" t="n"/>
      <c r="E780" s="38" t="n"/>
      <c r="F780" s="38" t="n"/>
      <c r="G780" s="37">
        <f>IF(COUNTA(A780:F780)=0,"",IF(A780="EXAMPLE","Example (skipped)",IF(OR(C780="",E780="",F780=""),"✖ Portal, User ID and Password are all needed",IF(AND(A780="",COUNTIF(Clients!$B$5:$B$1005,B780)=0),"Not on Clients — will match a portal client by name",IF(AND(C780="GST",D780&lt;&gt;"",COUNTIF(Clients!$AN$5:$AN$1005,UPPER(D780))=0,COUNTIF(Clients!$G$5:$G$1005,"*"&amp;UPPER(D780)&amp;"*")=0),"GSTIN not on Clients — will be checked in the portal","✔ OK")))))</f>
        <v/>
      </c>
    </row>
    <row r="781">
      <c r="A781" s="38" t="n"/>
      <c r="B781" s="39" t="n"/>
      <c r="C781" s="39" t="n"/>
      <c r="D781" s="38" t="n"/>
      <c r="E781" s="38" t="n"/>
      <c r="F781" s="38" t="n"/>
      <c r="G781" s="37">
        <f>IF(COUNTA(A781:F781)=0,"",IF(A781="EXAMPLE","Example (skipped)",IF(OR(C781="",E781="",F781=""),"✖ Portal, User ID and Password are all needed",IF(AND(A781="",COUNTIF(Clients!$B$5:$B$1005,B781)=0),"Not on Clients — will match a portal client by name",IF(AND(C781="GST",D781&lt;&gt;"",COUNTIF(Clients!$AN$5:$AN$1005,UPPER(D781))=0,COUNTIF(Clients!$G$5:$G$1005,"*"&amp;UPPER(D781)&amp;"*")=0),"GSTIN not on Clients — will be checked in the portal","✔ OK")))))</f>
        <v/>
      </c>
    </row>
    <row r="782">
      <c r="A782" s="38" t="n"/>
      <c r="B782" s="39" t="n"/>
      <c r="C782" s="39" t="n"/>
      <c r="D782" s="38" t="n"/>
      <c r="E782" s="38" t="n"/>
      <c r="F782" s="38" t="n"/>
      <c r="G782" s="37">
        <f>IF(COUNTA(A782:F782)=0,"",IF(A782="EXAMPLE","Example (skipped)",IF(OR(C782="",E782="",F782=""),"✖ Portal, User ID and Password are all needed",IF(AND(A782="",COUNTIF(Clients!$B$5:$B$1005,B782)=0),"Not on Clients — will match a portal client by name",IF(AND(C782="GST",D782&lt;&gt;"",COUNTIF(Clients!$AN$5:$AN$1005,UPPER(D782))=0,COUNTIF(Clients!$G$5:$G$1005,"*"&amp;UPPER(D782)&amp;"*")=0),"GSTIN not on Clients — will be checked in the portal","✔ OK")))))</f>
        <v/>
      </c>
    </row>
    <row r="783">
      <c r="A783" s="38" t="n"/>
      <c r="B783" s="39" t="n"/>
      <c r="C783" s="39" t="n"/>
      <c r="D783" s="38" t="n"/>
      <c r="E783" s="38" t="n"/>
      <c r="F783" s="38" t="n"/>
      <c r="G783" s="37">
        <f>IF(COUNTA(A783:F783)=0,"",IF(A783="EXAMPLE","Example (skipped)",IF(OR(C783="",E783="",F783=""),"✖ Portal, User ID and Password are all needed",IF(AND(A783="",COUNTIF(Clients!$B$5:$B$1005,B783)=0),"Not on Clients — will match a portal client by name",IF(AND(C783="GST",D783&lt;&gt;"",COUNTIF(Clients!$AN$5:$AN$1005,UPPER(D783))=0,COUNTIF(Clients!$G$5:$G$1005,"*"&amp;UPPER(D783)&amp;"*")=0),"GSTIN not on Clients — will be checked in the portal","✔ OK")))))</f>
        <v/>
      </c>
    </row>
    <row r="784">
      <c r="A784" s="38" t="n"/>
      <c r="B784" s="39" t="n"/>
      <c r="C784" s="39" t="n"/>
      <c r="D784" s="38" t="n"/>
      <c r="E784" s="38" t="n"/>
      <c r="F784" s="38" t="n"/>
      <c r="G784" s="37">
        <f>IF(COUNTA(A784:F784)=0,"",IF(A784="EXAMPLE","Example (skipped)",IF(OR(C784="",E784="",F784=""),"✖ Portal, User ID and Password are all needed",IF(AND(A784="",COUNTIF(Clients!$B$5:$B$1005,B784)=0),"Not on Clients — will match a portal client by name",IF(AND(C784="GST",D784&lt;&gt;"",COUNTIF(Clients!$AN$5:$AN$1005,UPPER(D784))=0,COUNTIF(Clients!$G$5:$G$1005,"*"&amp;UPPER(D784)&amp;"*")=0),"GSTIN not on Clients — will be checked in the portal","✔ OK")))))</f>
        <v/>
      </c>
    </row>
    <row r="785">
      <c r="A785" s="38" t="n"/>
      <c r="B785" s="39" t="n"/>
      <c r="C785" s="39" t="n"/>
      <c r="D785" s="38" t="n"/>
      <c r="E785" s="38" t="n"/>
      <c r="F785" s="38" t="n"/>
      <c r="G785" s="37">
        <f>IF(COUNTA(A785:F785)=0,"",IF(A785="EXAMPLE","Example (skipped)",IF(OR(C785="",E785="",F785=""),"✖ Portal, User ID and Password are all needed",IF(AND(A785="",COUNTIF(Clients!$B$5:$B$1005,B785)=0),"Not on Clients — will match a portal client by name",IF(AND(C785="GST",D785&lt;&gt;"",COUNTIF(Clients!$AN$5:$AN$1005,UPPER(D785))=0,COUNTIF(Clients!$G$5:$G$1005,"*"&amp;UPPER(D785)&amp;"*")=0),"GSTIN not on Clients — will be checked in the portal","✔ OK")))))</f>
        <v/>
      </c>
    </row>
    <row r="786">
      <c r="A786" s="38" t="n"/>
      <c r="B786" s="39" t="n"/>
      <c r="C786" s="39" t="n"/>
      <c r="D786" s="38" t="n"/>
      <c r="E786" s="38" t="n"/>
      <c r="F786" s="38" t="n"/>
      <c r="G786" s="37">
        <f>IF(COUNTA(A786:F786)=0,"",IF(A786="EXAMPLE","Example (skipped)",IF(OR(C786="",E786="",F786=""),"✖ Portal, User ID and Password are all needed",IF(AND(A786="",COUNTIF(Clients!$B$5:$B$1005,B786)=0),"Not on Clients — will match a portal client by name",IF(AND(C786="GST",D786&lt;&gt;"",COUNTIF(Clients!$AN$5:$AN$1005,UPPER(D786))=0,COUNTIF(Clients!$G$5:$G$1005,"*"&amp;UPPER(D786)&amp;"*")=0),"GSTIN not on Clients — will be checked in the portal","✔ OK")))))</f>
        <v/>
      </c>
    </row>
    <row r="787">
      <c r="A787" s="38" t="n"/>
      <c r="B787" s="39" t="n"/>
      <c r="C787" s="39" t="n"/>
      <c r="D787" s="38" t="n"/>
      <c r="E787" s="38" t="n"/>
      <c r="F787" s="38" t="n"/>
      <c r="G787" s="37">
        <f>IF(COUNTA(A787:F787)=0,"",IF(A787="EXAMPLE","Example (skipped)",IF(OR(C787="",E787="",F787=""),"✖ Portal, User ID and Password are all needed",IF(AND(A787="",COUNTIF(Clients!$B$5:$B$1005,B787)=0),"Not on Clients — will match a portal client by name",IF(AND(C787="GST",D787&lt;&gt;"",COUNTIF(Clients!$AN$5:$AN$1005,UPPER(D787))=0,COUNTIF(Clients!$G$5:$G$1005,"*"&amp;UPPER(D787)&amp;"*")=0),"GSTIN not on Clients — will be checked in the portal","✔ OK")))))</f>
        <v/>
      </c>
    </row>
    <row r="788">
      <c r="A788" s="38" t="n"/>
      <c r="B788" s="39" t="n"/>
      <c r="C788" s="39" t="n"/>
      <c r="D788" s="38" t="n"/>
      <c r="E788" s="38" t="n"/>
      <c r="F788" s="38" t="n"/>
      <c r="G788" s="37">
        <f>IF(COUNTA(A788:F788)=0,"",IF(A788="EXAMPLE","Example (skipped)",IF(OR(C788="",E788="",F788=""),"✖ Portal, User ID and Password are all needed",IF(AND(A788="",COUNTIF(Clients!$B$5:$B$1005,B788)=0),"Not on Clients — will match a portal client by name",IF(AND(C788="GST",D788&lt;&gt;"",COUNTIF(Clients!$AN$5:$AN$1005,UPPER(D788))=0,COUNTIF(Clients!$G$5:$G$1005,"*"&amp;UPPER(D788)&amp;"*")=0),"GSTIN not on Clients — will be checked in the portal","✔ OK")))))</f>
        <v/>
      </c>
    </row>
    <row r="789">
      <c r="A789" s="38" t="n"/>
      <c r="B789" s="39" t="n"/>
      <c r="C789" s="39" t="n"/>
      <c r="D789" s="38" t="n"/>
      <c r="E789" s="38" t="n"/>
      <c r="F789" s="38" t="n"/>
      <c r="G789" s="37">
        <f>IF(COUNTA(A789:F789)=0,"",IF(A789="EXAMPLE","Example (skipped)",IF(OR(C789="",E789="",F789=""),"✖ Portal, User ID and Password are all needed",IF(AND(A789="",COUNTIF(Clients!$B$5:$B$1005,B789)=0),"Not on Clients — will match a portal client by name",IF(AND(C789="GST",D789&lt;&gt;"",COUNTIF(Clients!$AN$5:$AN$1005,UPPER(D789))=0,COUNTIF(Clients!$G$5:$G$1005,"*"&amp;UPPER(D789)&amp;"*")=0),"GSTIN not on Clients — will be checked in the portal","✔ OK")))))</f>
        <v/>
      </c>
    </row>
    <row r="790">
      <c r="A790" s="38" t="n"/>
      <c r="B790" s="39" t="n"/>
      <c r="C790" s="39" t="n"/>
      <c r="D790" s="38" t="n"/>
      <c r="E790" s="38" t="n"/>
      <c r="F790" s="38" t="n"/>
      <c r="G790" s="37">
        <f>IF(COUNTA(A790:F790)=0,"",IF(A790="EXAMPLE","Example (skipped)",IF(OR(C790="",E790="",F790=""),"✖ Portal, User ID and Password are all needed",IF(AND(A790="",COUNTIF(Clients!$B$5:$B$1005,B790)=0),"Not on Clients — will match a portal client by name",IF(AND(C790="GST",D790&lt;&gt;"",COUNTIF(Clients!$AN$5:$AN$1005,UPPER(D790))=0,COUNTIF(Clients!$G$5:$G$1005,"*"&amp;UPPER(D790)&amp;"*")=0),"GSTIN not on Clients — will be checked in the portal","✔ OK")))))</f>
        <v/>
      </c>
    </row>
    <row r="791">
      <c r="A791" s="38" t="n"/>
      <c r="B791" s="39" t="n"/>
      <c r="C791" s="39" t="n"/>
      <c r="D791" s="38" t="n"/>
      <c r="E791" s="38" t="n"/>
      <c r="F791" s="38" t="n"/>
      <c r="G791" s="37">
        <f>IF(COUNTA(A791:F791)=0,"",IF(A791="EXAMPLE","Example (skipped)",IF(OR(C791="",E791="",F791=""),"✖ Portal, User ID and Password are all needed",IF(AND(A791="",COUNTIF(Clients!$B$5:$B$1005,B791)=0),"Not on Clients — will match a portal client by name",IF(AND(C791="GST",D791&lt;&gt;"",COUNTIF(Clients!$AN$5:$AN$1005,UPPER(D791))=0,COUNTIF(Clients!$G$5:$G$1005,"*"&amp;UPPER(D791)&amp;"*")=0),"GSTIN not on Clients — will be checked in the portal","✔ OK")))))</f>
        <v/>
      </c>
    </row>
    <row r="792">
      <c r="A792" s="38" t="n"/>
      <c r="B792" s="39" t="n"/>
      <c r="C792" s="39" t="n"/>
      <c r="D792" s="38" t="n"/>
      <c r="E792" s="38" t="n"/>
      <c r="F792" s="38" t="n"/>
      <c r="G792" s="37">
        <f>IF(COUNTA(A792:F792)=0,"",IF(A792="EXAMPLE","Example (skipped)",IF(OR(C792="",E792="",F792=""),"✖ Portal, User ID and Password are all needed",IF(AND(A792="",COUNTIF(Clients!$B$5:$B$1005,B792)=0),"Not on Clients — will match a portal client by name",IF(AND(C792="GST",D792&lt;&gt;"",COUNTIF(Clients!$AN$5:$AN$1005,UPPER(D792))=0,COUNTIF(Clients!$G$5:$G$1005,"*"&amp;UPPER(D792)&amp;"*")=0),"GSTIN not on Clients — will be checked in the portal","✔ OK")))))</f>
        <v/>
      </c>
    </row>
    <row r="793">
      <c r="A793" s="38" t="n"/>
      <c r="B793" s="39" t="n"/>
      <c r="C793" s="39" t="n"/>
      <c r="D793" s="38" t="n"/>
      <c r="E793" s="38" t="n"/>
      <c r="F793" s="38" t="n"/>
      <c r="G793" s="37">
        <f>IF(COUNTA(A793:F793)=0,"",IF(A793="EXAMPLE","Example (skipped)",IF(OR(C793="",E793="",F793=""),"✖ Portal, User ID and Password are all needed",IF(AND(A793="",COUNTIF(Clients!$B$5:$B$1005,B793)=0),"Not on Clients — will match a portal client by name",IF(AND(C793="GST",D793&lt;&gt;"",COUNTIF(Clients!$AN$5:$AN$1005,UPPER(D793))=0,COUNTIF(Clients!$G$5:$G$1005,"*"&amp;UPPER(D793)&amp;"*")=0),"GSTIN not on Clients — will be checked in the portal","✔ OK")))))</f>
        <v/>
      </c>
    </row>
    <row r="794">
      <c r="A794" s="38" t="n"/>
      <c r="B794" s="39" t="n"/>
      <c r="C794" s="39" t="n"/>
      <c r="D794" s="38" t="n"/>
      <c r="E794" s="38" t="n"/>
      <c r="F794" s="38" t="n"/>
      <c r="G794" s="37">
        <f>IF(COUNTA(A794:F794)=0,"",IF(A794="EXAMPLE","Example (skipped)",IF(OR(C794="",E794="",F794=""),"✖ Portal, User ID and Password are all needed",IF(AND(A794="",COUNTIF(Clients!$B$5:$B$1005,B794)=0),"Not on Clients — will match a portal client by name",IF(AND(C794="GST",D794&lt;&gt;"",COUNTIF(Clients!$AN$5:$AN$1005,UPPER(D794))=0,COUNTIF(Clients!$G$5:$G$1005,"*"&amp;UPPER(D794)&amp;"*")=0),"GSTIN not on Clients — will be checked in the portal","✔ OK")))))</f>
        <v/>
      </c>
    </row>
    <row r="795">
      <c r="A795" s="38" t="n"/>
      <c r="B795" s="39" t="n"/>
      <c r="C795" s="39" t="n"/>
      <c r="D795" s="38" t="n"/>
      <c r="E795" s="38" t="n"/>
      <c r="F795" s="38" t="n"/>
      <c r="G795" s="37">
        <f>IF(COUNTA(A795:F795)=0,"",IF(A795="EXAMPLE","Example (skipped)",IF(OR(C795="",E795="",F795=""),"✖ Portal, User ID and Password are all needed",IF(AND(A795="",COUNTIF(Clients!$B$5:$B$1005,B795)=0),"Not on Clients — will match a portal client by name",IF(AND(C795="GST",D795&lt;&gt;"",COUNTIF(Clients!$AN$5:$AN$1005,UPPER(D795))=0,COUNTIF(Clients!$G$5:$G$1005,"*"&amp;UPPER(D795)&amp;"*")=0),"GSTIN not on Clients — will be checked in the portal","✔ OK")))))</f>
        <v/>
      </c>
    </row>
    <row r="796">
      <c r="A796" s="38" t="n"/>
      <c r="B796" s="39" t="n"/>
      <c r="C796" s="39" t="n"/>
      <c r="D796" s="38" t="n"/>
      <c r="E796" s="38" t="n"/>
      <c r="F796" s="38" t="n"/>
      <c r="G796" s="37">
        <f>IF(COUNTA(A796:F796)=0,"",IF(A796="EXAMPLE","Example (skipped)",IF(OR(C796="",E796="",F796=""),"✖ Portal, User ID and Password are all needed",IF(AND(A796="",COUNTIF(Clients!$B$5:$B$1005,B796)=0),"Not on Clients — will match a portal client by name",IF(AND(C796="GST",D796&lt;&gt;"",COUNTIF(Clients!$AN$5:$AN$1005,UPPER(D796))=0,COUNTIF(Clients!$G$5:$G$1005,"*"&amp;UPPER(D796)&amp;"*")=0),"GSTIN not on Clients — will be checked in the portal","✔ OK")))))</f>
        <v/>
      </c>
    </row>
    <row r="797">
      <c r="A797" s="38" t="n"/>
      <c r="B797" s="39" t="n"/>
      <c r="C797" s="39" t="n"/>
      <c r="D797" s="38" t="n"/>
      <c r="E797" s="38" t="n"/>
      <c r="F797" s="38" t="n"/>
      <c r="G797" s="37">
        <f>IF(COUNTA(A797:F797)=0,"",IF(A797="EXAMPLE","Example (skipped)",IF(OR(C797="",E797="",F797=""),"✖ Portal, User ID and Password are all needed",IF(AND(A797="",COUNTIF(Clients!$B$5:$B$1005,B797)=0),"Not on Clients — will match a portal client by name",IF(AND(C797="GST",D797&lt;&gt;"",COUNTIF(Clients!$AN$5:$AN$1005,UPPER(D797))=0,COUNTIF(Clients!$G$5:$G$1005,"*"&amp;UPPER(D797)&amp;"*")=0),"GSTIN not on Clients — will be checked in the portal","✔ OK")))))</f>
        <v/>
      </c>
    </row>
    <row r="798">
      <c r="A798" s="38" t="n"/>
      <c r="B798" s="39" t="n"/>
      <c r="C798" s="39" t="n"/>
      <c r="D798" s="38" t="n"/>
      <c r="E798" s="38" t="n"/>
      <c r="F798" s="38" t="n"/>
      <c r="G798" s="37">
        <f>IF(COUNTA(A798:F798)=0,"",IF(A798="EXAMPLE","Example (skipped)",IF(OR(C798="",E798="",F798=""),"✖ Portal, User ID and Password are all needed",IF(AND(A798="",COUNTIF(Clients!$B$5:$B$1005,B798)=0),"Not on Clients — will match a portal client by name",IF(AND(C798="GST",D798&lt;&gt;"",COUNTIF(Clients!$AN$5:$AN$1005,UPPER(D798))=0,COUNTIF(Clients!$G$5:$G$1005,"*"&amp;UPPER(D798)&amp;"*")=0),"GSTIN not on Clients — will be checked in the portal","✔ OK")))))</f>
        <v/>
      </c>
    </row>
    <row r="799">
      <c r="A799" s="38" t="n"/>
      <c r="B799" s="39" t="n"/>
      <c r="C799" s="39" t="n"/>
      <c r="D799" s="38" t="n"/>
      <c r="E799" s="38" t="n"/>
      <c r="F799" s="38" t="n"/>
      <c r="G799" s="37">
        <f>IF(COUNTA(A799:F799)=0,"",IF(A799="EXAMPLE","Example (skipped)",IF(OR(C799="",E799="",F799=""),"✖ Portal, User ID and Password are all needed",IF(AND(A799="",COUNTIF(Clients!$B$5:$B$1005,B799)=0),"Not on Clients — will match a portal client by name",IF(AND(C799="GST",D799&lt;&gt;"",COUNTIF(Clients!$AN$5:$AN$1005,UPPER(D799))=0,COUNTIF(Clients!$G$5:$G$1005,"*"&amp;UPPER(D799)&amp;"*")=0),"GSTIN not on Clients — will be checked in the portal","✔ OK")))))</f>
        <v/>
      </c>
    </row>
    <row r="800">
      <c r="A800" s="38" t="n"/>
      <c r="B800" s="39" t="n"/>
      <c r="C800" s="39" t="n"/>
      <c r="D800" s="38" t="n"/>
      <c r="E800" s="38" t="n"/>
      <c r="F800" s="38" t="n"/>
      <c r="G800" s="37">
        <f>IF(COUNTA(A800:F800)=0,"",IF(A800="EXAMPLE","Example (skipped)",IF(OR(C800="",E800="",F800=""),"✖ Portal, User ID and Password are all needed",IF(AND(A800="",COUNTIF(Clients!$B$5:$B$1005,B800)=0),"Not on Clients — will match a portal client by name",IF(AND(C800="GST",D800&lt;&gt;"",COUNTIF(Clients!$AN$5:$AN$1005,UPPER(D800))=0,COUNTIF(Clients!$G$5:$G$1005,"*"&amp;UPPER(D800)&amp;"*")=0),"GSTIN not on Clients — will be checked in the portal","✔ OK")))))</f>
        <v/>
      </c>
    </row>
    <row r="801">
      <c r="A801" s="38" t="n"/>
      <c r="B801" s="39" t="n"/>
      <c r="C801" s="39" t="n"/>
      <c r="D801" s="38" t="n"/>
      <c r="E801" s="38" t="n"/>
      <c r="F801" s="38" t="n"/>
      <c r="G801" s="37">
        <f>IF(COUNTA(A801:F801)=0,"",IF(A801="EXAMPLE","Example (skipped)",IF(OR(C801="",E801="",F801=""),"✖ Portal, User ID and Password are all needed",IF(AND(A801="",COUNTIF(Clients!$B$5:$B$1005,B801)=0),"Not on Clients — will match a portal client by name",IF(AND(C801="GST",D801&lt;&gt;"",COUNTIF(Clients!$AN$5:$AN$1005,UPPER(D801))=0,COUNTIF(Clients!$G$5:$G$1005,"*"&amp;UPPER(D801)&amp;"*")=0),"GSTIN not on Clients — will be checked in the portal","✔ OK")))))</f>
        <v/>
      </c>
    </row>
    <row r="802">
      <c r="A802" s="38" t="n"/>
      <c r="B802" s="39" t="n"/>
      <c r="C802" s="39" t="n"/>
      <c r="D802" s="38" t="n"/>
      <c r="E802" s="38" t="n"/>
      <c r="F802" s="38" t="n"/>
      <c r="G802" s="37">
        <f>IF(COUNTA(A802:F802)=0,"",IF(A802="EXAMPLE","Example (skipped)",IF(OR(C802="",E802="",F802=""),"✖ Portal, User ID and Password are all needed",IF(AND(A802="",COUNTIF(Clients!$B$5:$B$1005,B802)=0),"Not on Clients — will match a portal client by name",IF(AND(C802="GST",D802&lt;&gt;"",COUNTIF(Clients!$AN$5:$AN$1005,UPPER(D802))=0,COUNTIF(Clients!$G$5:$G$1005,"*"&amp;UPPER(D802)&amp;"*")=0),"GSTIN not on Clients — will be checked in the portal","✔ OK")))))</f>
        <v/>
      </c>
    </row>
    <row r="803">
      <c r="A803" s="38" t="n"/>
      <c r="B803" s="39" t="n"/>
      <c r="C803" s="39" t="n"/>
      <c r="D803" s="38" t="n"/>
      <c r="E803" s="38" t="n"/>
      <c r="F803" s="38" t="n"/>
      <c r="G803" s="37">
        <f>IF(COUNTA(A803:F803)=0,"",IF(A803="EXAMPLE","Example (skipped)",IF(OR(C803="",E803="",F803=""),"✖ Portal, User ID and Password are all needed",IF(AND(A803="",COUNTIF(Clients!$B$5:$B$1005,B803)=0),"Not on Clients — will match a portal client by name",IF(AND(C803="GST",D803&lt;&gt;"",COUNTIF(Clients!$AN$5:$AN$1005,UPPER(D803))=0,COUNTIF(Clients!$G$5:$G$1005,"*"&amp;UPPER(D803)&amp;"*")=0),"GSTIN not on Clients — will be checked in the portal","✔ OK")))))</f>
        <v/>
      </c>
    </row>
    <row r="804">
      <c r="A804" s="38" t="n"/>
      <c r="B804" s="39" t="n"/>
      <c r="C804" s="39" t="n"/>
      <c r="D804" s="38" t="n"/>
      <c r="E804" s="38" t="n"/>
      <c r="F804" s="38" t="n"/>
      <c r="G804" s="37">
        <f>IF(COUNTA(A804:F804)=0,"",IF(A804="EXAMPLE","Example (skipped)",IF(OR(C804="",E804="",F804=""),"✖ Portal, User ID and Password are all needed",IF(AND(A804="",COUNTIF(Clients!$B$5:$B$1005,B804)=0),"Not on Clients — will match a portal client by name",IF(AND(C804="GST",D804&lt;&gt;"",COUNTIF(Clients!$AN$5:$AN$1005,UPPER(D804))=0,COUNTIF(Clients!$G$5:$G$1005,"*"&amp;UPPER(D804)&amp;"*")=0),"GSTIN not on Clients — will be checked in the portal","✔ OK")))))</f>
        <v/>
      </c>
    </row>
    <row r="805">
      <c r="A805" s="38" t="n"/>
      <c r="B805" s="39" t="n"/>
      <c r="C805" s="39" t="n"/>
      <c r="D805" s="38" t="n"/>
      <c r="E805" s="38" t="n"/>
      <c r="F805" s="38" t="n"/>
      <c r="G805" s="37">
        <f>IF(COUNTA(A805:F805)=0,"",IF(A805="EXAMPLE","Example (skipped)",IF(OR(C805="",E805="",F805=""),"✖ Portal, User ID and Password are all needed",IF(AND(A805="",COUNTIF(Clients!$B$5:$B$1005,B805)=0),"Not on Clients — will match a portal client by name",IF(AND(C805="GST",D805&lt;&gt;"",COUNTIF(Clients!$AN$5:$AN$1005,UPPER(D805))=0,COUNTIF(Clients!$G$5:$G$1005,"*"&amp;UPPER(D805)&amp;"*")=0),"GSTIN not on Clients — will be checked in the portal","✔ OK")))))</f>
        <v/>
      </c>
    </row>
    <row r="806">
      <c r="A806" s="38" t="n"/>
      <c r="B806" s="39" t="n"/>
      <c r="C806" s="39" t="n"/>
      <c r="D806" s="38" t="n"/>
      <c r="E806" s="38" t="n"/>
      <c r="F806" s="38" t="n"/>
      <c r="G806" s="37">
        <f>IF(COUNTA(A806:F806)=0,"",IF(A806="EXAMPLE","Example (skipped)",IF(OR(C806="",E806="",F806=""),"✖ Portal, User ID and Password are all needed",IF(AND(A806="",COUNTIF(Clients!$B$5:$B$1005,B806)=0),"Not on Clients — will match a portal client by name",IF(AND(C806="GST",D806&lt;&gt;"",COUNTIF(Clients!$AN$5:$AN$1005,UPPER(D806))=0,COUNTIF(Clients!$G$5:$G$1005,"*"&amp;UPPER(D806)&amp;"*")=0),"GSTIN not on Clients — will be checked in the portal","✔ OK")))))</f>
        <v/>
      </c>
    </row>
    <row r="807">
      <c r="A807" s="38" t="n"/>
      <c r="B807" s="39" t="n"/>
      <c r="C807" s="39" t="n"/>
      <c r="D807" s="38" t="n"/>
      <c r="E807" s="38" t="n"/>
      <c r="F807" s="38" t="n"/>
      <c r="G807" s="37">
        <f>IF(COUNTA(A807:F807)=0,"",IF(A807="EXAMPLE","Example (skipped)",IF(OR(C807="",E807="",F807=""),"✖ Portal, User ID and Password are all needed",IF(AND(A807="",COUNTIF(Clients!$B$5:$B$1005,B807)=0),"Not on Clients — will match a portal client by name",IF(AND(C807="GST",D807&lt;&gt;"",COUNTIF(Clients!$AN$5:$AN$1005,UPPER(D807))=0,COUNTIF(Clients!$G$5:$G$1005,"*"&amp;UPPER(D807)&amp;"*")=0),"GSTIN not on Clients — will be checked in the portal","✔ OK")))))</f>
        <v/>
      </c>
    </row>
    <row r="808">
      <c r="A808" s="38" t="n"/>
      <c r="B808" s="39" t="n"/>
      <c r="C808" s="39" t="n"/>
      <c r="D808" s="38" t="n"/>
      <c r="E808" s="38" t="n"/>
      <c r="F808" s="38" t="n"/>
      <c r="G808" s="37">
        <f>IF(COUNTA(A808:F808)=0,"",IF(A808="EXAMPLE","Example (skipped)",IF(OR(C808="",E808="",F808=""),"✖ Portal, User ID and Password are all needed",IF(AND(A808="",COUNTIF(Clients!$B$5:$B$1005,B808)=0),"Not on Clients — will match a portal client by name",IF(AND(C808="GST",D808&lt;&gt;"",COUNTIF(Clients!$AN$5:$AN$1005,UPPER(D808))=0,COUNTIF(Clients!$G$5:$G$1005,"*"&amp;UPPER(D808)&amp;"*")=0),"GSTIN not on Clients — will be checked in the portal","✔ OK")))))</f>
        <v/>
      </c>
    </row>
    <row r="809">
      <c r="A809" s="38" t="n"/>
      <c r="B809" s="39" t="n"/>
      <c r="C809" s="39" t="n"/>
      <c r="D809" s="38" t="n"/>
      <c r="E809" s="38" t="n"/>
      <c r="F809" s="38" t="n"/>
      <c r="G809" s="37">
        <f>IF(COUNTA(A809:F809)=0,"",IF(A809="EXAMPLE","Example (skipped)",IF(OR(C809="",E809="",F809=""),"✖ Portal, User ID and Password are all needed",IF(AND(A809="",COUNTIF(Clients!$B$5:$B$1005,B809)=0),"Not on Clients — will match a portal client by name",IF(AND(C809="GST",D809&lt;&gt;"",COUNTIF(Clients!$AN$5:$AN$1005,UPPER(D809))=0,COUNTIF(Clients!$G$5:$G$1005,"*"&amp;UPPER(D809)&amp;"*")=0),"GSTIN not on Clients — will be checked in the portal","✔ OK")))))</f>
        <v/>
      </c>
    </row>
    <row r="810">
      <c r="A810" s="38" t="n"/>
      <c r="B810" s="39" t="n"/>
      <c r="C810" s="39" t="n"/>
      <c r="D810" s="38" t="n"/>
      <c r="E810" s="38" t="n"/>
      <c r="F810" s="38" t="n"/>
      <c r="G810" s="37">
        <f>IF(COUNTA(A810:F810)=0,"",IF(A810="EXAMPLE","Example (skipped)",IF(OR(C810="",E810="",F810=""),"✖ Portal, User ID and Password are all needed",IF(AND(A810="",COUNTIF(Clients!$B$5:$B$1005,B810)=0),"Not on Clients — will match a portal client by name",IF(AND(C810="GST",D810&lt;&gt;"",COUNTIF(Clients!$AN$5:$AN$1005,UPPER(D810))=0,COUNTIF(Clients!$G$5:$G$1005,"*"&amp;UPPER(D810)&amp;"*")=0),"GSTIN not on Clients — will be checked in the portal","✔ OK")))))</f>
        <v/>
      </c>
    </row>
    <row r="811">
      <c r="A811" s="38" t="n"/>
      <c r="B811" s="39" t="n"/>
      <c r="C811" s="39" t="n"/>
      <c r="D811" s="38" t="n"/>
      <c r="E811" s="38" t="n"/>
      <c r="F811" s="38" t="n"/>
      <c r="G811" s="37">
        <f>IF(COUNTA(A811:F811)=0,"",IF(A811="EXAMPLE","Example (skipped)",IF(OR(C811="",E811="",F811=""),"✖ Portal, User ID and Password are all needed",IF(AND(A811="",COUNTIF(Clients!$B$5:$B$1005,B811)=0),"Not on Clients — will match a portal client by name",IF(AND(C811="GST",D811&lt;&gt;"",COUNTIF(Clients!$AN$5:$AN$1005,UPPER(D811))=0,COUNTIF(Clients!$G$5:$G$1005,"*"&amp;UPPER(D811)&amp;"*")=0),"GSTIN not on Clients — will be checked in the portal","✔ OK")))))</f>
        <v/>
      </c>
    </row>
    <row r="812">
      <c r="A812" s="38" t="n"/>
      <c r="B812" s="39" t="n"/>
      <c r="C812" s="39" t="n"/>
      <c r="D812" s="38" t="n"/>
      <c r="E812" s="38" t="n"/>
      <c r="F812" s="38" t="n"/>
      <c r="G812" s="37">
        <f>IF(COUNTA(A812:F812)=0,"",IF(A812="EXAMPLE","Example (skipped)",IF(OR(C812="",E812="",F812=""),"✖ Portal, User ID and Password are all needed",IF(AND(A812="",COUNTIF(Clients!$B$5:$B$1005,B812)=0),"Not on Clients — will match a portal client by name",IF(AND(C812="GST",D812&lt;&gt;"",COUNTIF(Clients!$AN$5:$AN$1005,UPPER(D812))=0,COUNTIF(Clients!$G$5:$G$1005,"*"&amp;UPPER(D812)&amp;"*")=0),"GSTIN not on Clients — will be checked in the portal","✔ OK")))))</f>
        <v/>
      </c>
    </row>
    <row r="813">
      <c r="A813" s="38" t="n"/>
      <c r="B813" s="39" t="n"/>
      <c r="C813" s="39" t="n"/>
      <c r="D813" s="38" t="n"/>
      <c r="E813" s="38" t="n"/>
      <c r="F813" s="38" t="n"/>
      <c r="G813" s="37">
        <f>IF(COUNTA(A813:F813)=0,"",IF(A813="EXAMPLE","Example (skipped)",IF(OR(C813="",E813="",F813=""),"✖ Portal, User ID and Password are all needed",IF(AND(A813="",COUNTIF(Clients!$B$5:$B$1005,B813)=0),"Not on Clients — will match a portal client by name",IF(AND(C813="GST",D813&lt;&gt;"",COUNTIF(Clients!$AN$5:$AN$1005,UPPER(D813))=0,COUNTIF(Clients!$G$5:$G$1005,"*"&amp;UPPER(D813)&amp;"*")=0),"GSTIN not on Clients — will be checked in the portal","✔ OK")))))</f>
        <v/>
      </c>
    </row>
    <row r="814">
      <c r="A814" s="38" t="n"/>
      <c r="B814" s="39" t="n"/>
      <c r="C814" s="39" t="n"/>
      <c r="D814" s="38" t="n"/>
      <c r="E814" s="38" t="n"/>
      <c r="F814" s="38" t="n"/>
      <c r="G814" s="37">
        <f>IF(COUNTA(A814:F814)=0,"",IF(A814="EXAMPLE","Example (skipped)",IF(OR(C814="",E814="",F814=""),"✖ Portal, User ID and Password are all needed",IF(AND(A814="",COUNTIF(Clients!$B$5:$B$1005,B814)=0),"Not on Clients — will match a portal client by name",IF(AND(C814="GST",D814&lt;&gt;"",COUNTIF(Clients!$AN$5:$AN$1005,UPPER(D814))=0,COUNTIF(Clients!$G$5:$G$1005,"*"&amp;UPPER(D814)&amp;"*")=0),"GSTIN not on Clients — will be checked in the portal","✔ OK")))))</f>
        <v/>
      </c>
    </row>
    <row r="815">
      <c r="A815" s="38" t="n"/>
      <c r="B815" s="39" t="n"/>
      <c r="C815" s="39" t="n"/>
      <c r="D815" s="38" t="n"/>
      <c r="E815" s="38" t="n"/>
      <c r="F815" s="38" t="n"/>
      <c r="G815" s="37">
        <f>IF(COUNTA(A815:F815)=0,"",IF(A815="EXAMPLE","Example (skipped)",IF(OR(C815="",E815="",F815=""),"✖ Portal, User ID and Password are all needed",IF(AND(A815="",COUNTIF(Clients!$B$5:$B$1005,B815)=0),"Not on Clients — will match a portal client by name",IF(AND(C815="GST",D815&lt;&gt;"",COUNTIF(Clients!$AN$5:$AN$1005,UPPER(D815))=0,COUNTIF(Clients!$G$5:$G$1005,"*"&amp;UPPER(D815)&amp;"*")=0),"GSTIN not on Clients — will be checked in the portal","✔ OK")))))</f>
        <v/>
      </c>
    </row>
    <row r="816">
      <c r="A816" s="38" t="n"/>
      <c r="B816" s="39" t="n"/>
      <c r="C816" s="39" t="n"/>
      <c r="D816" s="38" t="n"/>
      <c r="E816" s="38" t="n"/>
      <c r="F816" s="38" t="n"/>
      <c r="G816" s="37">
        <f>IF(COUNTA(A816:F816)=0,"",IF(A816="EXAMPLE","Example (skipped)",IF(OR(C816="",E816="",F816=""),"✖ Portal, User ID and Password are all needed",IF(AND(A816="",COUNTIF(Clients!$B$5:$B$1005,B816)=0),"Not on Clients — will match a portal client by name",IF(AND(C816="GST",D816&lt;&gt;"",COUNTIF(Clients!$AN$5:$AN$1005,UPPER(D816))=0,COUNTIF(Clients!$G$5:$G$1005,"*"&amp;UPPER(D816)&amp;"*")=0),"GSTIN not on Clients — will be checked in the portal","✔ OK")))))</f>
        <v/>
      </c>
    </row>
    <row r="817">
      <c r="A817" s="38" t="n"/>
      <c r="B817" s="39" t="n"/>
      <c r="C817" s="39" t="n"/>
      <c r="D817" s="38" t="n"/>
      <c r="E817" s="38" t="n"/>
      <c r="F817" s="38" t="n"/>
      <c r="G817" s="37">
        <f>IF(COUNTA(A817:F817)=0,"",IF(A817="EXAMPLE","Example (skipped)",IF(OR(C817="",E817="",F817=""),"✖ Portal, User ID and Password are all needed",IF(AND(A817="",COUNTIF(Clients!$B$5:$B$1005,B817)=0),"Not on Clients — will match a portal client by name",IF(AND(C817="GST",D817&lt;&gt;"",COUNTIF(Clients!$AN$5:$AN$1005,UPPER(D817))=0,COUNTIF(Clients!$G$5:$G$1005,"*"&amp;UPPER(D817)&amp;"*")=0),"GSTIN not on Clients — will be checked in the portal","✔ OK")))))</f>
        <v/>
      </c>
    </row>
    <row r="818">
      <c r="A818" s="38" t="n"/>
      <c r="B818" s="39" t="n"/>
      <c r="C818" s="39" t="n"/>
      <c r="D818" s="38" t="n"/>
      <c r="E818" s="38" t="n"/>
      <c r="F818" s="38" t="n"/>
      <c r="G818" s="37">
        <f>IF(COUNTA(A818:F818)=0,"",IF(A818="EXAMPLE","Example (skipped)",IF(OR(C818="",E818="",F818=""),"✖ Portal, User ID and Password are all needed",IF(AND(A818="",COUNTIF(Clients!$B$5:$B$1005,B818)=0),"Not on Clients — will match a portal client by name",IF(AND(C818="GST",D818&lt;&gt;"",COUNTIF(Clients!$AN$5:$AN$1005,UPPER(D818))=0,COUNTIF(Clients!$G$5:$G$1005,"*"&amp;UPPER(D818)&amp;"*")=0),"GSTIN not on Clients — will be checked in the portal","✔ OK")))))</f>
        <v/>
      </c>
    </row>
    <row r="819">
      <c r="A819" s="38" t="n"/>
      <c r="B819" s="39" t="n"/>
      <c r="C819" s="39" t="n"/>
      <c r="D819" s="38" t="n"/>
      <c r="E819" s="38" t="n"/>
      <c r="F819" s="38" t="n"/>
      <c r="G819" s="37">
        <f>IF(COUNTA(A819:F819)=0,"",IF(A819="EXAMPLE","Example (skipped)",IF(OR(C819="",E819="",F819=""),"✖ Portal, User ID and Password are all needed",IF(AND(A819="",COUNTIF(Clients!$B$5:$B$1005,B819)=0),"Not on Clients — will match a portal client by name",IF(AND(C819="GST",D819&lt;&gt;"",COUNTIF(Clients!$AN$5:$AN$1005,UPPER(D819))=0,COUNTIF(Clients!$G$5:$G$1005,"*"&amp;UPPER(D819)&amp;"*")=0),"GSTIN not on Clients — will be checked in the portal","✔ OK")))))</f>
        <v/>
      </c>
    </row>
    <row r="820">
      <c r="A820" s="38" t="n"/>
      <c r="B820" s="39" t="n"/>
      <c r="C820" s="39" t="n"/>
      <c r="D820" s="38" t="n"/>
      <c r="E820" s="38" t="n"/>
      <c r="F820" s="38" t="n"/>
      <c r="G820" s="37">
        <f>IF(COUNTA(A820:F820)=0,"",IF(A820="EXAMPLE","Example (skipped)",IF(OR(C820="",E820="",F820=""),"✖ Portal, User ID and Password are all needed",IF(AND(A820="",COUNTIF(Clients!$B$5:$B$1005,B820)=0),"Not on Clients — will match a portal client by name",IF(AND(C820="GST",D820&lt;&gt;"",COUNTIF(Clients!$AN$5:$AN$1005,UPPER(D820))=0,COUNTIF(Clients!$G$5:$G$1005,"*"&amp;UPPER(D820)&amp;"*")=0),"GSTIN not on Clients — will be checked in the portal","✔ OK")))))</f>
        <v/>
      </c>
    </row>
    <row r="821">
      <c r="A821" s="38" t="n"/>
      <c r="B821" s="39" t="n"/>
      <c r="C821" s="39" t="n"/>
      <c r="D821" s="38" t="n"/>
      <c r="E821" s="38" t="n"/>
      <c r="F821" s="38" t="n"/>
      <c r="G821" s="37">
        <f>IF(COUNTA(A821:F821)=0,"",IF(A821="EXAMPLE","Example (skipped)",IF(OR(C821="",E821="",F821=""),"✖ Portal, User ID and Password are all needed",IF(AND(A821="",COUNTIF(Clients!$B$5:$B$1005,B821)=0),"Not on Clients — will match a portal client by name",IF(AND(C821="GST",D821&lt;&gt;"",COUNTIF(Clients!$AN$5:$AN$1005,UPPER(D821))=0,COUNTIF(Clients!$G$5:$G$1005,"*"&amp;UPPER(D821)&amp;"*")=0),"GSTIN not on Clients — will be checked in the portal","✔ OK")))))</f>
        <v/>
      </c>
    </row>
    <row r="822">
      <c r="A822" s="38" t="n"/>
      <c r="B822" s="39" t="n"/>
      <c r="C822" s="39" t="n"/>
      <c r="D822" s="38" t="n"/>
      <c r="E822" s="38" t="n"/>
      <c r="F822" s="38" t="n"/>
      <c r="G822" s="37">
        <f>IF(COUNTA(A822:F822)=0,"",IF(A822="EXAMPLE","Example (skipped)",IF(OR(C822="",E822="",F822=""),"✖ Portal, User ID and Password are all needed",IF(AND(A822="",COUNTIF(Clients!$B$5:$B$1005,B822)=0),"Not on Clients — will match a portal client by name",IF(AND(C822="GST",D822&lt;&gt;"",COUNTIF(Clients!$AN$5:$AN$1005,UPPER(D822))=0,COUNTIF(Clients!$G$5:$G$1005,"*"&amp;UPPER(D822)&amp;"*")=0),"GSTIN not on Clients — will be checked in the portal","✔ OK")))))</f>
        <v/>
      </c>
    </row>
    <row r="823">
      <c r="A823" s="38" t="n"/>
      <c r="B823" s="39" t="n"/>
      <c r="C823" s="39" t="n"/>
      <c r="D823" s="38" t="n"/>
      <c r="E823" s="38" t="n"/>
      <c r="F823" s="38" t="n"/>
      <c r="G823" s="37">
        <f>IF(COUNTA(A823:F823)=0,"",IF(A823="EXAMPLE","Example (skipped)",IF(OR(C823="",E823="",F823=""),"✖ Portal, User ID and Password are all needed",IF(AND(A823="",COUNTIF(Clients!$B$5:$B$1005,B823)=0),"Not on Clients — will match a portal client by name",IF(AND(C823="GST",D823&lt;&gt;"",COUNTIF(Clients!$AN$5:$AN$1005,UPPER(D823))=0,COUNTIF(Clients!$G$5:$G$1005,"*"&amp;UPPER(D823)&amp;"*")=0),"GSTIN not on Clients — will be checked in the portal","✔ OK")))))</f>
        <v/>
      </c>
    </row>
    <row r="824">
      <c r="A824" s="38" t="n"/>
      <c r="B824" s="39" t="n"/>
      <c r="C824" s="39" t="n"/>
      <c r="D824" s="38" t="n"/>
      <c r="E824" s="38" t="n"/>
      <c r="F824" s="38" t="n"/>
      <c r="G824" s="37">
        <f>IF(COUNTA(A824:F824)=0,"",IF(A824="EXAMPLE","Example (skipped)",IF(OR(C824="",E824="",F824=""),"✖ Portal, User ID and Password are all needed",IF(AND(A824="",COUNTIF(Clients!$B$5:$B$1005,B824)=0),"Not on Clients — will match a portal client by name",IF(AND(C824="GST",D824&lt;&gt;"",COUNTIF(Clients!$AN$5:$AN$1005,UPPER(D824))=0,COUNTIF(Clients!$G$5:$G$1005,"*"&amp;UPPER(D824)&amp;"*")=0),"GSTIN not on Clients — will be checked in the portal","✔ OK")))))</f>
        <v/>
      </c>
    </row>
    <row r="825">
      <c r="A825" s="38" t="n"/>
      <c r="B825" s="39" t="n"/>
      <c r="C825" s="39" t="n"/>
      <c r="D825" s="38" t="n"/>
      <c r="E825" s="38" t="n"/>
      <c r="F825" s="38" t="n"/>
      <c r="G825" s="37">
        <f>IF(COUNTA(A825:F825)=0,"",IF(A825="EXAMPLE","Example (skipped)",IF(OR(C825="",E825="",F825=""),"✖ Portal, User ID and Password are all needed",IF(AND(A825="",COUNTIF(Clients!$B$5:$B$1005,B825)=0),"Not on Clients — will match a portal client by name",IF(AND(C825="GST",D825&lt;&gt;"",COUNTIF(Clients!$AN$5:$AN$1005,UPPER(D825))=0,COUNTIF(Clients!$G$5:$G$1005,"*"&amp;UPPER(D825)&amp;"*")=0),"GSTIN not on Clients — will be checked in the portal","✔ OK")))))</f>
        <v/>
      </c>
    </row>
    <row r="826">
      <c r="A826" s="38" t="n"/>
      <c r="B826" s="39" t="n"/>
      <c r="C826" s="39" t="n"/>
      <c r="D826" s="38" t="n"/>
      <c r="E826" s="38" t="n"/>
      <c r="F826" s="38" t="n"/>
      <c r="G826" s="37">
        <f>IF(COUNTA(A826:F826)=0,"",IF(A826="EXAMPLE","Example (skipped)",IF(OR(C826="",E826="",F826=""),"✖ Portal, User ID and Password are all needed",IF(AND(A826="",COUNTIF(Clients!$B$5:$B$1005,B826)=0),"Not on Clients — will match a portal client by name",IF(AND(C826="GST",D826&lt;&gt;"",COUNTIF(Clients!$AN$5:$AN$1005,UPPER(D826))=0,COUNTIF(Clients!$G$5:$G$1005,"*"&amp;UPPER(D826)&amp;"*")=0),"GSTIN not on Clients — will be checked in the portal","✔ OK")))))</f>
        <v/>
      </c>
    </row>
    <row r="827">
      <c r="A827" s="38" t="n"/>
      <c r="B827" s="39" t="n"/>
      <c r="C827" s="39" t="n"/>
      <c r="D827" s="38" t="n"/>
      <c r="E827" s="38" t="n"/>
      <c r="F827" s="38" t="n"/>
      <c r="G827" s="37">
        <f>IF(COUNTA(A827:F827)=0,"",IF(A827="EXAMPLE","Example (skipped)",IF(OR(C827="",E827="",F827=""),"✖ Portal, User ID and Password are all needed",IF(AND(A827="",COUNTIF(Clients!$B$5:$B$1005,B827)=0),"Not on Clients — will match a portal client by name",IF(AND(C827="GST",D827&lt;&gt;"",COUNTIF(Clients!$AN$5:$AN$1005,UPPER(D827))=0,COUNTIF(Clients!$G$5:$G$1005,"*"&amp;UPPER(D827)&amp;"*")=0),"GSTIN not on Clients — will be checked in the portal","✔ OK")))))</f>
        <v/>
      </c>
    </row>
    <row r="828">
      <c r="A828" s="38" t="n"/>
      <c r="B828" s="39" t="n"/>
      <c r="C828" s="39" t="n"/>
      <c r="D828" s="38" t="n"/>
      <c r="E828" s="38" t="n"/>
      <c r="F828" s="38" t="n"/>
      <c r="G828" s="37">
        <f>IF(COUNTA(A828:F828)=0,"",IF(A828="EXAMPLE","Example (skipped)",IF(OR(C828="",E828="",F828=""),"✖ Portal, User ID and Password are all needed",IF(AND(A828="",COUNTIF(Clients!$B$5:$B$1005,B828)=0),"Not on Clients — will match a portal client by name",IF(AND(C828="GST",D828&lt;&gt;"",COUNTIF(Clients!$AN$5:$AN$1005,UPPER(D828))=0,COUNTIF(Clients!$G$5:$G$1005,"*"&amp;UPPER(D828)&amp;"*")=0),"GSTIN not on Clients — will be checked in the portal","✔ OK")))))</f>
        <v/>
      </c>
    </row>
    <row r="829">
      <c r="A829" s="38" t="n"/>
      <c r="B829" s="39" t="n"/>
      <c r="C829" s="39" t="n"/>
      <c r="D829" s="38" t="n"/>
      <c r="E829" s="38" t="n"/>
      <c r="F829" s="38" t="n"/>
      <c r="G829" s="37">
        <f>IF(COUNTA(A829:F829)=0,"",IF(A829="EXAMPLE","Example (skipped)",IF(OR(C829="",E829="",F829=""),"✖ Portal, User ID and Password are all needed",IF(AND(A829="",COUNTIF(Clients!$B$5:$B$1005,B829)=0),"Not on Clients — will match a portal client by name",IF(AND(C829="GST",D829&lt;&gt;"",COUNTIF(Clients!$AN$5:$AN$1005,UPPER(D829))=0,COUNTIF(Clients!$G$5:$G$1005,"*"&amp;UPPER(D829)&amp;"*")=0),"GSTIN not on Clients — will be checked in the portal","✔ OK")))))</f>
        <v/>
      </c>
    </row>
    <row r="830">
      <c r="A830" s="38" t="n"/>
      <c r="B830" s="39" t="n"/>
      <c r="C830" s="39" t="n"/>
      <c r="D830" s="38" t="n"/>
      <c r="E830" s="38" t="n"/>
      <c r="F830" s="38" t="n"/>
      <c r="G830" s="37">
        <f>IF(COUNTA(A830:F830)=0,"",IF(A830="EXAMPLE","Example (skipped)",IF(OR(C830="",E830="",F830=""),"✖ Portal, User ID and Password are all needed",IF(AND(A830="",COUNTIF(Clients!$B$5:$B$1005,B830)=0),"Not on Clients — will match a portal client by name",IF(AND(C830="GST",D830&lt;&gt;"",COUNTIF(Clients!$AN$5:$AN$1005,UPPER(D830))=0,COUNTIF(Clients!$G$5:$G$1005,"*"&amp;UPPER(D830)&amp;"*")=0),"GSTIN not on Clients — will be checked in the portal","✔ OK")))))</f>
        <v/>
      </c>
    </row>
    <row r="831">
      <c r="A831" s="38" t="n"/>
      <c r="B831" s="39" t="n"/>
      <c r="C831" s="39" t="n"/>
      <c r="D831" s="38" t="n"/>
      <c r="E831" s="38" t="n"/>
      <c r="F831" s="38" t="n"/>
      <c r="G831" s="37">
        <f>IF(COUNTA(A831:F831)=0,"",IF(A831="EXAMPLE","Example (skipped)",IF(OR(C831="",E831="",F831=""),"✖ Portal, User ID and Password are all needed",IF(AND(A831="",COUNTIF(Clients!$B$5:$B$1005,B831)=0),"Not on Clients — will match a portal client by name",IF(AND(C831="GST",D831&lt;&gt;"",COUNTIF(Clients!$AN$5:$AN$1005,UPPER(D831))=0,COUNTIF(Clients!$G$5:$G$1005,"*"&amp;UPPER(D831)&amp;"*")=0),"GSTIN not on Clients — will be checked in the portal","✔ OK")))))</f>
        <v/>
      </c>
    </row>
    <row r="832">
      <c r="A832" s="38" t="n"/>
      <c r="B832" s="39" t="n"/>
      <c r="C832" s="39" t="n"/>
      <c r="D832" s="38" t="n"/>
      <c r="E832" s="38" t="n"/>
      <c r="F832" s="38" t="n"/>
      <c r="G832" s="37">
        <f>IF(COUNTA(A832:F832)=0,"",IF(A832="EXAMPLE","Example (skipped)",IF(OR(C832="",E832="",F832=""),"✖ Portal, User ID and Password are all needed",IF(AND(A832="",COUNTIF(Clients!$B$5:$B$1005,B832)=0),"Not on Clients — will match a portal client by name",IF(AND(C832="GST",D832&lt;&gt;"",COUNTIF(Clients!$AN$5:$AN$1005,UPPER(D832))=0,COUNTIF(Clients!$G$5:$G$1005,"*"&amp;UPPER(D832)&amp;"*")=0),"GSTIN not on Clients — will be checked in the portal","✔ OK")))))</f>
        <v/>
      </c>
    </row>
    <row r="833">
      <c r="A833" s="38" t="n"/>
      <c r="B833" s="39" t="n"/>
      <c r="C833" s="39" t="n"/>
      <c r="D833" s="38" t="n"/>
      <c r="E833" s="38" t="n"/>
      <c r="F833" s="38" t="n"/>
      <c r="G833" s="37">
        <f>IF(COUNTA(A833:F833)=0,"",IF(A833="EXAMPLE","Example (skipped)",IF(OR(C833="",E833="",F833=""),"✖ Portal, User ID and Password are all needed",IF(AND(A833="",COUNTIF(Clients!$B$5:$B$1005,B833)=0),"Not on Clients — will match a portal client by name",IF(AND(C833="GST",D833&lt;&gt;"",COUNTIF(Clients!$AN$5:$AN$1005,UPPER(D833))=0,COUNTIF(Clients!$G$5:$G$1005,"*"&amp;UPPER(D833)&amp;"*")=0),"GSTIN not on Clients — will be checked in the portal","✔ OK")))))</f>
        <v/>
      </c>
    </row>
    <row r="834">
      <c r="A834" s="38" t="n"/>
      <c r="B834" s="39" t="n"/>
      <c r="C834" s="39" t="n"/>
      <c r="D834" s="38" t="n"/>
      <c r="E834" s="38" t="n"/>
      <c r="F834" s="38" t="n"/>
      <c r="G834" s="37">
        <f>IF(COUNTA(A834:F834)=0,"",IF(A834="EXAMPLE","Example (skipped)",IF(OR(C834="",E834="",F834=""),"✖ Portal, User ID and Password are all needed",IF(AND(A834="",COUNTIF(Clients!$B$5:$B$1005,B834)=0),"Not on Clients — will match a portal client by name",IF(AND(C834="GST",D834&lt;&gt;"",COUNTIF(Clients!$AN$5:$AN$1005,UPPER(D834))=0,COUNTIF(Clients!$G$5:$G$1005,"*"&amp;UPPER(D834)&amp;"*")=0),"GSTIN not on Clients — will be checked in the portal","✔ OK")))))</f>
        <v/>
      </c>
    </row>
    <row r="835">
      <c r="A835" s="38" t="n"/>
      <c r="B835" s="39" t="n"/>
      <c r="C835" s="39" t="n"/>
      <c r="D835" s="38" t="n"/>
      <c r="E835" s="38" t="n"/>
      <c r="F835" s="38" t="n"/>
      <c r="G835" s="37">
        <f>IF(COUNTA(A835:F835)=0,"",IF(A835="EXAMPLE","Example (skipped)",IF(OR(C835="",E835="",F835=""),"✖ Portal, User ID and Password are all needed",IF(AND(A835="",COUNTIF(Clients!$B$5:$B$1005,B835)=0),"Not on Clients — will match a portal client by name",IF(AND(C835="GST",D835&lt;&gt;"",COUNTIF(Clients!$AN$5:$AN$1005,UPPER(D835))=0,COUNTIF(Clients!$G$5:$G$1005,"*"&amp;UPPER(D835)&amp;"*")=0),"GSTIN not on Clients — will be checked in the portal","✔ OK")))))</f>
        <v/>
      </c>
    </row>
    <row r="836">
      <c r="A836" s="38" t="n"/>
      <c r="B836" s="39" t="n"/>
      <c r="C836" s="39" t="n"/>
      <c r="D836" s="38" t="n"/>
      <c r="E836" s="38" t="n"/>
      <c r="F836" s="38" t="n"/>
      <c r="G836" s="37">
        <f>IF(COUNTA(A836:F836)=0,"",IF(A836="EXAMPLE","Example (skipped)",IF(OR(C836="",E836="",F836=""),"✖ Portal, User ID and Password are all needed",IF(AND(A836="",COUNTIF(Clients!$B$5:$B$1005,B836)=0),"Not on Clients — will match a portal client by name",IF(AND(C836="GST",D836&lt;&gt;"",COUNTIF(Clients!$AN$5:$AN$1005,UPPER(D836))=0,COUNTIF(Clients!$G$5:$G$1005,"*"&amp;UPPER(D836)&amp;"*")=0),"GSTIN not on Clients — will be checked in the portal","✔ OK")))))</f>
        <v/>
      </c>
    </row>
    <row r="837">
      <c r="A837" s="38" t="n"/>
      <c r="B837" s="39" t="n"/>
      <c r="C837" s="39" t="n"/>
      <c r="D837" s="38" t="n"/>
      <c r="E837" s="38" t="n"/>
      <c r="F837" s="38" t="n"/>
      <c r="G837" s="37">
        <f>IF(COUNTA(A837:F837)=0,"",IF(A837="EXAMPLE","Example (skipped)",IF(OR(C837="",E837="",F837=""),"✖ Portal, User ID and Password are all needed",IF(AND(A837="",COUNTIF(Clients!$B$5:$B$1005,B837)=0),"Not on Clients — will match a portal client by name",IF(AND(C837="GST",D837&lt;&gt;"",COUNTIF(Clients!$AN$5:$AN$1005,UPPER(D837))=0,COUNTIF(Clients!$G$5:$G$1005,"*"&amp;UPPER(D837)&amp;"*")=0),"GSTIN not on Clients — will be checked in the portal","✔ OK")))))</f>
        <v/>
      </c>
    </row>
    <row r="838">
      <c r="A838" s="38" t="n"/>
      <c r="B838" s="39" t="n"/>
      <c r="C838" s="39" t="n"/>
      <c r="D838" s="38" t="n"/>
      <c r="E838" s="38" t="n"/>
      <c r="F838" s="38" t="n"/>
      <c r="G838" s="37">
        <f>IF(COUNTA(A838:F838)=0,"",IF(A838="EXAMPLE","Example (skipped)",IF(OR(C838="",E838="",F838=""),"✖ Portal, User ID and Password are all needed",IF(AND(A838="",COUNTIF(Clients!$B$5:$B$1005,B838)=0),"Not on Clients — will match a portal client by name",IF(AND(C838="GST",D838&lt;&gt;"",COUNTIF(Clients!$AN$5:$AN$1005,UPPER(D838))=0,COUNTIF(Clients!$G$5:$G$1005,"*"&amp;UPPER(D838)&amp;"*")=0),"GSTIN not on Clients — will be checked in the portal","✔ OK")))))</f>
        <v/>
      </c>
    </row>
    <row r="839">
      <c r="A839" s="38" t="n"/>
      <c r="B839" s="39" t="n"/>
      <c r="C839" s="39" t="n"/>
      <c r="D839" s="38" t="n"/>
      <c r="E839" s="38" t="n"/>
      <c r="F839" s="38" t="n"/>
      <c r="G839" s="37">
        <f>IF(COUNTA(A839:F839)=0,"",IF(A839="EXAMPLE","Example (skipped)",IF(OR(C839="",E839="",F839=""),"✖ Portal, User ID and Password are all needed",IF(AND(A839="",COUNTIF(Clients!$B$5:$B$1005,B839)=0),"Not on Clients — will match a portal client by name",IF(AND(C839="GST",D839&lt;&gt;"",COUNTIF(Clients!$AN$5:$AN$1005,UPPER(D839))=0,COUNTIF(Clients!$G$5:$G$1005,"*"&amp;UPPER(D839)&amp;"*")=0),"GSTIN not on Clients — will be checked in the portal","✔ OK")))))</f>
        <v/>
      </c>
    </row>
    <row r="840">
      <c r="A840" s="38" t="n"/>
      <c r="B840" s="39" t="n"/>
      <c r="C840" s="39" t="n"/>
      <c r="D840" s="38" t="n"/>
      <c r="E840" s="38" t="n"/>
      <c r="F840" s="38" t="n"/>
      <c r="G840" s="37">
        <f>IF(COUNTA(A840:F840)=0,"",IF(A840="EXAMPLE","Example (skipped)",IF(OR(C840="",E840="",F840=""),"✖ Portal, User ID and Password are all needed",IF(AND(A840="",COUNTIF(Clients!$B$5:$B$1005,B840)=0),"Not on Clients — will match a portal client by name",IF(AND(C840="GST",D840&lt;&gt;"",COUNTIF(Clients!$AN$5:$AN$1005,UPPER(D840))=0,COUNTIF(Clients!$G$5:$G$1005,"*"&amp;UPPER(D840)&amp;"*")=0),"GSTIN not on Clients — will be checked in the portal","✔ OK")))))</f>
        <v/>
      </c>
    </row>
    <row r="841">
      <c r="A841" s="38" t="n"/>
      <c r="B841" s="39" t="n"/>
      <c r="C841" s="39" t="n"/>
      <c r="D841" s="38" t="n"/>
      <c r="E841" s="38" t="n"/>
      <c r="F841" s="38" t="n"/>
      <c r="G841" s="37">
        <f>IF(COUNTA(A841:F841)=0,"",IF(A841="EXAMPLE","Example (skipped)",IF(OR(C841="",E841="",F841=""),"✖ Portal, User ID and Password are all needed",IF(AND(A841="",COUNTIF(Clients!$B$5:$B$1005,B841)=0),"Not on Clients — will match a portal client by name",IF(AND(C841="GST",D841&lt;&gt;"",COUNTIF(Clients!$AN$5:$AN$1005,UPPER(D841))=0,COUNTIF(Clients!$G$5:$G$1005,"*"&amp;UPPER(D841)&amp;"*")=0),"GSTIN not on Clients — will be checked in the portal","✔ OK")))))</f>
        <v/>
      </c>
    </row>
    <row r="842">
      <c r="A842" s="38" t="n"/>
      <c r="B842" s="39" t="n"/>
      <c r="C842" s="39" t="n"/>
      <c r="D842" s="38" t="n"/>
      <c r="E842" s="38" t="n"/>
      <c r="F842" s="38" t="n"/>
      <c r="G842" s="37">
        <f>IF(COUNTA(A842:F842)=0,"",IF(A842="EXAMPLE","Example (skipped)",IF(OR(C842="",E842="",F842=""),"✖ Portal, User ID and Password are all needed",IF(AND(A842="",COUNTIF(Clients!$B$5:$B$1005,B842)=0),"Not on Clients — will match a portal client by name",IF(AND(C842="GST",D842&lt;&gt;"",COUNTIF(Clients!$AN$5:$AN$1005,UPPER(D842))=0,COUNTIF(Clients!$G$5:$G$1005,"*"&amp;UPPER(D842)&amp;"*")=0),"GSTIN not on Clients — will be checked in the portal","✔ OK")))))</f>
        <v/>
      </c>
    </row>
    <row r="843">
      <c r="A843" s="38" t="n"/>
      <c r="B843" s="39" t="n"/>
      <c r="C843" s="39" t="n"/>
      <c r="D843" s="38" t="n"/>
      <c r="E843" s="38" t="n"/>
      <c r="F843" s="38" t="n"/>
      <c r="G843" s="37">
        <f>IF(COUNTA(A843:F843)=0,"",IF(A843="EXAMPLE","Example (skipped)",IF(OR(C843="",E843="",F843=""),"✖ Portal, User ID and Password are all needed",IF(AND(A843="",COUNTIF(Clients!$B$5:$B$1005,B843)=0),"Not on Clients — will match a portal client by name",IF(AND(C843="GST",D843&lt;&gt;"",COUNTIF(Clients!$AN$5:$AN$1005,UPPER(D843))=0,COUNTIF(Clients!$G$5:$G$1005,"*"&amp;UPPER(D843)&amp;"*")=0),"GSTIN not on Clients — will be checked in the portal","✔ OK")))))</f>
        <v/>
      </c>
    </row>
    <row r="844">
      <c r="A844" s="38" t="n"/>
      <c r="B844" s="39" t="n"/>
      <c r="C844" s="39" t="n"/>
      <c r="D844" s="38" t="n"/>
      <c r="E844" s="38" t="n"/>
      <c r="F844" s="38" t="n"/>
      <c r="G844" s="37">
        <f>IF(COUNTA(A844:F844)=0,"",IF(A844="EXAMPLE","Example (skipped)",IF(OR(C844="",E844="",F844=""),"✖ Portal, User ID and Password are all needed",IF(AND(A844="",COUNTIF(Clients!$B$5:$B$1005,B844)=0),"Not on Clients — will match a portal client by name",IF(AND(C844="GST",D844&lt;&gt;"",COUNTIF(Clients!$AN$5:$AN$1005,UPPER(D844))=0,COUNTIF(Clients!$G$5:$G$1005,"*"&amp;UPPER(D844)&amp;"*")=0),"GSTIN not on Clients — will be checked in the portal","✔ OK")))))</f>
        <v/>
      </c>
    </row>
    <row r="845">
      <c r="A845" s="38" t="n"/>
      <c r="B845" s="39" t="n"/>
      <c r="C845" s="39" t="n"/>
      <c r="D845" s="38" t="n"/>
      <c r="E845" s="38" t="n"/>
      <c r="F845" s="38" t="n"/>
      <c r="G845" s="37">
        <f>IF(COUNTA(A845:F845)=0,"",IF(A845="EXAMPLE","Example (skipped)",IF(OR(C845="",E845="",F845=""),"✖ Portal, User ID and Password are all needed",IF(AND(A845="",COUNTIF(Clients!$B$5:$B$1005,B845)=0),"Not on Clients — will match a portal client by name",IF(AND(C845="GST",D845&lt;&gt;"",COUNTIF(Clients!$AN$5:$AN$1005,UPPER(D845))=0,COUNTIF(Clients!$G$5:$G$1005,"*"&amp;UPPER(D845)&amp;"*")=0),"GSTIN not on Clients — will be checked in the portal","✔ OK")))))</f>
        <v/>
      </c>
    </row>
    <row r="846">
      <c r="A846" s="38" t="n"/>
      <c r="B846" s="39" t="n"/>
      <c r="C846" s="39" t="n"/>
      <c r="D846" s="38" t="n"/>
      <c r="E846" s="38" t="n"/>
      <c r="F846" s="38" t="n"/>
      <c r="G846" s="37">
        <f>IF(COUNTA(A846:F846)=0,"",IF(A846="EXAMPLE","Example (skipped)",IF(OR(C846="",E846="",F846=""),"✖ Portal, User ID and Password are all needed",IF(AND(A846="",COUNTIF(Clients!$B$5:$B$1005,B846)=0),"Not on Clients — will match a portal client by name",IF(AND(C846="GST",D846&lt;&gt;"",COUNTIF(Clients!$AN$5:$AN$1005,UPPER(D846))=0,COUNTIF(Clients!$G$5:$G$1005,"*"&amp;UPPER(D846)&amp;"*")=0),"GSTIN not on Clients — will be checked in the portal","✔ OK")))))</f>
        <v/>
      </c>
    </row>
    <row r="847">
      <c r="A847" s="38" t="n"/>
      <c r="B847" s="39" t="n"/>
      <c r="C847" s="39" t="n"/>
      <c r="D847" s="38" t="n"/>
      <c r="E847" s="38" t="n"/>
      <c r="F847" s="38" t="n"/>
      <c r="G847" s="37">
        <f>IF(COUNTA(A847:F847)=0,"",IF(A847="EXAMPLE","Example (skipped)",IF(OR(C847="",E847="",F847=""),"✖ Portal, User ID and Password are all needed",IF(AND(A847="",COUNTIF(Clients!$B$5:$B$1005,B847)=0),"Not on Clients — will match a portal client by name",IF(AND(C847="GST",D847&lt;&gt;"",COUNTIF(Clients!$AN$5:$AN$1005,UPPER(D847))=0,COUNTIF(Clients!$G$5:$G$1005,"*"&amp;UPPER(D847)&amp;"*")=0),"GSTIN not on Clients — will be checked in the portal","✔ OK")))))</f>
        <v/>
      </c>
    </row>
    <row r="848">
      <c r="A848" s="38" t="n"/>
      <c r="B848" s="39" t="n"/>
      <c r="C848" s="39" t="n"/>
      <c r="D848" s="38" t="n"/>
      <c r="E848" s="38" t="n"/>
      <c r="F848" s="38" t="n"/>
      <c r="G848" s="37">
        <f>IF(COUNTA(A848:F848)=0,"",IF(A848="EXAMPLE","Example (skipped)",IF(OR(C848="",E848="",F848=""),"✖ Portal, User ID and Password are all needed",IF(AND(A848="",COUNTIF(Clients!$B$5:$B$1005,B848)=0),"Not on Clients — will match a portal client by name",IF(AND(C848="GST",D848&lt;&gt;"",COUNTIF(Clients!$AN$5:$AN$1005,UPPER(D848))=0,COUNTIF(Clients!$G$5:$G$1005,"*"&amp;UPPER(D848)&amp;"*")=0),"GSTIN not on Clients — will be checked in the portal","✔ OK")))))</f>
        <v/>
      </c>
    </row>
    <row r="849">
      <c r="A849" s="38" t="n"/>
      <c r="B849" s="39" t="n"/>
      <c r="C849" s="39" t="n"/>
      <c r="D849" s="38" t="n"/>
      <c r="E849" s="38" t="n"/>
      <c r="F849" s="38" t="n"/>
      <c r="G849" s="37">
        <f>IF(COUNTA(A849:F849)=0,"",IF(A849="EXAMPLE","Example (skipped)",IF(OR(C849="",E849="",F849=""),"✖ Portal, User ID and Password are all needed",IF(AND(A849="",COUNTIF(Clients!$B$5:$B$1005,B849)=0),"Not on Clients — will match a portal client by name",IF(AND(C849="GST",D849&lt;&gt;"",COUNTIF(Clients!$AN$5:$AN$1005,UPPER(D849))=0,COUNTIF(Clients!$G$5:$G$1005,"*"&amp;UPPER(D849)&amp;"*")=0),"GSTIN not on Clients — will be checked in the portal","✔ OK")))))</f>
        <v/>
      </c>
    </row>
    <row r="850">
      <c r="A850" s="38" t="n"/>
      <c r="B850" s="39" t="n"/>
      <c r="C850" s="39" t="n"/>
      <c r="D850" s="38" t="n"/>
      <c r="E850" s="38" t="n"/>
      <c r="F850" s="38" t="n"/>
      <c r="G850" s="37">
        <f>IF(COUNTA(A850:F850)=0,"",IF(A850="EXAMPLE","Example (skipped)",IF(OR(C850="",E850="",F850=""),"✖ Portal, User ID and Password are all needed",IF(AND(A850="",COUNTIF(Clients!$B$5:$B$1005,B850)=0),"Not on Clients — will match a portal client by name",IF(AND(C850="GST",D850&lt;&gt;"",COUNTIF(Clients!$AN$5:$AN$1005,UPPER(D850))=0,COUNTIF(Clients!$G$5:$G$1005,"*"&amp;UPPER(D850)&amp;"*")=0),"GSTIN not on Clients — will be checked in the portal","✔ OK")))))</f>
        <v/>
      </c>
    </row>
    <row r="851">
      <c r="A851" s="38" t="n"/>
      <c r="B851" s="39" t="n"/>
      <c r="C851" s="39" t="n"/>
      <c r="D851" s="38" t="n"/>
      <c r="E851" s="38" t="n"/>
      <c r="F851" s="38" t="n"/>
      <c r="G851" s="37">
        <f>IF(COUNTA(A851:F851)=0,"",IF(A851="EXAMPLE","Example (skipped)",IF(OR(C851="",E851="",F851=""),"✖ Portal, User ID and Password are all needed",IF(AND(A851="",COUNTIF(Clients!$B$5:$B$1005,B851)=0),"Not on Clients — will match a portal client by name",IF(AND(C851="GST",D851&lt;&gt;"",COUNTIF(Clients!$AN$5:$AN$1005,UPPER(D851))=0,COUNTIF(Clients!$G$5:$G$1005,"*"&amp;UPPER(D851)&amp;"*")=0),"GSTIN not on Clients — will be checked in the portal","✔ OK")))))</f>
        <v/>
      </c>
    </row>
    <row r="852">
      <c r="A852" s="38" t="n"/>
      <c r="B852" s="39" t="n"/>
      <c r="C852" s="39" t="n"/>
      <c r="D852" s="38" t="n"/>
      <c r="E852" s="38" t="n"/>
      <c r="F852" s="38" t="n"/>
      <c r="G852" s="37">
        <f>IF(COUNTA(A852:F852)=0,"",IF(A852="EXAMPLE","Example (skipped)",IF(OR(C852="",E852="",F852=""),"✖ Portal, User ID and Password are all needed",IF(AND(A852="",COUNTIF(Clients!$B$5:$B$1005,B852)=0),"Not on Clients — will match a portal client by name",IF(AND(C852="GST",D852&lt;&gt;"",COUNTIF(Clients!$AN$5:$AN$1005,UPPER(D852))=0,COUNTIF(Clients!$G$5:$G$1005,"*"&amp;UPPER(D852)&amp;"*")=0),"GSTIN not on Clients — will be checked in the portal","✔ OK")))))</f>
        <v/>
      </c>
    </row>
    <row r="853">
      <c r="A853" s="38" t="n"/>
      <c r="B853" s="39" t="n"/>
      <c r="C853" s="39" t="n"/>
      <c r="D853" s="38" t="n"/>
      <c r="E853" s="38" t="n"/>
      <c r="F853" s="38" t="n"/>
      <c r="G853" s="37">
        <f>IF(COUNTA(A853:F853)=0,"",IF(A853="EXAMPLE","Example (skipped)",IF(OR(C853="",E853="",F853=""),"✖ Portal, User ID and Password are all needed",IF(AND(A853="",COUNTIF(Clients!$B$5:$B$1005,B853)=0),"Not on Clients — will match a portal client by name",IF(AND(C853="GST",D853&lt;&gt;"",COUNTIF(Clients!$AN$5:$AN$1005,UPPER(D853))=0,COUNTIF(Clients!$G$5:$G$1005,"*"&amp;UPPER(D853)&amp;"*")=0),"GSTIN not on Clients — will be checked in the portal","✔ OK")))))</f>
        <v/>
      </c>
    </row>
    <row r="854">
      <c r="A854" s="38" t="n"/>
      <c r="B854" s="39" t="n"/>
      <c r="C854" s="39" t="n"/>
      <c r="D854" s="38" t="n"/>
      <c r="E854" s="38" t="n"/>
      <c r="F854" s="38" t="n"/>
      <c r="G854" s="37">
        <f>IF(COUNTA(A854:F854)=0,"",IF(A854="EXAMPLE","Example (skipped)",IF(OR(C854="",E854="",F854=""),"✖ Portal, User ID and Password are all needed",IF(AND(A854="",COUNTIF(Clients!$B$5:$B$1005,B854)=0),"Not on Clients — will match a portal client by name",IF(AND(C854="GST",D854&lt;&gt;"",COUNTIF(Clients!$AN$5:$AN$1005,UPPER(D854))=0,COUNTIF(Clients!$G$5:$G$1005,"*"&amp;UPPER(D854)&amp;"*")=0),"GSTIN not on Clients — will be checked in the portal","✔ OK")))))</f>
        <v/>
      </c>
    </row>
    <row r="855">
      <c r="A855" s="38" t="n"/>
      <c r="B855" s="39" t="n"/>
      <c r="C855" s="39" t="n"/>
      <c r="D855" s="38" t="n"/>
      <c r="E855" s="38" t="n"/>
      <c r="F855" s="38" t="n"/>
      <c r="G855" s="37">
        <f>IF(COUNTA(A855:F855)=0,"",IF(A855="EXAMPLE","Example (skipped)",IF(OR(C855="",E855="",F855=""),"✖ Portal, User ID and Password are all needed",IF(AND(A855="",COUNTIF(Clients!$B$5:$B$1005,B855)=0),"Not on Clients — will match a portal client by name",IF(AND(C855="GST",D855&lt;&gt;"",COUNTIF(Clients!$AN$5:$AN$1005,UPPER(D855))=0,COUNTIF(Clients!$G$5:$G$1005,"*"&amp;UPPER(D855)&amp;"*")=0),"GSTIN not on Clients — will be checked in the portal","✔ OK")))))</f>
        <v/>
      </c>
    </row>
    <row r="856">
      <c r="A856" s="38" t="n"/>
      <c r="B856" s="39" t="n"/>
      <c r="C856" s="39" t="n"/>
      <c r="D856" s="38" t="n"/>
      <c r="E856" s="38" t="n"/>
      <c r="F856" s="38" t="n"/>
      <c r="G856" s="37">
        <f>IF(COUNTA(A856:F856)=0,"",IF(A856="EXAMPLE","Example (skipped)",IF(OR(C856="",E856="",F856=""),"✖ Portal, User ID and Password are all needed",IF(AND(A856="",COUNTIF(Clients!$B$5:$B$1005,B856)=0),"Not on Clients — will match a portal client by name",IF(AND(C856="GST",D856&lt;&gt;"",COUNTIF(Clients!$AN$5:$AN$1005,UPPER(D856))=0,COUNTIF(Clients!$G$5:$G$1005,"*"&amp;UPPER(D856)&amp;"*")=0),"GSTIN not on Clients — will be checked in the portal","✔ OK")))))</f>
        <v/>
      </c>
    </row>
    <row r="857">
      <c r="A857" s="38" t="n"/>
      <c r="B857" s="39" t="n"/>
      <c r="C857" s="39" t="n"/>
      <c r="D857" s="38" t="n"/>
      <c r="E857" s="38" t="n"/>
      <c r="F857" s="38" t="n"/>
      <c r="G857" s="37">
        <f>IF(COUNTA(A857:F857)=0,"",IF(A857="EXAMPLE","Example (skipped)",IF(OR(C857="",E857="",F857=""),"✖ Portal, User ID and Password are all needed",IF(AND(A857="",COUNTIF(Clients!$B$5:$B$1005,B857)=0),"Not on Clients — will match a portal client by name",IF(AND(C857="GST",D857&lt;&gt;"",COUNTIF(Clients!$AN$5:$AN$1005,UPPER(D857))=0,COUNTIF(Clients!$G$5:$G$1005,"*"&amp;UPPER(D857)&amp;"*")=0),"GSTIN not on Clients — will be checked in the portal","✔ OK")))))</f>
        <v/>
      </c>
    </row>
    <row r="858">
      <c r="A858" s="38" t="n"/>
      <c r="B858" s="39" t="n"/>
      <c r="C858" s="39" t="n"/>
      <c r="D858" s="38" t="n"/>
      <c r="E858" s="38" t="n"/>
      <c r="F858" s="38" t="n"/>
      <c r="G858" s="37">
        <f>IF(COUNTA(A858:F858)=0,"",IF(A858="EXAMPLE","Example (skipped)",IF(OR(C858="",E858="",F858=""),"✖ Portal, User ID and Password are all needed",IF(AND(A858="",COUNTIF(Clients!$B$5:$B$1005,B858)=0),"Not on Clients — will match a portal client by name",IF(AND(C858="GST",D858&lt;&gt;"",COUNTIF(Clients!$AN$5:$AN$1005,UPPER(D858))=0,COUNTIF(Clients!$G$5:$G$1005,"*"&amp;UPPER(D858)&amp;"*")=0),"GSTIN not on Clients — will be checked in the portal","✔ OK")))))</f>
        <v/>
      </c>
    </row>
    <row r="859">
      <c r="A859" s="38" t="n"/>
      <c r="B859" s="39" t="n"/>
      <c r="C859" s="39" t="n"/>
      <c r="D859" s="38" t="n"/>
      <c r="E859" s="38" t="n"/>
      <c r="F859" s="38" t="n"/>
      <c r="G859" s="37">
        <f>IF(COUNTA(A859:F859)=0,"",IF(A859="EXAMPLE","Example (skipped)",IF(OR(C859="",E859="",F859=""),"✖ Portal, User ID and Password are all needed",IF(AND(A859="",COUNTIF(Clients!$B$5:$B$1005,B859)=0),"Not on Clients — will match a portal client by name",IF(AND(C859="GST",D859&lt;&gt;"",COUNTIF(Clients!$AN$5:$AN$1005,UPPER(D859))=0,COUNTIF(Clients!$G$5:$G$1005,"*"&amp;UPPER(D859)&amp;"*")=0),"GSTIN not on Clients — will be checked in the portal","✔ OK")))))</f>
        <v/>
      </c>
    </row>
    <row r="860">
      <c r="A860" s="38" t="n"/>
      <c r="B860" s="39" t="n"/>
      <c r="C860" s="39" t="n"/>
      <c r="D860" s="38" t="n"/>
      <c r="E860" s="38" t="n"/>
      <c r="F860" s="38" t="n"/>
      <c r="G860" s="37">
        <f>IF(COUNTA(A860:F860)=0,"",IF(A860="EXAMPLE","Example (skipped)",IF(OR(C860="",E860="",F860=""),"✖ Portal, User ID and Password are all needed",IF(AND(A860="",COUNTIF(Clients!$B$5:$B$1005,B860)=0),"Not on Clients — will match a portal client by name",IF(AND(C860="GST",D860&lt;&gt;"",COUNTIF(Clients!$AN$5:$AN$1005,UPPER(D860))=0,COUNTIF(Clients!$G$5:$G$1005,"*"&amp;UPPER(D860)&amp;"*")=0),"GSTIN not on Clients — will be checked in the portal","✔ OK")))))</f>
        <v/>
      </c>
    </row>
    <row r="861">
      <c r="A861" s="38" t="n"/>
      <c r="B861" s="39" t="n"/>
      <c r="C861" s="39" t="n"/>
      <c r="D861" s="38" t="n"/>
      <c r="E861" s="38" t="n"/>
      <c r="F861" s="38" t="n"/>
      <c r="G861" s="37">
        <f>IF(COUNTA(A861:F861)=0,"",IF(A861="EXAMPLE","Example (skipped)",IF(OR(C861="",E861="",F861=""),"✖ Portal, User ID and Password are all needed",IF(AND(A861="",COUNTIF(Clients!$B$5:$B$1005,B861)=0),"Not on Clients — will match a portal client by name",IF(AND(C861="GST",D861&lt;&gt;"",COUNTIF(Clients!$AN$5:$AN$1005,UPPER(D861))=0,COUNTIF(Clients!$G$5:$G$1005,"*"&amp;UPPER(D861)&amp;"*")=0),"GSTIN not on Clients — will be checked in the portal","✔ OK")))))</f>
        <v/>
      </c>
    </row>
    <row r="862">
      <c r="A862" s="38" t="n"/>
      <c r="B862" s="39" t="n"/>
      <c r="C862" s="39" t="n"/>
      <c r="D862" s="38" t="n"/>
      <c r="E862" s="38" t="n"/>
      <c r="F862" s="38" t="n"/>
      <c r="G862" s="37">
        <f>IF(COUNTA(A862:F862)=0,"",IF(A862="EXAMPLE","Example (skipped)",IF(OR(C862="",E862="",F862=""),"✖ Portal, User ID and Password are all needed",IF(AND(A862="",COUNTIF(Clients!$B$5:$B$1005,B862)=0),"Not on Clients — will match a portal client by name",IF(AND(C862="GST",D862&lt;&gt;"",COUNTIF(Clients!$AN$5:$AN$1005,UPPER(D862))=0,COUNTIF(Clients!$G$5:$G$1005,"*"&amp;UPPER(D862)&amp;"*")=0),"GSTIN not on Clients — will be checked in the portal","✔ OK")))))</f>
        <v/>
      </c>
    </row>
    <row r="863">
      <c r="A863" s="38" t="n"/>
      <c r="B863" s="39" t="n"/>
      <c r="C863" s="39" t="n"/>
      <c r="D863" s="38" t="n"/>
      <c r="E863" s="38" t="n"/>
      <c r="F863" s="38" t="n"/>
      <c r="G863" s="37">
        <f>IF(COUNTA(A863:F863)=0,"",IF(A863="EXAMPLE","Example (skipped)",IF(OR(C863="",E863="",F863=""),"✖ Portal, User ID and Password are all needed",IF(AND(A863="",COUNTIF(Clients!$B$5:$B$1005,B863)=0),"Not on Clients — will match a portal client by name",IF(AND(C863="GST",D863&lt;&gt;"",COUNTIF(Clients!$AN$5:$AN$1005,UPPER(D863))=0,COUNTIF(Clients!$G$5:$G$1005,"*"&amp;UPPER(D863)&amp;"*")=0),"GSTIN not on Clients — will be checked in the portal","✔ OK")))))</f>
        <v/>
      </c>
    </row>
    <row r="864">
      <c r="A864" s="38" t="n"/>
      <c r="B864" s="39" t="n"/>
      <c r="C864" s="39" t="n"/>
      <c r="D864" s="38" t="n"/>
      <c r="E864" s="38" t="n"/>
      <c r="F864" s="38" t="n"/>
      <c r="G864" s="37">
        <f>IF(COUNTA(A864:F864)=0,"",IF(A864="EXAMPLE","Example (skipped)",IF(OR(C864="",E864="",F864=""),"✖ Portal, User ID and Password are all needed",IF(AND(A864="",COUNTIF(Clients!$B$5:$B$1005,B864)=0),"Not on Clients — will match a portal client by name",IF(AND(C864="GST",D864&lt;&gt;"",COUNTIF(Clients!$AN$5:$AN$1005,UPPER(D864))=0,COUNTIF(Clients!$G$5:$G$1005,"*"&amp;UPPER(D864)&amp;"*")=0),"GSTIN not on Clients — will be checked in the portal","✔ OK")))))</f>
        <v/>
      </c>
    </row>
    <row r="865">
      <c r="A865" s="38" t="n"/>
      <c r="B865" s="39" t="n"/>
      <c r="C865" s="39" t="n"/>
      <c r="D865" s="38" t="n"/>
      <c r="E865" s="38" t="n"/>
      <c r="F865" s="38" t="n"/>
      <c r="G865" s="37">
        <f>IF(COUNTA(A865:F865)=0,"",IF(A865="EXAMPLE","Example (skipped)",IF(OR(C865="",E865="",F865=""),"✖ Portal, User ID and Password are all needed",IF(AND(A865="",COUNTIF(Clients!$B$5:$B$1005,B865)=0),"Not on Clients — will match a portal client by name",IF(AND(C865="GST",D865&lt;&gt;"",COUNTIF(Clients!$AN$5:$AN$1005,UPPER(D865))=0,COUNTIF(Clients!$G$5:$G$1005,"*"&amp;UPPER(D865)&amp;"*")=0),"GSTIN not on Clients — will be checked in the portal","✔ OK")))))</f>
        <v/>
      </c>
    </row>
    <row r="866">
      <c r="A866" s="38" t="n"/>
      <c r="B866" s="39" t="n"/>
      <c r="C866" s="39" t="n"/>
      <c r="D866" s="38" t="n"/>
      <c r="E866" s="38" t="n"/>
      <c r="F866" s="38" t="n"/>
      <c r="G866" s="37">
        <f>IF(COUNTA(A866:F866)=0,"",IF(A866="EXAMPLE","Example (skipped)",IF(OR(C866="",E866="",F866=""),"✖ Portal, User ID and Password are all needed",IF(AND(A866="",COUNTIF(Clients!$B$5:$B$1005,B866)=0),"Not on Clients — will match a portal client by name",IF(AND(C866="GST",D866&lt;&gt;"",COUNTIF(Clients!$AN$5:$AN$1005,UPPER(D866))=0,COUNTIF(Clients!$G$5:$G$1005,"*"&amp;UPPER(D866)&amp;"*")=0),"GSTIN not on Clients — will be checked in the portal","✔ OK")))))</f>
        <v/>
      </c>
    </row>
    <row r="867">
      <c r="A867" s="38" t="n"/>
      <c r="B867" s="39" t="n"/>
      <c r="C867" s="39" t="n"/>
      <c r="D867" s="38" t="n"/>
      <c r="E867" s="38" t="n"/>
      <c r="F867" s="38" t="n"/>
      <c r="G867" s="37">
        <f>IF(COUNTA(A867:F867)=0,"",IF(A867="EXAMPLE","Example (skipped)",IF(OR(C867="",E867="",F867=""),"✖ Portal, User ID and Password are all needed",IF(AND(A867="",COUNTIF(Clients!$B$5:$B$1005,B867)=0),"Not on Clients — will match a portal client by name",IF(AND(C867="GST",D867&lt;&gt;"",COUNTIF(Clients!$AN$5:$AN$1005,UPPER(D867))=0,COUNTIF(Clients!$G$5:$G$1005,"*"&amp;UPPER(D867)&amp;"*")=0),"GSTIN not on Clients — will be checked in the portal","✔ OK")))))</f>
        <v/>
      </c>
    </row>
    <row r="868">
      <c r="A868" s="38" t="n"/>
      <c r="B868" s="39" t="n"/>
      <c r="C868" s="39" t="n"/>
      <c r="D868" s="38" t="n"/>
      <c r="E868" s="38" t="n"/>
      <c r="F868" s="38" t="n"/>
      <c r="G868" s="37">
        <f>IF(COUNTA(A868:F868)=0,"",IF(A868="EXAMPLE","Example (skipped)",IF(OR(C868="",E868="",F868=""),"✖ Portal, User ID and Password are all needed",IF(AND(A868="",COUNTIF(Clients!$B$5:$B$1005,B868)=0),"Not on Clients — will match a portal client by name",IF(AND(C868="GST",D868&lt;&gt;"",COUNTIF(Clients!$AN$5:$AN$1005,UPPER(D868))=0,COUNTIF(Clients!$G$5:$G$1005,"*"&amp;UPPER(D868)&amp;"*")=0),"GSTIN not on Clients — will be checked in the portal","✔ OK")))))</f>
        <v/>
      </c>
    </row>
    <row r="869">
      <c r="A869" s="38" t="n"/>
      <c r="B869" s="39" t="n"/>
      <c r="C869" s="39" t="n"/>
      <c r="D869" s="38" t="n"/>
      <c r="E869" s="38" t="n"/>
      <c r="F869" s="38" t="n"/>
      <c r="G869" s="37">
        <f>IF(COUNTA(A869:F869)=0,"",IF(A869="EXAMPLE","Example (skipped)",IF(OR(C869="",E869="",F869=""),"✖ Portal, User ID and Password are all needed",IF(AND(A869="",COUNTIF(Clients!$B$5:$B$1005,B869)=0),"Not on Clients — will match a portal client by name",IF(AND(C869="GST",D869&lt;&gt;"",COUNTIF(Clients!$AN$5:$AN$1005,UPPER(D869))=0,COUNTIF(Clients!$G$5:$G$1005,"*"&amp;UPPER(D869)&amp;"*")=0),"GSTIN not on Clients — will be checked in the portal","✔ OK")))))</f>
        <v/>
      </c>
    </row>
    <row r="870">
      <c r="A870" s="38" t="n"/>
      <c r="B870" s="39" t="n"/>
      <c r="C870" s="39" t="n"/>
      <c r="D870" s="38" t="n"/>
      <c r="E870" s="38" t="n"/>
      <c r="F870" s="38" t="n"/>
      <c r="G870" s="37">
        <f>IF(COUNTA(A870:F870)=0,"",IF(A870="EXAMPLE","Example (skipped)",IF(OR(C870="",E870="",F870=""),"✖ Portal, User ID and Password are all needed",IF(AND(A870="",COUNTIF(Clients!$B$5:$B$1005,B870)=0),"Not on Clients — will match a portal client by name",IF(AND(C870="GST",D870&lt;&gt;"",COUNTIF(Clients!$AN$5:$AN$1005,UPPER(D870))=0,COUNTIF(Clients!$G$5:$G$1005,"*"&amp;UPPER(D870)&amp;"*")=0),"GSTIN not on Clients — will be checked in the portal","✔ OK")))))</f>
        <v/>
      </c>
    </row>
    <row r="871">
      <c r="A871" s="38" t="n"/>
      <c r="B871" s="39" t="n"/>
      <c r="C871" s="39" t="n"/>
      <c r="D871" s="38" t="n"/>
      <c r="E871" s="38" t="n"/>
      <c r="F871" s="38" t="n"/>
      <c r="G871" s="37">
        <f>IF(COUNTA(A871:F871)=0,"",IF(A871="EXAMPLE","Example (skipped)",IF(OR(C871="",E871="",F871=""),"✖ Portal, User ID and Password are all needed",IF(AND(A871="",COUNTIF(Clients!$B$5:$B$1005,B871)=0),"Not on Clients — will match a portal client by name",IF(AND(C871="GST",D871&lt;&gt;"",COUNTIF(Clients!$AN$5:$AN$1005,UPPER(D871))=0,COUNTIF(Clients!$G$5:$G$1005,"*"&amp;UPPER(D871)&amp;"*")=0),"GSTIN not on Clients — will be checked in the portal","✔ OK")))))</f>
        <v/>
      </c>
    </row>
    <row r="872">
      <c r="A872" s="38" t="n"/>
      <c r="B872" s="39" t="n"/>
      <c r="C872" s="39" t="n"/>
      <c r="D872" s="38" t="n"/>
      <c r="E872" s="38" t="n"/>
      <c r="F872" s="38" t="n"/>
      <c r="G872" s="37">
        <f>IF(COUNTA(A872:F872)=0,"",IF(A872="EXAMPLE","Example (skipped)",IF(OR(C872="",E872="",F872=""),"✖ Portal, User ID and Password are all needed",IF(AND(A872="",COUNTIF(Clients!$B$5:$B$1005,B872)=0),"Not on Clients — will match a portal client by name",IF(AND(C872="GST",D872&lt;&gt;"",COUNTIF(Clients!$AN$5:$AN$1005,UPPER(D872))=0,COUNTIF(Clients!$G$5:$G$1005,"*"&amp;UPPER(D872)&amp;"*")=0),"GSTIN not on Clients — will be checked in the portal","✔ OK")))))</f>
        <v/>
      </c>
    </row>
    <row r="873">
      <c r="A873" s="38" t="n"/>
      <c r="B873" s="39" t="n"/>
      <c r="C873" s="39" t="n"/>
      <c r="D873" s="38" t="n"/>
      <c r="E873" s="38" t="n"/>
      <c r="F873" s="38" t="n"/>
      <c r="G873" s="37">
        <f>IF(COUNTA(A873:F873)=0,"",IF(A873="EXAMPLE","Example (skipped)",IF(OR(C873="",E873="",F873=""),"✖ Portal, User ID and Password are all needed",IF(AND(A873="",COUNTIF(Clients!$B$5:$B$1005,B873)=0),"Not on Clients — will match a portal client by name",IF(AND(C873="GST",D873&lt;&gt;"",COUNTIF(Clients!$AN$5:$AN$1005,UPPER(D873))=0,COUNTIF(Clients!$G$5:$G$1005,"*"&amp;UPPER(D873)&amp;"*")=0),"GSTIN not on Clients — will be checked in the portal","✔ OK")))))</f>
        <v/>
      </c>
    </row>
    <row r="874">
      <c r="A874" s="38" t="n"/>
      <c r="B874" s="39" t="n"/>
      <c r="C874" s="39" t="n"/>
      <c r="D874" s="38" t="n"/>
      <c r="E874" s="38" t="n"/>
      <c r="F874" s="38" t="n"/>
      <c r="G874" s="37">
        <f>IF(COUNTA(A874:F874)=0,"",IF(A874="EXAMPLE","Example (skipped)",IF(OR(C874="",E874="",F874=""),"✖ Portal, User ID and Password are all needed",IF(AND(A874="",COUNTIF(Clients!$B$5:$B$1005,B874)=0),"Not on Clients — will match a portal client by name",IF(AND(C874="GST",D874&lt;&gt;"",COUNTIF(Clients!$AN$5:$AN$1005,UPPER(D874))=0,COUNTIF(Clients!$G$5:$G$1005,"*"&amp;UPPER(D874)&amp;"*")=0),"GSTIN not on Clients — will be checked in the portal","✔ OK")))))</f>
        <v/>
      </c>
    </row>
    <row r="875">
      <c r="A875" s="38" t="n"/>
      <c r="B875" s="39" t="n"/>
      <c r="C875" s="39" t="n"/>
      <c r="D875" s="38" t="n"/>
      <c r="E875" s="38" t="n"/>
      <c r="F875" s="38" t="n"/>
      <c r="G875" s="37">
        <f>IF(COUNTA(A875:F875)=0,"",IF(A875="EXAMPLE","Example (skipped)",IF(OR(C875="",E875="",F875=""),"✖ Portal, User ID and Password are all needed",IF(AND(A875="",COUNTIF(Clients!$B$5:$B$1005,B875)=0),"Not on Clients — will match a portal client by name",IF(AND(C875="GST",D875&lt;&gt;"",COUNTIF(Clients!$AN$5:$AN$1005,UPPER(D875))=0,COUNTIF(Clients!$G$5:$G$1005,"*"&amp;UPPER(D875)&amp;"*")=0),"GSTIN not on Clients — will be checked in the portal","✔ OK")))))</f>
        <v/>
      </c>
    </row>
    <row r="876">
      <c r="A876" s="38" t="n"/>
      <c r="B876" s="39" t="n"/>
      <c r="C876" s="39" t="n"/>
      <c r="D876" s="38" t="n"/>
      <c r="E876" s="38" t="n"/>
      <c r="F876" s="38" t="n"/>
      <c r="G876" s="37">
        <f>IF(COUNTA(A876:F876)=0,"",IF(A876="EXAMPLE","Example (skipped)",IF(OR(C876="",E876="",F876=""),"✖ Portal, User ID and Password are all needed",IF(AND(A876="",COUNTIF(Clients!$B$5:$B$1005,B876)=0),"Not on Clients — will match a portal client by name",IF(AND(C876="GST",D876&lt;&gt;"",COUNTIF(Clients!$AN$5:$AN$1005,UPPER(D876))=0,COUNTIF(Clients!$G$5:$G$1005,"*"&amp;UPPER(D876)&amp;"*")=0),"GSTIN not on Clients — will be checked in the portal","✔ OK")))))</f>
        <v/>
      </c>
    </row>
    <row r="877">
      <c r="A877" s="38" t="n"/>
      <c r="B877" s="39" t="n"/>
      <c r="C877" s="39" t="n"/>
      <c r="D877" s="38" t="n"/>
      <c r="E877" s="38" t="n"/>
      <c r="F877" s="38" t="n"/>
      <c r="G877" s="37">
        <f>IF(COUNTA(A877:F877)=0,"",IF(A877="EXAMPLE","Example (skipped)",IF(OR(C877="",E877="",F877=""),"✖ Portal, User ID and Password are all needed",IF(AND(A877="",COUNTIF(Clients!$B$5:$B$1005,B877)=0),"Not on Clients — will match a portal client by name",IF(AND(C877="GST",D877&lt;&gt;"",COUNTIF(Clients!$AN$5:$AN$1005,UPPER(D877))=0,COUNTIF(Clients!$G$5:$G$1005,"*"&amp;UPPER(D877)&amp;"*")=0),"GSTIN not on Clients — will be checked in the portal","✔ OK")))))</f>
        <v/>
      </c>
    </row>
    <row r="878">
      <c r="A878" s="38" t="n"/>
      <c r="B878" s="39" t="n"/>
      <c r="C878" s="39" t="n"/>
      <c r="D878" s="38" t="n"/>
      <c r="E878" s="38" t="n"/>
      <c r="F878" s="38" t="n"/>
      <c r="G878" s="37">
        <f>IF(COUNTA(A878:F878)=0,"",IF(A878="EXAMPLE","Example (skipped)",IF(OR(C878="",E878="",F878=""),"✖ Portal, User ID and Password are all needed",IF(AND(A878="",COUNTIF(Clients!$B$5:$B$1005,B878)=0),"Not on Clients — will match a portal client by name",IF(AND(C878="GST",D878&lt;&gt;"",COUNTIF(Clients!$AN$5:$AN$1005,UPPER(D878))=0,COUNTIF(Clients!$G$5:$G$1005,"*"&amp;UPPER(D878)&amp;"*")=0),"GSTIN not on Clients — will be checked in the portal","✔ OK")))))</f>
        <v/>
      </c>
    </row>
    <row r="879">
      <c r="A879" s="38" t="n"/>
      <c r="B879" s="39" t="n"/>
      <c r="C879" s="39" t="n"/>
      <c r="D879" s="38" t="n"/>
      <c r="E879" s="38" t="n"/>
      <c r="F879" s="38" t="n"/>
      <c r="G879" s="37">
        <f>IF(COUNTA(A879:F879)=0,"",IF(A879="EXAMPLE","Example (skipped)",IF(OR(C879="",E879="",F879=""),"✖ Portal, User ID and Password are all needed",IF(AND(A879="",COUNTIF(Clients!$B$5:$B$1005,B879)=0),"Not on Clients — will match a portal client by name",IF(AND(C879="GST",D879&lt;&gt;"",COUNTIF(Clients!$AN$5:$AN$1005,UPPER(D879))=0,COUNTIF(Clients!$G$5:$G$1005,"*"&amp;UPPER(D879)&amp;"*")=0),"GSTIN not on Clients — will be checked in the portal","✔ OK")))))</f>
        <v/>
      </c>
    </row>
    <row r="880">
      <c r="A880" s="38" t="n"/>
      <c r="B880" s="39" t="n"/>
      <c r="C880" s="39" t="n"/>
      <c r="D880" s="38" t="n"/>
      <c r="E880" s="38" t="n"/>
      <c r="F880" s="38" t="n"/>
      <c r="G880" s="37">
        <f>IF(COUNTA(A880:F880)=0,"",IF(A880="EXAMPLE","Example (skipped)",IF(OR(C880="",E880="",F880=""),"✖ Portal, User ID and Password are all needed",IF(AND(A880="",COUNTIF(Clients!$B$5:$B$1005,B880)=0),"Not on Clients — will match a portal client by name",IF(AND(C880="GST",D880&lt;&gt;"",COUNTIF(Clients!$AN$5:$AN$1005,UPPER(D880))=0,COUNTIF(Clients!$G$5:$G$1005,"*"&amp;UPPER(D880)&amp;"*")=0),"GSTIN not on Clients — will be checked in the portal","✔ OK")))))</f>
        <v/>
      </c>
    </row>
    <row r="881">
      <c r="A881" s="38" t="n"/>
      <c r="B881" s="39" t="n"/>
      <c r="C881" s="39" t="n"/>
      <c r="D881" s="38" t="n"/>
      <c r="E881" s="38" t="n"/>
      <c r="F881" s="38" t="n"/>
      <c r="G881" s="37">
        <f>IF(COUNTA(A881:F881)=0,"",IF(A881="EXAMPLE","Example (skipped)",IF(OR(C881="",E881="",F881=""),"✖ Portal, User ID and Password are all needed",IF(AND(A881="",COUNTIF(Clients!$B$5:$B$1005,B881)=0),"Not on Clients — will match a portal client by name",IF(AND(C881="GST",D881&lt;&gt;"",COUNTIF(Clients!$AN$5:$AN$1005,UPPER(D881))=0,COUNTIF(Clients!$G$5:$G$1005,"*"&amp;UPPER(D881)&amp;"*")=0),"GSTIN not on Clients — will be checked in the portal","✔ OK")))))</f>
        <v/>
      </c>
    </row>
    <row r="882">
      <c r="A882" s="38" t="n"/>
      <c r="B882" s="39" t="n"/>
      <c r="C882" s="39" t="n"/>
      <c r="D882" s="38" t="n"/>
      <c r="E882" s="38" t="n"/>
      <c r="F882" s="38" t="n"/>
      <c r="G882" s="37">
        <f>IF(COUNTA(A882:F882)=0,"",IF(A882="EXAMPLE","Example (skipped)",IF(OR(C882="",E882="",F882=""),"✖ Portal, User ID and Password are all needed",IF(AND(A882="",COUNTIF(Clients!$B$5:$B$1005,B882)=0),"Not on Clients — will match a portal client by name",IF(AND(C882="GST",D882&lt;&gt;"",COUNTIF(Clients!$AN$5:$AN$1005,UPPER(D882))=0,COUNTIF(Clients!$G$5:$G$1005,"*"&amp;UPPER(D882)&amp;"*")=0),"GSTIN not on Clients — will be checked in the portal","✔ OK")))))</f>
        <v/>
      </c>
    </row>
    <row r="883">
      <c r="A883" s="38" t="n"/>
      <c r="B883" s="39" t="n"/>
      <c r="C883" s="39" t="n"/>
      <c r="D883" s="38" t="n"/>
      <c r="E883" s="38" t="n"/>
      <c r="F883" s="38" t="n"/>
      <c r="G883" s="37">
        <f>IF(COUNTA(A883:F883)=0,"",IF(A883="EXAMPLE","Example (skipped)",IF(OR(C883="",E883="",F883=""),"✖ Portal, User ID and Password are all needed",IF(AND(A883="",COUNTIF(Clients!$B$5:$B$1005,B883)=0),"Not on Clients — will match a portal client by name",IF(AND(C883="GST",D883&lt;&gt;"",COUNTIF(Clients!$AN$5:$AN$1005,UPPER(D883))=0,COUNTIF(Clients!$G$5:$G$1005,"*"&amp;UPPER(D883)&amp;"*")=0),"GSTIN not on Clients — will be checked in the portal","✔ OK")))))</f>
        <v/>
      </c>
    </row>
    <row r="884">
      <c r="A884" s="38" t="n"/>
      <c r="B884" s="39" t="n"/>
      <c r="C884" s="39" t="n"/>
      <c r="D884" s="38" t="n"/>
      <c r="E884" s="38" t="n"/>
      <c r="F884" s="38" t="n"/>
      <c r="G884" s="37">
        <f>IF(COUNTA(A884:F884)=0,"",IF(A884="EXAMPLE","Example (skipped)",IF(OR(C884="",E884="",F884=""),"✖ Portal, User ID and Password are all needed",IF(AND(A884="",COUNTIF(Clients!$B$5:$B$1005,B884)=0),"Not on Clients — will match a portal client by name",IF(AND(C884="GST",D884&lt;&gt;"",COUNTIF(Clients!$AN$5:$AN$1005,UPPER(D884))=0,COUNTIF(Clients!$G$5:$G$1005,"*"&amp;UPPER(D884)&amp;"*")=0),"GSTIN not on Clients — will be checked in the portal","✔ OK")))))</f>
        <v/>
      </c>
    </row>
    <row r="885">
      <c r="A885" s="38" t="n"/>
      <c r="B885" s="39" t="n"/>
      <c r="C885" s="39" t="n"/>
      <c r="D885" s="38" t="n"/>
      <c r="E885" s="38" t="n"/>
      <c r="F885" s="38" t="n"/>
      <c r="G885" s="37">
        <f>IF(COUNTA(A885:F885)=0,"",IF(A885="EXAMPLE","Example (skipped)",IF(OR(C885="",E885="",F885=""),"✖ Portal, User ID and Password are all needed",IF(AND(A885="",COUNTIF(Clients!$B$5:$B$1005,B885)=0),"Not on Clients — will match a portal client by name",IF(AND(C885="GST",D885&lt;&gt;"",COUNTIF(Clients!$AN$5:$AN$1005,UPPER(D885))=0,COUNTIF(Clients!$G$5:$G$1005,"*"&amp;UPPER(D885)&amp;"*")=0),"GSTIN not on Clients — will be checked in the portal","✔ OK")))))</f>
        <v/>
      </c>
    </row>
    <row r="886">
      <c r="A886" s="38" t="n"/>
      <c r="B886" s="39" t="n"/>
      <c r="C886" s="39" t="n"/>
      <c r="D886" s="38" t="n"/>
      <c r="E886" s="38" t="n"/>
      <c r="F886" s="38" t="n"/>
      <c r="G886" s="37">
        <f>IF(COUNTA(A886:F886)=0,"",IF(A886="EXAMPLE","Example (skipped)",IF(OR(C886="",E886="",F886=""),"✖ Portal, User ID and Password are all needed",IF(AND(A886="",COUNTIF(Clients!$B$5:$B$1005,B886)=0),"Not on Clients — will match a portal client by name",IF(AND(C886="GST",D886&lt;&gt;"",COUNTIF(Clients!$AN$5:$AN$1005,UPPER(D886))=0,COUNTIF(Clients!$G$5:$G$1005,"*"&amp;UPPER(D886)&amp;"*")=0),"GSTIN not on Clients — will be checked in the portal","✔ OK")))))</f>
        <v/>
      </c>
    </row>
    <row r="887">
      <c r="A887" s="38" t="n"/>
      <c r="B887" s="39" t="n"/>
      <c r="C887" s="39" t="n"/>
      <c r="D887" s="38" t="n"/>
      <c r="E887" s="38" t="n"/>
      <c r="F887" s="38" t="n"/>
      <c r="G887" s="37">
        <f>IF(COUNTA(A887:F887)=0,"",IF(A887="EXAMPLE","Example (skipped)",IF(OR(C887="",E887="",F887=""),"✖ Portal, User ID and Password are all needed",IF(AND(A887="",COUNTIF(Clients!$B$5:$B$1005,B887)=0),"Not on Clients — will match a portal client by name",IF(AND(C887="GST",D887&lt;&gt;"",COUNTIF(Clients!$AN$5:$AN$1005,UPPER(D887))=0,COUNTIF(Clients!$G$5:$G$1005,"*"&amp;UPPER(D887)&amp;"*")=0),"GSTIN not on Clients — will be checked in the portal","✔ OK")))))</f>
        <v/>
      </c>
    </row>
    <row r="888">
      <c r="A888" s="38" t="n"/>
      <c r="B888" s="39" t="n"/>
      <c r="C888" s="39" t="n"/>
      <c r="D888" s="38" t="n"/>
      <c r="E888" s="38" t="n"/>
      <c r="F888" s="38" t="n"/>
      <c r="G888" s="37">
        <f>IF(COUNTA(A888:F888)=0,"",IF(A888="EXAMPLE","Example (skipped)",IF(OR(C888="",E888="",F888=""),"✖ Portal, User ID and Password are all needed",IF(AND(A888="",COUNTIF(Clients!$B$5:$B$1005,B888)=0),"Not on Clients — will match a portal client by name",IF(AND(C888="GST",D888&lt;&gt;"",COUNTIF(Clients!$AN$5:$AN$1005,UPPER(D888))=0,COUNTIF(Clients!$G$5:$G$1005,"*"&amp;UPPER(D888)&amp;"*")=0),"GSTIN not on Clients — will be checked in the portal","✔ OK")))))</f>
        <v/>
      </c>
    </row>
    <row r="889">
      <c r="A889" s="38" t="n"/>
      <c r="B889" s="39" t="n"/>
      <c r="C889" s="39" t="n"/>
      <c r="D889" s="38" t="n"/>
      <c r="E889" s="38" t="n"/>
      <c r="F889" s="38" t="n"/>
      <c r="G889" s="37">
        <f>IF(COUNTA(A889:F889)=0,"",IF(A889="EXAMPLE","Example (skipped)",IF(OR(C889="",E889="",F889=""),"✖ Portal, User ID and Password are all needed",IF(AND(A889="",COUNTIF(Clients!$B$5:$B$1005,B889)=0),"Not on Clients — will match a portal client by name",IF(AND(C889="GST",D889&lt;&gt;"",COUNTIF(Clients!$AN$5:$AN$1005,UPPER(D889))=0,COUNTIF(Clients!$G$5:$G$1005,"*"&amp;UPPER(D889)&amp;"*")=0),"GSTIN not on Clients — will be checked in the portal","✔ OK")))))</f>
        <v/>
      </c>
    </row>
    <row r="890">
      <c r="A890" s="38" t="n"/>
      <c r="B890" s="39" t="n"/>
      <c r="C890" s="39" t="n"/>
      <c r="D890" s="38" t="n"/>
      <c r="E890" s="38" t="n"/>
      <c r="F890" s="38" t="n"/>
      <c r="G890" s="37">
        <f>IF(COUNTA(A890:F890)=0,"",IF(A890="EXAMPLE","Example (skipped)",IF(OR(C890="",E890="",F890=""),"✖ Portal, User ID and Password are all needed",IF(AND(A890="",COUNTIF(Clients!$B$5:$B$1005,B890)=0),"Not on Clients — will match a portal client by name",IF(AND(C890="GST",D890&lt;&gt;"",COUNTIF(Clients!$AN$5:$AN$1005,UPPER(D890))=0,COUNTIF(Clients!$G$5:$G$1005,"*"&amp;UPPER(D890)&amp;"*")=0),"GSTIN not on Clients — will be checked in the portal","✔ OK")))))</f>
        <v/>
      </c>
    </row>
    <row r="891">
      <c r="A891" s="38" t="n"/>
      <c r="B891" s="39" t="n"/>
      <c r="C891" s="39" t="n"/>
      <c r="D891" s="38" t="n"/>
      <c r="E891" s="38" t="n"/>
      <c r="F891" s="38" t="n"/>
      <c r="G891" s="37">
        <f>IF(COUNTA(A891:F891)=0,"",IF(A891="EXAMPLE","Example (skipped)",IF(OR(C891="",E891="",F891=""),"✖ Portal, User ID and Password are all needed",IF(AND(A891="",COUNTIF(Clients!$B$5:$B$1005,B891)=0),"Not on Clients — will match a portal client by name",IF(AND(C891="GST",D891&lt;&gt;"",COUNTIF(Clients!$AN$5:$AN$1005,UPPER(D891))=0,COUNTIF(Clients!$G$5:$G$1005,"*"&amp;UPPER(D891)&amp;"*")=0),"GSTIN not on Clients — will be checked in the portal","✔ OK")))))</f>
        <v/>
      </c>
    </row>
    <row r="892">
      <c r="A892" s="38" t="n"/>
      <c r="B892" s="39" t="n"/>
      <c r="C892" s="39" t="n"/>
      <c r="D892" s="38" t="n"/>
      <c r="E892" s="38" t="n"/>
      <c r="F892" s="38" t="n"/>
      <c r="G892" s="37">
        <f>IF(COUNTA(A892:F892)=0,"",IF(A892="EXAMPLE","Example (skipped)",IF(OR(C892="",E892="",F892=""),"✖ Portal, User ID and Password are all needed",IF(AND(A892="",COUNTIF(Clients!$B$5:$B$1005,B892)=0),"Not on Clients — will match a portal client by name",IF(AND(C892="GST",D892&lt;&gt;"",COUNTIF(Clients!$AN$5:$AN$1005,UPPER(D892))=0,COUNTIF(Clients!$G$5:$G$1005,"*"&amp;UPPER(D892)&amp;"*")=0),"GSTIN not on Clients — will be checked in the portal","✔ OK")))))</f>
        <v/>
      </c>
    </row>
    <row r="893">
      <c r="A893" s="38" t="n"/>
      <c r="B893" s="39" t="n"/>
      <c r="C893" s="39" t="n"/>
      <c r="D893" s="38" t="n"/>
      <c r="E893" s="38" t="n"/>
      <c r="F893" s="38" t="n"/>
      <c r="G893" s="37">
        <f>IF(COUNTA(A893:F893)=0,"",IF(A893="EXAMPLE","Example (skipped)",IF(OR(C893="",E893="",F893=""),"✖ Portal, User ID and Password are all needed",IF(AND(A893="",COUNTIF(Clients!$B$5:$B$1005,B893)=0),"Not on Clients — will match a portal client by name",IF(AND(C893="GST",D893&lt;&gt;"",COUNTIF(Clients!$AN$5:$AN$1005,UPPER(D893))=0,COUNTIF(Clients!$G$5:$G$1005,"*"&amp;UPPER(D893)&amp;"*")=0),"GSTIN not on Clients — will be checked in the portal","✔ OK")))))</f>
        <v/>
      </c>
    </row>
    <row r="894">
      <c r="A894" s="38" t="n"/>
      <c r="B894" s="39" t="n"/>
      <c r="C894" s="39" t="n"/>
      <c r="D894" s="38" t="n"/>
      <c r="E894" s="38" t="n"/>
      <c r="F894" s="38" t="n"/>
      <c r="G894" s="37">
        <f>IF(COUNTA(A894:F894)=0,"",IF(A894="EXAMPLE","Example (skipped)",IF(OR(C894="",E894="",F894=""),"✖ Portal, User ID and Password are all needed",IF(AND(A894="",COUNTIF(Clients!$B$5:$B$1005,B894)=0),"Not on Clients — will match a portal client by name",IF(AND(C894="GST",D894&lt;&gt;"",COUNTIF(Clients!$AN$5:$AN$1005,UPPER(D894))=0,COUNTIF(Clients!$G$5:$G$1005,"*"&amp;UPPER(D894)&amp;"*")=0),"GSTIN not on Clients — will be checked in the portal","✔ OK")))))</f>
        <v/>
      </c>
    </row>
    <row r="895">
      <c r="A895" s="38" t="n"/>
      <c r="B895" s="39" t="n"/>
      <c r="C895" s="39" t="n"/>
      <c r="D895" s="38" t="n"/>
      <c r="E895" s="38" t="n"/>
      <c r="F895" s="38" t="n"/>
      <c r="G895" s="37">
        <f>IF(COUNTA(A895:F895)=0,"",IF(A895="EXAMPLE","Example (skipped)",IF(OR(C895="",E895="",F895=""),"✖ Portal, User ID and Password are all needed",IF(AND(A895="",COUNTIF(Clients!$B$5:$B$1005,B895)=0),"Not on Clients — will match a portal client by name",IF(AND(C895="GST",D895&lt;&gt;"",COUNTIF(Clients!$AN$5:$AN$1005,UPPER(D895))=0,COUNTIF(Clients!$G$5:$G$1005,"*"&amp;UPPER(D895)&amp;"*")=0),"GSTIN not on Clients — will be checked in the portal","✔ OK")))))</f>
        <v/>
      </c>
    </row>
    <row r="896">
      <c r="A896" s="38" t="n"/>
      <c r="B896" s="39" t="n"/>
      <c r="C896" s="39" t="n"/>
      <c r="D896" s="38" t="n"/>
      <c r="E896" s="38" t="n"/>
      <c r="F896" s="38" t="n"/>
      <c r="G896" s="37">
        <f>IF(COUNTA(A896:F896)=0,"",IF(A896="EXAMPLE","Example (skipped)",IF(OR(C896="",E896="",F896=""),"✖ Portal, User ID and Password are all needed",IF(AND(A896="",COUNTIF(Clients!$B$5:$B$1005,B896)=0),"Not on Clients — will match a portal client by name",IF(AND(C896="GST",D896&lt;&gt;"",COUNTIF(Clients!$AN$5:$AN$1005,UPPER(D896))=0,COUNTIF(Clients!$G$5:$G$1005,"*"&amp;UPPER(D896)&amp;"*")=0),"GSTIN not on Clients — will be checked in the portal","✔ OK")))))</f>
        <v/>
      </c>
    </row>
    <row r="897">
      <c r="A897" s="38" t="n"/>
      <c r="B897" s="39" t="n"/>
      <c r="C897" s="39" t="n"/>
      <c r="D897" s="38" t="n"/>
      <c r="E897" s="38" t="n"/>
      <c r="F897" s="38" t="n"/>
      <c r="G897" s="37">
        <f>IF(COUNTA(A897:F897)=0,"",IF(A897="EXAMPLE","Example (skipped)",IF(OR(C897="",E897="",F897=""),"✖ Portal, User ID and Password are all needed",IF(AND(A897="",COUNTIF(Clients!$B$5:$B$1005,B897)=0),"Not on Clients — will match a portal client by name",IF(AND(C897="GST",D897&lt;&gt;"",COUNTIF(Clients!$AN$5:$AN$1005,UPPER(D897))=0,COUNTIF(Clients!$G$5:$G$1005,"*"&amp;UPPER(D897)&amp;"*")=0),"GSTIN not on Clients — will be checked in the portal","✔ OK")))))</f>
        <v/>
      </c>
    </row>
    <row r="898">
      <c r="A898" s="38" t="n"/>
      <c r="B898" s="39" t="n"/>
      <c r="C898" s="39" t="n"/>
      <c r="D898" s="38" t="n"/>
      <c r="E898" s="38" t="n"/>
      <c r="F898" s="38" t="n"/>
      <c r="G898" s="37">
        <f>IF(COUNTA(A898:F898)=0,"",IF(A898="EXAMPLE","Example (skipped)",IF(OR(C898="",E898="",F898=""),"✖ Portal, User ID and Password are all needed",IF(AND(A898="",COUNTIF(Clients!$B$5:$B$1005,B898)=0),"Not on Clients — will match a portal client by name",IF(AND(C898="GST",D898&lt;&gt;"",COUNTIF(Clients!$AN$5:$AN$1005,UPPER(D898))=0,COUNTIF(Clients!$G$5:$G$1005,"*"&amp;UPPER(D898)&amp;"*")=0),"GSTIN not on Clients — will be checked in the portal","✔ OK")))))</f>
        <v/>
      </c>
    </row>
    <row r="899">
      <c r="A899" s="38" t="n"/>
      <c r="B899" s="39" t="n"/>
      <c r="C899" s="39" t="n"/>
      <c r="D899" s="38" t="n"/>
      <c r="E899" s="38" t="n"/>
      <c r="F899" s="38" t="n"/>
      <c r="G899" s="37">
        <f>IF(COUNTA(A899:F899)=0,"",IF(A899="EXAMPLE","Example (skipped)",IF(OR(C899="",E899="",F899=""),"✖ Portal, User ID and Password are all needed",IF(AND(A899="",COUNTIF(Clients!$B$5:$B$1005,B899)=0),"Not on Clients — will match a portal client by name",IF(AND(C899="GST",D899&lt;&gt;"",COUNTIF(Clients!$AN$5:$AN$1005,UPPER(D899))=0,COUNTIF(Clients!$G$5:$G$1005,"*"&amp;UPPER(D899)&amp;"*")=0),"GSTIN not on Clients — will be checked in the portal","✔ OK")))))</f>
        <v/>
      </c>
    </row>
    <row r="900">
      <c r="A900" s="38" t="n"/>
      <c r="B900" s="39" t="n"/>
      <c r="C900" s="39" t="n"/>
      <c r="D900" s="38" t="n"/>
      <c r="E900" s="38" t="n"/>
      <c r="F900" s="38" t="n"/>
      <c r="G900" s="37">
        <f>IF(COUNTA(A900:F900)=0,"",IF(A900="EXAMPLE","Example (skipped)",IF(OR(C900="",E900="",F900=""),"✖ Portal, User ID and Password are all needed",IF(AND(A900="",COUNTIF(Clients!$B$5:$B$1005,B900)=0),"Not on Clients — will match a portal client by name",IF(AND(C900="GST",D900&lt;&gt;"",COUNTIF(Clients!$AN$5:$AN$1005,UPPER(D900))=0,COUNTIF(Clients!$G$5:$G$1005,"*"&amp;UPPER(D900)&amp;"*")=0),"GSTIN not on Clients — will be checked in the portal","✔ OK")))))</f>
        <v/>
      </c>
    </row>
    <row r="901">
      <c r="A901" s="38" t="n"/>
      <c r="B901" s="39" t="n"/>
      <c r="C901" s="39" t="n"/>
      <c r="D901" s="38" t="n"/>
      <c r="E901" s="38" t="n"/>
      <c r="F901" s="38" t="n"/>
      <c r="G901" s="37">
        <f>IF(COUNTA(A901:F901)=0,"",IF(A901="EXAMPLE","Example (skipped)",IF(OR(C901="",E901="",F901=""),"✖ Portal, User ID and Password are all needed",IF(AND(A901="",COUNTIF(Clients!$B$5:$B$1005,B901)=0),"Not on Clients — will match a portal client by name",IF(AND(C901="GST",D901&lt;&gt;"",COUNTIF(Clients!$AN$5:$AN$1005,UPPER(D901))=0,COUNTIF(Clients!$G$5:$G$1005,"*"&amp;UPPER(D901)&amp;"*")=0),"GSTIN not on Clients — will be checked in the portal","✔ OK")))))</f>
        <v/>
      </c>
    </row>
    <row r="902">
      <c r="A902" s="38" t="n"/>
      <c r="B902" s="39" t="n"/>
      <c r="C902" s="39" t="n"/>
      <c r="D902" s="38" t="n"/>
      <c r="E902" s="38" t="n"/>
      <c r="F902" s="38" t="n"/>
      <c r="G902" s="37">
        <f>IF(COUNTA(A902:F902)=0,"",IF(A902="EXAMPLE","Example (skipped)",IF(OR(C902="",E902="",F902=""),"✖ Portal, User ID and Password are all needed",IF(AND(A902="",COUNTIF(Clients!$B$5:$B$1005,B902)=0),"Not on Clients — will match a portal client by name",IF(AND(C902="GST",D902&lt;&gt;"",COUNTIF(Clients!$AN$5:$AN$1005,UPPER(D902))=0,COUNTIF(Clients!$G$5:$G$1005,"*"&amp;UPPER(D902)&amp;"*")=0),"GSTIN not on Clients — will be checked in the portal","✔ OK")))))</f>
        <v/>
      </c>
    </row>
    <row r="903">
      <c r="A903" s="38" t="n"/>
      <c r="B903" s="39" t="n"/>
      <c r="C903" s="39" t="n"/>
      <c r="D903" s="38" t="n"/>
      <c r="E903" s="38" t="n"/>
      <c r="F903" s="38" t="n"/>
      <c r="G903" s="37">
        <f>IF(COUNTA(A903:F903)=0,"",IF(A903="EXAMPLE","Example (skipped)",IF(OR(C903="",E903="",F903=""),"✖ Portal, User ID and Password are all needed",IF(AND(A903="",COUNTIF(Clients!$B$5:$B$1005,B903)=0),"Not on Clients — will match a portal client by name",IF(AND(C903="GST",D903&lt;&gt;"",COUNTIF(Clients!$AN$5:$AN$1005,UPPER(D903))=0,COUNTIF(Clients!$G$5:$G$1005,"*"&amp;UPPER(D903)&amp;"*")=0),"GSTIN not on Clients — will be checked in the portal","✔ OK")))))</f>
        <v/>
      </c>
    </row>
    <row r="904">
      <c r="A904" s="38" t="n"/>
      <c r="B904" s="39" t="n"/>
      <c r="C904" s="39" t="n"/>
      <c r="D904" s="38" t="n"/>
      <c r="E904" s="38" t="n"/>
      <c r="F904" s="38" t="n"/>
      <c r="G904" s="37">
        <f>IF(COUNTA(A904:F904)=0,"",IF(A904="EXAMPLE","Example (skipped)",IF(OR(C904="",E904="",F904=""),"✖ Portal, User ID and Password are all needed",IF(AND(A904="",COUNTIF(Clients!$B$5:$B$1005,B904)=0),"Not on Clients — will match a portal client by name",IF(AND(C904="GST",D904&lt;&gt;"",COUNTIF(Clients!$AN$5:$AN$1005,UPPER(D904))=0,COUNTIF(Clients!$G$5:$G$1005,"*"&amp;UPPER(D904)&amp;"*")=0),"GSTIN not on Clients — will be checked in the portal","✔ OK")))))</f>
        <v/>
      </c>
    </row>
    <row r="905">
      <c r="A905" s="38" t="n"/>
      <c r="B905" s="39" t="n"/>
      <c r="C905" s="39" t="n"/>
      <c r="D905" s="38" t="n"/>
      <c r="E905" s="38" t="n"/>
      <c r="F905" s="38" t="n"/>
      <c r="G905" s="37">
        <f>IF(COUNTA(A905:F905)=0,"",IF(A905="EXAMPLE","Example (skipped)",IF(OR(C905="",E905="",F905=""),"✖ Portal, User ID and Password are all needed",IF(AND(A905="",COUNTIF(Clients!$B$5:$B$1005,B905)=0),"Not on Clients — will match a portal client by name",IF(AND(C905="GST",D905&lt;&gt;"",COUNTIF(Clients!$AN$5:$AN$1005,UPPER(D905))=0,COUNTIF(Clients!$G$5:$G$1005,"*"&amp;UPPER(D905)&amp;"*")=0),"GSTIN not on Clients — will be checked in the portal","✔ OK")))))</f>
        <v/>
      </c>
    </row>
    <row r="906">
      <c r="A906" s="38" t="n"/>
      <c r="B906" s="39" t="n"/>
      <c r="C906" s="39" t="n"/>
      <c r="D906" s="38" t="n"/>
      <c r="E906" s="38" t="n"/>
      <c r="F906" s="38" t="n"/>
      <c r="G906" s="37">
        <f>IF(COUNTA(A906:F906)=0,"",IF(A906="EXAMPLE","Example (skipped)",IF(OR(C906="",E906="",F906=""),"✖ Portal, User ID and Password are all needed",IF(AND(A906="",COUNTIF(Clients!$B$5:$B$1005,B906)=0),"Not on Clients — will match a portal client by name",IF(AND(C906="GST",D906&lt;&gt;"",COUNTIF(Clients!$AN$5:$AN$1005,UPPER(D906))=0,COUNTIF(Clients!$G$5:$G$1005,"*"&amp;UPPER(D906)&amp;"*")=0),"GSTIN not on Clients — will be checked in the portal","✔ OK")))))</f>
        <v/>
      </c>
    </row>
    <row r="907">
      <c r="A907" s="38" t="n"/>
      <c r="B907" s="39" t="n"/>
      <c r="C907" s="39" t="n"/>
      <c r="D907" s="38" t="n"/>
      <c r="E907" s="38" t="n"/>
      <c r="F907" s="38" t="n"/>
      <c r="G907" s="37">
        <f>IF(COUNTA(A907:F907)=0,"",IF(A907="EXAMPLE","Example (skipped)",IF(OR(C907="",E907="",F907=""),"✖ Portal, User ID and Password are all needed",IF(AND(A907="",COUNTIF(Clients!$B$5:$B$1005,B907)=0),"Not on Clients — will match a portal client by name",IF(AND(C907="GST",D907&lt;&gt;"",COUNTIF(Clients!$AN$5:$AN$1005,UPPER(D907))=0,COUNTIF(Clients!$G$5:$G$1005,"*"&amp;UPPER(D907)&amp;"*")=0),"GSTIN not on Clients — will be checked in the portal","✔ OK")))))</f>
        <v/>
      </c>
    </row>
    <row r="908">
      <c r="A908" s="38" t="n"/>
      <c r="B908" s="39" t="n"/>
      <c r="C908" s="39" t="n"/>
      <c r="D908" s="38" t="n"/>
      <c r="E908" s="38" t="n"/>
      <c r="F908" s="38" t="n"/>
      <c r="G908" s="37">
        <f>IF(COUNTA(A908:F908)=0,"",IF(A908="EXAMPLE","Example (skipped)",IF(OR(C908="",E908="",F908=""),"✖ Portal, User ID and Password are all needed",IF(AND(A908="",COUNTIF(Clients!$B$5:$B$1005,B908)=0),"Not on Clients — will match a portal client by name",IF(AND(C908="GST",D908&lt;&gt;"",COUNTIF(Clients!$AN$5:$AN$1005,UPPER(D908))=0,COUNTIF(Clients!$G$5:$G$1005,"*"&amp;UPPER(D908)&amp;"*")=0),"GSTIN not on Clients — will be checked in the portal","✔ OK")))))</f>
        <v/>
      </c>
    </row>
    <row r="909">
      <c r="A909" s="38" t="n"/>
      <c r="B909" s="39" t="n"/>
      <c r="C909" s="39" t="n"/>
      <c r="D909" s="38" t="n"/>
      <c r="E909" s="38" t="n"/>
      <c r="F909" s="38" t="n"/>
      <c r="G909" s="37">
        <f>IF(COUNTA(A909:F909)=0,"",IF(A909="EXAMPLE","Example (skipped)",IF(OR(C909="",E909="",F909=""),"✖ Portal, User ID and Password are all needed",IF(AND(A909="",COUNTIF(Clients!$B$5:$B$1005,B909)=0),"Not on Clients — will match a portal client by name",IF(AND(C909="GST",D909&lt;&gt;"",COUNTIF(Clients!$AN$5:$AN$1005,UPPER(D909))=0,COUNTIF(Clients!$G$5:$G$1005,"*"&amp;UPPER(D909)&amp;"*")=0),"GSTIN not on Clients — will be checked in the portal","✔ OK")))))</f>
        <v/>
      </c>
    </row>
    <row r="910">
      <c r="A910" s="38" t="n"/>
      <c r="B910" s="39" t="n"/>
      <c r="C910" s="39" t="n"/>
      <c r="D910" s="38" t="n"/>
      <c r="E910" s="38" t="n"/>
      <c r="F910" s="38" t="n"/>
      <c r="G910" s="37">
        <f>IF(COUNTA(A910:F910)=0,"",IF(A910="EXAMPLE","Example (skipped)",IF(OR(C910="",E910="",F910=""),"✖ Portal, User ID and Password are all needed",IF(AND(A910="",COUNTIF(Clients!$B$5:$B$1005,B910)=0),"Not on Clients — will match a portal client by name",IF(AND(C910="GST",D910&lt;&gt;"",COUNTIF(Clients!$AN$5:$AN$1005,UPPER(D910))=0,COUNTIF(Clients!$G$5:$G$1005,"*"&amp;UPPER(D910)&amp;"*")=0),"GSTIN not on Clients — will be checked in the portal","✔ OK")))))</f>
        <v/>
      </c>
    </row>
    <row r="911">
      <c r="A911" s="38" t="n"/>
      <c r="B911" s="39" t="n"/>
      <c r="C911" s="39" t="n"/>
      <c r="D911" s="38" t="n"/>
      <c r="E911" s="38" t="n"/>
      <c r="F911" s="38" t="n"/>
      <c r="G911" s="37">
        <f>IF(COUNTA(A911:F911)=0,"",IF(A911="EXAMPLE","Example (skipped)",IF(OR(C911="",E911="",F911=""),"✖ Portal, User ID and Password are all needed",IF(AND(A911="",COUNTIF(Clients!$B$5:$B$1005,B911)=0),"Not on Clients — will match a portal client by name",IF(AND(C911="GST",D911&lt;&gt;"",COUNTIF(Clients!$AN$5:$AN$1005,UPPER(D911))=0,COUNTIF(Clients!$G$5:$G$1005,"*"&amp;UPPER(D911)&amp;"*")=0),"GSTIN not on Clients — will be checked in the portal","✔ OK")))))</f>
        <v/>
      </c>
    </row>
    <row r="912">
      <c r="A912" s="38" t="n"/>
      <c r="B912" s="39" t="n"/>
      <c r="C912" s="39" t="n"/>
      <c r="D912" s="38" t="n"/>
      <c r="E912" s="38" t="n"/>
      <c r="F912" s="38" t="n"/>
      <c r="G912" s="37">
        <f>IF(COUNTA(A912:F912)=0,"",IF(A912="EXAMPLE","Example (skipped)",IF(OR(C912="",E912="",F912=""),"✖ Portal, User ID and Password are all needed",IF(AND(A912="",COUNTIF(Clients!$B$5:$B$1005,B912)=0),"Not on Clients — will match a portal client by name",IF(AND(C912="GST",D912&lt;&gt;"",COUNTIF(Clients!$AN$5:$AN$1005,UPPER(D912))=0,COUNTIF(Clients!$G$5:$G$1005,"*"&amp;UPPER(D912)&amp;"*")=0),"GSTIN not on Clients — will be checked in the portal","✔ OK")))))</f>
        <v/>
      </c>
    </row>
    <row r="913">
      <c r="A913" s="38" t="n"/>
      <c r="B913" s="39" t="n"/>
      <c r="C913" s="39" t="n"/>
      <c r="D913" s="38" t="n"/>
      <c r="E913" s="38" t="n"/>
      <c r="F913" s="38" t="n"/>
      <c r="G913" s="37">
        <f>IF(COUNTA(A913:F913)=0,"",IF(A913="EXAMPLE","Example (skipped)",IF(OR(C913="",E913="",F913=""),"✖ Portal, User ID and Password are all needed",IF(AND(A913="",COUNTIF(Clients!$B$5:$B$1005,B913)=0),"Not on Clients — will match a portal client by name",IF(AND(C913="GST",D913&lt;&gt;"",COUNTIF(Clients!$AN$5:$AN$1005,UPPER(D913))=0,COUNTIF(Clients!$G$5:$G$1005,"*"&amp;UPPER(D913)&amp;"*")=0),"GSTIN not on Clients — will be checked in the portal","✔ OK")))))</f>
        <v/>
      </c>
    </row>
    <row r="914">
      <c r="A914" s="38" t="n"/>
      <c r="B914" s="39" t="n"/>
      <c r="C914" s="39" t="n"/>
      <c r="D914" s="38" t="n"/>
      <c r="E914" s="38" t="n"/>
      <c r="F914" s="38" t="n"/>
      <c r="G914" s="37">
        <f>IF(COUNTA(A914:F914)=0,"",IF(A914="EXAMPLE","Example (skipped)",IF(OR(C914="",E914="",F914=""),"✖ Portal, User ID and Password are all needed",IF(AND(A914="",COUNTIF(Clients!$B$5:$B$1005,B914)=0),"Not on Clients — will match a portal client by name",IF(AND(C914="GST",D914&lt;&gt;"",COUNTIF(Clients!$AN$5:$AN$1005,UPPER(D914))=0,COUNTIF(Clients!$G$5:$G$1005,"*"&amp;UPPER(D914)&amp;"*")=0),"GSTIN not on Clients — will be checked in the portal","✔ OK")))))</f>
        <v/>
      </c>
    </row>
    <row r="915">
      <c r="A915" s="38" t="n"/>
      <c r="B915" s="39" t="n"/>
      <c r="C915" s="39" t="n"/>
      <c r="D915" s="38" t="n"/>
      <c r="E915" s="38" t="n"/>
      <c r="F915" s="38" t="n"/>
      <c r="G915" s="37">
        <f>IF(COUNTA(A915:F915)=0,"",IF(A915="EXAMPLE","Example (skipped)",IF(OR(C915="",E915="",F915=""),"✖ Portal, User ID and Password are all needed",IF(AND(A915="",COUNTIF(Clients!$B$5:$B$1005,B915)=0),"Not on Clients — will match a portal client by name",IF(AND(C915="GST",D915&lt;&gt;"",COUNTIF(Clients!$AN$5:$AN$1005,UPPER(D915))=0,COUNTIF(Clients!$G$5:$G$1005,"*"&amp;UPPER(D915)&amp;"*")=0),"GSTIN not on Clients — will be checked in the portal","✔ OK")))))</f>
        <v/>
      </c>
    </row>
    <row r="916">
      <c r="A916" s="38" t="n"/>
      <c r="B916" s="39" t="n"/>
      <c r="C916" s="39" t="n"/>
      <c r="D916" s="38" t="n"/>
      <c r="E916" s="38" t="n"/>
      <c r="F916" s="38" t="n"/>
      <c r="G916" s="37">
        <f>IF(COUNTA(A916:F916)=0,"",IF(A916="EXAMPLE","Example (skipped)",IF(OR(C916="",E916="",F916=""),"✖ Portal, User ID and Password are all needed",IF(AND(A916="",COUNTIF(Clients!$B$5:$B$1005,B916)=0),"Not on Clients — will match a portal client by name",IF(AND(C916="GST",D916&lt;&gt;"",COUNTIF(Clients!$AN$5:$AN$1005,UPPER(D916))=0,COUNTIF(Clients!$G$5:$G$1005,"*"&amp;UPPER(D916)&amp;"*")=0),"GSTIN not on Clients — will be checked in the portal","✔ OK")))))</f>
        <v/>
      </c>
    </row>
    <row r="917">
      <c r="A917" s="38" t="n"/>
      <c r="B917" s="39" t="n"/>
      <c r="C917" s="39" t="n"/>
      <c r="D917" s="38" t="n"/>
      <c r="E917" s="38" t="n"/>
      <c r="F917" s="38" t="n"/>
      <c r="G917" s="37">
        <f>IF(COUNTA(A917:F917)=0,"",IF(A917="EXAMPLE","Example (skipped)",IF(OR(C917="",E917="",F917=""),"✖ Portal, User ID and Password are all needed",IF(AND(A917="",COUNTIF(Clients!$B$5:$B$1005,B917)=0),"Not on Clients — will match a portal client by name",IF(AND(C917="GST",D917&lt;&gt;"",COUNTIF(Clients!$AN$5:$AN$1005,UPPER(D917))=0,COUNTIF(Clients!$G$5:$G$1005,"*"&amp;UPPER(D917)&amp;"*")=0),"GSTIN not on Clients — will be checked in the portal","✔ OK")))))</f>
        <v/>
      </c>
    </row>
    <row r="918">
      <c r="A918" s="38" t="n"/>
      <c r="B918" s="39" t="n"/>
      <c r="C918" s="39" t="n"/>
      <c r="D918" s="38" t="n"/>
      <c r="E918" s="38" t="n"/>
      <c r="F918" s="38" t="n"/>
      <c r="G918" s="37">
        <f>IF(COUNTA(A918:F918)=0,"",IF(A918="EXAMPLE","Example (skipped)",IF(OR(C918="",E918="",F918=""),"✖ Portal, User ID and Password are all needed",IF(AND(A918="",COUNTIF(Clients!$B$5:$B$1005,B918)=0),"Not on Clients — will match a portal client by name",IF(AND(C918="GST",D918&lt;&gt;"",COUNTIF(Clients!$AN$5:$AN$1005,UPPER(D918))=0,COUNTIF(Clients!$G$5:$G$1005,"*"&amp;UPPER(D918)&amp;"*")=0),"GSTIN not on Clients — will be checked in the portal","✔ OK")))))</f>
        <v/>
      </c>
    </row>
    <row r="919">
      <c r="A919" s="38" t="n"/>
      <c r="B919" s="39" t="n"/>
      <c r="C919" s="39" t="n"/>
      <c r="D919" s="38" t="n"/>
      <c r="E919" s="38" t="n"/>
      <c r="F919" s="38" t="n"/>
      <c r="G919" s="37">
        <f>IF(COUNTA(A919:F919)=0,"",IF(A919="EXAMPLE","Example (skipped)",IF(OR(C919="",E919="",F919=""),"✖ Portal, User ID and Password are all needed",IF(AND(A919="",COUNTIF(Clients!$B$5:$B$1005,B919)=0),"Not on Clients — will match a portal client by name",IF(AND(C919="GST",D919&lt;&gt;"",COUNTIF(Clients!$AN$5:$AN$1005,UPPER(D919))=0,COUNTIF(Clients!$G$5:$G$1005,"*"&amp;UPPER(D919)&amp;"*")=0),"GSTIN not on Clients — will be checked in the portal","✔ OK")))))</f>
        <v/>
      </c>
    </row>
    <row r="920">
      <c r="A920" s="38" t="n"/>
      <c r="B920" s="39" t="n"/>
      <c r="C920" s="39" t="n"/>
      <c r="D920" s="38" t="n"/>
      <c r="E920" s="38" t="n"/>
      <c r="F920" s="38" t="n"/>
      <c r="G920" s="37">
        <f>IF(COUNTA(A920:F920)=0,"",IF(A920="EXAMPLE","Example (skipped)",IF(OR(C920="",E920="",F920=""),"✖ Portal, User ID and Password are all needed",IF(AND(A920="",COUNTIF(Clients!$B$5:$B$1005,B920)=0),"Not on Clients — will match a portal client by name",IF(AND(C920="GST",D920&lt;&gt;"",COUNTIF(Clients!$AN$5:$AN$1005,UPPER(D920))=0,COUNTIF(Clients!$G$5:$G$1005,"*"&amp;UPPER(D920)&amp;"*")=0),"GSTIN not on Clients — will be checked in the portal","✔ OK")))))</f>
        <v/>
      </c>
    </row>
    <row r="921">
      <c r="A921" s="38" t="n"/>
      <c r="B921" s="39" t="n"/>
      <c r="C921" s="39" t="n"/>
      <c r="D921" s="38" t="n"/>
      <c r="E921" s="38" t="n"/>
      <c r="F921" s="38" t="n"/>
      <c r="G921" s="37">
        <f>IF(COUNTA(A921:F921)=0,"",IF(A921="EXAMPLE","Example (skipped)",IF(OR(C921="",E921="",F921=""),"✖ Portal, User ID and Password are all needed",IF(AND(A921="",COUNTIF(Clients!$B$5:$B$1005,B921)=0),"Not on Clients — will match a portal client by name",IF(AND(C921="GST",D921&lt;&gt;"",COUNTIF(Clients!$AN$5:$AN$1005,UPPER(D921))=0,COUNTIF(Clients!$G$5:$G$1005,"*"&amp;UPPER(D921)&amp;"*")=0),"GSTIN not on Clients — will be checked in the portal","✔ OK")))))</f>
        <v/>
      </c>
    </row>
    <row r="922">
      <c r="A922" s="38" t="n"/>
      <c r="B922" s="39" t="n"/>
      <c r="C922" s="39" t="n"/>
      <c r="D922" s="38" t="n"/>
      <c r="E922" s="38" t="n"/>
      <c r="F922" s="38" t="n"/>
      <c r="G922" s="37">
        <f>IF(COUNTA(A922:F922)=0,"",IF(A922="EXAMPLE","Example (skipped)",IF(OR(C922="",E922="",F922=""),"✖ Portal, User ID and Password are all needed",IF(AND(A922="",COUNTIF(Clients!$B$5:$B$1005,B922)=0),"Not on Clients — will match a portal client by name",IF(AND(C922="GST",D922&lt;&gt;"",COUNTIF(Clients!$AN$5:$AN$1005,UPPER(D922))=0,COUNTIF(Clients!$G$5:$G$1005,"*"&amp;UPPER(D922)&amp;"*")=0),"GSTIN not on Clients — will be checked in the portal","✔ OK")))))</f>
        <v/>
      </c>
    </row>
    <row r="923">
      <c r="A923" s="38" t="n"/>
      <c r="B923" s="39" t="n"/>
      <c r="C923" s="39" t="n"/>
      <c r="D923" s="38" t="n"/>
      <c r="E923" s="38" t="n"/>
      <c r="F923" s="38" t="n"/>
      <c r="G923" s="37">
        <f>IF(COUNTA(A923:F923)=0,"",IF(A923="EXAMPLE","Example (skipped)",IF(OR(C923="",E923="",F923=""),"✖ Portal, User ID and Password are all needed",IF(AND(A923="",COUNTIF(Clients!$B$5:$B$1005,B923)=0),"Not on Clients — will match a portal client by name",IF(AND(C923="GST",D923&lt;&gt;"",COUNTIF(Clients!$AN$5:$AN$1005,UPPER(D923))=0,COUNTIF(Clients!$G$5:$G$1005,"*"&amp;UPPER(D923)&amp;"*")=0),"GSTIN not on Clients — will be checked in the portal","✔ OK")))))</f>
        <v/>
      </c>
    </row>
    <row r="924">
      <c r="A924" s="38" t="n"/>
      <c r="B924" s="39" t="n"/>
      <c r="C924" s="39" t="n"/>
      <c r="D924" s="38" t="n"/>
      <c r="E924" s="38" t="n"/>
      <c r="F924" s="38" t="n"/>
      <c r="G924" s="37">
        <f>IF(COUNTA(A924:F924)=0,"",IF(A924="EXAMPLE","Example (skipped)",IF(OR(C924="",E924="",F924=""),"✖ Portal, User ID and Password are all needed",IF(AND(A924="",COUNTIF(Clients!$B$5:$B$1005,B924)=0),"Not on Clients — will match a portal client by name",IF(AND(C924="GST",D924&lt;&gt;"",COUNTIF(Clients!$AN$5:$AN$1005,UPPER(D924))=0,COUNTIF(Clients!$G$5:$G$1005,"*"&amp;UPPER(D924)&amp;"*")=0),"GSTIN not on Clients — will be checked in the portal","✔ OK")))))</f>
        <v/>
      </c>
    </row>
    <row r="925">
      <c r="A925" s="38" t="n"/>
      <c r="B925" s="39" t="n"/>
      <c r="C925" s="39" t="n"/>
      <c r="D925" s="38" t="n"/>
      <c r="E925" s="38" t="n"/>
      <c r="F925" s="38" t="n"/>
      <c r="G925" s="37">
        <f>IF(COUNTA(A925:F925)=0,"",IF(A925="EXAMPLE","Example (skipped)",IF(OR(C925="",E925="",F925=""),"✖ Portal, User ID and Password are all needed",IF(AND(A925="",COUNTIF(Clients!$B$5:$B$1005,B925)=0),"Not on Clients — will match a portal client by name",IF(AND(C925="GST",D925&lt;&gt;"",COUNTIF(Clients!$AN$5:$AN$1005,UPPER(D925))=0,COUNTIF(Clients!$G$5:$G$1005,"*"&amp;UPPER(D925)&amp;"*")=0),"GSTIN not on Clients — will be checked in the portal","✔ OK")))))</f>
        <v/>
      </c>
    </row>
    <row r="926">
      <c r="A926" s="38" t="n"/>
      <c r="B926" s="39" t="n"/>
      <c r="C926" s="39" t="n"/>
      <c r="D926" s="38" t="n"/>
      <c r="E926" s="38" t="n"/>
      <c r="F926" s="38" t="n"/>
      <c r="G926" s="37">
        <f>IF(COUNTA(A926:F926)=0,"",IF(A926="EXAMPLE","Example (skipped)",IF(OR(C926="",E926="",F926=""),"✖ Portal, User ID and Password are all needed",IF(AND(A926="",COUNTIF(Clients!$B$5:$B$1005,B926)=0),"Not on Clients — will match a portal client by name",IF(AND(C926="GST",D926&lt;&gt;"",COUNTIF(Clients!$AN$5:$AN$1005,UPPER(D926))=0,COUNTIF(Clients!$G$5:$G$1005,"*"&amp;UPPER(D926)&amp;"*")=0),"GSTIN not on Clients — will be checked in the portal","✔ OK")))))</f>
        <v/>
      </c>
    </row>
    <row r="927">
      <c r="A927" s="38" t="n"/>
      <c r="B927" s="39" t="n"/>
      <c r="C927" s="39" t="n"/>
      <c r="D927" s="38" t="n"/>
      <c r="E927" s="38" t="n"/>
      <c r="F927" s="38" t="n"/>
      <c r="G927" s="37">
        <f>IF(COUNTA(A927:F927)=0,"",IF(A927="EXAMPLE","Example (skipped)",IF(OR(C927="",E927="",F927=""),"✖ Portal, User ID and Password are all needed",IF(AND(A927="",COUNTIF(Clients!$B$5:$B$1005,B927)=0),"Not on Clients — will match a portal client by name",IF(AND(C927="GST",D927&lt;&gt;"",COUNTIF(Clients!$AN$5:$AN$1005,UPPER(D927))=0,COUNTIF(Clients!$G$5:$G$1005,"*"&amp;UPPER(D927)&amp;"*")=0),"GSTIN not on Clients — will be checked in the portal","✔ OK")))))</f>
        <v/>
      </c>
    </row>
    <row r="928">
      <c r="A928" s="38" t="n"/>
      <c r="B928" s="39" t="n"/>
      <c r="C928" s="39" t="n"/>
      <c r="D928" s="38" t="n"/>
      <c r="E928" s="38" t="n"/>
      <c r="F928" s="38" t="n"/>
      <c r="G928" s="37">
        <f>IF(COUNTA(A928:F928)=0,"",IF(A928="EXAMPLE","Example (skipped)",IF(OR(C928="",E928="",F928=""),"✖ Portal, User ID and Password are all needed",IF(AND(A928="",COUNTIF(Clients!$B$5:$B$1005,B928)=0),"Not on Clients — will match a portal client by name",IF(AND(C928="GST",D928&lt;&gt;"",COUNTIF(Clients!$AN$5:$AN$1005,UPPER(D928))=0,COUNTIF(Clients!$G$5:$G$1005,"*"&amp;UPPER(D928)&amp;"*")=0),"GSTIN not on Clients — will be checked in the portal","✔ OK")))))</f>
        <v/>
      </c>
    </row>
    <row r="929">
      <c r="A929" s="38" t="n"/>
      <c r="B929" s="39" t="n"/>
      <c r="C929" s="39" t="n"/>
      <c r="D929" s="38" t="n"/>
      <c r="E929" s="38" t="n"/>
      <c r="F929" s="38" t="n"/>
      <c r="G929" s="37">
        <f>IF(COUNTA(A929:F929)=0,"",IF(A929="EXAMPLE","Example (skipped)",IF(OR(C929="",E929="",F929=""),"✖ Portal, User ID and Password are all needed",IF(AND(A929="",COUNTIF(Clients!$B$5:$B$1005,B929)=0),"Not on Clients — will match a portal client by name",IF(AND(C929="GST",D929&lt;&gt;"",COUNTIF(Clients!$AN$5:$AN$1005,UPPER(D929))=0,COUNTIF(Clients!$G$5:$G$1005,"*"&amp;UPPER(D929)&amp;"*")=0),"GSTIN not on Clients — will be checked in the portal","✔ OK")))))</f>
        <v/>
      </c>
    </row>
    <row r="930">
      <c r="A930" s="38" t="n"/>
      <c r="B930" s="39" t="n"/>
      <c r="C930" s="39" t="n"/>
      <c r="D930" s="38" t="n"/>
      <c r="E930" s="38" t="n"/>
      <c r="F930" s="38" t="n"/>
      <c r="G930" s="37">
        <f>IF(COUNTA(A930:F930)=0,"",IF(A930="EXAMPLE","Example (skipped)",IF(OR(C930="",E930="",F930=""),"✖ Portal, User ID and Password are all needed",IF(AND(A930="",COUNTIF(Clients!$B$5:$B$1005,B930)=0),"Not on Clients — will match a portal client by name",IF(AND(C930="GST",D930&lt;&gt;"",COUNTIF(Clients!$AN$5:$AN$1005,UPPER(D930))=0,COUNTIF(Clients!$G$5:$G$1005,"*"&amp;UPPER(D930)&amp;"*")=0),"GSTIN not on Clients — will be checked in the portal","✔ OK")))))</f>
        <v/>
      </c>
    </row>
    <row r="931">
      <c r="A931" s="38" t="n"/>
      <c r="B931" s="39" t="n"/>
      <c r="C931" s="39" t="n"/>
      <c r="D931" s="38" t="n"/>
      <c r="E931" s="38" t="n"/>
      <c r="F931" s="38" t="n"/>
      <c r="G931" s="37">
        <f>IF(COUNTA(A931:F931)=0,"",IF(A931="EXAMPLE","Example (skipped)",IF(OR(C931="",E931="",F931=""),"✖ Portal, User ID and Password are all needed",IF(AND(A931="",COUNTIF(Clients!$B$5:$B$1005,B931)=0),"Not on Clients — will match a portal client by name",IF(AND(C931="GST",D931&lt;&gt;"",COUNTIF(Clients!$AN$5:$AN$1005,UPPER(D931))=0,COUNTIF(Clients!$G$5:$G$1005,"*"&amp;UPPER(D931)&amp;"*")=0),"GSTIN not on Clients — will be checked in the portal","✔ OK")))))</f>
        <v/>
      </c>
    </row>
    <row r="932">
      <c r="A932" s="38" t="n"/>
      <c r="B932" s="39" t="n"/>
      <c r="C932" s="39" t="n"/>
      <c r="D932" s="38" t="n"/>
      <c r="E932" s="38" t="n"/>
      <c r="F932" s="38" t="n"/>
      <c r="G932" s="37">
        <f>IF(COUNTA(A932:F932)=0,"",IF(A932="EXAMPLE","Example (skipped)",IF(OR(C932="",E932="",F932=""),"✖ Portal, User ID and Password are all needed",IF(AND(A932="",COUNTIF(Clients!$B$5:$B$1005,B932)=0),"Not on Clients — will match a portal client by name",IF(AND(C932="GST",D932&lt;&gt;"",COUNTIF(Clients!$AN$5:$AN$1005,UPPER(D932))=0,COUNTIF(Clients!$G$5:$G$1005,"*"&amp;UPPER(D932)&amp;"*")=0),"GSTIN not on Clients — will be checked in the portal","✔ OK")))))</f>
        <v/>
      </c>
    </row>
    <row r="933">
      <c r="A933" s="38" t="n"/>
      <c r="B933" s="39" t="n"/>
      <c r="C933" s="39" t="n"/>
      <c r="D933" s="38" t="n"/>
      <c r="E933" s="38" t="n"/>
      <c r="F933" s="38" t="n"/>
      <c r="G933" s="37">
        <f>IF(COUNTA(A933:F933)=0,"",IF(A933="EXAMPLE","Example (skipped)",IF(OR(C933="",E933="",F933=""),"✖ Portal, User ID and Password are all needed",IF(AND(A933="",COUNTIF(Clients!$B$5:$B$1005,B933)=0),"Not on Clients — will match a portal client by name",IF(AND(C933="GST",D933&lt;&gt;"",COUNTIF(Clients!$AN$5:$AN$1005,UPPER(D933))=0,COUNTIF(Clients!$G$5:$G$1005,"*"&amp;UPPER(D933)&amp;"*")=0),"GSTIN not on Clients — will be checked in the portal","✔ OK")))))</f>
        <v/>
      </c>
    </row>
    <row r="934">
      <c r="A934" s="38" t="n"/>
      <c r="B934" s="39" t="n"/>
      <c r="C934" s="39" t="n"/>
      <c r="D934" s="38" t="n"/>
      <c r="E934" s="38" t="n"/>
      <c r="F934" s="38" t="n"/>
      <c r="G934" s="37">
        <f>IF(COUNTA(A934:F934)=0,"",IF(A934="EXAMPLE","Example (skipped)",IF(OR(C934="",E934="",F934=""),"✖ Portal, User ID and Password are all needed",IF(AND(A934="",COUNTIF(Clients!$B$5:$B$1005,B934)=0),"Not on Clients — will match a portal client by name",IF(AND(C934="GST",D934&lt;&gt;"",COUNTIF(Clients!$AN$5:$AN$1005,UPPER(D934))=0,COUNTIF(Clients!$G$5:$G$1005,"*"&amp;UPPER(D934)&amp;"*")=0),"GSTIN not on Clients — will be checked in the portal","✔ OK")))))</f>
        <v/>
      </c>
    </row>
    <row r="935">
      <c r="A935" s="38" t="n"/>
      <c r="B935" s="39" t="n"/>
      <c r="C935" s="39" t="n"/>
      <c r="D935" s="38" t="n"/>
      <c r="E935" s="38" t="n"/>
      <c r="F935" s="38" t="n"/>
      <c r="G935" s="37">
        <f>IF(COUNTA(A935:F935)=0,"",IF(A935="EXAMPLE","Example (skipped)",IF(OR(C935="",E935="",F935=""),"✖ Portal, User ID and Password are all needed",IF(AND(A935="",COUNTIF(Clients!$B$5:$B$1005,B935)=0),"Not on Clients — will match a portal client by name",IF(AND(C935="GST",D935&lt;&gt;"",COUNTIF(Clients!$AN$5:$AN$1005,UPPER(D935))=0,COUNTIF(Clients!$G$5:$G$1005,"*"&amp;UPPER(D935)&amp;"*")=0),"GSTIN not on Clients — will be checked in the portal","✔ OK")))))</f>
        <v/>
      </c>
    </row>
    <row r="936">
      <c r="A936" s="38" t="n"/>
      <c r="B936" s="39" t="n"/>
      <c r="C936" s="39" t="n"/>
      <c r="D936" s="38" t="n"/>
      <c r="E936" s="38" t="n"/>
      <c r="F936" s="38" t="n"/>
      <c r="G936" s="37">
        <f>IF(COUNTA(A936:F936)=0,"",IF(A936="EXAMPLE","Example (skipped)",IF(OR(C936="",E936="",F936=""),"✖ Portal, User ID and Password are all needed",IF(AND(A936="",COUNTIF(Clients!$B$5:$B$1005,B936)=0),"Not on Clients — will match a portal client by name",IF(AND(C936="GST",D936&lt;&gt;"",COUNTIF(Clients!$AN$5:$AN$1005,UPPER(D936))=0,COUNTIF(Clients!$G$5:$G$1005,"*"&amp;UPPER(D936)&amp;"*")=0),"GSTIN not on Clients — will be checked in the portal","✔ OK")))))</f>
        <v/>
      </c>
    </row>
    <row r="937">
      <c r="A937" s="38" t="n"/>
      <c r="B937" s="39" t="n"/>
      <c r="C937" s="39" t="n"/>
      <c r="D937" s="38" t="n"/>
      <c r="E937" s="38" t="n"/>
      <c r="F937" s="38" t="n"/>
      <c r="G937" s="37">
        <f>IF(COUNTA(A937:F937)=0,"",IF(A937="EXAMPLE","Example (skipped)",IF(OR(C937="",E937="",F937=""),"✖ Portal, User ID and Password are all needed",IF(AND(A937="",COUNTIF(Clients!$B$5:$B$1005,B937)=0),"Not on Clients — will match a portal client by name",IF(AND(C937="GST",D937&lt;&gt;"",COUNTIF(Clients!$AN$5:$AN$1005,UPPER(D937))=0,COUNTIF(Clients!$G$5:$G$1005,"*"&amp;UPPER(D937)&amp;"*")=0),"GSTIN not on Clients — will be checked in the portal","✔ OK")))))</f>
        <v/>
      </c>
    </row>
    <row r="938">
      <c r="A938" s="38" t="n"/>
      <c r="B938" s="39" t="n"/>
      <c r="C938" s="39" t="n"/>
      <c r="D938" s="38" t="n"/>
      <c r="E938" s="38" t="n"/>
      <c r="F938" s="38" t="n"/>
      <c r="G938" s="37">
        <f>IF(COUNTA(A938:F938)=0,"",IF(A938="EXAMPLE","Example (skipped)",IF(OR(C938="",E938="",F938=""),"✖ Portal, User ID and Password are all needed",IF(AND(A938="",COUNTIF(Clients!$B$5:$B$1005,B938)=0),"Not on Clients — will match a portal client by name",IF(AND(C938="GST",D938&lt;&gt;"",COUNTIF(Clients!$AN$5:$AN$1005,UPPER(D938))=0,COUNTIF(Clients!$G$5:$G$1005,"*"&amp;UPPER(D938)&amp;"*")=0),"GSTIN not on Clients — will be checked in the portal","✔ OK")))))</f>
        <v/>
      </c>
    </row>
    <row r="939">
      <c r="A939" s="38" t="n"/>
      <c r="B939" s="39" t="n"/>
      <c r="C939" s="39" t="n"/>
      <c r="D939" s="38" t="n"/>
      <c r="E939" s="38" t="n"/>
      <c r="F939" s="38" t="n"/>
      <c r="G939" s="37">
        <f>IF(COUNTA(A939:F939)=0,"",IF(A939="EXAMPLE","Example (skipped)",IF(OR(C939="",E939="",F939=""),"✖ Portal, User ID and Password are all needed",IF(AND(A939="",COUNTIF(Clients!$B$5:$B$1005,B939)=0),"Not on Clients — will match a portal client by name",IF(AND(C939="GST",D939&lt;&gt;"",COUNTIF(Clients!$AN$5:$AN$1005,UPPER(D939))=0,COUNTIF(Clients!$G$5:$G$1005,"*"&amp;UPPER(D939)&amp;"*")=0),"GSTIN not on Clients — will be checked in the portal","✔ OK")))))</f>
        <v/>
      </c>
    </row>
    <row r="940">
      <c r="A940" s="38" t="n"/>
      <c r="B940" s="39" t="n"/>
      <c r="C940" s="39" t="n"/>
      <c r="D940" s="38" t="n"/>
      <c r="E940" s="38" t="n"/>
      <c r="F940" s="38" t="n"/>
      <c r="G940" s="37">
        <f>IF(COUNTA(A940:F940)=0,"",IF(A940="EXAMPLE","Example (skipped)",IF(OR(C940="",E940="",F940=""),"✖ Portal, User ID and Password are all needed",IF(AND(A940="",COUNTIF(Clients!$B$5:$B$1005,B940)=0),"Not on Clients — will match a portal client by name",IF(AND(C940="GST",D940&lt;&gt;"",COUNTIF(Clients!$AN$5:$AN$1005,UPPER(D940))=0,COUNTIF(Clients!$G$5:$G$1005,"*"&amp;UPPER(D940)&amp;"*")=0),"GSTIN not on Clients — will be checked in the portal","✔ OK")))))</f>
        <v/>
      </c>
    </row>
    <row r="941">
      <c r="A941" s="38" t="n"/>
      <c r="B941" s="39" t="n"/>
      <c r="C941" s="39" t="n"/>
      <c r="D941" s="38" t="n"/>
      <c r="E941" s="38" t="n"/>
      <c r="F941" s="38" t="n"/>
      <c r="G941" s="37">
        <f>IF(COUNTA(A941:F941)=0,"",IF(A941="EXAMPLE","Example (skipped)",IF(OR(C941="",E941="",F941=""),"✖ Portal, User ID and Password are all needed",IF(AND(A941="",COUNTIF(Clients!$B$5:$B$1005,B941)=0),"Not on Clients — will match a portal client by name",IF(AND(C941="GST",D941&lt;&gt;"",COUNTIF(Clients!$AN$5:$AN$1005,UPPER(D941))=0,COUNTIF(Clients!$G$5:$G$1005,"*"&amp;UPPER(D941)&amp;"*")=0),"GSTIN not on Clients — will be checked in the portal","✔ OK")))))</f>
        <v/>
      </c>
    </row>
    <row r="942">
      <c r="A942" s="38" t="n"/>
      <c r="B942" s="39" t="n"/>
      <c r="C942" s="39" t="n"/>
      <c r="D942" s="38" t="n"/>
      <c r="E942" s="38" t="n"/>
      <c r="F942" s="38" t="n"/>
      <c r="G942" s="37">
        <f>IF(COUNTA(A942:F942)=0,"",IF(A942="EXAMPLE","Example (skipped)",IF(OR(C942="",E942="",F942=""),"✖ Portal, User ID and Password are all needed",IF(AND(A942="",COUNTIF(Clients!$B$5:$B$1005,B942)=0),"Not on Clients — will match a portal client by name",IF(AND(C942="GST",D942&lt;&gt;"",COUNTIF(Clients!$AN$5:$AN$1005,UPPER(D942))=0,COUNTIF(Clients!$G$5:$G$1005,"*"&amp;UPPER(D942)&amp;"*")=0),"GSTIN not on Clients — will be checked in the portal","✔ OK")))))</f>
        <v/>
      </c>
    </row>
    <row r="943">
      <c r="A943" s="38" t="n"/>
      <c r="B943" s="39" t="n"/>
      <c r="C943" s="39" t="n"/>
      <c r="D943" s="38" t="n"/>
      <c r="E943" s="38" t="n"/>
      <c r="F943" s="38" t="n"/>
      <c r="G943" s="37">
        <f>IF(COUNTA(A943:F943)=0,"",IF(A943="EXAMPLE","Example (skipped)",IF(OR(C943="",E943="",F943=""),"✖ Portal, User ID and Password are all needed",IF(AND(A943="",COUNTIF(Clients!$B$5:$B$1005,B943)=0),"Not on Clients — will match a portal client by name",IF(AND(C943="GST",D943&lt;&gt;"",COUNTIF(Clients!$AN$5:$AN$1005,UPPER(D943))=0,COUNTIF(Clients!$G$5:$G$1005,"*"&amp;UPPER(D943)&amp;"*")=0),"GSTIN not on Clients — will be checked in the portal","✔ OK")))))</f>
        <v/>
      </c>
    </row>
    <row r="944">
      <c r="A944" s="38" t="n"/>
      <c r="B944" s="39" t="n"/>
      <c r="C944" s="39" t="n"/>
      <c r="D944" s="38" t="n"/>
      <c r="E944" s="38" t="n"/>
      <c r="F944" s="38" t="n"/>
      <c r="G944" s="37">
        <f>IF(COUNTA(A944:F944)=0,"",IF(A944="EXAMPLE","Example (skipped)",IF(OR(C944="",E944="",F944=""),"✖ Portal, User ID and Password are all needed",IF(AND(A944="",COUNTIF(Clients!$B$5:$B$1005,B944)=0),"Not on Clients — will match a portal client by name",IF(AND(C944="GST",D944&lt;&gt;"",COUNTIF(Clients!$AN$5:$AN$1005,UPPER(D944))=0,COUNTIF(Clients!$G$5:$G$1005,"*"&amp;UPPER(D944)&amp;"*")=0),"GSTIN not on Clients — will be checked in the portal","✔ OK")))))</f>
        <v/>
      </c>
    </row>
    <row r="945">
      <c r="A945" s="38" t="n"/>
      <c r="B945" s="39" t="n"/>
      <c r="C945" s="39" t="n"/>
      <c r="D945" s="38" t="n"/>
      <c r="E945" s="38" t="n"/>
      <c r="F945" s="38" t="n"/>
      <c r="G945" s="37">
        <f>IF(COUNTA(A945:F945)=0,"",IF(A945="EXAMPLE","Example (skipped)",IF(OR(C945="",E945="",F945=""),"✖ Portal, User ID and Password are all needed",IF(AND(A945="",COUNTIF(Clients!$B$5:$B$1005,B945)=0),"Not on Clients — will match a portal client by name",IF(AND(C945="GST",D945&lt;&gt;"",COUNTIF(Clients!$AN$5:$AN$1005,UPPER(D945))=0,COUNTIF(Clients!$G$5:$G$1005,"*"&amp;UPPER(D945)&amp;"*")=0),"GSTIN not on Clients — will be checked in the portal","✔ OK")))))</f>
        <v/>
      </c>
    </row>
    <row r="946">
      <c r="A946" s="38" t="n"/>
      <c r="B946" s="39" t="n"/>
      <c r="C946" s="39" t="n"/>
      <c r="D946" s="38" t="n"/>
      <c r="E946" s="38" t="n"/>
      <c r="F946" s="38" t="n"/>
      <c r="G946" s="37">
        <f>IF(COUNTA(A946:F946)=0,"",IF(A946="EXAMPLE","Example (skipped)",IF(OR(C946="",E946="",F946=""),"✖ Portal, User ID and Password are all needed",IF(AND(A946="",COUNTIF(Clients!$B$5:$B$1005,B946)=0),"Not on Clients — will match a portal client by name",IF(AND(C946="GST",D946&lt;&gt;"",COUNTIF(Clients!$AN$5:$AN$1005,UPPER(D946))=0,COUNTIF(Clients!$G$5:$G$1005,"*"&amp;UPPER(D946)&amp;"*")=0),"GSTIN not on Clients — will be checked in the portal","✔ OK")))))</f>
        <v/>
      </c>
    </row>
    <row r="947">
      <c r="A947" s="38" t="n"/>
      <c r="B947" s="39" t="n"/>
      <c r="C947" s="39" t="n"/>
      <c r="D947" s="38" t="n"/>
      <c r="E947" s="38" t="n"/>
      <c r="F947" s="38" t="n"/>
      <c r="G947" s="37">
        <f>IF(COUNTA(A947:F947)=0,"",IF(A947="EXAMPLE","Example (skipped)",IF(OR(C947="",E947="",F947=""),"✖ Portal, User ID and Password are all needed",IF(AND(A947="",COUNTIF(Clients!$B$5:$B$1005,B947)=0),"Not on Clients — will match a portal client by name",IF(AND(C947="GST",D947&lt;&gt;"",COUNTIF(Clients!$AN$5:$AN$1005,UPPER(D947))=0,COUNTIF(Clients!$G$5:$G$1005,"*"&amp;UPPER(D947)&amp;"*")=0),"GSTIN not on Clients — will be checked in the portal","✔ OK")))))</f>
        <v/>
      </c>
    </row>
    <row r="948">
      <c r="A948" s="38" t="n"/>
      <c r="B948" s="39" t="n"/>
      <c r="C948" s="39" t="n"/>
      <c r="D948" s="38" t="n"/>
      <c r="E948" s="38" t="n"/>
      <c r="F948" s="38" t="n"/>
      <c r="G948" s="37">
        <f>IF(COUNTA(A948:F948)=0,"",IF(A948="EXAMPLE","Example (skipped)",IF(OR(C948="",E948="",F948=""),"✖ Portal, User ID and Password are all needed",IF(AND(A948="",COUNTIF(Clients!$B$5:$B$1005,B948)=0),"Not on Clients — will match a portal client by name",IF(AND(C948="GST",D948&lt;&gt;"",COUNTIF(Clients!$AN$5:$AN$1005,UPPER(D948))=0,COUNTIF(Clients!$G$5:$G$1005,"*"&amp;UPPER(D948)&amp;"*")=0),"GSTIN not on Clients — will be checked in the portal","✔ OK")))))</f>
        <v/>
      </c>
    </row>
    <row r="949">
      <c r="A949" s="38" t="n"/>
      <c r="B949" s="39" t="n"/>
      <c r="C949" s="39" t="n"/>
      <c r="D949" s="38" t="n"/>
      <c r="E949" s="38" t="n"/>
      <c r="F949" s="38" t="n"/>
      <c r="G949" s="37">
        <f>IF(COUNTA(A949:F949)=0,"",IF(A949="EXAMPLE","Example (skipped)",IF(OR(C949="",E949="",F949=""),"✖ Portal, User ID and Password are all needed",IF(AND(A949="",COUNTIF(Clients!$B$5:$B$1005,B949)=0),"Not on Clients — will match a portal client by name",IF(AND(C949="GST",D949&lt;&gt;"",COUNTIF(Clients!$AN$5:$AN$1005,UPPER(D949))=0,COUNTIF(Clients!$G$5:$G$1005,"*"&amp;UPPER(D949)&amp;"*")=0),"GSTIN not on Clients — will be checked in the portal","✔ OK")))))</f>
        <v/>
      </c>
    </row>
    <row r="950">
      <c r="A950" s="38" t="n"/>
      <c r="B950" s="39" t="n"/>
      <c r="C950" s="39" t="n"/>
      <c r="D950" s="38" t="n"/>
      <c r="E950" s="38" t="n"/>
      <c r="F950" s="38" t="n"/>
      <c r="G950" s="37">
        <f>IF(COUNTA(A950:F950)=0,"",IF(A950="EXAMPLE","Example (skipped)",IF(OR(C950="",E950="",F950=""),"✖ Portal, User ID and Password are all needed",IF(AND(A950="",COUNTIF(Clients!$B$5:$B$1005,B950)=0),"Not on Clients — will match a portal client by name",IF(AND(C950="GST",D950&lt;&gt;"",COUNTIF(Clients!$AN$5:$AN$1005,UPPER(D950))=0,COUNTIF(Clients!$G$5:$G$1005,"*"&amp;UPPER(D950)&amp;"*")=0),"GSTIN not on Clients — will be checked in the portal","✔ OK")))))</f>
        <v/>
      </c>
    </row>
    <row r="951">
      <c r="A951" s="38" t="n"/>
      <c r="B951" s="39" t="n"/>
      <c r="C951" s="39" t="n"/>
      <c r="D951" s="38" t="n"/>
      <c r="E951" s="38" t="n"/>
      <c r="F951" s="38" t="n"/>
      <c r="G951" s="37">
        <f>IF(COUNTA(A951:F951)=0,"",IF(A951="EXAMPLE","Example (skipped)",IF(OR(C951="",E951="",F951=""),"✖ Portal, User ID and Password are all needed",IF(AND(A951="",COUNTIF(Clients!$B$5:$B$1005,B951)=0),"Not on Clients — will match a portal client by name",IF(AND(C951="GST",D951&lt;&gt;"",COUNTIF(Clients!$AN$5:$AN$1005,UPPER(D951))=0,COUNTIF(Clients!$G$5:$G$1005,"*"&amp;UPPER(D951)&amp;"*")=0),"GSTIN not on Clients — will be checked in the portal","✔ OK")))))</f>
        <v/>
      </c>
    </row>
    <row r="952">
      <c r="A952" s="38" t="n"/>
      <c r="B952" s="39" t="n"/>
      <c r="C952" s="39" t="n"/>
      <c r="D952" s="38" t="n"/>
      <c r="E952" s="38" t="n"/>
      <c r="F952" s="38" t="n"/>
      <c r="G952" s="37">
        <f>IF(COUNTA(A952:F952)=0,"",IF(A952="EXAMPLE","Example (skipped)",IF(OR(C952="",E952="",F952=""),"✖ Portal, User ID and Password are all needed",IF(AND(A952="",COUNTIF(Clients!$B$5:$B$1005,B952)=0),"Not on Clients — will match a portal client by name",IF(AND(C952="GST",D952&lt;&gt;"",COUNTIF(Clients!$AN$5:$AN$1005,UPPER(D952))=0,COUNTIF(Clients!$G$5:$G$1005,"*"&amp;UPPER(D952)&amp;"*")=0),"GSTIN not on Clients — will be checked in the portal","✔ OK")))))</f>
        <v/>
      </c>
    </row>
    <row r="953">
      <c r="A953" s="38" t="n"/>
      <c r="B953" s="39" t="n"/>
      <c r="C953" s="39" t="n"/>
      <c r="D953" s="38" t="n"/>
      <c r="E953" s="38" t="n"/>
      <c r="F953" s="38" t="n"/>
      <c r="G953" s="37">
        <f>IF(COUNTA(A953:F953)=0,"",IF(A953="EXAMPLE","Example (skipped)",IF(OR(C953="",E953="",F953=""),"✖ Portal, User ID and Password are all needed",IF(AND(A953="",COUNTIF(Clients!$B$5:$B$1005,B953)=0),"Not on Clients — will match a portal client by name",IF(AND(C953="GST",D953&lt;&gt;"",COUNTIF(Clients!$AN$5:$AN$1005,UPPER(D953))=0,COUNTIF(Clients!$G$5:$G$1005,"*"&amp;UPPER(D953)&amp;"*")=0),"GSTIN not on Clients — will be checked in the portal","✔ OK")))))</f>
        <v/>
      </c>
    </row>
    <row r="954">
      <c r="A954" s="38" t="n"/>
      <c r="B954" s="39" t="n"/>
      <c r="C954" s="39" t="n"/>
      <c r="D954" s="38" t="n"/>
      <c r="E954" s="38" t="n"/>
      <c r="F954" s="38" t="n"/>
      <c r="G954" s="37">
        <f>IF(COUNTA(A954:F954)=0,"",IF(A954="EXAMPLE","Example (skipped)",IF(OR(C954="",E954="",F954=""),"✖ Portal, User ID and Password are all needed",IF(AND(A954="",COUNTIF(Clients!$B$5:$B$1005,B954)=0),"Not on Clients — will match a portal client by name",IF(AND(C954="GST",D954&lt;&gt;"",COUNTIF(Clients!$AN$5:$AN$1005,UPPER(D954))=0,COUNTIF(Clients!$G$5:$G$1005,"*"&amp;UPPER(D954)&amp;"*")=0),"GSTIN not on Clients — will be checked in the portal","✔ OK")))))</f>
        <v/>
      </c>
    </row>
    <row r="955">
      <c r="A955" s="38" t="n"/>
      <c r="B955" s="39" t="n"/>
      <c r="C955" s="39" t="n"/>
      <c r="D955" s="38" t="n"/>
      <c r="E955" s="38" t="n"/>
      <c r="F955" s="38" t="n"/>
      <c r="G955" s="37">
        <f>IF(COUNTA(A955:F955)=0,"",IF(A955="EXAMPLE","Example (skipped)",IF(OR(C955="",E955="",F955=""),"✖ Portal, User ID and Password are all needed",IF(AND(A955="",COUNTIF(Clients!$B$5:$B$1005,B955)=0),"Not on Clients — will match a portal client by name",IF(AND(C955="GST",D955&lt;&gt;"",COUNTIF(Clients!$AN$5:$AN$1005,UPPER(D955))=0,COUNTIF(Clients!$G$5:$G$1005,"*"&amp;UPPER(D955)&amp;"*")=0),"GSTIN not on Clients — will be checked in the portal","✔ OK")))))</f>
        <v/>
      </c>
    </row>
    <row r="956">
      <c r="A956" s="38" t="n"/>
      <c r="B956" s="39" t="n"/>
      <c r="C956" s="39" t="n"/>
      <c r="D956" s="38" t="n"/>
      <c r="E956" s="38" t="n"/>
      <c r="F956" s="38" t="n"/>
      <c r="G956" s="37">
        <f>IF(COUNTA(A956:F956)=0,"",IF(A956="EXAMPLE","Example (skipped)",IF(OR(C956="",E956="",F956=""),"✖ Portal, User ID and Password are all needed",IF(AND(A956="",COUNTIF(Clients!$B$5:$B$1005,B956)=0),"Not on Clients — will match a portal client by name",IF(AND(C956="GST",D956&lt;&gt;"",COUNTIF(Clients!$AN$5:$AN$1005,UPPER(D956))=0,COUNTIF(Clients!$G$5:$G$1005,"*"&amp;UPPER(D956)&amp;"*")=0),"GSTIN not on Clients — will be checked in the portal","✔ OK")))))</f>
        <v/>
      </c>
    </row>
    <row r="957">
      <c r="A957" s="38" t="n"/>
      <c r="B957" s="39" t="n"/>
      <c r="C957" s="39" t="n"/>
      <c r="D957" s="38" t="n"/>
      <c r="E957" s="38" t="n"/>
      <c r="F957" s="38" t="n"/>
      <c r="G957" s="37">
        <f>IF(COUNTA(A957:F957)=0,"",IF(A957="EXAMPLE","Example (skipped)",IF(OR(C957="",E957="",F957=""),"✖ Portal, User ID and Password are all needed",IF(AND(A957="",COUNTIF(Clients!$B$5:$B$1005,B957)=0),"Not on Clients — will match a portal client by name",IF(AND(C957="GST",D957&lt;&gt;"",COUNTIF(Clients!$AN$5:$AN$1005,UPPER(D957))=0,COUNTIF(Clients!$G$5:$G$1005,"*"&amp;UPPER(D957)&amp;"*")=0),"GSTIN not on Clients — will be checked in the portal","✔ OK")))))</f>
        <v/>
      </c>
    </row>
    <row r="958">
      <c r="A958" s="38" t="n"/>
      <c r="B958" s="39" t="n"/>
      <c r="C958" s="39" t="n"/>
      <c r="D958" s="38" t="n"/>
      <c r="E958" s="38" t="n"/>
      <c r="F958" s="38" t="n"/>
      <c r="G958" s="37">
        <f>IF(COUNTA(A958:F958)=0,"",IF(A958="EXAMPLE","Example (skipped)",IF(OR(C958="",E958="",F958=""),"✖ Portal, User ID and Password are all needed",IF(AND(A958="",COUNTIF(Clients!$B$5:$B$1005,B958)=0),"Not on Clients — will match a portal client by name",IF(AND(C958="GST",D958&lt;&gt;"",COUNTIF(Clients!$AN$5:$AN$1005,UPPER(D958))=0,COUNTIF(Clients!$G$5:$G$1005,"*"&amp;UPPER(D958)&amp;"*")=0),"GSTIN not on Clients — will be checked in the portal","✔ OK")))))</f>
        <v/>
      </c>
    </row>
    <row r="959">
      <c r="A959" s="38" t="n"/>
      <c r="B959" s="39" t="n"/>
      <c r="C959" s="39" t="n"/>
      <c r="D959" s="38" t="n"/>
      <c r="E959" s="38" t="n"/>
      <c r="F959" s="38" t="n"/>
      <c r="G959" s="37">
        <f>IF(COUNTA(A959:F959)=0,"",IF(A959="EXAMPLE","Example (skipped)",IF(OR(C959="",E959="",F959=""),"✖ Portal, User ID and Password are all needed",IF(AND(A959="",COUNTIF(Clients!$B$5:$B$1005,B959)=0),"Not on Clients — will match a portal client by name",IF(AND(C959="GST",D959&lt;&gt;"",COUNTIF(Clients!$AN$5:$AN$1005,UPPER(D959))=0,COUNTIF(Clients!$G$5:$G$1005,"*"&amp;UPPER(D959)&amp;"*")=0),"GSTIN not on Clients — will be checked in the portal","✔ OK")))))</f>
        <v/>
      </c>
    </row>
    <row r="960">
      <c r="A960" s="38" t="n"/>
      <c r="B960" s="39" t="n"/>
      <c r="C960" s="39" t="n"/>
      <c r="D960" s="38" t="n"/>
      <c r="E960" s="38" t="n"/>
      <c r="F960" s="38" t="n"/>
      <c r="G960" s="37">
        <f>IF(COUNTA(A960:F960)=0,"",IF(A960="EXAMPLE","Example (skipped)",IF(OR(C960="",E960="",F960=""),"✖ Portal, User ID and Password are all needed",IF(AND(A960="",COUNTIF(Clients!$B$5:$B$1005,B960)=0),"Not on Clients — will match a portal client by name",IF(AND(C960="GST",D960&lt;&gt;"",COUNTIF(Clients!$AN$5:$AN$1005,UPPER(D960))=0,COUNTIF(Clients!$G$5:$G$1005,"*"&amp;UPPER(D960)&amp;"*")=0),"GSTIN not on Clients — will be checked in the portal","✔ OK")))))</f>
        <v/>
      </c>
    </row>
    <row r="961">
      <c r="A961" s="38" t="n"/>
      <c r="B961" s="39" t="n"/>
      <c r="C961" s="39" t="n"/>
      <c r="D961" s="38" t="n"/>
      <c r="E961" s="38" t="n"/>
      <c r="F961" s="38" t="n"/>
      <c r="G961" s="37">
        <f>IF(COUNTA(A961:F961)=0,"",IF(A961="EXAMPLE","Example (skipped)",IF(OR(C961="",E961="",F961=""),"✖ Portal, User ID and Password are all needed",IF(AND(A961="",COUNTIF(Clients!$B$5:$B$1005,B961)=0),"Not on Clients — will match a portal client by name",IF(AND(C961="GST",D961&lt;&gt;"",COUNTIF(Clients!$AN$5:$AN$1005,UPPER(D961))=0,COUNTIF(Clients!$G$5:$G$1005,"*"&amp;UPPER(D961)&amp;"*")=0),"GSTIN not on Clients — will be checked in the portal","✔ OK")))))</f>
        <v/>
      </c>
    </row>
    <row r="962">
      <c r="A962" s="38" t="n"/>
      <c r="B962" s="39" t="n"/>
      <c r="C962" s="39" t="n"/>
      <c r="D962" s="38" t="n"/>
      <c r="E962" s="38" t="n"/>
      <c r="F962" s="38" t="n"/>
      <c r="G962" s="37">
        <f>IF(COUNTA(A962:F962)=0,"",IF(A962="EXAMPLE","Example (skipped)",IF(OR(C962="",E962="",F962=""),"✖ Portal, User ID and Password are all needed",IF(AND(A962="",COUNTIF(Clients!$B$5:$B$1005,B962)=0),"Not on Clients — will match a portal client by name",IF(AND(C962="GST",D962&lt;&gt;"",COUNTIF(Clients!$AN$5:$AN$1005,UPPER(D962))=0,COUNTIF(Clients!$G$5:$G$1005,"*"&amp;UPPER(D962)&amp;"*")=0),"GSTIN not on Clients — will be checked in the portal","✔ OK")))))</f>
        <v/>
      </c>
    </row>
    <row r="963">
      <c r="A963" s="38" t="n"/>
      <c r="B963" s="39" t="n"/>
      <c r="C963" s="39" t="n"/>
      <c r="D963" s="38" t="n"/>
      <c r="E963" s="38" t="n"/>
      <c r="F963" s="38" t="n"/>
      <c r="G963" s="37">
        <f>IF(COUNTA(A963:F963)=0,"",IF(A963="EXAMPLE","Example (skipped)",IF(OR(C963="",E963="",F963=""),"✖ Portal, User ID and Password are all needed",IF(AND(A963="",COUNTIF(Clients!$B$5:$B$1005,B963)=0),"Not on Clients — will match a portal client by name",IF(AND(C963="GST",D963&lt;&gt;"",COUNTIF(Clients!$AN$5:$AN$1005,UPPER(D963))=0,COUNTIF(Clients!$G$5:$G$1005,"*"&amp;UPPER(D963)&amp;"*")=0),"GSTIN not on Clients — will be checked in the portal","✔ OK")))))</f>
        <v/>
      </c>
    </row>
    <row r="964">
      <c r="A964" s="38" t="n"/>
      <c r="B964" s="39" t="n"/>
      <c r="C964" s="39" t="n"/>
      <c r="D964" s="38" t="n"/>
      <c r="E964" s="38" t="n"/>
      <c r="F964" s="38" t="n"/>
      <c r="G964" s="37">
        <f>IF(COUNTA(A964:F964)=0,"",IF(A964="EXAMPLE","Example (skipped)",IF(OR(C964="",E964="",F964=""),"✖ Portal, User ID and Password are all needed",IF(AND(A964="",COUNTIF(Clients!$B$5:$B$1005,B964)=0),"Not on Clients — will match a portal client by name",IF(AND(C964="GST",D964&lt;&gt;"",COUNTIF(Clients!$AN$5:$AN$1005,UPPER(D964))=0,COUNTIF(Clients!$G$5:$G$1005,"*"&amp;UPPER(D964)&amp;"*")=0),"GSTIN not on Clients — will be checked in the portal","✔ OK")))))</f>
        <v/>
      </c>
    </row>
    <row r="965">
      <c r="A965" s="38" t="n"/>
      <c r="B965" s="39" t="n"/>
      <c r="C965" s="39" t="n"/>
      <c r="D965" s="38" t="n"/>
      <c r="E965" s="38" t="n"/>
      <c r="F965" s="38" t="n"/>
      <c r="G965" s="37">
        <f>IF(COUNTA(A965:F965)=0,"",IF(A965="EXAMPLE","Example (skipped)",IF(OR(C965="",E965="",F965=""),"✖ Portal, User ID and Password are all needed",IF(AND(A965="",COUNTIF(Clients!$B$5:$B$1005,B965)=0),"Not on Clients — will match a portal client by name",IF(AND(C965="GST",D965&lt;&gt;"",COUNTIF(Clients!$AN$5:$AN$1005,UPPER(D965))=0,COUNTIF(Clients!$G$5:$G$1005,"*"&amp;UPPER(D965)&amp;"*")=0),"GSTIN not on Clients — will be checked in the portal","✔ OK")))))</f>
        <v/>
      </c>
    </row>
    <row r="966">
      <c r="A966" s="38" t="n"/>
      <c r="B966" s="39" t="n"/>
      <c r="C966" s="39" t="n"/>
      <c r="D966" s="38" t="n"/>
      <c r="E966" s="38" t="n"/>
      <c r="F966" s="38" t="n"/>
      <c r="G966" s="37">
        <f>IF(COUNTA(A966:F966)=0,"",IF(A966="EXAMPLE","Example (skipped)",IF(OR(C966="",E966="",F966=""),"✖ Portal, User ID and Password are all needed",IF(AND(A966="",COUNTIF(Clients!$B$5:$B$1005,B966)=0),"Not on Clients — will match a portal client by name",IF(AND(C966="GST",D966&lt;&gt;"",COUNTIF(Clients!$AN$5:$AN$1005,UPPER(D966))=0,COUNTIF(Clients!$G$5:$G$1005,"*"&amp;UPPER(D966)&amp;"*")=0),"GSTIN not on Clients — will be checked in the portal","✔ OK")))))</f>
        <v/>
      </c>
    </row>
    <row r="967">
      <c r="A967" s="38" t="n"/>
      <c r="B967" s="39" t="n"/>
      <c r="C967" s="39" t="n"/>
      <c r="D967" s="38" t="n"/>
      <c r="E967" s="38" t="n"/>
      <c r="F967" s="38" t="n"/>
      <c r="G967" s="37">
        <f>IF(COUNTA(A967:F967)=0,"",IF(A967="EXAMPLE","Example (skipped)",IF(OR(C967="",E967="",F967=""),"✖ Portal, User ID and Password are all needed",IF(AND(A967="",COUNTIF(Clients!$B$5:$B$1005,B967)=0),"Not on Clients — will match a portal client by name",IF(AND(C967="GST",D967&lt;&gt;"",COUNTIF(Clients!$AN$5:$AN$1005,UPPER(D967))=0,COUNTIF(Clients!$G$5:$G$1005,"*"&amp;UPPER(D967)&amp;"*")=0),"GSTIN not on Clients — will be checked in the portal","✔ OK")))))</f>
        <v/>
      </c>
    </row>
    <row r="968">
      <c r="A968" s="38" t="n"/>
      <c r="B968" s="39" t="n"/>
      <c r="C968" s="39" t="n"/>
      <c r="D968" s="38" t="n"/>
      <c r="E968" s="38" t="n"/>
      <c r="F968" s="38" t="n"/>
      <c r="G968" s="37">
        <f>IF(COUNTA(A968:F968)=0,"",IF(A968="EXAMPLE","Example (skipped)",IF(OR(C968="",E968="",F968=""),"✖ Portal, User ID and Password are all needed",IF(AND(A968="",COUNTIF(Clients!$B$5:$B$1005,B968)=0),"Not on Clients — will match a portal client by name",IF(AND(C968="GST",D968&lt;&gt;"",COUNTIF(Clients!$AN$5:$AN$1005,UPPER(D968))=0,COUNTIF(Clients!$G$5:$G$1005,"*"&amp;UPPER(D968)&amp;"*")=0),"GSTIN not on Clients — will be checked in the portal","✔ OK")))))</f>
        <v/>
      </c>
    </row>
    <row r="969">
      <c r="A969" s="38" t="n"/>
      <c r="B969" s="39" t="n"/>
      <c r="C969" s="39" t="n"/>
      <c r="D969" s="38" t="n"/>
      <c r="E969" s="38" t="n"/>
      <c r="F969" s="38" t="n"/>
      <c r="G969" s="37">
        <f>IF(COUNTA(A969:F969)=0,"",IF(A969="EXAMPLE","Example (skipped)",IF(OR(C969="",E969="",F969=""),"✖ Portal, User ID and Password are all needed",IF(AND(A969="",COUNTIF(Clients!$B$5:$B$1005,B969)=0),"Not on Clients — will match a portal client by name",IF(AND(C969="GST",D969&lt;&gt;"",COUNTIF(Clients!$AN$5:$AN$1005,UPPER(D969))=0,COUNTIF(Clients!$G$5:$G$1005,"*"&amp;UPPER(D969)&amp;"*")=0),"GSTIN not on Clients — will be checked in the portal","✔ OK")))))</f>
        <v/>
      </c>
    </row>
    <row r="970">
      <c r="A970" s="38" t="n"/>
      <c r="B970" s="39" t="n"/>
      <c r="C970" s="39" t="n"/>
      <c r="D970" s="38" t="n"/>
      <c r="E970" s="38" t="n"/>
      <c r="F970" s="38" t="n"/>
      <c r="G970" s="37">
        <f>IF(COUNTA(A970:F970)=0,"",IF(A970="EXAMPLE","Example (skipped)",IF(OR(C970="",E970="",F970=""),"✖ Portal, User ID and Password are all needed",IF(AND(A970="",COUNTIF(Clients!$B$5:$B$1005,B970)=0),"Not on Clients — will match a portal client by name",IF(AND(C970="GST",D970&lt;&gt;"",COUNTIF(Clients!$AN$5:$AN$1005,UPPER(D970))=0,COUNTIF(Clients!$G$5:$G$1005,"*"&amp;UPPER(D970)&amp;"*")=0),"GSTIN not on Clients — will be checked in the portal","✔ OK")))))</f>
        <v/>
      </c>
    </row>
    <row r="971">
      <c r="A971" s="38" t="n"/>
      <c r="B971" s="39" t="n"/>
      <c r="C971" s="39" t="n"/>
      <c r="D971" s="38" t="n"/>
      <c r="E971" s="38" t="n"/>
      <c r="F971" s="38" t="n"/>
      <c r="G971" s="37">
        <f>IF(COUNTA(A971:F971)=0,"",IF(A971="EXAMPLE","Example (skipped)",IF(OR(C971="",E971="",F971=""),"✖ Portal, User ID and Password are all needed",IF(AND(A971="",COUNTIF(Clients!$B$5:$B$1005,B971)=0),"Not on Clients — will match a portal client by name",IF(AND(C971="GST",D971&lt;&gt;"",COUNTIF(Clients!$AN$5:$AN$1005,UPPER(D971))=0,COUNTIF(Clients!$G$5:$G$1005,"*"&amp;UPPER(D971)&amp;"*")=0),"GSTIN not on Clients — will be checked in the portal","✔ OK")))))</f>
        <v/>
      </c>
    </row>
    <row r="972">
      <c r="A972" s="38" t="n"/>
      <c r="B972" s="39" t="n"/>
      <c r="C972" s="39" t="n"/>
      <c r="D972" s="38" t="n"/>
      <c r="E972" s="38" t="n"/>
      <c r="F972" s="38" t="n"/>
      <c r="G972" s="37">
        <f>IF(COUNTA(A972:F972)=0,"",IF(A972="EXAMPLE","Example (skipped)",IF(OR(C972="",E972="",F972=""),"✖ Portal, User ID and Password are all needed",IF(AND(A972="",COUNTIF(Clients!$B$5:$B$1005,B972)=0),"Not on Clients — will match a portal client by name",IF(AND(C972="GST",D972&lt;&gt;"",COUNTIF(Clients!$AN$5:$AN$1005,UPPER(D972))=0,COUNTIF(Clients!$G$5:$G$1005,"*"&amp;UPPER(D972)&amp;"*")=0),"GSTIN not on Clients — will be checked in the portal","✔ OK")))))</f>
        <v/>
      </c>
    </row>
    <row r="973">
      <c r="A973" s="38" t="n"/>
      <c r="B973" s="39" t="n"/>
      <c r="C973" s="39" t="n"/>
      <c r="D973" s="38" t="n"/>
      <c r="E973" s="38" t="n"/>
      <c r="F973" s="38" t="n"/>
      <c r="G973" s="37">
        <f>IF(COUNTA(A973:F973)=0,"",IF(A973="EXAMPLE","Example (skipped)",IF(OR(C973="",E973="",F973=""),"✖ Portal, User ID and Password are all needed",IF(AND(A973="",COUNTIF(Clients!$B$5:$B$1005,B973)=0),"Not on Clients — will match a portal client by name",IF(AND(C973="GST",D973&lt;&gt;"",COUNTIF(Clients!$AN$5:$AN$1005,UPPER(D973))=0,COUNTIF(Clients!$G$5:$G$1005,"*"&amp;UPPER(D973)&amp;"*")=0),"GSTIN not on Clients — will be checked in the portal","✔ OK")))))</f>
        <v/>
      </c>
    </row>
    <row r="974">
      <c r="A974" s="38" t="n"/>
      <c r="B974" s="39" t="n"/>
      <c r="C974" s="39" t="n"/>
      <c r="D974" s="38" t="n"/>
      <c r="E974" s="38" t="n"/>
      <c r="F974" s="38" t="n"/>
      <c r="G974" s="37">
        <f>IF(COUNTA(A974:F974)=0,"",IF(A974="EXAMPLE","Example (skipped)",IF(OR(C974="",E974="",F974=""),"✖ Portal, User ID and Password are all needed",IF(AND(A974="",COUNTIF(Clients!$B$5:$B$1005,B974)=0),"Not on Clients — will match a portal client by name",IF(AND(C974="GST",D974&lt;&gt;"",COUNTIF(Clients!$AN$5:$AN$1005,UPPER(D974))=0,COUNTIF(Clients!$G$5:$G$1005,"*"&amp;UPPER(D974)&amp;"*")=0),"GSTIN not on Clients — will be checked in the portal","✔ OK")))))</f>
        <v/>
      </c>
    </row>
    <row r="975">
      <c r="A975" s="38" t="n"/>
      <c r="B975" s="39" t="n"/>
      <c r="C975" s="39" t="n"/>
      <c r="D975" s="38" t="n"/>
      <c r="E975" s="38" t="n"/>
      <c r="F975" s="38" t="n"/>
      <c r="G975" s="37">
        <f>IF(COUNTA(A975:F975)=0,"",IF(A975="EXAMPLE","Example (skipped)",IF(OR(C975="",E975="",F975=""),"✖ Portal, User ID and Password are all needed",IF(AND(A975="",COUNTIF(Clients!$B$5:$B$1005,B975)=0),"Not on Clients — will match a portal client by name",IF(AND(C975="GST",D975&lt;&gt;"",COUNTIF(Clients!$AN$5:$AN$1005,UPPER(D975))=0,COUNTIF(Clients!$G$5:$G$1005,"*"&amp;UPPER(D975)&amp;"*")=0),"GSTIN not on Clients — will be checked in the portal","✔ OK")))))</f>
        <v/>
      </c>
    </row>
    <row r="976">
      <c r="A976" s="38" t="n"/>
      <c r="B976" s="39" t="n"/>
      <c r="C976" s="39" t="n"/>
      <c r="D976" s="38" t="n"/>
      <c r="E976" s="38" t="n"/>
      <c r="F976" s="38" t="n"/>
      <c r="G976" s="37">
        <f>IF(COUNTA(A976:F976)=0,"",IF(A976="EXAMPLE","Example (skipped)",IF(OR(C976="",E976="",F976=""),"✖ Portal, User ID and Password are all needed",IF(AND(A976="",COUNTIF(Clients!$B$5:$B$1005,B976)=0),"Not on Clients — will match a portal client by name",IF(AND(C976="GST",D976&lt;&gt;"",COUNTIF(Clients!$AN$5:$AN$1005,UPPER(D976))=0,COUNTIF(Clients!$G$5:$G$1005,"*"&amp;UPPER(D976)&amp;"*")=0),"GSTIN not on Clients — will be checked in the portal","✔ OK")))))</f>
        <v/>
      </c>
    </row>
    <row r="977">
      <c r="A977" s="38" t="n"/>
      <c r="B977" s="39" t="n"/>
      <c r="C977" s="39" t="n"/>
      <c r="D977" s="38" t="n"/>
      <c r="E977" s="38" t="n"/>
      <c r="F977" s="38" t="n"/>
      <c r="G977" s="37">
        <f>IF(COUNTA(A977:F977)=0,"",IF(A977="EXAMPLE","Example (skipped)",IF(OR(C977="",E977="",F977=""),"✖ Portal, User ID and Password are all needed",IF(AND(A977="",COUNTIF(Clients!$B$5:$B$1005,B977)=0),"Not on Clients — will match a portal client by name",IF(AND(C977="GST",D977&lt;&gt;"",COUNTIF(Clients!$AN$5:$AN$1005,UPPER(D977))=0,COUNTIF(Clients!$G$5:$G$1005,"*"&amp;UPPER(D977)&amp;"*")=0),"GSTIN not on Clients — will be checked in the portal","✔ OK")))))</f>
        <v/>
      </c>
    </row>
    <row r="978">
      <c r="A978" s="38" t="n"/>
      <c r="B978" s="39" t="n"/>
      <c r="C978" s="39" t="n"/>
      <c r="D978" s="38" t="n"/>
      <c r="E978" s="38" t="n"/>
      <c r="F978" s="38" t="n"/>
      <c r="G978" s="37">
        <f>IF(COUNTA(A978:F978)=0,"",IF(A978="EXAMPLE","Example (skipped)",IF(OR(C978="",E978="",F978=""),"✖ Portal, User ID and Password are all needed",IF(AND(A978="",COUNTIF(Clients!$B$5:$B$1005,B978)=0),"Not on Clients — will match a portal client by name",IF(AND(C978="GST",D978&lt;&gt;"",COUNTIF(Clients!$AN$5:$AN$1005,UPPER(D978))=0,COUNTIF(Clients!$G$5:$G$1005,"*"&amp;UPPER(D978)&amp;"*")=0),"GSTIN not on Clients — will be checked in the portal","✔ OK")))))</f>
        <v/>
      </c>
    </row>
    <row r="979">
      <c r="A979" s="38" t="n"/>
      <c r="B979" s="39" t="n"/>
      <c r="C979" s="39" t="n"/>
      <c r="D979" s="38" t="n"/>
      <c r="E979" s="38" t="n"/>
      <c r="F979" s="38" t="n"/>
      <c r="G979" s="37">
        <f>IF(COUNTA(A979:F979)=0,"",IF(A979="EXAMPLE","Example (skipped)",IF(OR(C979="",E979="",F979=""),"✖ Portal, User ID and Password are all needed",IF(AND(A979="",COUNTIF(Clients!$B$5:$B$1005,B979)=0),"Not on Clients — will match a portal client by name",IF(AND(C979="GST",D979&lt;&gt;"",COUNTIF(Clients!$AN$5:$AN$1005,UPPER(D979))=0,COUNTIF(Clients!$G$5:$G$1005,"*"&amp;UPPER(D979)&amp;"*")=0),"GSTIN not on Clients — will be checked in the portal","✔ OK")))))</f>
        <v/>
      </c>
    </row>
    <row r="980">
      <c r="A980" s="38" t="n"/>
      <c r="B980" s="39" t="n"/>
      <c r="C980" s="39" t="n"/>
      <c r="D980" s="38" t="n"/>
      <c r="E980" s="38" t="n"/>
      <c r="F980" s="38" t="n"/>
      <c r="G980" s="37">
        <f>IF(COUNTA(A980:F980)=0,"",IF(A980="EXAMPLE","Example (skipped)",IF(OR(C980="",E980="",F980=""),"✖ Portal, User ID and Password are all needed",IF(AND(A980="",COUNTIF(Clients!$B$5:$B$1005,B980)=0),"Not on Clients — will match a portal client by name",IF(AND(C980="GST",D980&lt;&gt;"",COUNTIF(Clients!$AN$5:$AN$1005,UPPER(D980))=0,COUNTIF(Clients!$G$5:$G$1005,"*"&amp;UPPER(D980)&amp;"*")=0),"GSTIN not on Clients — will be checked in the portal","✔ OK")))))</f>
        <v/>
      </c>
    </row>
    <row r="981">
      <c r="A981" s="38" t="n"/>
      <c r="B981" s="39" t="n"/>
      <c r="C981" s="39" t="n"/>
      <c r="D981" s="38" t="n"/>
      <c r="E981" s="38" t="n"/>
      <c r="F981" s="38" t="n"/>
      <c r="G981" s="37">
        <f>IF(COUNTA(A981:F981)=0,"",IF(A981="EXAMPLE","Example (skipped)",IF(OR(C981="",E981="",F981=""),"✖ Portal, User ID and Password are all needed",IF(AND(A981="",COUNTIF(Clients!$B$5:$B$1005,B981)=0),"Not on Clients — will match a portal client by name",IF(AND(C981="GST",D981&lt;&gt;"",COUNTIF(Clients!$AN$5:$AN$1005,UPPER(D981))=0,COUNTIF(Clients!$G$5:$G$1005,"*"&amp;UPPER(D981)&amp;"*")=0),"GSTIN not on Clients — will be checked in the portal","✔ OK")))))</f>
        <v/>
      </c>
    </row>
    <row r="982">
      <c r="A982" s="38" t="n"/>
      <c r="B982" s="39" t="n"/>
      <c r="C982" s="39" t="n"/>
      <c r="D982" s="38" t="n"/>
      <c r="E982" s="38" t="n"/>
      <c r="F982" s="38" t="n"/>
      <c r="G982" s="37">
        <f>IF(COUNTA(A982:F982)=0,"",IF(A982="EXAMPLE","Example (skipped)",IF(OR(C982="",E982="",F982=""),"✖ Portal, User ID and Password are all needed",IF(AND(A982="",COUNTIF(Clients!$B$5:$B$1005,B982)=0),"Not on Clients — will match a portal client by name",IF(AND(C982="GST",D982&lt;&gt;"",COUNTIF(Clients!$AN$5:$AN$1005,UPPER(D982))=0,COUNTIF(Clients!$G$5:$G$1005,"*"&amp;UPPER(D982)&amp;"*")=0),"GSTIN not on Clients — will be checked in the portal","✔ OK")))))</f>
        <v/>
      </c>
    </row>
    <row r="983">
      <c r="A983" s="38" t="n"/>
      <c r="B983" s="39" t="n"/>
      <c r="C983" s="39" t="n"/>
      <c r="D983" s="38" t="n"/>
      <c r="E983" s="38" t="n"/>
      <c r="F983" s="38" t="n"/>
      <c r="G983" s="37">
        <f>IF(COUNTA(A983:F983)=0,"",IF(A983="EXAMPLE","Example (skipped)",IF(OR(C983="",E983="",F983=""),"✖ Portal, User ID and Password are all needed",IF(AND(A983="",COUNTIF(Clients!$B$5:$B$1005,B983)=0),"Not on Clients — will match a portal client by name",IF(AND(C983="GST",D983&lt;&gt;"",COUNTIF(Clients!$AN$5:$AN$1005,UPPER(D983))=0,COUNTIF(Clients!$G$5:$G$1005,"*"&amp;UPPER(D983)&amp;"*")=0),"GSTIN not on Clients — will be checked in the portal","✔ OK")))))</f>
        <v/>
      </c>
    </row>
    <row r="984">
      <c r="A984" s="38" t="n"/>
      <c r="B984" s="39" t="n"/>
      <c r="C984" s="39" t="n"/>
      <c r="D984" s="38" t="n"/>
      <c r="E984" s="38" t="n"/>
      <c r="F984" s="38" t="n"/>
      <c r="G984" s="37">
        <f>IF(COUNTA(A984:F984)=0,"",IF(A984="EXAMPLE","Example (skipped)",IF(OR(C984="",E984="",F984=""),"✖ Portal, User ID and Password are all needed",IF(AND(A984="",COUNTIF(Clients!$B$5:$B$1005,B984)=0),"Not on Clients — will match a portal client by name",IF(AND(C984="GST",D984&lt;&gt;"",COUNTIF(Clients!$AN$5:$AN$1005,UPPER(D984))=0,COUNTIF(Clients!$G$5:$G$1005,"*"&amp;UPPER(D984)&amp;"*")=0),"GSTIN not on Clients — will be checked in the portal","✔ OK")))))</f>
        <v/>
      </c>
    </row>
    <row r="985">
      <c r="A985" s="38" t="n"/>
      <c r="B985" s="39" t="n"/>
      <c r="C985" s="39" t="n"/>
      <c r="D985" s="38" t="n"/>
      <c r="E985" s="38" t="n"/>
      <c r="F985" s="38" t="n"/>
      <c r="G985" s="37">
        <f>IF(COUNTA(A985:F985)=0,"",IF(A985="EXAMPLE","Example (skipped)",IF(OR(C985="",E985="",F985=""),"✖ Portal, User ID and Password are all needed",IF(AND(A985="",COUNTIF(Clients!$B$5:$B$1005,B985)=0),"Not on Clients — will match a portal client by name",IF(AND(C985="GST",D985&lt;&gt;"",COUNTIF(Clients!$AN$5:$AN$1005,UPPER(D985))=0,COUNTIF(Clients!$G$5:$G$1005,"*"&amp;UPPER(D985)&amp;"*")=0),"GSTIN not on Clients — will be checked in the portal","✔ OK")))))</f>
        <v/>
      </c>
    </row>
    <row r="986">
      <c r="A986" s="38" t="n"/>
      <c r="B986" s="39" t="n"/>
      <c r="C986" s="39" t="n"/>
      <c r="D986" s="38" t="n"/>
      <c r="E986" s="38" t="n"/>
      <c r="F986" s="38" t="n"/>
      <c r="G986" s="37">
        <f>IF(COUNTA(A986:F986)=0,"",IF(A986="EXAMPLE","Example (skipped)",IF(OR(C986="",E986="",F986=""),"✖ Portal, User ID and Password are all needed",IF(AND(A986="",COUNTIF(Clients!$B$5:$B$1005,B986)=0),"Not on Clients — will match a portal client by name",IF(AND(C986="GST",D986&lt;&gt;"",COUNTIF(Clients!$AN$5:$AN$1005,UPPER(D986))=0,COUNTIF(Clients!$G$5:$G$1005,"*"&amp;UPPER(D986)&amp;"*")=0),"GSTIN not on Clients — will be checked in the portal","✔ OK")))))</f>
        <v/>
      </c>
    </row>
    <row r="987">
      <c r="A987" s="38" t="n"/>
      <c r="B987" s="39" t="n"/>
      <c r="C987" s="39" t="n"/>
      <c r="D987" s="38" t="n"/>
      <c r="E987" s="38" t="n"/>
      <c r="F987" s="38" t="n"/>
      <c r="G987" s="37">
        <f>IF(COUNTA(A987:F987)=0,"",IF(A987="EXAMPLE","Example (skipped)",IF(OR(C987="",E987="",F987=""),"✖ Portal, User ID and Password are all needed",IF(AND(A987="",COUNTIF(Clients!$B$5:$B$1005,B987)=0),"Not on Clients — will match a portal client by name",IF(AND(C987="GST",D987&lt;&gt;"",COUNTIF(Clients!$AN$5:$AN$1005,UPPER(D987))=0,COUNTIF(Clients!$G$5:$G$1005,"*"&amp;UPPER(D987)&amp;"*")=0),"GSTIN not on Clients — will be checked in the portal","✔ OK")))))</f>
        <v/>
      </c>
    </row>
    <row r="988">
      <c r="A988" s="38" t="n"/>
      <c r="B988" s="39" t="n"/>
      <c r="C988" s="39" t="n"/>
      <c r="D988" s="38" t="n"/>
      <c r="E988" s="38" t="n"/>
      <c r="F988" s="38" t="n"/>
      <c r="G988" s="37">
        <f>IF(COUNTA(A988:F988)=0,"",IF(A988="EXAMPLE","Example (skipped)",IF(OR(C988="",E988="",F988=""),"✖ Portal, User ID and Password are all needed",IF(AND(A988="",COUNTIF(Clients!$B$5:$B$1005,B988)=0),"Not on Clients — will match a portal client by name",IF(AND(C988="GST",D988&lt;&gt;"",COUNTIF(Clients!$AN$5:$AN$1005,UPPER(D988))=0,COUNTIF(Clients!$G$5:$G$1005,"*"&amp;UPPER(D988)&amp;"*")=0),"GSTIN not on Clients — will be checked in the portal","✔ OK")))))</f>
        <v/>
      </c>
    </row>
    <row r="989">
      <c r="A989" s="38" t="n"/>
      <c r="B989" s="39" t="n"/>
      <c r="C989" s="39" t="n"/>
      <c r="D989" s="38" t="n"/>
      <c r="E989" s="38" t="n"/>
      <c r="F989" s="38" t="n"/>
      <c r="G989" s="37">
        <f>IF(COUNTA(A989:F989)=0,"",IF(A989="EXAMPLE","Example (skipped)",IF(OR(C989="",E989="",F989=""),"✖ Portal, User ID and Password are all needed",IF(AND(A989="",COUNTIF(Clients!$B$5:$B$1005,B989)=0),"Not on Clients — will match a portal client by name",IF(AND(C989="GST",D989&lt;&gt;"",COUNTIF(Clients!$AN$5:$AN$1005,UPPER(D989))=0,COUNTIF(Clients!$G$5:$G$1005,"*"&amp;UPPER(D989)&amp;"*")=0),"GSTIN not on Clients — will be checked in the portal","✔ OK")))))</f>
        <v/>
      </c>
    </row>
    <row r="990">
      <c r="A990" s="38" t="n"/>
      <c r="B990" s="39" t="n"/>
      <c r="C990" s="39" t="n"/>
      <c r="D990" s="38" t="n"/>
      <c r="E990" s="38" t="n"/>
      <c r="F990" s="38" t="n"/>
      <c r="G990" s="37">
        <f>IF(COUNTA(A990:F990)=0,"",IF(A990="EXAMPLE","Example (skipped)",IF(OR(C990="",E990="",F990=""),"✖ Portal, User ID and Password are all needed",IF(AND(A990="",COUNTIF(Clients!$B$5:$B$1005,B990)=0),"Not on Clients — will match a portal client by name",IF(AND(C990="GST",D990&lt;&gt;"",COUNTIF(Clients!$AN$5:$AN$1005,UPPER(D990))=0,COUNTIF(Clients!$G$5:$G$1005,"*"&amp;UPPER(D990)&amp;"*")=0),"GSTIN not on Clients — will be checked in the portal","✔ OK")))))</f>
        <v/>
      </c>
    </row>
    <row r="991">
      <c r="A991" s="38" t="n"/>
      <c r="B991" s="39" t="n"/>
      <c r="C991" s="39" t="n"/>
      <c r="D991" s="38" t="n"/>
      <c r="E991" s="38" t="n"/>
      <c r="F991" s="38" t="n"/>
      <c r="G991" s="37">
        <f>IF(COUNTA(A991:F991)=0,"",IF(A991="EXAMPLE","Example (skipped)",IF(OR(C991="",E991="",F991=""),"✖ Portal, User ID and Password are all needed",IF(AND(A991="",COUNTIF(Clients!$B$5:$B$1005,B991)=0),"Not on Clients — will match a portal client by name",IF(AND(C991="GST",D991&lt;&gt;"",COUNTIF(Clients!$AN$5:$AN$1005,UPPER(D991))=0,COUNTIF(Clients!$G$5:$G$1005,"*"&amp;UPPER(D991)&amp;"*")=0),"GSTIN not on Clients — will be checked in the portal","✔ OK")))))</f>
        <v/>
      </c>
    </row>
    <row r="992">
      <c r="A992" s="38" t="n"/>
      <c r="B992" s="39" t="n"/>
      <c r="C992" s="39" t="n"/>
      <c r="D992" s="38" t="n"/>
      <c r="E992" s="38" t="n"/>
      <c r="F992" s="38" t="n"/>
      <c r="G992" s="37">
        <f>IF(COUNTA(A992:F992)=0,"",IF(A992="EXAMPLE","Example (skipped)",IF(OR(C992="",E992="",F992=""),"✖ Portal, User ID and Password are all needed",IF(AND(A992="",COUNTIF(Clients!$B$5:$B$1005,B992)=0),"Not on Clients — will match a portal client by name",IF(AND(C992="GST",D992&lt;&gt;"",COUNTIF(Clients!$AN$5:$AN$1005,UPPER(D992))=0,COUNTIF(Clients!$G$5:$G$1005,"*"&amp;UPPER(D992)&amp;"*")=0),"GSTIN not on Clients — will be checked in the portal","✔ OK")))))</f>
        <v/>
      </c>
    </row>
    <row r="993">
      <c r="A993" s="38" t="n"/>
      <c r="B993" s="39" t="n"/>
      <c r="C993" s="39" t="n"/>
      <c r="D993" s="38" t="n"/>
      <c r="E993" s="38" t="n"/>
      <c r="F993" s="38" t="n"/>
      <c r="G993" s="37">
        <f>IF(COUNTA(A993:F993)=0,"",IF(A993="EXAMPLE","Example (skipped)",IF(OR(C993="",E993="",F993=""),"✖ Portal, User ID and Password are all needed",IF(AND(A993="",COUNTIF(Clients!$B$5:$B$1005,B993)=0),"Not on Clients — will match a portal client by name",IF(AND(C993="GST",D993&lt;&gt;"",COUNTIF(Clients!$AN$5:$AN$1005,UPPER(D993))=0,COUNTIF(Clients!$G$5:$G$1005,"*"&amp;UPPER(D993)&amp;"*")=0),"GSTIN not on Clients — will be checked in the portal","✔ OK")))))</f>
        <v/>
      </c>
    </row>
    <row r="994">
      <c r="A994" s="38" t="n"/>
      <c r="B994" s="39" t="n"/>
      <c r="C994" s="39" t="n"/>
      <c r="D994" s="38" t="n"/>
      <c r="E994" s="38" t="n"/>
      <c r="F994" s="38" t="n"/>
      <c r="G994" s="37">
        <f>IF(COUNTA(A994:F994)=0,"",IF(A994="EXAMPLE","Example (skipped)",IF(OR(C994="",E994="",F994=""),"✖ Portal, User ID and Password are all needed",IF(AND(A994="",COUNTIF(Clients!$B$5:$B$1005,B994)=0),"Not on Clients — will match a portal client by name",IF(AND(C994="GST",D994&lt;&gt;"",COUNTIF(Clients!$AN$5:$AN$1005,UPPER(D994))=0,COUNTIF(Clients!$G$5:$G$1005,"*"&amp;UPPER(D994)&amp;"*")=0),"GSTIN not on Clients — will be checked in the portal","✔ OK")))))</f>
        <v/>
      </c>
    </row>
    <row r="995">
      <c r="A995" s="38" t="n"/>
      <c r="B995" s="39" t="n"/>
      <c r="C995" s="39" t="n"/>
      <c r="D995" s="38" t="n"/>
      <c r="E995" s="38" t="n"/>
      <c r="F995" s="38" t="n"/>
      <c r="G995" s="37">
        <f>IF(COUNTA(A995:F995)=0,"",IF(A995="EXAMPLE","Example (skipped)",IF(OR(C995="",E995="",F995=""),"✖ Portal, User ID and Password are all needed",IF(AND(A995="",COUNTIF(Clients!$B$5:$B$1005,B995)=0),"Not on Clients — will match a portal client by name",IF(AND(C995="GST",D995&lt;&gt;"",COUNTIF(Clients!$AN$5:$AN$1005,UPPER(D995))=0,COUNTIF(Clients!$G$5:$G$1005,"*"&amp;UPPER(D995)&amp;"*")=0),"GSTIN not on Clients — will be checked in the portal","✔ OK")))))</f>
        <v/>
      </c>
    </row>
    <row r="996">
      <c r="A996" s="38" t="n"/>
      <c r="B996" s="39" t="n"/>
      <c r="C996" s="39" t="n"/>
      <c r="D996" s="38" t="n"/>
      <c r="E996" s="38" t="n"/>
      <c r="F996" s="38" t="n"/>
      <c r="G996" s="37">
        <f>IF(COUNTA(A996:F996)=0,"",IF(A996="EXAMPLE","Example (skipped)",IF(OR(C996="",E996="",F996=""),"✖ Portal, User ID and Password are all needed",IF(AND(A996="",COUNTIF(Clients!$B$5:$B$1005,B996)=0),"Not on Clients — will match a portal client by name",IF(AND(C996="GST",D996&lt;&gt;"",COUNTIF(Clients!$AN$5:$AN$1005,UPPER(D996))=0,COUNTIF(Clients!$G$5:$G$1005,"*"&amp;UPPER(D996)&amp;"*")=0),"GSTIN not on Clients — will be checked in the portal","✔ OK")))))</f>
        <v/>
      </c>
    </row>
    <row r="997">
      <c r="A997" s="38" t="n"/>
      <c r="B997" s="39" t="n"/>
      <c r="C997" s="39" t="n"/>
      <c r="D997" s="38" t="n"/>
      <c r="E997" s="38" t="n"/>
      <c r="F997" s="38" t="n"/>
      <c r="G997" s="37">
        <f>IF(COUNTA(A997:F997)=0,"",IF(A997="EXAMPLE","Example (skipped)",IF(OR(C997="",E997="",F997=""),"✖ Portal, User ID and Password are all needed",IF(AND(A997="",COUNTIF(Clients!$B$5:$B$1005,B997)=0),"Not on Clients — will match a portal client by name",IF(AND(C997="GST",D997&lt;&gt;"",COUNTIF(Clients!$AN$5:$AN$1005,UPPER(D997))=0,COUNTIF(Clients!$G$5:$G$1005,"*"&amp;UPPER(D997)&amp;"*")=0),"GSTIN not on Clients — will be checked in the portal","✔ OK")))))</f>
        <v/>
      </c>
    </row>
    <row r="998">
      <c r="A998" s="38" t="n"/>
      <c r="B998" s="39" t="n"/>
      <c r="C998" s="39" t="n"/>
      <c r="D998" s="38" t="n"/>
      <c r="E998" s="38" t="n"/>
      <c r="F998" s="38" t="n"/>
      <c r="G998" s="37">
        <f>IF(COUNTA(A998:F998)=0,"",IF(A998="EXAMPLE","Example (skipped)",IF(OR(C998="",E998="",F998=""),"✖ Portal, User ID and Password are all needed",IF(AND(A998="",COUNTIF(Clients!$B$5:$B$1005,B998)=0),"Not on Clients — will match a portal client by name",IF(AND(C998="GST",D998&lt;&gt;"",COUNTIF(Clients!$AN$5:$AN$1005,UPPER(D998))=0,COUNTIF(Clients!$G$5:$G$1005,"*"&amp;UPPER(D998)&amp;"*")=0),"GSTIN not on Clients — will be checked in the portal","✔ OK")))))</f>
        <v/>
      </c>
    </row>
    <row r="999">
      <c r="A999" s="38" t="n"/>
      <c r="B999" s="39" t="n"/>
      <c r="C999" s="39" t="n"/>
      <c r="D999" s="38" t="n"/>
      <c r="E999" s="38" t="n"/>
      <c r="F999" s="38" t="n"/>
      <c r="G999" s="37">
        <f>IF(COUNTA(A999:F999)=0,"",IF(A999="EXAMPLE","Example (skipped)",IF(OR(C999="",E999="",F999=""),"✖ Portal, User ID and Password are all needed",IF(AND(A999="",COUNTIF(Clients!$B$5:$B$1005,B999)=0),"Not on Clients — will match a portal client by name",IF(AND(C999="GST",D999&lt;&gt;"",COUNTIF(Clients!$AN$5:$AN$1005,UPPER(D999))=0,COUNTIF(Clients!$G$5:$G$1005,"*"&amp;UPPER(D999)&amp;"*")=0),"GSTIN not on Clients — will be checked in the portal","✔ OK")))))</f>
        <v/>
      </c>
    </row>
    <row r="1000">
      <c r="A1000" s="38" t="n"/>
      <c r="B1000" s="39" t="n"/>
      <c r="C1000" s="39" t="n"/>
      <c r="D1000" s="38" t="n"/>
      <c r="E1000" s="38" t="n"/>
      <c r="F1000" s="38" t="n"/>
      <c r="G1000" s="37">
        <f>IF(COUNTA(A1000:F1000)=0,"",IF(A1000="EXAMPLE","Example (skipped)",IF(OR(C1000="",E1000="",F1000=""),"✖ Portal, User ID and Password are all needed",IF(AND(A1000="",COUNTIF(Clients!$B$5:$B$1005,B1000)=0),"Not on Clients — will match a portal client by name",IF(AND(C1000="GST",D1000&lt;&gt;"",COUNTIF(Clients!$AN$5:$AN$1005,UPPER(D1000))=0,COUNTIF(Clients!$G$5:$G$1005,"*"&amp;UPPER(D1000)&amp;"*")=0),"GSTIN not on Clients — will be checked in the portal","✔ OK")))))</f>
        <v/>
      </c>
    </row>
    <row r="1001">
      <c r="A1001" s="38" t="n"/>
      <c r="B1001" s="39" t="n"/>
      <c r="C1001" s="39" t="n"/>
      <c r="D1001" s="38" t="n"/>
      <c r="E1001" s="38" t="n"/>
      <c r="F1001" s="38" t="n"/>
      <c r="G1001" s="37">
        <f>IF(COUNTA(A1001:F1001)=0,"",IF(A1001="EXAMPLE","Example (skipped)",IF(OR(C1001="",E1001="",F1001=""),"✖ Portal, User ID and Password are all needed",IF(AND(A1001="",COUNTIF(Clients!$B$5:$B$1005,B1001)=0),"Not on Clients — will match a portal client by name",IF(AND(C1001="GST",D1001&lt;&gt;"",COUNTIF(Clients!$AN$5:$AN$1005,UPPER(D1001))=0,COUNTIF(Clients!$G$5:$G$1005,"*"&amp;UPPER(D1001)&amp;"*")=0),"GSTIN not on Clients — will be checked in the portal","✔ OK")))))</f>
        <v/>
      </c>
    </row>
    <row r="1002">
      <c r="A1002" s="38" t="n"/>
      <c r="B1002" s="39" t="n"/>
      <c r="C1002" s="39" t="n"/>
      <c r="D1002" s="38" t="n"/>
      <c r="E1002" s="38" t="n"/>
      <c r="F1002" s="38" t="n"/>
      <c r="G1002" s="37">
        <f>IF(COUNTA(A1002:F1002)=0,"",IF(A1002="EXAMPLE","Example (skipped)",IF(OR(C1002="",E1002="",F1002=""),"✖ Portal, User ID and Password are all needed",IF(AND(A1002="",COUNTIF(Clients!$B$5:$B$1005,B1002)=0),"Not on Clients — will match a portal client by name",IF(AND(C1002="GST",D1002&lt;&gt;"",COUNTIF(Clients!$AN$5:$AN$1005,UPPER(D1002))=0,COUNTIF(Clients!$G$5:$G$1005,"*"&amp;UPPER(D1002)&amp;"*")=0),"GSTIN not on Clients — will be checked in the portal","✔ OK")))))</f>
        <v/>
      </c>
    </row>
    <row r="1003">
      <c r="A1003" s="38" t="n"/>
      <c r="B1003" s="39" t="n"/>
      <c r="C1003" s="39" t="n"/>
      <c r="D1003" s="38" t="n"/>
      <c r="E1003" s="38" t="n"/>
      <c r="F1003" s="38" t="n"/>
      <c r="G1003" s="37">
        <f>IF(COUNTA(A1003:F1003)=0,"",IF(A1003="EXAMPLE","Example (skipped)",IF(OR(C1003="",E1003="",F1003=""),"✖ Portal, User ID and Password are all needed",IF(AND(A1003="",COUNTIF(Clients!$B$5:$B$1005,B1003)=0),"Not on Clients — will match a portal client by name",IF(AND(C1003="GST",D1003&lt;&gt;"",COUNTIF(Clients!$AN$5:$AN$1005,UPPER(D1003))=0,COUNTIF(Clients!$G$5:$G$1005,"*"&amp;UPPER(D1003)&amp;"*")=0),"GSTIN not on Clients — will be checked in the portal","✔ OK")))))</f>
        <v/>
      </c>
    </row>
    <row r="1004">
      <c r="A1004" s="38" t="n"/>
      <c r="B1004" s="39" t="n"/>
      <c r="C1004" s="39" t="n"/>
      <c r="D1004" s="38" t="n"/>
      <c r="E1004" s="38" t="n"/>
      <c r="F1004" s="38" t="n"/>
      <c r="G1004" s="37">
        <f>IF(COUNTA(A1004:F1004)=0,"",IF(A1004="EXAMPLE","Example (skipped)",IF(OR(C1004="",E1004="",F1004=""),"✖ Portal, User ID and Password are all needed",IF(AND(A1004="",COUNTIF(Clients!$B$5:$B$1005,B1004)=0),"Not on Clients — will match a portal client by name",IF(AND(C1004="GST",D1004&lt;&gt;"",COUNTIF(Clients!$AN$5:$AN$1005,UPPER(D1004))=0,COUNTIF(Clients!$G$5:$G$1005,"*"&amp;UPPER(D1004)&amp;"*")=0),"GSTIN not on Clients — will be checked in the portal","✔ OK")))))</f>
        <v/>
      </c>
    </row>
    <row r="1005">
      <c r="A1005" s="38" t="n"/>
      <c r="B1005" s="39" t="n"/>
      <c r="C1005" s="39" t="n"/>
      <c r="D1005" s="38" t="n"/>
      <c r="E1005" s="38" t="n"/>
      <c r="F1005" s="38" t="n"/>
      <c r="G1005" s="37">
        <f>IF(COUNTA(A1005:F1005)=0,"",IF(A1005="EXAMPLE","Example (skipped)",IF(OR(C1005="",E1005="",F1005=""),"✖ Portal, User ID and Password are all needed",IF(AND(A1005="",COUNTIF(Clients!$B$5:$B$1005,B1005)=0),"Not on Clients — will match a portal client by name",IF(AND(C1005="GST",D1005&lt;&gt;"",COUNTIF(Clients!$AN$5:$AN$1005,UPPER(D1005))=0,COUNTIF(Clients!$G$5:$G$1005,"*"&amp;UPPER(D1005)&amp;"*")=0),"GSTIN not on Clients — will be checked in the portal","✔ OK")))))</f>
        <v/>
      </c>
    </row>
    <row r="1006">
      <c r="A1006" s="38" t="n"/>
      <c r="B1006" s="39" t="n"/>
      <c r="C1006" s="39" t="n"/>
      <c r="D1006" s="38" t="n"/>
      <c r="E1006" s="38" t="n"/>
      <c r="F1006" s="38" t="n"/>
      <c r="G1006" s="37">
        <f>IF(COUNTA(A1006:F1006)=0,"",IF(A1006="EXAMPLE","Example (skipped)",IF(OR(C1006="",E1006="",F1006=""),"✖ Portal, User ID and Password are all needed",IF(AND(A1006="",COUNTIF(Clients!$B$5:$B$1005,B1006)=0),"Not on Clients — will match a portal client by name",IF(AND(C1006="GST",D1006&lt;&gt;"",COUNTIF(Clients!$AN$5:$AN$1005,UPPER(D1006))=0,COUNTIF(Clients!$G$5:$G$1005,"*"&amp;UPPER(D1006)&amp;"*")=0),"GSTIN not on Clients — will be checked in the portal","✔ OK")))))</f>
        <v/>
      </c>
    </row>
    <row r="1007">
      <c r="A1007" s="38" t="n"/>
      <c r="B1007" s="39" t="n"/>
      <c r="C1007" s="39" t="n"/>
      <c r="D1007" s="38" t="n"/>
      <c r="E1007" s="38" t="n"/>
      <c r="F1007" s="38" t="n"/>
      <c r="G1007" s="37">
        <f>IF(COUNTA(A1007:F1007)=0,"",IF(A1007="EXAMPLE","Example (skipped)",IF(OR(C1007="",E1007="",F1007=""),"✖ Portal, User ID and Password are all needed",IF(AND(A1007="",COUNTIF(Clients!$B$5:$B$1005,B1007)=0),"Not on Clients — will match a portal client by name",IF(AND(C1007="GST",D1007&lt;&gt;"",COUNTIF(Clients!$AN$5:$AN$1005,UPPER(D1007))=0,COUNTIF(Clients!$G$5:$G$1005,"*"&amp;UPPER(D1007)&amp;"*")=0),"GSTIN not on Clients — will be checked in the portal","✔ OK")))))</f>
        <v/>
      </c>
    </row>
    <row r="1008">
      <c r="A1008" s="38" t="n"/>
      <c r="B1008" s="39" t="n"/>
      <c r="C1008" s="39" t="n"/>
      <c r="D1008" s="38" t="n"/>
      <c r="E1008" s="38" t="n"/>
      <c r="F1008" s="38" t="n"/>
      <c r="G1008" s="37">
        <f>IF(COUNTA(A1008:F1008)=0,"",IF(A1008="EXAMPLE","Example (skipped)",IF(OR(C1008="",E1008="",F1008=""),"✖ Portal, User ID and Password are all needed",IF(AND(A1008="",COUNTIF(Clients!$B$5:$B$1005,B1008)=0),"Not on Clients — will match a portal client by name",IF(AND(C1008="GST",D1008&lt;&gt;"",COUNTIF(Clients!$AN$5:$AN$1005,UPPER(D1008))=0,COUNTIF(Clients!$G$5:$G$1005,"*"&amp;UPPER(D1008)&amp;"*")=0),"GSTIN not on Clients — will be checked in the portal","✔ OK")))))</f>
        <v/>
      </c>
    </row>
    <row r="1009">
      <c r="A1009" s="38" t="n"/>
      <c r="B1009" s="39" t="n"/>
      <c r="C1009" s="39" t="n"/>
      <c r="D1009" s="38" t="n"/>
      <c r="E1009" s="38" t="n"/>
      <c r="F1009" s="38" t="n"/>
      <c r="G1009" s="37">
        <f>IF(COUNTA(A1009:F1009)=0,"",IF(A1009="EXAMPLE","Example (skipped)",IF(OR(C1009="",E1009="",F1009=""),"✖ Portal, User ID and Password are all needed",IF(AND(A1009="",COUNTIF(Clients!$B$5:$B$1005,B1009)=0),"Not on Clients — will match a portal client by name",IF(AND(C1009="GST",D1009&lt;&gt;"",COUNTIF(Clients!$AN$5:$AN$1005,UPPER(D1009))=0,COUNTIF(Clients!$G$5:$G$1005,"*"&amp;UPPER(D1009)&amp;"*")=0),"GSTIN not on Clients — will be checked in the portal","✔ OK")))))</f>
        <v/>
      </c>
    </row>
    <row r="1010">
      <c r="A1010" s="38" t="n"/>
      <c r="B1010" s="39" t="n"/>
      <c r="C1010" s="39" t="n"/>
      <c r="D1010" s="38" t="n"/>
      <c r="E1010" s="38" t="n"/>
      <c r="F1010" s="38" t="n"/>
      <c r="G1010" s="37">
        <f>IF(COUNTA(A1010:F1010)=0,"",IF(A1010="EXAMPLE","Example (skipped)",IF(OR(C1010="",E1010="",F1010=""),"✖ Portal, User ID and Password are all needed",IF(AND(A1010="",COUNTIF(Clients!$B$5:$B$1005,B1010)=0),"Not on Clients — will match a portal client by name",IF(AND(C1010="GST",D1010&lt;&gt;"",COUNTIF(Clients!$AN$5:$AN$1005,UPPER(D1010))=0,COUNTIF(Clients!$G$5:$G$1005,"*"&amp;UPPER(D1010)&amp;"*")=0),"GSTIN not on Clients — will be checked in the portal","✔ OK")))))</f>
        <v/>
      </c>
    </row>
    <row r="1011">
      <c r="A1011" s="38" t="n"/>
      <c r="B1011" s="39" t="n"/>
      <c r="C1011" s="39" t="n"/>
      <c r="D1011" s="38" t="n"/>
      <c r="E1011" s="38" t="n"/>
      <c r="F1011" s="38" t="n"/>
      <c r="G1011" s="37">
        <f>IF(COUNTA(A1011:F1011)=0,"",IF(A1011="EXAMPLE","Example (skipped)",IF(OR(C1011="",E1011="",F1011=""),"✖ Portal, User ID and Password are all needed",IF(AND(A1011="",COUNTIF(Clients!$B$5:$B$1005,B1011)=0),"Not on Clients — will match a portal client by name",IF(AND(C1011="GST",D1011&lt;&gt;"",COUNTIF(Clients!$AN$5:$AN$1005,UPPER(D1011))=0,COUNTIF(Clients!$G$5:$G$1005,"*"&amp;UPPER(D1011)&amp;"*")=0),"GSTIN not on Clients — will be checked in the portal","✔ OK")))))</f>
        <v/>
      </c>
    </row>
    <row r="1012">
      <c r="A1012" s="38" t="n"/>
      <c r="B1012" s="39" t="n"/>
      <c r="C1012" s="39" t="n"/>
      <c r="D1012" s="38" t="n"/>
      <c r="E1012" s="38" t="n"/>
      <c r="F1012" s="38" t="n"/>
      <c r="G1012" s="37">
        <f>IF(COUNTA(A1012:F1012)=0,"",IF(A1012="EXAMPLE","Example (skipped)",IF(OR(C1012="",E1012="",F1012=""),"✖ Portal, User ID and Password are all needed",IF(AND(A1012="",COUNTIF(Clients!$B$5:$B$1005,B1012)=0),"Not on Clients — will match a portal client by name",IF(AND(C1012="GST",D1012&lt;&gt;"",COUNTIF(Clients!$AN$5:$AN$1005,UPPER(D1012))=0,COUNTIF(Clients!$G$5:$G$1005,"*"&amp;UPPER(D1012)&amp;"*")=0),"GSTIN not on Clients — will be checked in the portal","✔ OK")))))</f>
        <v/>
      </c>
    </row>
    <row r="1013">
      <c r="A1013" s="38" t="n"/>
      <c r="B1013" s="39" t="n"/>
      <c r="C1013" s="39" t="n"/>
      <c r="D1013" s="38" t="n"/>
      <c r="E1013" s="38" t="n"/>
      <c r="F1013" s="38" t="n"/>
      <c r="G1013" s="37">
        <f>IF(COUNTA(A1013:F1013)=0,"",IF(A1013="EXAMPLE","Example (skipped)",IF(OR(C1013="",E1013="",F1013=""),"✖ Portal, User ID and Password are all needed",IF(AND(A1013="",COUNTIF(Clients!$B$5:$B$1005,B1013)=0),"Not on Clients — will match a portal client by name",IF(AND(C1013="GST",D1013&lt;&gt;"",COUNTIF(Clients!$AN$5:$AN$1005,UPPER(D1013))=0,COUNTIF(Clients!$G$5:$G$1005,"*"&amp;UPPER(D1013)&amp;"*")=0),"GSTIN not on Clients — will be checked in the portal","✔ OK")))))</f>
        <v/>
      </c>
    </row>
    <row r="1014">
      <c r="A1014" s="38" t="n"/>
      <c r="B1014" s="39" t="n"/>
      <c r="C1014" s="39" t="n"/>
      <c r="D1014" s="38" t="n"/>
      <c r="E1014" s="38" t="n"/>
      <c r="F1014" s="38" t="n"/>
      <c r="G1014" s="37">
        <f>IF(COUNTA(A1014:F1014)=0,"",IF(A1014="EXAMPLE","Example (skipped)",IF(OR(C1014="",E1014="",F1014=""),"✖ Portal, User ID and Password are all needed",IF(AND(A1014="",COUNTIF(Clients!$B$5:$B$1005,B1014)=0),"Not on Clients — will match a portal client by name",IF(AND(C1014="GST",D1014&lt;&gt;"",COUNTIF(Clients!$AN$5:$AN$1005,UPPER(D1014))=0,COUNTIF(Clients!$G$5:$G$1005,"*"&amp;UPPER(D1014)&amp;"*")=0),"GSTIN not on Clients — will be checked in the portal","✔ OK")))))</f>
        <v/>
      </c>
    </row>
    <row r="1015">
      <c r="A1015" s="38" t="n"/>
      <c r="B1015" s="39" t="n"/>
      <c r="C1015" s="39" t="n"/>
      <c r="D1015" s="38" t="n"/>
      <c r="E1015" s="38" t="n"/>
      <c r="F1015" s="38" t="n"/>
      <c r="G1015" s="37">
        <f>IF(COUNTA(A1015:F1015)=0,"",IF(A1015="EXAMPLE","Example (skipped)",IF(OR(C1015="",E1015="",F1015=""),"✖ Portal, User ID and Password are all needed",IF(AND(A1015="",COUNTIF(Clients!$B$5:$B$1005,B1015)=0),"Not on Clients — will match a portal client by name",IF(AND(C1015="GST",D1015&lt;&gt;"",COUNTIF(Clients!$AN$5:$AN$1005,UPPER(D1015))=0,COUNTIF(Clients!$G$5:$G$1005,"*"&amp;UPPER(D1015)&amp;"*")=0),"GSTIN not on Clients — will be checked in the portal","✔ OK")))))</f>
        <v/>
      </c>
    </row>
    <row r="1016">
      <c r="A1016" s="38" t="n"/>
      <c r="B1016" s="39" t="n"/>
      <c r="C1016" s="39" t="n"/>
      <c r="D1016" s="38" t="n"/>
      <c r="E1016" s="38" t="n"/>
      <c r="F1016" s="38" t="n"/>
      <c r="G1016" s="37">
        <f>IF(COUNTA(A1016:F1016)=0,"",IF(A1016="EXAMPLE","Example (skipped)",IF(OR(C1016="",E1016="",F1016=""),"✖ Portal, User ID and Password are all needed",IF(AND(A1016="",COUNTIF(Clients!$B$5:$B$1005,B1016)=0),"Not on Clients — will match a portal client by name",IF(AND(C1016="GST",D1016&lt;&gt;"",COUNTIF(Clients!$AN$5:$AN$1005,UPPER(D1016))=0,COUNTIF(Clients!$G$5:$G$1005,"*"&amp;UPPER(D1016)&amp;"*")=0),"GSTIN not on Clients — will be checked in the portal","✔ OK")))))</f>
        <v/>
      </c>
    </row>
    <row r="1017">
      <c r="A1017" s="38" t="n"/>
      <c r="B1017" s="39" t="n"/>
      <c r="C1017" s="39" t="n"/>
      <c r="D1017" s="38" t="n"/>
      <c r="E1017" s="38" t="n"/>
      <c r="F1017" s="38" t="n"/>
      <c r="G1017" s="37">
        <f>IF(COUNTA(A1017:F1017)=0,"",IF(A1017="EXAMPLE","Example (skipped)",IF(OR(C1017="",E1017="",F1017=""),"✖ Portal, User ID and Password are all needed",IF(AND(A1017="",COUNTIF(Clients!$B$5:$B$1005,B1017)=0),"Not on Clients — will match a portal client by name",IF(AND(C1017="GST",D1017&lt;&gt;"",COUNTIF(Clients!$AN$5:$AN$1005,UPPER(D1017))=0,COUNTIF(Clients!$G$5:$G$1005,"*"&amp;UPPER(D1017)&amp;"*")=0),"GSTIN not on Clients — will be checked in the portal","✔ OK")))))</f>
        <v/>
      </c>
    </row>
    <row r="1018">
      <c r="A1018" s="38" t="n"/>
      <c r="B1018" s="39" t="n"/>
      <c r="C1018" s="39" t="n"/>
      <c r="D1018" s="38" t="n"/>
      <c r="E1018" s="38" t="n"/>
      <c r="F1018" s="38" t="n"/>
      <c r="G1018" s="37">
        <f>IF(COUNTA(A1018:F1018)=0,"",IF(A1018="EXAMPLE","Example (skipped)",IF(OR(C1018="",E1018="",F1018=""),"✖ Portal, User ID and Password are all needed",IF(AND(A1018="",COUNTIF(Clients!$B$5:$B$1005,B1018)=0),"Not on Clients — will match a portal client by name",IF(AND(C1018="GST",D1018&lt;&gt;"",COUNTIF(Clients!$AN$5:$AN$1005,UPPER(D1018))=0,COUNTIF(Clients!$G$5:$G$1005,"*"&amp;UPPER(D1018)&amp;"*")=0),"GSTIN not on Clients — will be checked in the portal","✔ OK")))))</f>
        <v/>
      </c>
    </row>
    <row r="1019">
      <c r="A1019" s="38" t="n"/>
      <c r="B1019" s="39" t="n"/>
      <c r="C1019" s="39" t="n"/>
      <c r="D1019" s="38" t="n"/>
      <c r="E1019" s="38" t="n"/>
      <c r="F1019" s="38" t="n"/>
      <c r="G1019" s="37">
        <f>IF(COUNTA(A1019:F1019)=0,"",IF(A1019="EXAMPLE","Example (skipped)",IF(OR(C1019="",E1019="",F1019=""),"✖ Portal, User ID and Password are all needed",IF(AND(A1019="",COUNTIF(Clients!$B$5:$B$1005,B1019)=0),"Not on Clients — will match a portal client by name",IF(AND(C1019="GST",D1019&lt;&gt;"",COUNTIF(Clients!$AN$5:$AN$1005,UPPER(D1019))=0,COUNTIF(Clients!$G$5:$G$1005,"*"&amp;UPPER(D1019)&amp;"*")=0),"GSTIN not on Clients — will be checked in the portal","✔ OK")))))</f>
        <v/>
      </c>
    </row>
    <row r="1020">
      <c r="A1020" s="38" t="n"/>
      <c r="B1020" s="39" t="n"/>
      <c r="C1020" s="39" t="n"/>
      <c r="D1020" s="38" t="n"/>
      <c r="E1020" s="38" t="n"/>
      <c r="F1020" s="38" t="n"/>
      <c r="G1020" s="37">
        <f>IF(COUNTA(A1020:F1020)=0,"",IF(A1020="EXAMPLE","Example (skipped)",IF(OR(C1020="",E1020="",F1020=""),"✖ Portal, User ID and Password are all needed",IF(AND(A1020="",COUNTIF(Clients!$B$5:$B$1005,B1020)=0),"Not on Clients — will match a portal client by name",IF(AND(C1020="GST",D1020&lt;&gt;"",COUNTIF(Clients!$AN$5:$AN$1005,UPPER(D1020))=0,COUNTIF(Clients!$G$5:$G$1005,"*"&amp;UPPER(D1020)&amp;"*")=0),"GSTIN not on Clients — will be checked in the portal","✔ OK")))))</f>
        <v/>
      </c>
    </row>
    <row r="1021">
      <c r="A1021" s="38" t="n"/>
      <c r="B1021" s="39" t="n"/>
      <c r="C1021" s="39" t="n"/>
      <c r="D1021" s="38" t="n"/>
      <c r="E1021" s="38" t="n"/>
      <c r="F1021" s="38" t="n"/>
      <c r="G1021" s="37">
        <f>IF(COUNTA(A1021:F1021)=0,"",IF(A1021="EXAMPLE","Example (skipped)",IF(OR(C1021="",E1021="",F1021=""),"✖ Portal, User ID and Password are all needed",IF(AND(A1021="",COUNTIF(Clients!$B$5:$B$1005,B1021)=0),"Not on Clients — will match a portal client by name",IF(AND(C1021="GST",D1021&lt;&gt;"",COUNTIF(Clients!$AN$5:$AN$1005,UPPER(D1021))=0,COUNTIF(Clients!$G$5:$G$1005,"*"&amp;UPPER(D1021)&amp;"*")=0),"GSTIN not on Clients — will be checked in the portal","✔ OK")))))</f>
        <v/>
      </c>
    </row>
    <row r="1022">
      <c r="A1022" s="38" t="n"/>
      <c r="B1022" s="39" t="n"/>
      <c r="C1022" s="39" t="n"/>
      <c r="D1022" s="38" t="n"/>
      <c r="E1022" s="38" t="n"/>
      <c r="F1022" s="38" t="n"/>
      <c r="G1022" s="37">
        <f>IF(COUNTA(A1022:F1022)=0,"",IF(A1022="EXAMPLE","Example (skipped)",IF(OR(C1022="",E1022="",F1022=""),"✖ Portal, User ID and Password are all needed",IF(AND(A1022="",COUNTIF(Clients!$B$5:$B$1005,B1022)=0),"Not on Clients — will match a portal client by name",IF(AND(C1022="GST",D1022&lt;&gt;"",COUNTIF(Clients!$AN$5:$AN$1005,UPPER(D1022))=0,COUNTIF(Clients!$G$5:$G$1005,"*"&amp;UPPER(D1022)&amp;"*")=0),"GSTIN not on Clients — will be checked in the portal","✔ OK")))))</f>
        <v/>
      </c>
    </row>
    <row r="1023">
      <c r="A1023" s="38" t="n"/>
      <c r="B1023" s="39" t="n"/>
      <c r="C1023" s="39" t="n"/>
      <c r="D1023" s="38" t="n"/>
      <c r="E1023" s="38" t="n"/>
      <c r="F1023" s="38" t="n"/>
      <c r="G1023" s="37">
        <f>IF(COUNTA(A1023:F1023)=0,"",IF(A1023="EXAMPLE","Example (skipped)",IF(OR(C1023="",E1023="",F1023=""),"✖ Portal, User ID and Password are all needed",IF(AND(A1023="",COUNTIF(Clients!$B$5:$B$1005,B1023)=0),"Not on Clients — will match a portal client by name",IF(AND(C1023="GST",D1023&lt;&gt;"",COUNTIF(Clients!$AN$5:$AN$1005,UPPER(D1023))=0,COUNTIF(Clients!$G$5:$G$1005,"*"&amp;UPPER(D1023)&amp;"*")=0),"GSTIN not on Clients — will be checked in the portal","✔ OK")))))</f>
        <v/>
      </c>
    </row>
    <row r="1024">
      <c r="A1024" s="38" t="n"/>
      <c r="B1024" s="39" t="n"/>
      <c r="C1024" s="39" t="n"/>
      <c r="D1024" s="38" t="n"/>
      <c r="E1024" s="38" t="n"/>
      <c r="F1024" s="38" t="n"/>
      <c r="G1024" s="37">
        <f>IF(COUNTA(A1024:F1024)=0,"",IF(A1024="EXAMPLE","Example (skipped)",IF(OR(C1024="",E1024="",F1024=""),"✖ Portal, User ID and Password are all needed",IF(AND(A1024="",COUNTIF(Clients!$B$5:$B$1005,B1024)=0),"Not on Clients — will match a portal client by name",IF(AND(C1024="GST",D1024&lt;&gt;"",COUNTIF(Clients!$AN$5:$AN$1005,UPPER(D1024))=0,COUNTIF(Clients!$G$5:$G$1005,"*"&amp;UPPER(D1024)&amp;"*")=0),"GSTIN not on Clients — will be checked in the portal","✔ OK")))))</f>
        <v/>
      </c>
    </row>
    <row r="1025">
      <c r="A1025" s="38" t="n"/>
      <c r="B1025" s="39" t="n"/>
      <c r="C1025" s="39" t="n"/>
      <c r="D1025" s="38" t="n"/>
      <c r="E1025" s="38" t="n"/>
      <c r="F1025" s="38" t="n"/>
      <c r="G1025" s="37">
        <f>IF(COUNTA(A1025:F1025)=0,"",IF(A1025="EXAMPLE","Example (skipped)",IF(OR(C1025="",E1025="",F1025=""),"✖ Portal, User ID and Password are all needed",IF(AND(A1025="",COUNTIF(Clients!$B$5:$B$1005,B1025)=0),"Not on Clients — will match a portal client by name",IF(AND(C1025="GST",D1025&lt;&gt;"",COUNTIF(Clients!$AN$5:$AN$1005,UPPER(D1025))=0,COUNTIF(Clients!$G$5:$G$1005,"*"&amp;UPPER(D1025)&amp;"*")=0),"GSTIN not on Clients — will be checked in the portal","✔ OK")))))</f>
        <v/>
      </c>
    </row>
    <row r="1026">
      <c r="A1026" s="38" t="n"/>
      <c r="B1026" s="39" t="n"/>
      <c r="C1026" s="39" t="n"/>
      <c r="D1026" s="38" t="n"/>
      <c r="E1026" s="38" t="n"/>
      <c r="F1026" s="38" t="n"/>
      <c r="G1026" s="37">
        <f>IF(COUNTA(A1026:F1026)=0,"",IF(A1026="EXAMPLE","Example (skipped)",IF(OR(C1026="",E1026="",F1026=""),"✖ Portal, User ID and Password are all needed",IF(AND(A1026="",COUNTIF(Clients!$B$5:$B$1005,B1026)=0),"Not on Clients — will match a portal client by name",IF(AND(C1026="GST",D1026&lt;&gt;"",COUNTIF(Clients!$AN$5:$AN$1005,UPPER(D1026))=0,COUNTIF(Clients!$G$5:$G$1005,"*"&amp;UPPER(D1026)&amp;"*")=0),"GSTIN not on Clients — will be checked in the portal","✔ OK")))))</f>
        <v/>
      </c>
    </row>
    <row r="1027">
      <c r="A1027" s="38" t="n"/>
      <c r="B1027" s="39" t="n"/>
      <c r="C1027" s="39" t="n"/>
      <c r="D1027" s="38" t="n"/>
      <c r="E1027" s="38" t="n"/>
      <c r="F1027" s="38" t="n"/>
      <c r="G1027" s="37">
        <f>IF(COUNTA(A1027:F1027)=0,"",IF(A1027="EXAMPLE","Example (skipped)",IF(OR(C1027="",E1027="",F1027=""),"✖ Portal, User ID and Password are all needed",IF(AND(A1027="",COUNTIF(Clients!$B$5:$B$1005,B1027)=0),"Not on Clients — will match a portal client by name",IF(AND(C1027="GST",D1027&lt;&gt;"",COUNTIF(Clients!$AN$5:$AN$1005,UPPER(D1027))=0,COUNTIF(Clients!$G$5:$G$1005,"*"&amp;UPPER(D1027)&amp;"*")=0),"GSTIN not on Clients — will be checked in the portal","✔ OK")))))</f>
        <v/>
      </c>
    </row>
    <row r="1028">
      <c r="A1028" s="38" t="n"/>
      <c r="B1028" s="39" t="n"/>
      <c r="C1028" s="39" t="n"/>
      <c r="D1028" s="38" t="n"/>
      <c r="E1028" s="38" t="n"/>
      <c r="F1028" s="38" t="n"/>
      <c r="G1028" s="37">
        <f>IF(COUNTA(A1028:F1028)=0,"",IF(A1028="EXAMPLE","Example (skipped)",IF(OR(C1028="",E1028="",F1028=""),"✖ Portal, User ID and Password are all needed",IF(AND(A1028="",COUNTIF(Clients!$B$5:$B$1005,B1028)=0),"Not on Clients — will match a portal client by name",IF(AND(C1028="GST",D1028&lt;&gt;"",COUNTIF(Clients!$AN$5:$AN$1005,UPPER(D1028))=0,COUNTIF(Clients!$G$5:$G$1005,"*"&amp;UPPER(D1028)&amp;"*")=0),"GSTIN not on Clients — will be checked in the portal","✔ OK")))))</f>
        <v/>
      </c>
    </row>
    <row r="1029">
      <c r="A1029" s="38" t="n"/>
      <c r="B1029" s="39" t="n"/>
      <c r="C1029" s="39" t="n"/>
      <c r="D1029" s="38" t="n"/>
      <c r="E1029" s="38" t="n"/>
      <c r="F1029" s="38" t="n"/>
      <c r="G1029" s="37">
        <f>IF(COUNTA(A1029:F1029)=0,"",IF(A1029="EXAMPLE","Example (skipped)",IF(OR(C1029="",E1029="",F1029=""),"✖ Portal, User ID and Password are all needed",IF(AND(A1029="",COUNTIF(Clients!$B$5:$B$1005,B1029)=0),"Not on Clients — will match a portal client by name",IF(AND(C1029="GST",D1029&lt;&gt;"",COUNTIF(Clients!$AN$5:$AN$1005,UPPER(D1029))=0,COUNTIF(Clients!$G$5:$G$1005,"*"&amp;UPPER(D1029)&amp;"*")=0),"GSTIN not on Clients — will be checked in the portal","✔ OK")))))</f>
        <v/>
      </c>
    </row>
    <row r="1030">
      <c r="A1030" s="38" t="n"/>
      <c r="B1030" s="39" t="n"/>
      <c r="C1030" s="39" t="n"/>
      <c r="D1030" s="38" t="n"/>
      <c r="E1030" s="38" t="n"/>
      <c r="F1030" s="38" t="n"/>
      <c r="G1030" s="37">
        <f>IF(COUNTA(A1030:F1030)=0,"",IF(A1030="EXAMPLE","Example (skipped)",IF(OR(C1030="",E1030="",F1030=""),"✖ Portal, User ID and Password are all needed",IF(AND(A1030="",COUNTIF(Clients!$B$5:$B$1005,B1030)=0),"Not on Clients — will match a portal client by name",IF(AND(C1030="GST",D1030&lt;&gt;"",COUNTIF(Clients!$AN$5:$AN$1005,UPPER(D1030))=0,COUNTIF(Clients!$G$5:$G$1005,"*"&amp;UPPER(D1030)&amp;"*")=0),"GSTIN not on Clients — will be checked in the portal","✔ OK")))))</f>
        <v/>
      </c>
    </row>
    <row r="1031">
      <c r="A1031" s="38" t="n"/>
      <c r="B1031" s="39" t="n"/>
      <c r="C1031" s="39" t="n"/>
      <c r="D1031" s="38" t="n"/>
      <c r="E1031" s="38" t="n"/>
      <c r="F1031" s="38" t="n"/>
      <c r="G1031" s="37">
        <f>IF(COUNTA(A1031:F1031)=0,"",IF(A1031="EXAMPLE","Example (skipped)",IF(OR(C1031="",E1031="",F1031=""),"✖ Portal, User ID and Password are all needed",IF(AND(A1031="",COUNTIF(Clients!$B$5:$B$1005,B1031)=0),"Not on Clients — will match a portal client by name",IF(AND(C1031="GST",D1031&lt;&gt;"",COUNTIF(Clients!$AN$5:$AN$1005,UPPER(D1031))=0,COUNTIF(Clients!$G$5:$G$1005,"*"&amp;UPPER(D1031)&amp;"*")=0),"GSTIN not on Clients — will be checked in the portal","✔ OK")))))</f>
        <v/>
      </c>
    </row>
    <row r="1032">
      <c r="A1032" s="38" t="n"/>
      <c r="B1032" s="39" t="n"/>
      <c r="C1032" s="39" t="n"/>
      <c r="D1032" s="38" t="n"/>
      <c r="E1032" s="38" t="n"/>
      <c r="F1032" s="38" t="n"/>
      <c r="G1032" s="37">
        <f>IF(COUNTA(A1032:F1032)=0,"",IF(A1032="EXAMPLE","Example (skipped)",IF(OR(C1032="",E1032="",F1032=""),"✖ Portal, User ID and Password are all needed",IF(AND(A1032="",COUNTIF(Clients!$B$5:$B$1005,B1032)=0),"Not on Clients — will match a portal client by name",IF(AND(C1032="GST",D1032&lt;&gt;"",COUNTIF(Clients!$AN$5:$AN$1005,UPPER(D1032))=0,COUNTIF(Clients!$G$5:$G$1005,"*"&amp;UPPER(D1032)&amp;"*")=0),"GSTIN not on Clients — will be checked in the portal","✔ OK")))))</f>
        <v/>
      </c>
    </row>
    <row r="1033">
      <c r="A1033" s="38" t="n"/>
      <c r="B1033" s="39" t="n"/>
      <c r="C1033" s="39" t="n"/>
      <c r="D1033" s="38" t="n"/>
      <c r="E1033" s="38" t="n"/>
      <c r="F1033" s="38" t="n"/>
      <c r="G1033" s="37">
        <f>IF(COUNTA(A1033:F1033)=0,"",IF(A1033="EXAMPLE","Example (skipped)",IF(OR(C1033="",E1033="",F1033=""),"✖ Portal, User ID and Password are all needed",IF(AND(A1033="",COUNTIF(Clients!$B$5:$B$1005,B1033)=0),"Not on Clients — will match a portal client by name",IF(AND(C1033="GST",D1033&lt;&gt;"",COUNTIF(Clients!$AN$5:$AN$1005,UPPER(D1033))=0,COUNTIF(Clients!$G$5:$G$1005,"*"&amp;UPPER(D1033)&amp;"*")=0),"GSTIN not on Clients — will be checked in the portal","✔ OK")))))</f>
        <v/>
      </c>
    </row>
    <row r="1034">
      <c r="A1034" s="38" t="n"/>
      <c r="B1034" s="39" t="n"/>
      <c r="C1034" s="39" t="n"/>
      <c r="D1034" s="38" t="n"/>
      <c r="E1034" s="38" t="n"/>
      <c r="F1034" s="38" t="n"/>
      <c r="G1034" s="37">
        <f>IF(COUNTA(A1034:F1034)=0,"",IF(A1034="EXAMPLE","Example (skipped)",IF(OR(C1034="",E1034="",F1034=""),"✖ Portal, User ID and Password are all needed",IF(AND(A1034="",COUNTIF(Clients!$B$5:$B$1005,B1034)=0),"Not on Clients — will match a portal client by name",IF(AND(C1034="GST",D1034&lt;&gt;"",COUNTIF(Clients!$AN$5:$AN$1005,UPPER(D1034))=0,COUNTIF(Clients!$G$5:$G$1005,"*"&amp;UPPER(D1034)&amp;"*")=0),"GSTIN not on Clients — will be checked in the portal","✔ OK")))))</f>
        <v/>
      </c>
    </row>
    <row r="1035">
      <c r="A1035" s="38" t="n"/>
      <c r="B1035" s="39" t="n"/>
      <c r="C1035" s="39" t="n"/>
      <c r="D1035" s="38" t="n"/>
      <c r="E1035" s="38" t="n"/>
      <c r="F1035" s="38" t="n"/>
      <c r="G1035" s="37">
        <f>IF(COUNTA(A1035:F1035)=0,"",IF(A1035="EXAMPLE","Example (skipped)",IF(OR(C1035="",E1035="",F1035=""),"✖ Portal, User ID and Password are all needed",IF(AND(A1035="",COUNTIF(Clients!$B$5:$B$1005,B1035)=0),"Not on Clients — will match a portal client by name",IF(AND(C1035="GST",D1035&lt;&gt;"",COUNTIF(Clients!$AN$5:$AN$1005,UPPER(D1035))=0,COUNTIF(Clients!$G$5:$G$1005,"*"&amp;UPPER(D1035)&amp;"*")=0),"GSTIN not on Clients — will be checked in the portal","✔ OK")))))</f>
        <v/>
      </c>
    </row>
    <row r="1036">
      <c r="A1036" s="38" t="n"/>
      <c r="B1036" s="39" t="n"/>
      <c r="C1036" s="39" t="n"/>
      <c r="D1036" s="38" t="n"/>
      <c r="E1036" s="38" t="n"/>
      <c r="F1036" s="38" t="n"/>
      <c r="G1036" s="37">
        <f>IF(COUNTA(A1036:F1036)=0,"",IF(A1036="EXAMPLE","Example (skipped)",IF(OR(C1036="",E1036="",F1036=""),"✖ Portal, User ID and Password are all needed",IF(AND(A1036="",COUNTIF(Clients!$B$5:$B$1005,B1036)=0),"Not on Clients — will match a portal client by name",IF(AND(C1036="GST",D1036&lt;&gt;"",COUNTIF(Clients!$AN$5:$AN$1005,UPPER(D1036))=0,COUNTIF(Clients!$G$5:$G$1005,"*"&amp;UPPER(D1036)&amp;"*")=0),"GSTIN not on Clients — will be checked in the portal","✔ OK")))))</f>
        <v/>
      </c>
    </row>
    <row r="1037">
      <c r="A1037" s="38" t="n"/>
      <c r="B1037" s="39" t="n"/>
      <c r="C1037" s="39" t="n"/>
      <c r="D1037" s="38" t="n"/>
      <c r="E1037" s="38" t="n"/>
      <c r="F1037" s="38" t="n"/>
      <c r="G1037" s="37">
        <f>IF(COUNTA(A1037:F1037)=0,"",IF(A1037="EXAMPLE","Example (skipped)",IF(OR(C1037="",E1037="",F1037=""),"✖ Portal, User ID and Password are all needed",IF(AND(A1037="",COUNTIF(Clients!$B$5:$B$1005,B1037)=0),"Not on Clients — will match a portal client by name",IF(AND(C1037="GST",D1037&lt;&gt;"",COUNTIF(Clients!$AN$5:$AN$1005,UPPER(D1037))=0,COUNTIF(Clients!$G$5:$G$1005,"*"&amp;UPPER(D1037)&amp;"*")=0),"GSTIN not on Clients — will be checked in the portal","✔ OK")))))</f>
        <v/>
      </c>
    </row>
    <row r="1038">
      <c r="A1038" s="38" t="n"/>
      <c r="B1038" s="39" t="n"/>
      <c r="C1038" s="39" t="n"/>
      <c r="D1038" s="38" t="n"/>
      <c r="E1038" s="38" t="n"/>
      <c r="F1038" s="38" t="n"/>
      <c r="G1038" s="37">
        <f>IF(COUNTA(A1038:F1038)=0,"",IF(A1038="EXAMPLE","Example (skipped)",IF(OR(C1038="",E1038="",F1038=""),"✖ Portal, User ID and Password are all needed",IF(AND(A1038="",COUNTIF(Clients!$B$5:$B$1005,B1038)=0),"Not on Clients — will match a portal client by name",IF(AND(C1038="GST",D1038&lt;&gt;"",COUNTIF(Clients!$AN$5:$AN$1005,UPPER(D1038))=0,COUNTIF(Clients!$G$5:$G$1005,"*"&amp;UPPER(D1038)&amp;"*")=0),"GSTIN not on Clients — will be checked in the portal","✔ OK")))))</f>
        <v/>
      </c>
    </row>
    <row r="1039">
      <c r="A1039" s="38" t="n"/>
      <c r="B1039" s="39" t="n"/>
      <c r="C1039" s="39" t="n"/>
      <c r="D1039" s="38" t="n"/>
      <c r="E1039" s="38" t="n"/>
      <c r="F1039" s="38" t="n"/>
      <c r="G1039" s="37">
        <f>IF(COUNTA(A1039:F1039)=0,"",IF(A1039="EXAMPLE","Example (skipped)",IF(OR(C1039="",E1039="",F1039=""),"✖ Portal, User ID and Password are all needed",IF(AND(A1039="",COUNTIF(Clients!$B$5:$B$1005,B1039)=0),"Not on Clients — will match a portal client by name",IF(AND(C1039="GST",D1039&lt;&gt;"",COUNTIF(Clients!$AN$5:$AN$1005,UPPER(D1039))=0,COUNTIF(Clients!$G$5:$G$1005,"*"&amp;UPPER(D1039)&amp;"*")=0),"GSTIN not on Clients — will be checked in the portal","✔ OK")))))</f>
        <v/>
      </c>
    </row>
    <row r="1040">
      <c r="A1040" s="38" t="n"/>
      <c r="B1040" s="39" t="n"/>
      <c r="C1040" s="39" t="n"/>
      <c r="D1040" s="38" t="n"/>
      <c r="E1040" s="38" t="n"/>
      <c r="F1040" s="38" t="n"/>
      <c r="G1040" s="37">
        <f>IF(COUNTA(A1040:F1040)=0,"",IF(A1040="EXAMPLE","Example (skipped)",IF(OR(C1040="",E1040="",F1040=""),"✖ Portal, User ID and Password are all needed",IF(AND(A1040="",COUNTIF(Clients!$B$5:$B$1005,B1040)=0),"Not on Clients — will match a portal client by name",IF(AND(C1040="GST",D1040&lt;&gt;"",COUNTIF(Clients!$AN$5:$AN$1005,UPPER(D1040))=0,COUNTIF(Clients!$G$5:$G$1005,"*"&amp;UPPER(D1040)&amp;"*")=0),"GSTIN not on Clients — will be checked in the portal","✔ OK")))))</f>
        <v/>
      </c>
    </row>
    <row r="1041">
      <c r="A1041" s="38" t="n"/>
      <c r="B1041" s="39" t="n"/>
      <c r="C1041" s="39" t="n"/>
      <c r="D1041" s="38" t="n"/>
      <c r="E1041" s="38" t="n"/>
      <c r="F1041" s="38" t="n"/>
      <c r="G1041" s="37">
        <f>IF(COUNTA(A1041:F1041)=0,"",IF(A1041="EXAMPLE","Example (skipped)",IF(OR(C1041="",E1041="",F1041=""),"✖ Portal, User ID and Password are all needed",IF(AND(A1041="",COUNTIF(Clients!$B$5:$B$1005,B1041)=0),"Not on Clients — will match a portal client by name",IF(AND(C1041="GST",D1041&lt;&gt;"",COUNTIF(Clients!$AN$5:$AN$1005,UPPER(D1041))=0,COUNTIF(Clients!$G$5:$G$1005,"*"&amp;UPPER(D1041)&amp;"*")=0),"GSTIN not on Clients — will be checked in the portal","✔ OK")))))</f>
        <v/>
      </c>
    </row>
    <row r="1042">
      <c r="A1042" s="38" t="n"/>
      <c r="B1042" s="39" t="n"/>
      <c r="C1042" s="39" t="n"/>
      <c r="D1042" s="38" t="n"/>
      <c r="E1042" s="38" t="n"/>
      <c r="F1042" s="38" t="n"/>
      <c r="G1042" s="37">
        <f>IF(COUNTA(A1042:F1042)=0,"",IF(A1042="EXAMPLE","Example (skipped)",IF(OR(C1042="",E1042="",F1042=""),"✖ Portal, User ID and Password are all needed",IF(AND(A1042="",COUNTIF(Clients!$B$5:$B$1005,B1042)=0),"Not on Clients — will match a portal client by name",IF(AND(C1042="GST",D1042&lt;&gt;"",COUNTIF(Clients!$AN$5:$AN$1005,UPPER(D1042))=0,COUNTIF(Clients!$G$5:$G$1005,"*"&amp;UPPER(D1042)&amp;"*")=0),"GSTIN not on Clients — will be checked in the portal","✔ OK")))))</f>
        <v/>
      </c>
    </row>
    <row r="1043">
      <c r="A1043" s="38" t="n"/>
      <c r="B1043" s="39" t="n"/>
      <c r="C1043" s="39" t="n"/>
      <c r="D1043" s="38" t="n"/>
      <c r="E1043" s="38" t="n"/>
      <c r="F1043" s="38" t="n"/>
      <c r="G1043" s="37">
        <f>IF(COUNTA(A1043:F1043)=0,"",IF(A1043="EXAMPLE","Example (skipped)",IF(OR(C1043="",E1043="",F1043=""),"✖ Portal, User ID and Password are all needed",IF(AND(A1043="",COUNTIF(Clients!$B$5:$B$1005,B1043)=0),"Not on Clients — will match a portal client by name",IF(AND(C1043="GST",D1043&lt;&gt;"",COUNTIF(Clients!$AN$5:$AN$1005,UPPER(D1043))=0,COUNTIF(Clients!$G$5:$G$1005,"*"&amp;UPPER(D1043)&amp;"*")=0),"GSTIN not on Clients — will be checked in the portal","✔ OK")))))</f>
        <v/>
      </c>
    </row>
    <row r="1044">
      <c r="A1044" s="38" t="n"/>
      <c r="B1044" s="39" t="n"/>
      <c r="C1044" s="39" t="n"/>
      <c r="D1044" s="38" t="n"/>
      <c r="E1044" s="38" t="n"/>
      <c r="F1044" s="38" t="n"/>
      <c r="G1044" s="37">
        <f>IF(COUNTA(A1044:F1044)=0,"",IF(A1044="EXAMPLE","Example (skipped)",IF(OR(C1044="",E1044="",F1044=""),"✖ Portal, User ID and Password are all needed",IF(AND(A1044="",COUNTIF(Clients!$B$5:$B$1005,B1044)=0),"Not on Clients — will match a portal client by name",IF(AND(C1044="GST",D1044&lt;&gt;"",COUNTIF(Clients!$AN$5:$AN$1005,UPPER(D1044))=0,COUNTIF(Clients!$G$5:$G$1005,"*"&amp;UPPER(D1044)&amp;"*")=0),"GSTIN not on Clients — will be checked in the portal","✔ OK")))))</f>
        <v/>
      </c>
    </row>
    <row r="1045">
      <c r="A1045" s="38" t="n"/>
      <c r="B1045" s="39" t="n"/>
      <c r="C1045" s="39" t="n"/>
      <c r="D1045" s="38" t="n"/>
      <c r="E1045" s="38" t="n"/>
      <c r="F1045" s="38" t="n"/>
      <c r="G1045" s="37">
        <f>IF(COUNTA(A1045:F1045)=0,"",IF(A1045="EXAMPLE","Example (skipped)",IF(OR(C1045="",E1045="",F1045=""),"✖ Portal, User ID and Password are all needed",IF(AND(A1045="",COUNTIF(Clients!$B$5:$B$1005,B1045)=0),"Not on Clients — will match a portal client by name",IF(AND(C1045="GST",D1045&lt;&gt;"",COUNTIF(Clients!$AN$5:$AN$1005,UPPER(D1045))=0,COUNTIF(Clients!$G$5:$G$1005,"*"&amp;UPPER(D1045)&amp;"*")=0),"GSTIN not on Clients — will be checked in the portal","✔ OK")))))</f>
        <v/>
      </c>
    </row>
    <row r="1046">
      <c r="A1046" s="38" t="n"/>
      <c r="B1046" s="39" t="n"/>
      <c r="C1046" s="39" t="n"/>
      <c r="D1046" s="38" t="n"/>
      <c r="E1046" s="38" t="n"/>
      <c r="F1046" s="38" t="n"/>
      <c r="G1046" s="37">
        <f>IF(COUNTA(A1046:F1046)=0,"",IF(A1046="EXAMPLE","Example (skipped)",IF(OR(C1046="",E1046="",F1046=""),"✖ Portal, User ID and Password are all needed",IF(AND(A1046="",COUNTIF(Clients!$B$5:$B$1005,B1046)=0),"Not on Clients — will match a portal client by name",IF(AND(C1046="GST",D1046&lt;&gt;"",COUNTIF(Clients!$AN$5:$AN$1005,UPPER(D1046))=0,COUNTIF(Clients!$G$5:$G$1005,"*"&amp;UPPER(D1046)&amp;"*")=0),"GSTIN not on Clients — will be checked in the portal","✔ OK")))))</f>
        <v/>
      </c>
    </row>
    <row r="1047">
      <c r="A1047" s="38" t="n"/>
      <c r="B1047" s="39" t="n"/>
      <c r="C1047" s="39" t="n"/>
      <c r="D1047" s="38" t="n"/>
      <c r="E1047" s="38" t="n"/>
      <c r="F1047" s="38" t="n"/>
      <c r="G1047" s="37">
        <f>IF(COUNTA(A1047:F1047)=0,"",IF(A1047="EXAMPLE","Example (skipped)",IF(OR(C1047="",E1047="",F1047=""),"✖ Portal, User ID and Password are all needed",IF(AND(A1047="",COUNTIF(Clients!$B$5:$B$1005,B1047)=0),"Not on Clients — will match a portal client by name",IF(AND(C1047="GST",D1047&lt;&gt;"",COUNTIF(Clients!$AN$5:$AN$1005,UPPER(D1047))=0,COUNTIF(Clients!$G$5:$G$1005,"*"&amp;UPPER(D1047)&amp;"*")=0),"GSTIN not on Clients — will be checked in the portal","✔ OK")))))</f>
        <v/>
      </c>
    </row>
    <row r="1048">
      <c r="A1048" s="38" t="n"/>
      <c r="B1048" s="39" t="n"/>
      <c r="C1048" s="39" t="n"/>
      <c r="D1048" s="38" t="n"/>
      <c r="E1048" s="38" t="n"/>
      <c r="F1048" s="38" t="n"/>
      <c r="G1048" s="37">
        <f>IF(COUNTA(A1048:F1048)=0,"",IF(A1048="EXAMPLE","Example (skipped)",IF(OR(C1048="",E1048="",F1048=""),"✖ Portal, User ID and Password are all needed",IF(AND(A1048="",COUNTIF(Clients!$B$5:$B$1005,B1048)=0),"Not on Clients — will match a portal client by name",IF(AND(C1048="GST",D1048&lt;&gt;"",COUNTIF(Clients!$AN$5:$AN$1005,UPPER(D1048))=0,COUNTIF(Clients!$G$5:$G$1005,"*"&amp;UPPER(D1048)&amp;"*")=0),"GSTIN not on Clients — will be checked in the portal","✔ OK")))))</f>
        <v/>
      </c>
    </row>
    <row r="1049">
      <c r="A1049" s="38" t="n"/>
      <c r="B1049" s="39" t="n"/>
      <c r="C1049" s="39" t="n"/>
      <c r="D1049" s="38" t="n"/>
      <c r="E1049" s="38" t="n"/>
      <c r="F1049" s="38" t="n"/>
      <c r="G1049" s="37">
        <f>IF(COUNTA(A1049:F1049)=0,"",IF(A1049="EXAMPLE","Example (skipped)",IF(OR(C1049="",E1049="",F1049=""),"✖ Portal, User ID and Password are all needed",IF(AND(A1049="",COUNTIF(Clients!$B$5:$B$1005,B1049)=0),"Not on Clients — will match a portal client by name",IF(AND(C1049="GST",D1049&lt;&gt;"",COUNTIF(Clients!$AN$5:$AN$1005,UPPER(D1049))=0,COUNTIF(Clients!$G$5:$G$1005,"*"&amp;UPPER(D1049)&amp;"*")=0),"GSTIN not on Clients — will be checked in the portal","✔ OK")))))</f>
        <v/>
      </c>
    </row>
    <row r="1050">
      <c r="A1050" s="38" t="n"/>
      <c r="B1050" s="39" t="n"/>
      <c r="C1050" s="39" t="n"/>
      <c r="D1050" s="38" t="n"/>
      <c r="E1050" s="38" t="n"/>
      <c r="F1050" s="38" t="n"/>
      <c r="G1050" s="37">
        <f>IF(COUNTA(A1050:F1050)=0,"",IF(A1050="EXAMPLE","Example (skipped)",IF(OR(C1050="",E1050="",F1050=""),"✖ Portal, User ID and Password are all needed",IF(AND(A1050="",COUNTIF(Clients!$B$5:$B$1005,B1050)=0),"Not on Clients — will match a portal client by name",IF(AND(C1050="GST",D1050&lt;&gt;"",COUNTIF(Clients!$AN$5:$AN$1005,UPPER(D1050))=0,COUNTIF(Clients!$G$5:$G$1005,"*"&amp;UPPER(D1050)&amp;"*")=0),"GSTIN not on Clients — will be checked in the portal","✔ OK")))))</f>
        <v/>
      </c>
    </row>
    <row r="1051">
      <c r="A1051" s="38" t="n"/>
      <c r="B1051" s="39" t="n"/>
      <c r="C1051" s="39" t="n"/>
      <c r="D1051" s="38" t="n"/>
      <c r="E1051" s="38" t="n"/>
      <c r="F1051" s="38" t="n"/>
      <c r="G1051" s="37">
        <f>IF(COUNTA(A1051:F1051)=0,"",IF(A1051="EXAMPLE","Example (skipped)",IF(OR(C1051="",E1051="",F1051=""),"✖ Portal, User ID and Password are all needed",IF(AND(A1051="",COUNTIF(Clients!$B$5:$B$1005,B1051)=0),"Not on Clients — will match a portal client by name",IF(AND(C1051="GST",D1051&lt;&gt;"",COUNTIF(Clients!$AN$5:$AN$1005,UPPER(D1051))=0,COUNTIF(Clients!$G$5:$G$1005,"*"&amp;UPPER(D1051)&amp;"*")=0),"GSTIN not on Clients — will be checked in the portal","✔ OK")))))</f>
        <v/>
      </c>
    </row>
    <row r="1052">
      <c r="A1052" s="38" t="n"/>
      <c r="B1052" s="39" t="n"/>
      <c r="C1052" s="39" t="n"/>
      <c r="D1052" s="38" t="n"/>
      <c r="E1052" s="38" t="n"/>
      <c r="F1052" s="38" t="n"/>
      <c r="G1052" s="37">
        <f>IF(COUNTA(A1052:F1052)=0,"",IF(A1052="EXAMPLE","Example (skipped)",IF(OR(C1052="",E1052="",F1052=""),"✖ Portal, User ID and Password are all needed",IF(AND(A1052="",COUNTIF(Clients!$B$5:$B$1005,B1052)=0),"Not on Clients — will match a portal client by name",IF(AND(C1052="GST",D1052&lt;&gt;"",COUNTIF(Clients!$AN$5:$AN$1005,UPPER(D1052))=0,COUNTIF(Clients!$G$5:$G$1005,"*"&amp;UPPER(D1052)&amp;"*")=0),"GSTIN not on Clients — will be checked in the portal","✔ OK")))))</f>
        <v/>
      </c>
    </row>
    <row r="1053">
      <c r="A1053" s="38" t="n"/>
      <c r="B1053" s="39" t="n"/>
      <c r="C1053" s="39" t="n"/>
      <c r="D1053" s="38" t="n"/>
      <c r="E1053" s="38" t="n"/>
      <c r="F1053" s="38" t="n"/>
      <c r="G1053" s="37">
        <f>IF(COUNTA(A1053:F1053)=0,"",IF(A1053="EXAMPLE","Example (skipped)",IF(OR(C1053="",E1053="",F1053=""),"✖ Portal, User ID and Password are all needed",IF(AND(A1053="",COUNTIF(Clients!$B$5:$B$1005,B1053)=0),"Not on Clients — will match a portal client by name",IF(AND(C1053="GST",D1053&lt;&gt;"",COUNTIF(Clients!$AN$5:$AN$1005,UPPER(D1053))=0,COUNTIF(Clients!$G$5:$G$1005,"*"&amp;UPPER(D1053)&amp;"*")=0),"GSTIN not on Clients — will be checked in the portal","✔ OK")))))</f>
        <v/>
      </c>
    </row>
    <row r="1054">
      <c r="A1054" s="38" t="n"/>
      <c r="B1054" s="39" t="n"/>
      <c r="C1054" s="39" t="n"/>
      <c r="D1054" s="38" t="n"/>
      <c r="E1054" s="38" t="n"/>
      <c r="F1054" s="38" t="n"/>
      <c r="G1054" s="37">
        <f>IF(COUNTA(A1054:F1054)=0,"",IF(A1054="EXAMPLE","Example (skipped)",IF(OR(C1054="",E1054="",F1054=""),"✖ Portal, User ID and Password are all needed",IF(AND(A1054="",COUNTIF(Clients!$B$5:$B$1005,B1054)=0),"Not on Clients — will match a portal client by name",IF(AND(C1054="GST",D1054&lt;&gt;"",COUNTIF(Clients!$AN$5:$AN$1005,UPPER(D1054))=0,COUNTIF(Clients!$G$5:$G$1005,"*"&amp;UPPER(D1054)&amp;"*")=0),"GSTIN not on Clients — will be checked in the portal","✔ OK")))))</f>
        <v/>
      </c>
    </row>
    <row r="1055">
      <c r="A1055" s="38" t="n"/>
      <c r="B1055" s="39" t="n"/>
      <c r="C1055" s="39" t="n"/>
      <c r="D1055" s="38" t="n"/>
      <c r="E1055" s="38" t="n"/>
      <c r="F1055" s="38" t="n"/>
      <c r="G1055" s="37">
        <f>IF(COUNTA(A1055:F1055)=0,"",IF(A1055="EXAMPLE","Example (skipped)",IF(OR(C1055="",E1055="",F1055=""),"✖ Portal, User ID and Password are all needed",IF(AND(A1055="",COUNTIF(Clients!$B$5:$B$1005,B1055)=0),"Not on Clients — will match a portal client by name",IF(AND(C1055="GST",D1055&lt;&gt;"",COUNTIF(Clients!$AN$5:$AN$1005,UPPER(D1055))=0,COUNTIF(Clients!$G$5:$G$1005,"*"&amp;UPPER(D1055)&amp;"*")=0),"GSTIN not on Clients — will be checked in the portal","✔ OK")))))</f>
        <v/>
      </c>
    </row>
    <row r="1056">
      <c r="A1056" s="38" t="n"/>
      <c r="B1056" s="39" t="n"/>
      <c r="C1056" s="39" t="n"/>
      <c r="D1056" s="38" t="n"/>
      <c r="E1056" s="38" t="n"/>
      <c r="F1056" s="38" t="n"/>
      <c r="G1056" s="37">
        <f>IF(COUNTA(A1056:F1056)=0,"",IF(A1056="EXAMPLE","Example (skipped)",IF(OR(C1056="",E1056="",F1056=""),"✖ Portal, User ID and Password are all needed",IF(AND(A1056="",COUNTIF(Clients!$B$5:$B$1005,B1056)=0),"Not on Clients — will match a portal client by name",IF(AND(C1056="GST",D1056&lt;&gt;"",COUNTIF(Clients!$AN$5:$AN$1005,UPPER(D1056))=0,COUNTIF(Clients!$G$5:$G$1005,"*"&amp;UPPER(D1056)&amp;"*")=0),"GSTIN not on Clients — will be checked in the portal","✔ OK")))))</f>
        <v/>
      </c>
    </row>
    <row r="1057">
      <c r="A1057" s="38" t="n"/>
      <c r="B1057" s="39" t="n"/>
      <c r="C1057" s="39" t="n"/>
      <c r="D1057" s="38" t="n"/>
      <c r="E1057" s="38" t="n"/>
      <c r="F1057" s="38" t="n"/>
      <c r="G1057" s="37">
        <f>IF(COUNTA(A1057:F1057)=0,"",IF(A1057="EXAMPLE","Example (skipped)",IF(OR(C1057="",E1057="",F1057=""),"✖ Portal, User ID and Password are all needed",IF(AND(A1057="",COUNTIF(Clients!$B$5:$B$1005,B1057)=0),"Not on Clients — will match a portal client by name",IF(AND(C1057="GST",D1057&lt;&gt;"",COUNTIF(Clients!$AN$5:$AN$1005,UPPER(D1057))=0,COUNTIF(Clients!$G$5:$G$1005,"*"&amp;UPPER(D1057)&amp;"*")=0),"GSTIN not on Clients — will be checked in the portal","✔ OK")))))</f>
        <v/>
      </c>
    </row>
    <row r="1058">
      <c r="A1058" s="38" t="n"/>
      <c r="B1058" s="39" t="n"/>
      <c r="C1058" s="39" t="n"/>
      <c r="D1058" s="38" t="n"/>
      <c r="E1058" s="38" t="n"/>
      <c r="F1058" s="38" t="n"/>
      <c r="G1058" s="37">
        <f>IF(COUNTA(A1058:F1058)=0,"",IF(A1058="EXAMPLE","Example (skipped)",IF(OR(C1058="",E1058="",F1058=""),"✖ Portal, User ID and Password are all needed",IF(AND(A1058="",COUNTIF(Clients!$B$5:$B$1005,B1058)=0),"Not on Clients — will match a portal client by name",IF(AND(C1058="GST",D1058&lt;&gt;"",COUNTIF(Clients!$AN$5:$AN$1005,UPPER(D1058))=0,COUNTIF(Clients!$G$5:$G$1005,"*"&amp;UPPER(D1058)&amp;"*")=0),"GSTIN not on Clients — will be checked in the portal","✔ OK")))))</f>
        <v/>
      </c>
    </row>
    <row r="1059">
      <c r="A1059" s="38" t="n"/>
      <c r="B1059" s="39" t="n"/>
      <c r="C1059" s="39" t="n"/>
      <c r="D1059" s="38" t="n"/>
      <c r="E1059" s="38" t="n"/>
      <c r="F1059" s="38" t="n"/>
      <c r="G1059" s="37">
        <f>IF(COUNTA(A1059:F1059)=0,"",IF(A1059="EXAMPLE","Example (skipped)",IF(OR(C1059="",E1059="",F1059=""),"✖ Portal, User ID and Password are all needed",IF(AND(A1059="",COUNTIF(Clients!$B$5:$B$1005,B1059)=0),"Not on Clients — will match a portal client by name",IF(AND(C1059="GST",D1059&lt;&gt;"",COUNTIF(Clients!$AN$5:$AN$1005,UPPER(D1059))=0,COUNTIF(Clients!$G$5:$G$1005,"*"&amp;UPPER(D1059)&amp;"*")=0),"GSTIN not on Clients — will be checked in the portal","✔ OK")))))</f>
        <v/>
      </c>
    </row>
    <row r="1060">
      <c r="A1060" s="38" t="n"/>
      <c r="B1060" s="39" t="n"/>
      <c r="C1060" s="39" t="n"/>
      <c r="D1060" s="38" t="n"/>
      <c r="E1060" s="38" t="n"/>
      <c r="F1060" s="38" t="n"/>
      <c r="G1060" s="37">
        <f>IF(COUNTA(A1060:F1060)=0,"",IF(A1060="EXAMPLE","Example (skipped)",IF(OR(C1060="",E1060="",F1060=""),"✖ Portal, User ID and Password are all needed",IF(AND(A1060="",COUNTIF(Clients!$B$5:$B$1005,B1060)=0),"Not on Clients — will match a portal client by name",IF(AND(C1060="GST",D1060&lt;&gt;"",COUNTIF(Clients!$AN$5:$AN$1005,UPPER(D1060))=0,COUNTIF(Clients!$G$5:$G$1005,"*"&amp;UPPER(D1060)&amp;"*")=0),"GSTIN not on Clients — will be checked in the portal","✔ OK")))))</f>
        <v/>
      </c>
    </row>
    <row r="1061">
      <c r="A1061" s="38" t="n"/>
      <c r="B1061" s="39" t="n"/>
      <c r="C1061" s="39" t="n"/>
      <c r="D1061" s="38" t="n"/>
      <c r="E1061" s="38" t="n"/>
      <c r="F1061" s="38" t="n"/>
      <c r="G1061" s="37">
        <f>IF(COUNTA(A1061:F1061)=0,"",IF(A1061="EXAMPLE","Example (skipped)",IF(OR(C1061="",E1061="",F1061=""),"✖ Portal, User ID and Password are all needed",IF(AND(A1061="",COUNTIF(Clients!$B$5:$B$1005,B1061)=0),"Not on Clients — will match a portal client by name",IF(AND(C1061="GST",D1061&lt;&gt;"",COUNTIF(Clients!$AN$5:$AN$1005,UPPER(D1061))=0,COUNTIF(Clients!$G$5:$G$1005,"*"&amp;UPPER(D1061)&amp;"*")=0),"GSTIN not on Clients — will be checked in the portal","✔ OK")))))</f>
        <v/>
      </c>
    </row>
    <row r="1062">
      <c r="A1062" s="38" t="n"/>
      <c r="B1062" s="39" t="n"/>
      <c r="C1062" s="39" t="n"/>
      <c r="D1062" s="38" t="n"/>
      <c r="E1062" s="38" t="n"/>
      <c r="F1062" s="38" t="n"/>
      <c r="G1062" s="37">
        <f>IF(COUNTA(A1062:F1062)=0,"",IF(A1062="EXAMPLE","Example (skipped)",IF(OR(C1062="",E1062="",F1062=""),"✖ Portal, User ID and Password are all needed",IF(AND(A1062="",COUNTIF(Clients!$B$5:$B$1005,B1062)=0),"Not on Clients — will match a portal client by name",IF(AND(C1062="GST",D1062&lt;&gt;"",COUNTIF(Clients!$AN$5:$AN$1005,UPPER(D1062))=0,COUNTIF(Clients!$G$5:$G$1005,"*"&amp;UPPER(D1062)&amp;"*")=0),"GSTIN not on Clients — will be checked in the portal","✔ OK")))))</f>
        <v/>
      </c>
    </row>
    <row r="1063">
      <c r="A1063" s="38" t="n"/>
      <c r="B1063" s="39" t="n"/>
      <c r="C1063" s="39" t="n"/>
      <c r="D1063" s="38" t="n"/>
      <c r="E1063" s="38" t="n"/>
      <c r="F1063" s="38" t="n"/>
      <c r="G1063" s="37">
        <f>IF(COUNTA(A1063:F1063)=0,"",IF(A1063="EXAMPLE","Example (skipped)",IF(OR(C1063="",E1063="",F1063=""),"✖ Portal, User ID and Password are all needed",IF(AND(A1063="",COUNTIF(Clients!$B$5:$B$1005,B1063)=0),"Not on Clients — will match a portal client by name",IF(AND(C1063="GST",D1063&lt;&gt;"",COUNTIF(Clients!$AN$5:$AN$1005,UPPER(D1063))=0,COUNTIF(Clients!$G$5:$G$1005,"*"&amp;UPPER(D1063)&amp;"*")=0),"GSTIN not on Clients — will be checked in the portal","✔ OK")))))</f>
        <v/>
      </c>
    </row>
    <row r="1064">
      <c r="A1064" s="38" t="n"/>
      <c r="B1064" s="39" t="n"/>
      <c r="C1064" s="39" t="n"/>
      <c r="D1064" s="38" t="n"/>
      <c r="E1064" s="38" t="n"/>
      <c r="F1064" s="38" t="n"/>
      <c r="G1064" s="37">
        <f>IF(COUNTA(A1064:F1064)=0,"",IF(A1064="EXAMPLE","Example (skipped)",IF(OR(C1064="",E1064="",F1064=""),"✖ Portal, User ID and Password are all needed",IF(AND(A1064="",COUNTIF(Clients!$B$5:$B$1005,B1064)=0),"Not on Clients — will match a portal client by name",IF(AND(C1064="GST",D1064&lt;&gt;"",COUNTIF(Clients!$AN$5:$AN$1005,UPPER(D1064))=0,COUNTIF(Clients!$G$5:$G$1005,"*"&amp;UPPER(D1064)&amp;"*")=0),"GSTIN not on Clients — will be checked in the portal","✔ OK")))))</f>
        <v/>
      </c>
    </row>
    <row r="1065">
      <c r="A1065" s="38" t="n"/>
      <c r="B1065" s="39" t="n"/>
      <c r="C1065" s="39" t="n"/>
      <c r="D1065" s="38" t="n"/>
      <c r="E1065" s="38" t="n"/>
      <c r="F1065" s="38" t="n"/>
      <c r="G1065" s="37">
        <f>IF(COUNTA(A1065:F1065)=0,"",IF(A1065="EXAMPLE","Example (skipped)",IF(OR(C1065="",E1065="",F1065=""),"✖ Portal, User ID and Password are all needed",IF(AND(A1065="",COUNTIF(Clients!$B$5:$B$1005,B1065)=0),"Not on Clients — will match a portal client by name",IF(AND(C1065="GST",D1065&lt;&gt;"",COUNTIF(Clients!$AN$5:$AN$1005,UPPER(D1065))=0,COUNTIF(Clients!$G$5:$G$1005,"*"&amp;UPPER(D1065)&amp;"*")=0),"GSTIN not on Clients — will be checked in the portal","✔ OK")))))</f>
        <v/>
      </c>
    </row>
    <row r="1066">
      <c r="A1066" s="38" t="n"/>
      <c r="B1066" s="39" t="n"/>
      <c r="C1066" s="39" t="n"/>
      <c r="D1066" s="38" t="n"/>
      <c r="E1066" s="38" t="n"/>
      <c r="F1066" s="38" t="n"/>
      <c r="G1066" s="37">
        <f>IF(COUNTA(A1066:F1066)=0,"",IF(A1066="EXAMPLE","Example (skipped)",IF(OR(C1066="",E1066="",F1066=""),"✖ Portal, User ID and Password are all needed",IF(AND(A1066="",COUNTIF(Clients!$B$5:$B$1005,B1066)=0),"Not on Clients — will match a portal client by name",IF(AND(C1066="GST",D1066&lt;&gt;"",COUNTIF(Clients!$AN$5:$AN$1005,UPPER(D1066))=0,COUNTIF(Clients!$G$5:$G$1005,"*"&amp;UPPER(D1066)&amp;"*")=0),"GSTIN not on Clients — will be checked in the portal","✔ OK")))))</f>
        <v/>
      </c>
    </row>
    <row r="1067">
      <c r="A1067" s="38" t="n"/>
      <c r="B1067" s="39" t="n"/>
      <c r="C1067" s="39" t="n"/>
      <c r="D1067" s="38" t="n"/>
      <c r="E1067" s="38" t="n"/>
      <c r="F1067" s="38" t="n"/>
      <c r="G1067" s="37">
        <f>IF(COUNTA(A1067:F1067)=0,"",IF(A1067="EXAMPLE","Example (skipped)",IF(OR(C1067="",E1067="",F1067=""),"✖ Portal, User ID and Password are all needed",IF(AND(A1067="",COUNTIF(Clients!$B$5:$B$1005,B1067)=0),"Not on Clients — will match a portal client by name",IF(AND(C1067="GST",D1067&lt;&gt;"",COUNTIF(Clients!$AN$5:$AN$1005,UPPER(D1067))=0,COUNTIF(Clients!$G$5:$G$1005,"*"&amp;UPPER(D1067)&amp;"*")=0),"GSTIN not on Clients — will be checked in the portal","✔ OK")))))</f>
        <v/>
      </c>
    </row>
    <row r="1068">
      <c r="A1068" s="38" t="n"/>
      <c r="B1068" s="39" t="n"/>
      <c r="C1068" s="39" t="n"/>
      <c r="D1068" s="38" t="n"/>
      <c r="E1068" s="38" t="n"/>
      <c r="F1068" s="38" t="n"/>
      <c r="G1068" s="37">
        <f>IF(COUNTA(A1068:F1068)=0,"",IF(A1068="EXAMPLE","Example (skipped)",IF(OR(C1068="",E1068="",F1068=""),"✖ Portal, User ID and Password are all needed",IF(AND(A1068="",COUNTIF(Clients!$B$5:$B$1005,B1068)=0),"Not on Clients — will match a portal client by name",IF(AND(C1068="GST",D1068&lt;&gt;"",COUNTIF(Clients!$AN$5:$AN$1005,UPPER(D1068))=0,COUNTIF(Clients!$G$5:$G$1005,"*"&amp;UPPER(D1068)&amp;"*")=0),"GSTIN not on Clients — will be checked in the portal","✔ OK")))))</f>
        <v/>
      </c>
    </row>
    <row r="1069">
      <c r="A1069" s="38" t="n"/>
      <c r="B1069" s="39" t="n"/>
      <c r="C1069" s="39" t="n"/>
      <c r="D1069" s="38" t="n"/>
      <c r="E1069" s="38" t="n"/>
      <c r="F1069" s="38" t="n"/>
      <c r="G1069" s="37">
        <f>IF(COUNTA(A1069:F1069)=0,"",IF(A1069="EXAMPLE","Example (skipped)",IF(OR(C1069="",E1069="",F1069=""),"✖ Portal, User ID and Password are all needed",IF(AND(A1069="",COUNTIF(Clients!$B$5:$B$1005,B1069)=0),"Not on Clients — will match a portal client by name",IF(AND(C1069="GST",D1069&lt;&gt;"",COUNTIF(Clients!$AN$5:$AN$1005,UPPER(D1069))=0,COUNTIF(Clients!$G$5:$G$1005,"*"&amp;UPPER(D1069)&amp;"*")=0),"GSTIN not on Clients — will be checked in the portal","✔ OK")))))</f>
        <v/>
      </c>
    </row>
    <row r="1070">
      <c r="A1070" s="38" t="n"/>
      <c r="B1070" s="39" t="n"/>
      <c r="C1070" s="39" t="n"/>
      <c r="D1070" s="38" t="n"/>
      <c r="E1070" s="38" t="n"/>
      <c r="F1070" s="38" t="n"/>
      <c r="G1070" s="37">
        <f>IF(COUNTA(A1070:F1070)=0,"",IF(A1070="EXAMPLE","Example (skipped)",IF(OR(C1070="",E1070="",F1070=""),"✖ Portal, User ID and Password are all needed",IF(AND(A1070="",COUNTIF(Clients!$B$5:$B$1005,B1070)=0),"Not on Clients — will match a portal client by name",IF(AND(C1070="GST",D1070&lt;&gt;"",COUNTIF(Clients!$AN$5:$AN$1005,UPPER(D1070))=0,COUNTIF(Clients!$G$5:$G$1005,"*"&amp;UPPER(D1070)&amp;"*")=0),"GSTIN not on Clients — will be checked in the portal","✔ OK")))))</f>
        <v/>
      </c>
    </row>
    <row r="1071">
      <c r="A1071" s="38" t="n"/>
      <c r="B1071" s="39" t="n"/>
      <c r="C1071" s="39" t="n"/>
      <c r="D1071" s="38" t="n"/>
      <c r="E1071" s="38" t="n"/>
      <c r="F1071" s="38" t="n"/>
      <c r="G1071" s="37">
        <f>IF(COUNTA(A1071:F1071)=0,"",IF(A1071="EXAMPLE","Example (skipped)",IF(OR(C1071="",E1071="",F1071=""),"✖ Portal, User ID and Password are all needed",IF(AND(A1071="",COUNTIF(Clients!$B$5:$B$1005,B1071)=0),"Not on Clients — will match a portal client by name",IF(AND(C1071="GST",D1071&lt;&gt;"",COUNTIF(Clients!$AN$5:$AN$1005,UPPER(D1071))=0,COUNTIF(Clients!$G$5:$G$1005,"*"&amp;UPPER(D1071)&amp;"*")=0),"GSTIN not on Clients — will be checked in the portal","✔ OK")))))</f>
        <v/>
      </c>
    </row>
    <row r="1072">
      <c r="A1072" s="38" t="n"/>
      <c r="B1072" s="39" t="n"/>
      <c r="C1072" s="39" t="n"/>
      <c r="D1072" s="38" t="n"/>
      <c r="E1072" s="38" t="n"/>
      <c r="F1072" s="38" t="n"/>
      <c r="G1072" s="37">
        <f>IF(COUNTA(A1072:F1072)=0,"",IF(A1072="EXAMPLE","Example (skipped)",IF(OR(C1072="",E1072="",F1072=""),"✖ Portal, User ID and Password are all needed",IF(AND(A1072="",COUNTIF(Clients!$B$5:$B$1005,B1072)=0),"Not on Clients — will match a portal client by name",IF(AND(C1072="GST",D1072&lt;&gt;"",COUNTIF(Clients!$AN$5:$AN$1005,UPPER(D1072))=0,COUNTIF(Clients!$G$5:$G$1005,"*"&amp;UPPER(D1072)&amp;"*")=0),"GSTIN not on Clients — will be checked in the portal","✔ OK")))))</f>
        <v/>
      </c>
    </row>
    <row r="1073">
      <c r="A1073" s="38" t="n"/>
      <c r="B1073" s="39" t="n"/>
      <c r="C1073" s="39" t="n"/>
      <c r="D1073" s="38" t="n"/>
      <c r="E1073" s="38" t="n"/>
      <c r="F1073" s="38" t="n"/>
      <c r="G1073" s="37">
        <f>IF(COUNTA(A1073:F1073)=0,"",IF(A1073="EXAMPLE","Example (skipped)",IF(OR(C1073="",E1073="",F1073=""),"✖ Portal, User ID and Password are all needed",IF(AND(A1073="",COUNTIF(Clients!$B$5:$B$1005,B1073)=0),"Not on Clients — will match a portal client by name",IF(AND(C1073="GST",D1073&lt;&gt;"",COUNTIF(Clients!$AN$5:$AN$1005,UPPER(D1073))=0,COUNTIF(Clients!$G$5:$G$1005,"*"&amp;UPPER(D1073)&amp;"*")=0),"GSTIN not on Clients — will be checked in the portal","✔ OK")))))</f>
        <v/>
      </c>
    </row>
    <row r="1074">
      <c r="A1074" s="38" t="n"/>
      <c r="B1074" s="39" t="n"/>
      <c r="C1074" s="39" t="n"/>
      <c r="D1074" s="38" t="n"/>
      <c r="E1074" s="38" t="n"/>
      <c r="F1074" s="38" t="n"/>
      <c r="G1074" s="37">
        <f>IF(COUNTA(A1074:F1074)=0,"",IF(A1074="EXAMPLE","Example (skipped)",IF(OR(C1074="",E1074="",F1074=""),"✖ Portal, User ID and Password are all needed",IF(AND(A1074="",COUNTIF(Clients!$B$5:$B$1005,B1074)=0),"Not on Clients — will match a portal client by name",IF(AND(C1074="GST",D1074&lt;&gt;"",COUNTIF(Clients!$AN$5:$AN$1005,UPPER(D1074))=0,COUNTIF(Clients!$G$5:$G$1005,"*"&amp;UPPER(D1074)&amp;"*")=0),"GSTIN not on Clients — will be checked in the portal","✔ OK")))))</f>
        <v/>
      </c>
    </row>
    <row r="1075">
      <c r="A1075" s="38" t="n"/>
      <c r="B1075" s="39" t="n"/>
      <c r="C1075" s="39" t="n"/>
      <c r="D1075" s="38" t="n"/>
      <c r="E1075" s="38" t="n"/>
      <c r="F1075" s="38" t="n"/>
      <c r="G1075" s="37">
        <f>IF(COUNTA(A1075:F1075)=0,"",IF(A1075="EXAMPLE","Example (skipped)",IF(OR(C1075="",E1075="",F1075=""),"✖ Portal, User ID and Password are all needed",IF(AND(A1075="",COUNTIF(Clients!$B$5:$B$1005,B1075)=0),"Not on Clients — will match a portal client by name",IF(AND(C1075="GST",D1075&lt;&gt;"",COUNTIF(Clients!$AN$5:$AN$1005,UPPER(D1075))=0,COUNTIF(Clients!$G$5:$G$1005,"*"&amp;UPPER(D1075)&amp;"*")=0),"GSTIN not on Clients — will be checked in the portal","✔ OK")))))</f>
        <v/>
      </c>
    </row>
    <row r="1076">
      <c r="A1076" s="38" t="n"/>
      <c r="B1076" s="39" t="n"/>
      <c r="C1076" s="39" t="n"/>
      <c r="D1076" s="38" t="n"/>
      <c r="E1076" s="38" t="n"/>
      <c r="F1076" s="38" t="n"/>
      <c r="G1076" s="37">
        <f>IF(COUNTA(A1076:F1076)=0,"",IF(A1076="EXAMPLE","Example (skipped)",IF(OR(C1076="",E1076="",F1076=""),"✖ Portal, User ID and Password are all needed",IF(AND(A1076="",COUNTIF(Clients!$B$5:$B$1005,B1076)=0),"Not on Clients — will match a portal client by name",IF(AND(C1076="GST",D1076&lt;&gt;"",COUNTIF(Clients!$AN$5:$AN$1005,UPPER(D1076))=0,COUNTIF(Clients!$G$5:$G$1005,"*"&amp;UPPER(D1076)&amp;"*")=0),"GSTIN not on Clients — will be checked in the portal","✔ OK")))))</f>
        <v/>
      </c>
    </row>
    <row r="1077">
      <c r="A1077" s="38" t="n"/>
      <c r="B1077" s="39" t="n"/>
      <c r="C1077" s="39" t="n"/>
      <c r="D1077" s="38" t="n"/>
      <c r="E1077" s="38" t="n"/>
      <c r="F1077" s="38" t="n"/>
      <c r="G1077" s="37">
        <f>IF(COUNTA(A1077:F1077)=0,"",IF(A1077="EXAMPLE","Example (skipped)",IF(OR(C1077="",E1077="",F1077=""),"✖ Portal, User ID and Password are all needed",IF(AND(A1077="",COUNTIF(Clients!$B$5:$B$1005,B1077)=0),"Not on Clients — will match a portal client by name",IF(AND(C1077="GST",D1077&lt;&gt;"",COUNTIF(Clients!$AN$5:$AN$1005,UPPER(D1077))=0,COUNTIF(Clients!$G$5:$G$1005,"*"&amp;UPPER(D1077)&amp;"*")=0),"GSTIN not on Clients — will be checked in the portal","✔ OK")))))</f>
        <v/>
      </c>
    </row>
    <row r="1078">
      <c r="A1078" s="38" t="n"/>
      <c r="B1078" s="39" t="n"/>
      <c r="C1078" s="39" t="n"/>
      <c r="D1078" s="38" t="n"/>
      <c r="E1078" s="38" t="n"/>
      <c r="F1078" s="38" t="n"/>
      <c r="G1078" s="37">
        <f>IF(COUNTA(A1078:F1078)=0,"",IF(A1078="EXAMPLE","Example (skipped)",IF(OR(C1078="",E1078="",F1078=""),"✖ Portal, User ID and Password are all needed",IF(AND(A1078="",COUNTIF(Clients!$B$5:$B$1005,B1078)=0),"Not on Clients — will match a portal client by name",IF(AND(C1078="GST",D1078&lt;&gt;"",COUNTIF(Clients!$AN$5:$AN$1005,UPPER(D1078))=0,COUNTIF(Clients!$G$5:$G$1005,"*"&amp;UPPER(D1078)&amp;"*")=0),"GSTIN not on Clients — will be checked in the portal","✔ OK")))))</f>
        <v/>
      </c>
    </row>
    <row r="1079">
      <c r="A1079" s="38" t="n"/>
      <c r="B1079" s="39" t="n"/>
      <c r="C1079" s="39" t="n"/>
      <c r="D1079" s="38" t="n"/>
      <c r="E1079" s="38" t="n"/>
      <c r="F1079" s="38" t="n"/>
      <c r="G1079" s="37">
        <f>IF(COUNTA(A1079:F1079)=0,"",IF(A1079="EXAMPLE","Example (skipped)",IF(OR(C1079="",E1079="",F1079=""),"✖ Portal, User ID and Password are all needed",IF(AND(A1079="",COUNTIF(Clients!$B$5:$B$1005,B1079)=0),"Not on Clients — will match a portal client by name",IF(AND(C1079="GST",D1079&lt;&gt;"",COUNTIF(Clients!$AN$5:$AN$1005,UPPER(D1079))=0,COUNTIF(Clients!$G$5:$G$1005,"*"&amp;UPPER(D1079)&amp;"*")=0),"GSTIN not on Clients — will be checked in the portal","✔ OK")))))</f>
        <v/>
      </c>
    </row>
    <row r="1080">
      <c r="A1080" s="38" t="n"/>
      <c r="B1080" s="39" t="n"/>
      <c r="C1080" s="39" t="n"/>
      <c r="D1080" s="38" t="n"/>
      <c r="E1080" s="38" t="n"/>
      <c r="F1080" s="38" t="n"/>
      <c r="G1080" s="37">
        <f>IF(COUNTA(A1080:F1080)=0,"",IF(A1080="EXAMPLE","Example (skipped)",IF(OR(C1080="",E1080="",F1080=""),"✖ Portal, User ID and Password are all needed",IF(AND(A1080="",COUNTIF(Clients!$B$5:$B$1005,B1080)=0),"Not on Clients — will match a portal client by name",IF(AND(C1080="GST",D1080&lt;&gt;"",COUNTIF(Clients!$AN$5:$AN$1005,UPPER(D1080))=0,COUNTIF(Clients!$G$5:$G$1005,"*"&amp;UPPER(D1080)&amp;"*")=0),"GSTIN not on Clients — will be checked in the portal","✔ OK")))))</f>
        <v/>
      </c>
    </row>
    <row r="1081">
      <c r="A1081" s="38" t="n"/>
      <c r="B1081" s="39" t="n"/>
      <c r="C1081" s="39" t="n"/>
      <c r="D1081" s="38" t="n"/>
      <c r="E1081" s="38" t="n"/>
      <c r="F1081" s="38" t="n"/>
      <c r="G1081" s="37">
        <f>IF(COUNTA(A1081:F1081)=0,"",IF(A1081="EXAMPLE","Example (skipped)",IF(OR(C1081="",E1081="",F1081=""),"✖ Portal, User ID and Password are all needed",IF(AND(A1081="",COUNTIF(Clients!$B$5:$B$1005,B1081)=0),"Not on Clients — will match a portal client by name",IF(AND(C1081="GST",D1081&lt;&gt;"",COUNTIF(Clients!$AN$5:$AN$1005,UPPER(D1081))=0,COUNTIF(Clients!$G$5:$G$1005,"*"&amp;UPPER(D1081)&amp;"*")=0),"GSTIN not on Clients — will be checked in the portal","✔ OK")))))</f>
        <v/>
      </c>
    </row>
    <row r="1082">
      <c r="A1082" s="38" t="n"/>
      <c r="B1082" s="39" t="n"/>
      <c r="C1082" s="39" t="n"/>
      <c r="D1082" s="38" t="n"/>
      <c r="E1082" s="38" t="n"/>
      <c r="F1082" s="38" t="n"/>
      <c r="G1082" s="37">
        <f>IF(COUNTA(A1082:F1082)=0,"",IF(A1082="EXAMPLE","Example (skipped)",IF(OR(C1082="",E1082="",F1082=""),"✖ Portal, User ID and Password are all needed",IF(AND(A1082="",COUNTIF(Clients!$B$5:$B$1005,B1082)=0),"Not on Clients — will match a portal client by name",IF(AND(C1082="GST",D1082&lt;&gt;"",COUNTIF(Clients!$AN$5:$AN$1005,UPPER(D1082))=0,COUNTIF(Clients!$G$5:$G$1005,"*"&amp;UPPER(D1082)&amp;"*")=0),"GSTIN not on Clients — will be checked in the portal","✔ OK")))))</f>
        <v/>
      </c>
    </row>
    <row r="1083">
      <c r="A1083" s="38" t="n"/>
      <c r="B1083" s="39" t="n"/>
      <c r="C1083" s="39" t="n"/>
      <c r="D1083" s="38" t="n"/>
      <c r="E1083" s="38" t="n"/>
      <c r="F1083" s="38" t="n"/>
      <c r="G1083" s="37">
        <f>IF(COUNTA(A1083:F1083)=0,"",IF(A1083="EXAMPLE","Example (skipped)",IF(OR(C1083="",E1083="",F1083=""),"✖ Portal, User ID and Password are all needed",IF(AND(A1083="",COUNTIF(Clients!$B$5:$B$1005,B1083)=0),"Not on Clients — will match a portal client by name",IF(AND(C1083="GST",D1083&lt;&gt;"",COUNTIF(Clients!$AN$5:$AN$1005,UPPER(D1083))=0,COUNTIF(Clients!$G$5:$G$1005,"*"&amp;UPPER(D1083)&amp;"*")=0),"GSTIN not on Clients — will be checked in the portal","✔ OK")))))</f>
        <v/>
      </c>
    </row>
    <row r="1084">
      <c r="A1084" s="38" t="n"/>
      <c r="B1084" s="39" t="n"/>
      <c r="C1084" s="39" t="n"/>
      <c r="D1084" s="38" t="n"/>
      <c r="E1084" s="38" t="n"/>
      <c r="F1084" s="38" t="n"/>
      <c r="G1084" s="37">
        <f>IF(COUNTA(A1084:F1084)=0,"",IF(A1084="EXAMPLE","Example (skipped)",IF(OR(C1084="",E1084="",F1084=""),"✖ Portal, User ID and Password are all needed",IF(AND(A1084="",COUNTIF(Clients!$B$5:$B$1005,B1084)=0),"Not on Clients — will match a portal client by name",IF(AND(C1084="GST",D1084&lt;&gt;"",COUNTIF(Clients!$AN$5:$AN$1005,UPPER(D1084))=0,COUNTIF(Clients!$G$5:$G$1005,"*"&amp;UPPER(D1084)&amp;"*")=0),"GSTIN not on Clients — will be checked in the portal","✔ OK")))))</f>
        <v/>
      </c>
    </row>
    <row r="1085">
      <c r="A1085" s="38" t="n"/>
      <c r="B1085" s="39" t="n"/>
      <c r="C1085" s="39" t="n"/>
      <c r="D1085" s="38" t="n"/>
      <c r="E1085" s="38" t="n"/>
      <c r="F1085" s="38" t="n"/>
      <c r="G1085" s="37">
        <f>IF(COUNTA(A1085:F1085)=0,"",IF(A1085="EXAMPLE","Example (skipped)",IF(OR(C1085="",E1085="",F1085=""),"✖ Portal, User ID and Password are all needed",IF(AND(A1085="",COUNTIF(Clients!$B$5:$B$1005,B1085)=0),"Not on Clients — will match a portal client by name",IF(AND(C1085="GST",D1085&lt;&gt;"",COUNTIF(Clients!$AN$5:$AN$1005,UPPER(D1085))=0,COUNTIF(Clients!$G$5:$G$1005,"*"&amp;UPPER(D1085)&amp;"*")=0),"GSTIN not on Clients — will be checked in the portal","✔ OK")))))</f>
        <v/>
      </c>
    </row>
    <row r="1086">
      <c r="A1086" s="38" t="n"/>
      <c r="B1086" s="39" t="n"/>
      <c r="C1086" s="39" t="n"/>
      <c r="D1086" s="38" t="n"/>
      <c r="E1086" s="38" t="n"/>
      <c r="F1086" s="38" t="n"/>
      <c r="G1086" s="37">
        <f>IF(COUNTA(A1086:F1086)=0,"",IF(A1086="EXAMPLE","Example (skipped)",IF(OR(C1086="",E1086="",F1086=""),"✖ Portal, User ID and Password are all needed",IF(AND(A1086="",COUNTIF(Clients!$B$5:$B$1005,B1086)=0),"Not on Clients — will match a portal client by name",IF(AND(C1086="GST",D1086&lt;&gt;"",COUNTIF(Clients!$AN$5:$AN$1005,UPPER(D1086))=0,COUNTIF(Clients!$G$5:$G$1005,"*"&amp;UPPER(D1086)&amp;"*")=0),"GSTIN not on Clients — will be checked in the portal","✔ OK")))))</f>
        <v/>
      </c>
    </row>
    <row r="1087">
      <c r="A1087" s="38" t="n"/>
      <c r="B1087" s="39" t="n"/>
      <c r="C1087" s="39" t="n"/>
      <c r="D1087" s="38" t="n"/>
      <c r="E1087" s="38" t="n"/>
      <c r="F1087" s="38" t="n"/>
      <c r="G1087" s="37">
        <f>IF(COUNTA(A1087:F1087)=0,"",IF(A1087="EXAMPLE","Example (skipped)",IF(OR(C1087="",E1087="",F1087=""),"✖ Portal, User ID and Password are all needed",IF(AND(A1087="",COUNTIF(Clients!$B$5:$B$1005,B1087)=0),"Not on Clients — will match a portal client by name",IF(AND(C1087="GST",D1087&lt;&gt;"",COUNTIF(Clients!$AN$5:$AN$1005,UPPER(D1087))=0,COUNTIF(Clients!$G$5:$G$1005,"*"&amp;UPPER(D1087)&amp;"*")=0),"GSTIN not on Clients — will be checked in the portal","✔ OK")))))</f>
        <v/>
      </c>
    </row>
    <row r="1088">
      <c r="A1088" s="38" t="n"/>
      <c r="B1088" s="39" t="n"/>
      <c r="C1088" s="39" t="n"/>
      <c r="D1088" s="38" t="n"/>
      <c r="E1088" s="38" t="n"/>
      <c r="F1088" s="38" t="n"/>
      <c r="G1088" s="37">
        <f>IF(COUNTA(A1088:F1088)=0,"",IF(A1088="EXAMPLE","Example (skipped)",IF(OR(C1088="",E1088="",F1088=""),"✖ Portal, User ID and Password are all needed",IF(AND(A1088="",COUNTIF(Clients!$B$5:$B$1005,B1088)=0),"Not on Clients — will match a portal client by name",IF(AND(C1088="GST",D1088&lt;&gt;"",COUNTIF(Clients!$AN$5:$AN$1005,UPPER(D1088))=0,COUNTIF(Clients!$G$5:$G$1005,"*"&amp;UPPER(D1088)&amp;"*")=0),"GSTIN not on Clients — will be checked in the portal","✔ OK")))))</f>
        <v/>
      </c>
    </row>
    <row r="1089">
      <c r="A1089" s="38" t="n"/>
      <c r="B1089" s="39" t="n"/>
      <c r="C1089" s="39" t="n"/>
      <c r="D1089" s="38" t="n"/>
      <c r="E1089" s="38" t="n"/>
      <c r="F1089" s="38" t="n"/>
      <c r="G1089" s="37">
        <f>IF(COUNTA(A1089:F1089)=0,"",IF(A1089="EXAMPLE","Example (skipped)",IF(OR(C1089="",E1089="",F1089=""),"✖ Portal, User ID and Password are all needed",IF(AND(A1089="",COUNTIF(Clients!$B$5:$B$1005,B1089)=0),"Not on Clients — will match a portal client by name",IF(AND(C1089="GST",D1089&lt;&gt;"",COUNTIF(Clients!$AN$5:$AN$1005,UPPER(D1089))=0,COUNTIF(Clients!$G$5:$G$1005,"*"&amp;UPPER(D1089)&amp;"*")=0),"GSTIN not on Clients — will be checked in the portal","✔ OK")))))</f>
        <v/>
      </c>
    </row>
    <row r="1090">
      <c r="A1090" s="38" t="n"/>
      <c r="B1090" s="39" t="n"/>
      <c r="C1090" s="39" t="n"/>
      <c r="D1090" s="38" t="n"/>
      <c r="E1090" s="38" t="n"/>
      <c r="F1090" s="38" t="n"/>
      <c r="G1090" s="37">
        <f>IF(COUNTA(A1090:F1090)=0,"",IF(A1090="EXAMPLE","Example (skipped)",IF(OR(C1090="",E1090="",F1090=""),"✖ Portal, User ID and Password are all needed",IF(AND(A1090="",COUNTIF(Clients!$B$5:$B$1005,B1090)=0),"Not on Clients — will match a portal client by name",IF(AND(C1090="GST",D1090&lt;&gt;"",COUNTIF(Clients!$AN$5:$AN$1005,UPPER(D1090))=0,COUNTIF(Clients!$G$5:$G$1005,"*"&amp;UPPER(D1090)&amp;"*")=0),"GSTIN not on Clients — will be checked in the portal","✔ OK")))))</f>
        <v/>
      </c>
    </row>
    <row r="1091">
      <c r="A1091" s="38" t="n"/>
      <c r="B1091" s="39" t="n"/>
      <c r="C1091" s="39" t="n"/>
      <c r="D1091" s="38" t="n"/>
      <c r="E1091" s="38" t="n"/>
      <c r="F1091" s="38" t="n"/>
      <c r="G1091" s="37">
        <f>IF(COUNTA(A1091:F1091)=0,"",IF(A1091="EXAMPLE","Example (skipped)",IF(OR(C1091="",E1091="",F1091=""),"✖ Portal, User ID and Password are all needed",IF(AND(A1091="",COUNTIF(Clients!$B$5:$B$1005,B1091)=0),"Not on Clients — will match a portal client by name",IF(AND(C1091="GST",D1091&lt;&gt;"",COUNTIF(Clients!$AN$5:$AN$1005,UPPER(D1091))=0,COUNTIF(Clients!$G$5:$G$1005,"*"&amp;UPPER(D1091)&amp;"*")=0),"GSTIN not on Clients — will be checked in the portal","✔ OK")))))</f>
        <v/>
      </c>
    </row>
    <row r="1092">
      <c r="A1092" s="38" t="n"/>
      <c r="B1092" s="39" t="n"/>
      <c r="C1092" s="39" t="n"/>
      <c r="D1092" s="38" t="n"/>
      <c r="E1092" s="38" t="n"/>
      <c r="F1092" s="38" t="n"/>
      <c r="G1092" s="37">
        <f>IF(COUNTA(A1092:F1092)=0,"",IF(A1092="EXAMPLE","Example (skipped)",IF(OR(C1092="",E1092="",F1092=""),"✖ Portal, User ID and Password are all needed",IF(AND(A1092="",COUNTIF(Clients!$B$5:$B$1005,B1092)=0),"Not on Clients — will match a portal client by name",IF(AND(C1092="GST",D1092&lt;&gt;"",COUNTIF(Clients!$AN$5:$AN$1005,UPPER(D1092))=0,COUNTIF(Clients!$G$5:$G$1005,"*"&amp;UPPER(D1092)&amp;"*")=0),"GSTIN not on Clients — will be checked in the portal","✔ OK")))))</f>
        <v/>
      </c>
    </row>
    <row r="1093">
      <c r="A1093" s="38" t="n"/>
      <c r="B1093" s="39" t="n"/>
      <c r="C1093" s="39" t="n"/>
      <c r="D1093" s="38" t="n"/>
      <c r="E1093" s="38" t="n"/>
      <c r="F1093" s="38" t="n"/>
      <c r="G1093" s="37">
        <f>IF(COUNTA(A1093:F1093)=0,"",IF(A1093="EXAMPLE","Example (skipped)",IF(OR(C1093="",E1093="",F1093=""),"✖ Portal, User ID and Password are all needed",IF(AND(A1093="",COUNTIF(Clients!$B$5:$B$1005,B1093)=0),"Not on Clients — will match a portal client by name",IF(AND(C1093="GST",D1093&lt;&gt;"",COUNTIF(Clients!$AN$5:$AN$1005,UPPER(D1093))=0,COUNTIF(Clients!$G$5:$G$1005,"*"&amp;UPPER(D1093)&amp;"*")=0),"GSTIN not on Clients — will be checked in the portal","✔ OK")))))</f>
        <v/>
      </c>
    </row>
    <row r="1094">
      <c r="A1094" s="38" t="n"/>
      <c r="B1094" s="39" t="n"/>
      <c r="C1094" s="39" t="n"/>
      <c r="D1094" s="38" t="n"/>
      <c r="E1094" s="38" t="n"/>
      <c r="F1094" s="38" t="n"/>
      <c r="G1094" s="37">
        <f>IF(COUNTA(A1094:F1094)=0,"",IF(A1094="EXAMPLE","Example (skipped)",IF(OR(C1094="",E1094="",F1094=""),"✖ Portal, User ID and Password are all needed",IF(AND(A1094="",COUNTIF(Clients!$B$5:$B$1005,B1094)=0),"Not on Clients — will match a portal client by name",IF(AND(C1094="GST",D1094&lt;&gt;"",COUNTIF(Clients!$AN$5:$AN$1005,UPPER(D1094))=0,COUNTIF(Clients!$G$5:$G$1005,"*"&amp;UPPER(D1094)&amp;"*")=0),"GSTIN not on Clients — will be checked in the portal","✔ OK")))))</f>
        <v/>
      </c>
    </row>
    <row r="1095">
      <c r="A1095" s="38" t="n"/>
      <c r="B1095" s="39" t="n"/>
      <c r="C1095" s="39" t="n"/>
      <c r="D1095" s="38" t="n"/>
      <c r="E1095" s="38" t="n"/>
      <c r="F1095" s="38" t="n"/>
      <c r="G1095" s="37">
        <f>IF(COUNTA(A1095:F1095)=0,"",IF(A1095="EXAMPLE","Example (skipped)",IF(OR(C1095="",E1095="",F1095=""),"✖ Portal, User ID and Password are all needed",IF(AND(A1095="",COUNTIF(Clients!$B$5:$B$1005,B1095)=0),"Not on Clients — will match a portal client by name",IF(AND(C1095="GST",D1095&lt;&gt;"",COUNTIF(Clients!$AN$5:$AN$1005,UPPER(D1095))=0,COUNTIF(Clients!$G$5:$G$1005,"*"&amp;UPPER(D1095)&amp;"*")=0),"GSTIN not on Clients — will be checked in the portal","✔ OK")))))</f>
        <v/>
      </c>
    </row>
    <row r="1096">
      <c r="A1096" s="38" t="n"/>
      <c r="B1096" s="39" t="n"/>
      <c r="C1096" s="39" t="n"/>
      <c r="D1096" s="38" t="n"/>
      <c r="E1096" s="38" t="n"/>
      <c r="F1096" s="38" t="n"/>
      <c r="G1096" s="37">
        <f>IF(COUNTA(A1096:F1096)=0,"",IF(A1096="EXAMPLE","Example (skipped)",IF(OR(C1096="",E1096="",F1096=""),"✖ Portal, User ID and Password are all needed",IF(AND(A1096="",COUNTIF(Clients!$B$5:$B$1005,B1096)=0),"Not on Clients — will match a portal client by name",IF(AND(C1096="GST",D1096&lt;&gt;"",COUNTIF(Clients!$AN$5:$AN$1005,UPPER(D1096))=0,COUNTIF(Clients!$G$5:$G$1005,"*"&amp;UPPER(D1096)&amp;"*")=0),"GSTIN not on Clients — will be checked in the portal","✔ OK")))))</f>
        <v/>
      </c>
    </row>
    <row r="1097">
      <c r="A1097" s="38" t="n"/>
      <c r="B1097" s="39" t="n"/>
      <c r="C1097" s="39" t="n"/>
      <c r="D1097" s="38" t="n"/>
      <c r="E1097" s="38" t="n"/>
      <c r="F1097" s="38" t="n"/>
      <c r="G1097" s="37">
        <f>IF(COUNTA(A1097:F1097)=0,"",IF(A1097="EXAMPLE","Example (skipped)",IF(OR(C1097="",E1097="",F1097=""),"✖ Portal, User ID and Password are all needed",IF(AND(A1097="",COUNTIF(Clients!$B$5:$B$1005,B1097)=0),"Not on Clients — will match a portal client by name",IF(AND(C1097="GST",D1097&lt;&gt;"",COUNTIF(Clients!$AN$5:$AN$1005,UPPER(D1097))=0,COUNTIF(Clients!$G$5:$G$1005,"*"&amp;UPPER(D1097)&amp;"*")=0),"GSTIN not on Clients — will be checked in the portal","✔ OK")))))</f>
        <v/>
      </c>
    </row>
    <row r="1098">
      <c r="A1098" s="38" t="n"/>
      <c r="B1098" s="39" t="n"/>
      <c r="C1098" s="39" t="n"/>
      <c r="D1098" s="38" t="n"/>
      <c r="E1098" s="38" t="n"/>
      <c r="F1098" s="38" t="n"/>
      <c r="G1098" s="37">
        <f>IF(COUNTA(A1098:F1098)=0,"",IF(A1098="EXAMPLE","Example (skipped)",IF(OR(C1098="",E1098="",F1098=""),"✖ Portal, User ID and Password are all needed",IF(AND(A1098="",COUNTIF(Clients!$B$5:$B$1005,B1098)=0),"Not on Clients — will match a portal client by name",IF(AND(C1098="GST",D1098&lt;&gt;"",COUNTIF(Clients!$AN$5:$AN$1005,UPPER(D1098))=0,COUNTIF(Clients!$G$5:$G$1005,"*"&amp;UPPER(D1098)&amp;"*")=0),"GSTIN not on Clients — will be checked in the portal","✔ OK")))))</f>
        <v/>
      </c>
    </row>
    <row r="1099">
      <c r="A1099" s="38" t="n"/>
      <c r="B1099" s="39" t="n"/>
      <c r="C1099" s="39" t="n"/>
      <c r="D1099" s="38" t="n"/>
      <c r="E1099" s="38" t="n"/>
      <c r="F1099" s="38" t="n"/>
      <c r="G1099" s="37">
        <f>IF(COUNTA(A1099:F1099)=0,"",IF(A1099="EXAMPLE","Example (skipped)",IF(OR(C1099="",E1099="",F1099=""),"✖ Portal, User ID and Password are all needed",IF(AND(A1099="",COUNTIF(Clients!$B$5:$B$1005,B1099)=0),"Not on Clients — will match a portal client by name",IF(AND(C1099="GST",D1099&lt;&gt;"",COUNTIF(Clients!$AN$5:$AN$1005,UPPER(D1099))=0,COUNTIF(Clients!$G$5:$G$1005,"*"&amp;UPPER(D1099)&amp;"*")=0),"GSTIN not on Clients — will be checked in the portal","✔ OK")))))</f>
        <v/>
      </c>
    </row>
    <row r="1100">
      <c r="A1100" s="38" t="n"/>
      <c r="B1100" s="39" t="n"/>
      <c r="C1100" s="39" t="n"/>
      <c r="D1100" s="38" t="n"/>
      <c r="E1100" s="38" t="n"/>
      <c r="F1100" s="38" t="n"/>
      <c r="G1100" s="37">
        <f>IF(COUNTA(A1100:F1100)=0,"",IF(A1100="EXAMPLE","Example (skipped)",IF(OR(C1100="",E1100="",F1100=""),"✖ Portal, User ID and Password are all needed",IF(AND(A1100="",COUNTIF(Clients!$B$5:$B$1005,B1100)=0),"Not on Clients — will match a portal client by name",IF(AND(C1100="GST",D1100&lt;&gt;"",COUNTIF(Clients!$AN$5:$AN$1005,UPPER(D1100))=0,COUNTIF(Clients!$G$5:$G$1005,"*"&amp;UPPER(D1100)&amp;"*")=0),"GSTIN not on Clients — will be checked in the portal","✔ OK")))))</f>
        <v/>
      </c>
    </row>
    <row r="1101">
      <c r="A1101" s="38" t="n"/>
      <c r="B1101" s="39" t="n"/>
      <c r="C1101" s="39" t="n"/>
      <c r="D1101" s="38" t="n"/>
      <c r="E1101" s="38" t="n"/>
      <c r="F1101" s="38" t="n"/>
      <c r="G1101" s="37">
        <f>IF(COUNTA(A1101:F1101)=0,"",IF(A1101="EXAMPLE","Example (skipped)",IF(OR(C1101="",E1101="",F1101=""),"✖ Portal, User ID and Password are all needed",IF(AND(A1101="",COUNTIF(Clients!$B$5:$B$1005,B1101)=0),"Not on Clients — will match a portal client by name",IF(AND(C1101="GST",D1101&lt;&gt;"",COUNTIF(Clients!$AN$5:$AN$1005,UPPER(D1101))=0,COUNTIF(Clients!$G$5:$G$1005,"*"&amp;UPPER(D1101)&amp;"*")=0),"GSTIN not on Clients — will be checked in the portal","✔ OK")))))</f>
        <v/>
      </c>
    </row>
    <row r="1102">
      <c r="A1102" s="38" t="n"/>
      <c r="B1102" s="39" t="n"/>
      <c r="C1102" s="39" t="n"/>
      <c r="D1102" s="38" t="n"/>
      <c r="E1102" s="38" t="n"/>
      <c r="F1102" s="38" t="n"/>
      <c r="G1102" s="37">
        <f>IF(COUNTA(A1102:F1102)=0,"",IF(A1102="EXAMPLE","Example (skipped)",IF(OR(C1102="",E1102="",F1102=""),"✖ Portal, User ID and Password are all needed",IF(AND(A1102="",COUNTIF(Clients!$B$5:$B$1005,B1102)=0),"Not on Clients — will match a portal client by name",IF(AND(C1102="GST",D1102&lt;&gt;"",COUNTIF(Clients!$AN$5:$AN$1005,UPPER(D1102))=0,COUNTIF(Clients!$G$5:$G$1005,"*"&amp;UPPER(D1102)&amp;"*")=0),"GSTIN not on Clients — will be checked in the portal","✔ OK")))))</f>
        <v/>
      </c>
    </row>
    <row r="1103">
      <c r="A1103" s="38" t="n"/>
      <c r="B1103" s="39" t="n"/>
      <c r="C1103" s="39" t="n"/>
      <c r="D1103" s="38" t="n"/>
      <c r="E1103" s="38" t="n"/>
      <c r="F1103" s="38" t="n"/>
      <c r="G1103" s="37">
        <f>IF(COUNTA(A1103:F1103)=0,"",IF(A1103="EXAMPLE","Example (skipped)",IF(OR(C1103="",E1103="",F1103=""),"✖ Portal, User ID and Password are all needed",IF(AND(A1103="",COUNTIF(Clients!$B$5:$B$1005,B1103)=0),"Not on Clients — will match a portal client by name",IF(AND(C1103="GST",D1103&lt;&gt;"",COUNTIF(Clients!$AN$5:$AN$1005,UPPER(D1103))=0,COUNTIF(Clients!$G$5:$G$1005,"*"&amp;UPPER(D1103)&amp;"*")=0),"GSTIN not on Clients — will be checked in the portal","✔ OK")))))</f>
        <v/>
      </c>
    </row>
    <row r="1104">
      <c r="A1104" s="38" t="n"/>
      <c r="B1104" s="39" t="n"/>
      <c r="C1104" s="39" t="n"/>
      <c r="D1104" s="38" t="n"/>
      <c r="E1104" s="38" t="n"/>
      <c r="F1104" s="38" t="n"/>
      <c r="G1104" s="37">
        <f>IF(COUNTA(A1104:F1104)=0,"",IF(A1104="EXAMPLE","Example (skipped)",IF(OR(C1104="",E1104="",F1104=""),"✖ Portal, User ID and Password are all needed",IF(AND(A1104="",COUNTIF(Clients!$B$5:$B$1005,B1104)=0),"Not on Clients — will match a portal client by name",IF(AND(C1104="GST",D1104&lt;&gt;"",COUNTIF(Clients!$AN$5:$AN$1005,UPPER(D1104))=0,COUNTIF(Clients!$G$5:$G$1005,"*"&amp;UPPER(D1104)&amp;"*")=0),"GSTIN not on Clients — will be checked in the portal","✔ OK")))))</f>
        <v/>
      </c>
    </row>
    <row r="1105">
      <c r="A1105" s="38" t="n"/>
      <c r="B1105" s="39" t="n"/>
      <c r="C1105" s="39" t="n"/>
      <c r="D1105" s="38" t="n"/>
      <c r="E1105" s="38" t="n"/>
      <c r="F1105" s="38" t="n"/>
      <c r="G1105" s="37">
        <f>IF(COUNTA(A1105:F1105)=0,"",IF(A1105="EXAMPLE","Example (skipped)",IF(OR(C1105="",E1105="",F1105=""),"✖ Portal, User ID and Password are all needed",IF(AND(A1105="",COUNTIF(Clients!$B$5:$B$1005,B1105)=0),"Not on Clients — will match a portal client by name",IF(AND(C1105="GST",D1105&lt;&gt;"",COUNTIF(Clients!$AN$5:$AN$1005,UPPER(D1105))=0,COUNTIF(Clients!$G$5:$G$1005,"*"&amp;UPPER(D1105)&amp;"*")=0),"GSTIN not on Clients — will be checked in the portal","✔ OK")))))</f>
        <v/>
      </c>
    </row>
    <row r="1106">
      <c r="A1106" s="38" t="n"/>
      <c r="B1106" s="39" t="n"/>
      <c r="C1106" s="39" t="n"/>
      <c r="D1106" s="38" t="n"/>
      <c r="E1106" s="38" t="n"/>
      <c r="F1106" s="38" t="n"/>
      <c r="G1106" s="37">
        <f>IF(COUNTA(A1106:F1106)=0,"",IF(A1106="EXAMPLE","Example (skipped)",IF(OR(C1106="",E1106="",F1106=""),"✖ Portal, User ID and Password are all needed",IF(AND(A1106="",COUNTIF(Clients!$B$5:$B$1005,B1106)=0),"Not on Clients — will match a portal client by name",IF(AND(C1106="GST",D1106&lt;&gt;"",COUNTIF(Clients!$AN$5:$AN$1005,UPPER(D1106))=0,COUNTIF(Clients!$G$5:$G$1005,"*"&amp;UPPER(D1106)&amp;"*")=0),"GSTIN not on Clients — will be checked in the portal","✔ OK")))))</f>
        <v/>
      </c>
    </row>
    <row r="1107">
      <c r="A1107" s="38" t="n"/>
      <c r="B1107" s="39" t="n"/>
      <c r="C1107" s="39" t="n"/>
      <c r="D1107" s="38" t="n"/>
      <c r="E1107" s="38" t="n"/>
      <c r="F1107" s="38" t="n"/>
      <c r="G1107" s="37">
        <f>IF(COUNTA(A1107:F1107)=0,"",IF(A1107="EXAMPLE","Example (skipped)",IF(OR(C1107="",E1107="",F1107=""),"✖ Portal, User ID and Password are all needed",IF(AND(A1107="",COUNTIF(Clients!$B$5:$B$1005,B1107)=0),"Not on Clients — will match a portal client by name",IF(AND(C1107="GST",D1107&lt;&gt;"",COUNTIF(Clients!$AN$5:$AN$1005,UPPER(D1107))=0,COUNTIF(Clients!$G$5:$G$1005,"*"&amp;UPPER(D1107)&amp;"*")=0),"GSTIN not on Clients — will be checked in the portal","✔ OK")))))</f>
        <v/>
      </c>
    </row>
    <row r="1108">
      <c r="A1108" s="38" t="n"/>
      <c r="B1108" s="39" t="n"/>
      <c r="C1108" s="39" t="n"/>
      <c r="D1108" s="38" t="n"/>
      <c r="E1108" s="38" t="n"/>
      <c r="F1108" s="38" t="n"/>
      <c r="G1108" s="37">
        <f>IF(COUNTA(A1108:F1108)=0,"",IF(A1108="EXAMPLE","Example (skipped)",IF(OR(C1108="",E1108="",F1108=""),"✖ Portal, User ID and Password are all needed",IF(AND(A1108="",COUNTIF(Clients!$B$5:$B$1005,B1108)=0),"Not on Clients — will match a portal client by name",IF(AND(C1108="GST",D1108&lt;&gt;"",COUNTIF(Clients!$AN$5:$AN$1005,UPPER(D1108))=0,COUNTIF(Clients!$G$5:$G$1005,"*"&amp;UPPER(D1108)&amp;"*")=0),"GSTIN not on Clients — will be checked in the portal","✔ OK")))))</f>
        <v/>
      </c>
    </row>
    <row r="1109">
      <c r="A1109" s="38" t="n"/>
      <c r="B1109" s="39" t="n"/>
      <c r="C1109" s="39" t="n"/>
      <c r="D1109" s="38" t="n"/>
      <c r="E1109" s="38" t="n"/>
      <c r="F1109" s="38" t="n"/>
      <c r="G1109" s="37">
        <f>IF(COUNTA(A1109:F1109)=0,"",IF(A1109="EXAMPLE","Example (skipped)",IF(OR(C1109="",E1109="",F1109=""),"✖ Portal, User ID and Password are all needed",IF(AND(A1109="",COUNTIF(Clients!$B$5:$B$1005,B1109)=0),"Not on Clients — will match a portal client by name",IF(AND(C1109="GST",D1109&lt;&gt;"",COUNTIF(Clients!$AN$5:$AN$1005,UPPER(D1109))=0,COUNTIF(Clients!$G$5:$G$1005,"*"&amp;UPPER(D1109)&amp;"*")=0),"GSTIN not on Clients — will be checked in the portal","✔ OK")))))</f>
        <v/>
      </c>
    </row>
    <row r="1110">
      <c r="A1110" s="38" t="n"/>
      <c r="B1110" s="39" t="n"/>
      <c r="C1110" s="39" t="n"/>
      <c r="D1110" s="38" t="n"/>
      <c r="E1110" s="38" t="n"/>
      <c r="F1110" s="38" t="n"/>
      <c r="G1110" s="37">
        <f>IF(COUNTA(A1110:F1110)=0,"",IF(A1110="EXAMPLE","Example (skipped)",IF(OR(C1110="",E1110="",F1110=""),"✖ Portal, User ID and Password are all needed",IF(AND(A1110="",COUNTIF(Clients!$B$5:$B$1005,B1110)=0),"Not on Clients — will match a portal client by name",IF(AND(C1110="GST",D1110&lt;&gt;"",COUNTIF(Clients!$AN$5:$AN$1005,UPPER(D1110))=0,COUNTIF(Clients!$G$5:$G$1005,"*"&amp;UPPER(D1110)&amp;"*")=0),"GSTIN not on Clients — will be checked in the portal","✔ OK")))))</f>
        <v/>
      </c>
    </row>
    <row r="1111">
      <c r="A1111" s="38" t="n"/>
      <c r="B1111" s="39" t="n"/>
      <c r="C1111" s="39" t="n"/>
      <c r="D1111" s="38" t="n"/>
      <c r="E1111" s="38" t="n"/>
      <c r="F1111" s="38" t="n"/>
      <c r="G1111" s="37">
        <f>IF(COUNTA(A1111:F1111)=0,"",IF(A1111="EXAMPLE","Example (skipped)",IF(OR(C1111="",E1111="",F1111=""),"✖ Portal, User ID and Password are all needed",IF(AND(A1111="",COUNTIF(Clients!$B$5:$B$1005,B1111)=0),"Not on Clients — will match a portal client by name",IF(AND(C1111="GST",D1111&lt;&gt;"",COUNTIF(Clients!$AN$5:$AN$1005,UPPER(D1111))=0,COUNTIF(Clients!$G$5:$G$1005,"*"&amp;UPPER(D1111)&amp;"*")=0),"GSTIN not on Clients — will be checked in the portal","✔ OK")))))</f>
        <v/>
      </c>
    </row>
    <row r="1112">
      <c r="A1112" s="38" t="n"/>
      <c r="B1112" s="39" t="n"/>
      <c r="C1112" s="39" t="n"/>
      <c r="D1112" s="38" t="n"/>
      <c r="E1112" s="38" t="n"/>
      <c r="F1112" s="38" t="n"/>
      <c r="G1112" s="37">
        <f>IF(COUNTA(A1112:F1112)=0,"",IF(A1112="EXAMPLE","Example (skipped)",IF(OR(C1112="",E1112="",F1112=""),"✖ Portal, User ID and Password are all needed",IF(AND(A1112="",COUNTIF(Clients!$B$5:$B$1005,B1112)=0),"Not on Clients — will match a portal client by name",IF(AND(C1112="GST",D1112&lt;&gt;"",COUNTIF(Clients!$AN$5:$AN$1005,UPPER(D1112))=0,COUNTIF(Clients!$G$5:$G$1005,"*"&amp;UPPER(D1112)&amp;"*")=0),"GSTIN not on Clients — will be checked in the portal","✔ OK")))))</f>
        <v/>
      </c>
    </row>
    <row r="1113">
      <c r="A1113" s="38" t="n"/>
      <c r="B1113" s="39" t="n"/>
      <c r="C1113" s="39" t="n"/>
      <c r="D1113" s="38" t="n"/>
      <c r="E1113" s="38" t="n"/>
      <c r="F1113" s="38" t="n"/>
      <c r="G1113" s="37">
        <f>IF(COUNTA(A1113:F1113)=0,"",IF(A1113="EXAMPLE","Example (skipped)",IF(OR(C1113="",E1113="",F1113=""),"✖ Portal, User ID and Password are all needed",IF(AND(A1113="",COUNTIF(Clients!$B$5:$B$1005,B1113)=0),"Not on Clients — will match a portal client by name",IF(AND(C1113="GST",D1113&lt;&gt;"",COUNTIF(Clients!$AN$5:$AN$1005,UPPER(D1113))=0,COUNTIF(Clients!$G$5:$G$1005,"*"&amp;UPPER(D1113)&amp;"*")=0),"GSTIN not on Clients — will be checked in the portal","✔ OK")))))</f>
        <v/>
      </c>
    </row>
    <row r="1114">
      <c r="A1114" s="38" t="n"/>
      <c r="B1114" s="39" t="n"/>
      <c r="C1114" s="39" t="n"/>
      <c r="D1114" s="38" t="n"/>
      <c r="E1114" s="38" t="n"/>
      <c r="F1114" s="38" t="n"/>
      <c r="G1114" s="37">
        <f>IF(COUNTA(A1114:F1114)=0,"",IF(A1114="EXAMPLE","Example (skipped)",IF(OR(C1114="",E1114="",F1114=""),"✖ Portal, User ID and Password are all needed",IF(AND(A1114="",COUNTIF(Clients!$B$5:$B$1005,B1114)=0),"Not on Clients — will match a portal client by name",IF(AND(C1114="GST",D1114&lt;&gt;"",COUNTIF(Clients!$AN$5:$AN$1005,UPPER(D1114))=0,COUNTIF(Clients!$G$5:$G$1005,"*"&amp;UPPER(D1114)&amp;"*")=0),"GSTIN not on Clients — will be checked in the portal","✔ OK")))))</f>
        <v/>
      </c>
    </row>
    <row r="1115">
      <c r="A1115" s="38" t="n"/>
      <c r="B1115" s="39" t="n"/>
      <c r="C1115" s="39" t="n"/>
      <c r="D1115" s="38" t="n"/>
      <c r="E1115" s="38" t="n"/>
      <c r="F1115" s="38" t="n"/>
      <c r="G1115" s="37">
        <f>IF(COUNTA(A1115:F1115)=0,"",IF(A1115="EXAMPLE","Example (skipped)",IF(OR(C1115="",E1115="",F1115=""),"✖ Portal, User ID and Password are all needed",IF(AND(A1115="",COUNTIF(Clients!$B$5:$B$1005,B1115)=0),"Not on Clients — will match a portal client by name",IF(AND(C1115="GST",D1115&lt;&gt;"",COUNTIF(Clients!$AN$5:$AN$1005,UPPER(D1115))=0,COUNTIF(Clients!$G$5:$G$1005,"*"&amp;UPPER(D1115)&amp;"*")=0),"GSTIN not on Clients — will be checked in the portal","✔ OK")))))</f>
        <v/>
      </c>
    </row>
    <row r="1116">
      <c r="A1116" s="38" t="n"/>
      <c r="B1116" s="39" t="n"/>
      <c r="C1116" s="39" t="n"/>
      <c r="D1116" s="38" t="n"/>
      <c r="E1116" s="38" t="n"/>
      <c r="F1116" s="38" t="n"/>
      <c r="G1116" s="37">
        <f>IF(COUNTA(A1116:F1116)=0,"",IF(A1116="EXAMPLE","Example (skipped)",IF(OR(C1116="",E1116="",F1116=""),"✖ Portal, User ID and Password are all needed",IF(AND(A1116="",COUNTIF(Clients!$B$5:$B$1005,B1116)=0),"Not on Clients — will match a portal client by name",IF(AND(C1116="GST",D1116&lt;&gt;"",COUNTIF(Clients!$AN$5:$AN$1005,UPPER(D1116))=0,COUNTIF(Clients!$G$5:$G$1005,"*"&amp;UPPER(D1116)&amp;"*")=0),"GSTIN not on Clients — will be checked in the portal","✔ OK")))))</f>
        <v/>
      </c>
    </row>
    <row r="1117">
      <c r="A1117" s="38" t="n"/>
      <c r="B1117" s="39" t="n"/>
      <c r="C1117" s="39" t="n"/>
      <c r="D1117" s="38" t="n"/>
      <c r="E1117" s="38" t="n"/>
      <c r="F1117" s="38" t="n"/>
      <c r="G1117" s="37">
        <f>IF(COUNTA(A1117:F1117)=0,"",IF(A1117="EXAMPLE","Example (skipped)",IF(OR(C1117="",E1117="",F1117=""),"✖ Portal, User ID and Password are all needed",IF(AND(A1117="",COUNTIF(Clients!$B$5:$B$1005,B1117)=0),"Not on Clients — will match a portal client by name",IF(AND(C1117="GST",D1117&lt;&gt;"",COUNTIF(Clients!$AN$5:$AN$1005,UPPER(D1117))=0,COUNTIF(Clients!$G$5:$G$1005,"*"&amp;UPPER(D1117)&amp;"*")=0),"GSTIN not on Clients — will be checked in the portal","✔ OK")))))</f>
        <v/>
      </c>
    </row>
    <row r="1118">
      <c r="A1118" s="38" t="n"/>
      <c r="B1118" s="39" t="n"/>
      <c r="C1118" s="39" t="n"/>
      <c r="D1118" s="38" t="n"/>
      <c r="E1118" s="38" t="n"/>
      <c r="F1118" s="38" t="n"/>
      <c r="G1118" s="37">
        <f>IF(COUNTA(A1118:F1118)=0,"",IF(A1118="EXAMPLE","Example (skipped)",IF(OR(C1118="",E1118="",F1118=""),"✖ Portal, User ID and Password are all needed",IF(AND(A1118="",COUNTIF(Clients!$B$5:$B$1005,B1118)=0),"Not on Clients — will match a portal client by name",IF(AND(C1118="GST",D1118&lt;&gt;"",COUNTIF(Clients!$AN$5:$AN$1005,UPPER(D1118))=0,COUNTIF(Clients!$G$5:$G$1005,"*"&amp;UPPER(D1118)&amp;"*")=0),"GSTIN not on Clients — will be checked in the portal","✔ OK")))))</f>
        <v/>
      </c>
    </row>
    <row r="1119">
      <c r="A1119" s="38" t="n"/>
      <c r="B1119" s="39" t="n"/>
      <c r="C1119" s="39" t="n"/>
      <c r="D1119" s="38" t="n"/>
      <c r="E1119" s="38" t="n"/>
      <c r="F1119" s="38" t="n"/>
      <c r="G1119" s="37">
        <f>IF(COUNTA(A1119:F1119)=0,"",IF(A1119="EXAMPLE","Example (skipped)",IF(OR(C1119="",E1119="",F1119=""),"✖ Portal, User ID and Password are all needed",IF(AND(A1119="",COUNTIF(Clients!$B$5:$B$1005,B1119)=0),"Not on Clients — will match a portal client by name",IF(AND(C1119="GST",D1119&lt;&gt;"",COUNTIF(Clients!$AN$5:$AN$1005,UPPER(D1119))=0,COUNTIF(Clients!$G$5:$G$1005,"*"&amp;UPPER(D1119)&amp;"*")=0),"GSTIN not on Clients — will be checked in the portal","✔ OK")))))</f>
        <v/>
      </c>
    </row>
    <row r="1120">
      <c r="A1120" s="38" t="n"/>
      <c r="B1120" s="39" t="n"/>
      <c r="C1120" s="39" t="n"/>
      <c r="D1120" s="38" t="n"/>
      <c r="E1120" s="38" t="n"/>
      <c r="F1120" s="38" t="n"/>
      <c r="G1120" s="37">
        <f>IF(COUNTA(A1120:F1120)=0,"",IF(A1120="EXAMPLE","Example (skipped)",IF(OR(C1120="",E1120="",F1120=""),"✖ Portal, User ID and Password are all needed",IF(AND(A1120="",COUNTIF(Clients!$B$5:$B$1005,B1120)=0),"Not on Clients — will match a portal client by name",IF(AND(C1120="GST",D1120&lt;&gt;"",COUNTIF(Clients!$AN$5:$AN$1005,UPPER(D1120))=0,COUNTIF(Clients!$G$5:$G$1005,"*"&amp;UPPER(D1120)&amp;"*")=0),"GSTIN not on Clients — will be checked in the portal","✔ OK")))))</f>
        <v/>
      </c>
    </row>
    <row r="1121">
      <c r="A1121" s="38" t="n"/>
      <c r="B1121" s="39" t="n"/>
      <c r="C1121" s="39" t="n"/>
      <c r="D1121" s="38" t="n"/>
      <c r="E1121" s="38" t="n"/>
      <c r="F1121" s="38" t="n"/>
      <c r="G1121" s="37">
        <f>IF(COUNTA(A1121:F1121)=0,"",IF(A1121="EXAMPLE","Example (skipped)",IF(OR(C1121="",E1121="",F1121=""),"✖ Portal, User ID and Password are all needed",IF(AND(A1121="",COUNTIF(Clients!$B$5:$B$1005,B1121)=0),"Not on Clients — will match a portal client by name",IF(AND(C1121="GST",D1121&lt;&gt;"",COUNTIF(Clients!$AN$5:$AN$1005,UPPER(D1121))=0,COUNTIF(Clients!$G$5:$G$1005,"*"&amp;UPPER(D1121)&amp;"*")=0),"GSTIN not on Clients — will be checked in the portal","✔ OK")))))</f>
        <v/>
      </c>
    </row>
    <row r="1122">
      <c r="A1122" s="38" t="n"/>
      <c r="B1122" s="39" t="n"/>
      <c r="C1122" s="39" t="n"/>
      <c r="D1122" s="38" t="n"/>
      <c r="E1122" s="38" t="n"/>
      <c r="F1122" s="38" t="n"/>
      <c r="G1122" s="37">
        <f>IF(COUNTA(A1122:F1122)=0,"",IF(A1122="EXAMPLE","Example (skipped)",IF(OR(C1122="",E1122="",F1122=""),"✖ Portal, User ID and Password are all needed",IF(AND(A1122="",COUNTIF(Clients!$B$5:$B$1005,B1122)=0),"Not on Clients — will match a portal client by name",IF(AND(C1122="GST",D1122&lt;&gt;"",COUNTIF(Clients!$AN$5:$AN$1005,UPPER(D1122))=0,COUNTIF(Clients!$G$5:$G$1005,"*"&amp;UPPER(D1122)&amp;"*")=0),"GSTIN not on Clients — will be checked in the portal","✔ OK")))))</f>
        <v/>
      </c>
    </row>
    <row r="1123">
      <c r="A1123" s="38" t="n"/>
      <c r="B1123" s="39" t="n"/>
      <c r="C1123" s="39" t="n"/>
      <c r="D1123" s="38" t="n"/>
      <c r="E1123" s="38" t="n"/>
      <c r="F1123" s="38" t="n"/>
      <c r="G1123" s="37">
        <f>IF(COUNTA(A1123:F1123)=0,"",IF(A1123="EXAMPLE","Example (skipped)",IF(OR(C1123="",E1123="",F1123=""),"✖ Portal, User ID and Password are all needed",IF(AND(A1123="",COUNTIF(Clients!$B$5:$B$1005,B1123)=0),"Not on Clients — will match a portal client by name",IF(AND(C1123="GST",D1123&lt;&gt;"",COUNTIF(Clients!$AN$5:$AN$1005,UPPER(D1123))=0,COUNTIF(Clients!$G$5:$G$1005,"*"&amp;UPPER(D1123)&amp;"*")=0),"GSTIN not on Clients — will be checked in the portal","✔ OK")))))</f>
        <v/>
      </c>
    </row>
    <row r="1124">
      <c r="A1124" s="38" t="n"/>
      <c r="B1124" s="39" t="n"/>
      <c r="C1124" s="39" t="n"/>
      <c r="D1124" s="38" t="n"/>
      <c r="E1124" s="38" t="n"/>
      <c r="F1124" s="38" t="n"/>
      <c r="G1124" s="37">
        <f>IF(COUNTA(A1124:F1124)=0,"",IF(A1124="EXAMPLE","Example (skipped)",IF(OR(C1124="",E1124="",F1124=""),"✖ Portal, User ID and Password are all needed",IF(AND(A1124="",COUNTIF(Clients!$B$5:$B$1005,B1124)=0),"Not on Clients — will match a portal client by name",IF(AND(C1124="GST",D1124&lt;&gt;"",COUNTIF(Clients!$AN$5:$AN$1005,UPPER(D1124))=0,COUNTIF(Clients!$G$5:$G$1005,"*"&amp;UPPER(D1124)&amp;"*")=0),"GSTIN not on Clients — will be checked in the portal","✔ OK")))))</f>
        <v/>
      </c>
    </row>
    <row r="1125">
      <c r="A1125" s="38" t="n"/>
      <c r="B1125" s="39" t="n"/>
      <c r="C1125" s="39" t="n"/>
      <c r="D1125" s="38" t="n"/>
      <c r="E1125" s="38" t="n"/>
      <c r="F1125" s="38" t="n"/>
      <c r="G1125" s="37">
        <f>IF(COUNTA(A1125:F1125)=0,"",IF(A1125="EXAMPLE","Example (skipped)",IF(OR(C1125="",E1125="",F1125=""),"✖ Portal, User ID and Password are all needed",IF(AND(A1125="",COUNTIF(Clients!$B$5:$B$1005,B1125)=0),"Not on Clients — will match a portal client by name",IF(AND(C1125="GST",D1125&lt;&gt;"",COUNTIF(Clients!$AN$5:$AN$1005,UPPER(D1125))=0,COUNTIF(Clients!$G$5:$G$1005,"*"&amp;UPPER(D1125)&amp;"*")=0),"GSTIN not on Clients — will be checked in the portal","✔ OK")))))</f>
        <v/>
      </c>
    </row>
    <row r="1126">
      <c r="A1126" s="38" t="n"/>
      <c r="B1126" s="39" t="n"/>
      <c r="C1126" s="39" t="n"/>
      <c r="D1126" s="38" t="n"/>
      <c r="E1126" s="38" t="n"/>
      <c r="F1126" s="38" t="n"/>
      <c r="G1126" s="37">
        <f>IF(COUNTA(A1126:F1126)=0,"",IF(A1126="EXAMPLE","Example (skipped)",IF(OR(C1126="",E1126="",F1126=""),"✖ Portal, User ID and Password are all needed",IF(AND(A1126="",COUNTIF(Clients!$B$5:$B$1005,B1126)=0),"Not on Clients — will match a portal client by name",IF(AND(C1126="GST",D1126&lt;&gt;"",COUNTIF(Clients!$AN$5:$AN$1005,UPPER(D1126))=0,COUNTIF(Clients!$G$5:$G$1005,"*"&amp;UPPER(D1126)&amp;"*")=0),"GSTIN not on Clients — will be checked in the portal","✔ OK")))))</f>
        <v/>
      </c>
    </row>
    <row r="1127">
      <c r="A1127" s="38" t="n"/>
      <c r="B1127" s="39" t="n"/>
      <c r="C1127" s="39" t="n"/>
      <c r="D1127" s="38" t="n"/>
      <c r="E1127" s="38" t="n"/>
      <c r="F1127" s="38" t="n"/>
      <c r="G1127" s="37">
        <f>IF(COUNTA(A1127:F1127)=0,"",IF(A1127="EXAMPLE","Example (skipped)",IF(OR(C1127="",E1127="",F1127=""),"✖ Portal, User ID and Password are all needed",IF(AND(A1127="",COUNTIF(Clients!$B$5:$B$1005,B1127)=0),"Not on Clients — will match a portal client by name",IF(AND(C1127="GST",D1127&lt;&gt;"",COUNTIF(Clients!$AN$5:$AN$1005,UPPER(D1127))=0,COUNTIF(Clients!$G$5:$G$1005,"*"&amp;UPPER(D1127)&amp;"*")=0),"GSTIN not on Clients — will be checked in the portal","✔ OK")))))</f>
        <v/>
      </c>
    </row>
    <row r="1128">
      <c r="A1128" s="38" t="n"/>
      <c r="B1128" s="39" t="n"/>
      <c r="C1128" s="39" t="n"/>
      <c r="D1128" s="38" t="n"/>
      <c r="E1128" s="38" t="n"/>
      <c r="F1128" s="38" t="n"/>
      <c r="G1128" s="37">
        <f>IF(COUNTA(A1128:F1128)=0,"",IF(A1128="EXAMPLE","Example (skipped)",IF(OR(C1128="",E1128="",F1128=""),"✖ Portal, User ID and Password are all needed",IF(AND(A1128="",COUNTIF(Clients!$B$5:$B$1005,B1128)=0),"Not on Clients — will match a portal client by name",IF(AND(C1128="GST",D1128&lt;&gt;"",COUNTIF(Clients!$AN$5:$AN$1005,UPPER(D1128))=0,COUNTIF(Clients!$G$5:$G$1005,"*"&amp;UPPER(D1128)&amp;"*")=0),"GSTIN not on Clients — will be checked in the portal","✔ OK")))))</f>
        <v/>
      </c>
    </row>
    <row r="1129">
      <c r="A1129" s="38" t="n"/>
      <c r="B1129" s="39" t="n"/>
      <c r="C1129" s="39" t="n"/>
      <c r="D1129" s="38" t="n"/>
      <c r="E1129" s="38" t="n"/>
      <c r="F1129" s="38" t="n"/>
      <c r="G1129" s="37">
        <f>IF(COUNTA(A1129:F1129)=0,"",IF(A1129="EXAMPLE","Example (skipped)",IF(OR(C1129="",E1129="",F1129=""),"✖ Portal, User ID and Password are all needed",IF(AND(A1129="",COUNTIF(Clients!$B$5:$B$1005,B1129)=0),"Not on Clients — will match a portal client by name",IF(AND(C1129="GST",D1129&lt;&gt;"",COUNTIF(Clients!$AN$5:$AN$1005,UPPER(D1129))=0,COUNTIF(Clients!$G$5:$G$1005,"*"&amp;UPPER(D1129)&amp;"*")=0),"GSTIN not on Clients — will be checked in the portal","✔ OK")))))</f>
        <v/>
      </c>
    </row>
    <row r="1130">
      <c r="A1130" s="38" t="n"/>
      <c r="B1130" s="39" t="n"/>
      <c r="C1130" s="39" t="n"/>
      <c r="D1130" s="38" t="n"/>
      <c r="E1130" s="38" t="n"/>
      <c r="F1130" s="38" t="n"/>
      <c r="G1130" s="37">
        <f>IF(COUNTA(A1130:F1130)=0,"",IF(A1130="EXAMPLE","Example (skipped)",IF(OR(C1130="",E1130="",F1130=""),"✖ Portal, User ID and Password are all needed",IF(AND(A1130="",COUNTIF(Clients!$B$5:$B$1005,B1130)=0),"Not on Clients — will match a portal client by name",IF(AND(C1130="GST",D1130&lt;&gt;"",COUNTIF(Clients!$AN$5:$AN$1005,UPPER(D1130))=0,COUNTIF(Clients!$G$5:$G$1005,"*"&amp;UPPER(D1130)&amp;"*")=0),"GSTIN not on Clients — will be checked in the portal","✔ OK")))))</f>
        <v/>
      </c>
    </row>
    <row r="1131">
      <c r="A1131" s="38" t="n"/>
      <c r="B1131" s="39" t="n"/>
      <c r="C1131" s="39" t="n"/>
      <c r="D1131" s="38" t="n"/>
      <c r="E1131" s="38" t="n"/>
      <c r="F1131" s="38" t="n"/>
      <c r="G1131" s="37">
        <f>IF(COUNTA(A1131:F1131)=0,"",IF(A1131="EXAMPLE","Example (skipped)",IF(OR(C1131="",E1131="",F1131=""),"✖ Portal, User ID and Password are all needed",IF(AND(A1131="",COUNTIF(Clients!$B$5:$B$1005,B1131)=0),"Not on Clients — will match a portal client by name",IF(AND(C1131="GST",D1131&lt;&gt;"",COUNTIF(Clients!$AN$5:$AN$1005,UPPER(D1131))=0,COUNTIF(Clients!$G$5:$G$1005,"*"&amp;UPPER(D1131)&amp;"*")=0),"GSTIN not on Clients — will be checked in the portal","✔ OK")))))</f>
        <v/>
      </c>
    </row>
    <row r="1132">
      <c r="A1132" s="38" t="n"/>
      <c r="B1132" s="39" t="n"/>
      <c r="C1132" s="39" t="n"/>
      <c r="D1132" s="38" t="n"/>
      <c r="E1132" s="38" t="n"/>
      <c r="F1132" s="38" t="n"/>
      <c r="G1132" s="37">
        <f>IF(COUNTA(A1132:F1132)=0,"",IF(A1132="EXAMPLE","Example (skipped)",IF(OR(C1132="",E1132="",F1132=""),"✖ Portal, User ID and Password are all needed",IF(AND(A1132="",COUNTIF(Clients!$B$5:$B$1005,B1132)=0),"Not on Clients — will match a portal client by name",IF(AND(C1132="GST",D1132&lt;&gt;"",COUNTIF(Clients!$AN$5:$AN$1005,UPPER(D1132))=0,COUNTIF(Clients!$G$5:$G$1005,"*"&amp;UPPER(D1132)&amp;"*")=0),"GSTIN not on Clients — will be checked in the portal","✔ OK")))))</f>
        <v/>
      </c>
    </row>
    <row r="1133">
      <c r="A1133" s="38" t="n"/>
      <c r="B1133" s="39" t="n"/>
      <c r="C1133" s="39" t="n"/>
      <c r="D1133" s="38" t="n"/>
      <c r="E1133" s="38" t="n"/>
      <c r="F1133" s="38" t="n"/>
      <c r="G1133" s="37">
        <f>IF(COUNTA(A1133:F1133)=0,"",IF(A1133="EXAMPLE","Example (skipped)",IF(OR(C1133="",E1133="",F1133=""),"✖ Portal, User ID and Password are all needed",IF(AND(A1133="",COUNTIF(Clients!$B$5:$B$1005,B1133)=0),"Not on Clients — will match a portal client by name",IF(AND(C1133="GST",D1133&lt;&gt;"",COUNTIF(Clients!$AN$5:$AN$1005,UPPER(D1133))=0,COUNTIF(Clients!$G$5:$G$1005,"*"&amp;UPPER(D1133)&amp;"*")=0),"GSTIN not on Clients — will be checked in the portal","✔ OK")))))</f>
        <v/>
      </c>
    </row>
    <row r="1134">
      <c r="A1134" s="38" t="n"/>
      <c r="B1134" s="39" t="n"/>
      <c r="C1134" s="39" t="n"/>
      <c r="D1134" s="38" t="n"/>
      <c r="E1134" s="38" t="n"/>
      <c r="F1134" s="38" t="n"/>
      <c r="G1134" s="37">
        <f>IF(COUNTA(A1134:F1134)=0,"",IF(A1134="EXAMPLE","Example (skipped)",IF(OR(C1134="",E1134="",F1134=""),"✖ Portal, User ID and Password are all needed",IF(AND(A1134="",COUNTIF(Clients!$B$5:$B$1005,B1134)=0),"Not on Clients — will match a portal client by name",IF(AND(C1134="GST",D1134&lt;&gt;"",COUNTIF(Clients!$AN$5:$AN$1005,UPPER(D1134))=0,COUNTIF(Clients!$G$5:$G$1005,"*"&amp;UPPER(D1134)&amp;"*")=0),"GSTIN not on Clients — will be checked in the portal","✔ OK")))))</f>
        <v/>
      </c>
    </row>
    <row r="1135">
      <c r="A1135" s="38" t="n"/>
      <c r="B1135" s="39" t="n"/>
      <c r="C1135" s="39" t="n"/>
      <c r="D1135" s="38" t="n"/>
      <c r="E1135" s="38" t="n"/>
      <c r="F1135" s="38" t="n"/>
      <c r="G1135" s="37">
        <f>IF(COUNTA(A1135:F1135)=0,"",IF(A1135="EXAMPLE","Example (skipped)",IF(OR(C1135="",E1135="",F1135=""),"✖ Portal, User ID and Password are all needed",IF(AND(A1135="",COUNTIF(Clients!$B$5:$B$1005,B1135)=0),"Not on Clients — will match a portal client by name",IF(AND(C1135="GST",D1135&lt;&gt;"",COUNTIF(Clients!$AN$5:$AN$1005,UPPER(D1135))=0,COUNTIF(Clients!$G$5:$G$1005,"*"&amp;UPPER(D1135)&amp;"*")=0),"GSTIN not on Clients — will be checked in the portal","✔ OK")))))</f>
        <v/>
      </c>
    </row>
    <row r="1136">
      <c r="A1136" s="38" t="n"/>
      <c r="B1136" s="39" t="n"/>
      <c r="C1136" s="39" t="n"/>
      <c r="D1136" s="38" t="n"/>
      <c r="E1136" s="38" t="n"/>
      <c r="F1136" s="38" t="n"/>
      <c r="G1136" s="37">
        <f>IF(COUNTA(A1136:F1136)=0,"",IF(A1136="EXAMPLE","Example (skipped)",IF(OR(C1136="",E1136="",F1136=""),"✖ Portal, User ID and Password are all needed",IF(AND(A1136="",COUNTIF(Clients!$B$5:$B$1005,B1136)=0),"Not on Clients — will match a portal client by name",IF(AND(C1136="GST",D1136&lt;&gt;"",COUNTIF(Clients!$AN$5:$AN$1005,UPPER(D1136))=0,COUNTIF(Clients!$G$5:$G$1005,"*"&amp;UPPER(D1136)&amp;"*")=0),"GSTIN not on Clients — will be checked in the portal","✔ OK")))))</f>
        <v/>
      </c>
    </row>
    <row r="1137">
      <c r="A1137" s="38" t="n"/>
      <c r="B1137" s="39" t="n"/>
      <c r="C1137" s="39" t="n"/>
      <c r="D1137" s="38" t="n"/>
      <c r="E1137" s="38" t="n"/>
      <c r="F1137" s="38" t="n"/>
      <c r="G1137" s="37">
        <f>IF(COUNTA(A1137:F1137)=0,"",IF(A1137="EXAMPLE","Example (skipped)",IF(OR(C1137="",E1137="",F1137=""),"✖ Portal, User ID and Password are all needed",IF(AND(A1137="",COUNTIF(Clients!$B$5:$B$1005,B1137)=0),"Not on Clients — will match a portal client by name",IF(AND(C1137="GST",D1137&lt;&gt;"",COUNTIF(Clients!$AN$5:$AN$1005,UPPER(D1137))=0,COUNTIF(Clients!$G$5:$G$1005,"*"&amp;UPPER(D1137)&amp;"*")=0),"GSTIN not on Clients — will be checked in the portal","✔ OK")))))</f>
        <v/>
      </c>
    </row>
    <row r="1138">
      <c r="A1138" s="38" t="n"/>
      <c r="B1138" s="39" t="n"/>
      <c r="C1138" s="39" t="n"/>
      <c r="D1138" s="38" t="n"/>
      <c r="E1138" s="38" t="n"/>
      <c r="F1138" s="38" t="n"/>
      <c r="G1138" s="37">
        <f>IF(COUNTA(A1138:F1138)=0,"",IF(A1138="EXAMPLE","Example (skipped)",IF(OR(C1138="",E1138="",F1138=""),"✖ Portal, User ID and Password are all needed",IF(AND(A1138="",COUNTIF(Clients!$B$5:$B$1005,B1138)=0),"Not on Clients — will match a portal client by name",IF(AND(C1138="GST",D1138&lt;&gt;"",COUNTIF(Clients!$AN$5:$AN$1005,UPPER(D1138))=0,COUNTIF(Clients!$G$5:$G$1005,"*"&amp;UPPER(D1138)&amp;"*")=0),"GSTIN not on Clients — will be checked in the portal","✔ OK")))))</f>
        <v/>
      </c>
    </row>
    <row r="1139">
      <c r="A1139" s="38" t="n"/>
      <c r="B1139" s="39" t="n"/>
      <c r="C1139" s="39" t="n"/>
      <c r="D1139" s="38" t="n"/>
      <c r="E1139" s="38" t="n"/>
      <c r="F1139" s="38" t="n"/>
      <c r="G1139" s="37">
        <f>IF(COUNTA(A1139:F1139)=0,"",IF(A1139="EXAMPLE","Example (skipped)",IF(OR(C1139="",E1139="",F1139=""),"✖ Portal, User ID and Password are all needed",IF(AND(A1139="",COUNTIF(Clients!$B$5:$B$1005,B1139)=0),"Not on Clients — will match a portal client by name",IF(AND(C1139="GST",D1139&lt;&gt;"",COUNTIF(Clients!$AN$5:$AN$1005,UPPER(D1139))=0,COUNTIF(Clients!$G$5:$G$1005,"*"&amp;UPPER(D1139)&amp;"*")=0),"GSTIN not on Clients — will be checked in the portal","✔ OK")))))</f>
        <v/>
      </c>
    </row>
    <row r="1140">
      <c r="A1140" s="38" t="n"/>
      <c r="B1140" s="39" t="n"/>
      <c r="C1140" s="39" t="n"/>
      <c r="D1140" s="38" t="n"/>
      <c r="E1140" s="38" t="n"/>
      <c r="F1140" s="38" t="n"/>
      <c r="G1140" s="37">
        <f>IF(COUNTA(A1140:F1140)=0,"",IF(A1140="EXAMPLE","Example (skipped)",IF(OR(C1140="",E1140="",F1140=""),"✖ Portal, User ID and Password are all needed",IF(AND(A1140="",COUNTIF(Clients!$B$5:$B$1005,B1140)=0),"Not on Clients — will match a portal client by name",IF(AND(C1140="GST",D1140&lt;&gt;"",COUNTIF(Clients!$AN$5:$AN$1005,UPPER(D1140))=0,COUNTIF(Clients!$G$5:$G$1005,"*"&amp;UPPER(D1140)&amp;"*")=0),"GSTIN not on Clients — will be checked in the portal","✔ OK")))))</f>
        <v/>
      </c>
    </row>
    <row r="1141">
      <c r="A1141" s="38" t="n"/>
      <c r="B1141" s="39" t="n"/>
      <c r="C1141" s="39" t="n"/>
      <c r="D1141" s="38" t="n"/>
      <c r="E1141" s="38" t="n"/>
      <c r="F1141" s="38" t="n"/>
      <c r="G1141" s="37">
        <f>IF(COUNTA(A1141:F1141)=0,"",IF(A1141="EXAMPLE","Example (skipped)",IF(OR(C1141="",E1141="",F1141=""),"✖ Portal, User ID and Password are all needed",IF(AND(A1141="",COUNTIF(Clients!$B$5:$B$1005,B1141)=0),"Not on Clients — will match a portal client by name",IF(AND(C1141="GST",D1141&lt;&gt;"",COUNTIF(Clients!$AN$5:$AN$1005,UPPER(D1141))=0,COUNTIF(Clients!$G$5:$G$1005,"*"&amp;UPPER(D1141)&amp;"*")=0),"GSTIN not on Clients — will be checked in the portal","✔ OK")))))</f>
        <v/>
      </c>
    </row>
    <row r="1142">
      <c r="A1142" s="38" t="n"/>
      <c r="B1142" s="39" t="n"/>
      <c r="C1142" s="39" t="n"/>
      <c r="D1142" s="38" t="n"/>
      <c r="E1142" s="38" t="n"/>
      <c r="F1142" s="38" t="n"/>
      <c r="G1142" s="37">
        <f>IF(COUNTA(A1142:F1142)=0,"",IF(A1142="EXAMPLE","Example (skipped)",IF(OR(C1142="",E1142="",F1142=""),"✖ Portal, User ID and Password are all needed",IF(AND(A1142="",COUNTIF(Clients!$B$5:$B$1005,B1142)=0),"Not on Clients — will match a portal client by name",IF(AND(C1142="GST",D1142&lt;&gt;"",COUNTIF(Clients!$AN$5:$AN$1005,UPPER(D1142))=0,COUNTIF(Clients!$G$5:$G$1005,"*"&amp;UPPER(D1142)&amp;"*")=0),"GSTIN not on Clients — will be checked in the portal","✔ OK")))))</f>
        <v/>
      </c>
    </row>
    <row r="1143">
      <c r="A1143" s="38" t="n"/>
      <c r="B1143" s="39" t="n"/>
      <c r="C1143" s="39" t="n"/>
      <c r="D1143" s="38" t="n"/>
      <c r="E1143" s="38" t="n"/>
      <c r="F1143" s="38" t="n"/>
      <c r="G1143" s="37">
        <f>IF(COUNTA(A1143:F1143)=0,"",IF(A1143="EXAMPLE","Example (skipped)",IF(OR(C1143="",E1143="",F1143=""),"✖ Portal, User ID and Password are all needed",IF(AND(A1143="",COUNTIF(Clients!$B$5:$B$1005,B1143)=0),"Not on Clients — will match a portal client by name",IF(AND(C1143="GST",D1143&lt;&gt;"",COUNTIF(Clients!$AN$5:$AN$1005,UPPER(D1143))=0,COUNTIF(Clients!$G$5:$G$1005,"*"&amp;UPPER(D1143)&amp;"*")=0),"GSTIN not on Clients — will be checked in the portal","✔ OK")))))</f>
        <v/>
      </c>
    </row>
    <row r="1144">
      <c r="A1144" s="38" t="n"/>
      <c r="B1144" s="39" t="n"/>
      <c r="C1144" s="39" t="n"/>
      <c r="D1144" s="38" t="n"/>
      <c r="E1144" s="38" t="n"/>
      <c r="F1144" s="38" t="n"/>
      <c r="G1144" s="37">
        <f>IF(COUNTA(A1144:F1144)=0,"",IF(A1144="EXAMPLE","Example (skipped)",IF(OR(C1144="",E1144="",F1144=""),"✖ Portal, User ID and Password are all needed",IF(AND(A1144="",COUNTIF(Clients!$B$5:$B$1005,B1144)=0),"Not on Clients — will match a portal client by name",IF(AND(C1144="GST",D1144&lt;&gt;"",COUNTIF(Clients!$AN$5:$AN$1005,UPPER(D1144))=0,COUNTIF(Clients!$G$5:$G$1005,"*"&amp;UPPER(D1144)&amp;"*")=0),"GSTIN not on Clients — will be checked in the portal","✔ OK")))))</f>
        <v/>
      </c>
    </row>
    <row r="1145">
      <c r="A1145" s="38" t="n"/>
      <c r="B1145" s="39" t="n"/>
      <c r="C1145" s="39" t="n"/>
      <c r="D1145" s="38" t="n"/>
      <c r="E1145" s="38" t="n"/>
      <c r="F1145" s="38" t="n"/>
      <c r="G1145" s="37">
        <f>IF(COUNTA(A1145:F1145)=0,"",IF(A1145="EXAMPLE","Example (skipped)",IF(OR(C1145="",E1145="",F1145=""),"✖ Portal, User ID and Password are all needed",IF(AND(A1145="",COUNTIF(Clients!$B$5:$B$1005,B1145)=0),"Not on Clients — will match a portal client by name",IF(AND(C1145="GST",D1145&lt;&gt;"",COUNTIF(Clients!$AN$5:$AN$1005,UPPER(D1145))=0,COUNTIF(Clients!$G$5:$G$1005,"*"&amp;UPPER(D1145)&amp;"*")=0),"GSTIN not on Clients — will be checked in the portal","✔ OK")))))</f>
        <v/>
      </c>
    </row>
    <row r="1146">
      <c r="A1146" s="38" t="n"/>
      <c r="B1146" s="39" t="n"/>
      <c r="C1146" s="39" t="n"/>
      <c r="D1146" s="38" t="n"/>
      <c r="E1146" s="38" t="n"/>
      <c r="F1146" s="38" t="n"/>
      <c r="G1146" s="37">
        <f>IF(COUNTA(A1146:F1146)=0,"",IF(A1146="EXAMPLE","Example (skipped)",IF(OR(C1146="",E1146="",F1146=""),"✖ Portal, User ID and Password are all needed",IF(AND(A1146="",COUNTIF(Clients!$B$5:$B$1005,B1146)=0),"Not on Clients — will match a portal client by name",IF(AND(C1146="GST",D1146&lt;&gt;"",COUNTIF(Clients!$AN$5:$AN$1005,UPPER(D1146))=0,COUNTIF(Clients!$G$5:$G$1005,"*"&amp;UPPER(D1146)&amp;"*")=0),"GSTIN not on Clients — will be checked in the portal","✔ OK")))))</f>
        <v/>
      </c>
    </row>
    <row r="1147">
      <c r="A1147" s="38" t="n"/>
      <c r="B1147" s="39" t="n"/>
      <c r="C1147" s="39" t="n"/>
      <c r="D1147" s="38" t="n"/>
      <c r="E1147" s="38" t="n"/>
      <c r="F1147" s="38" t="n"/>
      <c r="G1147" s="37">
        <f>IF(COUNTA(A1147:F1147)=0,"",IF(A1147="EXAMPLE","Example (skipped)",IF(OR(C1147="",E1147="",F1147=""),"✖ Portal, User ID and Password are all needed",IF(AND(A1147="",COUNTIF(Clients!$B$5:$B$1005,B1147)=0),"Not on Clients — will match a portal client by name",IF(AND(C1147="GST",D1147&lt;&gt;"",COUNTIF(Clients!$AN$5:$AN$1005,UPPER(D1147))=0,COUNTIF(Clients!$G$5:$G$1005,"*"&amp;UPPER(D1147)&amp;"*")=0),"GSTIN not on Clients — will be checked in the portal","✔ OK")))))</f>
        <v/>
      </c>
    </row>
    <row r="1148">
      <c r="A1148" s="38" t="n"/>
      <c r="B1148" s="39" t="n"/>
      <c r="C1148" s="39" t="n"/>
      <c r="D1148" s="38" t="n"/>
      <c r="E1148" s="38" t="n"/>
      <c r="F1148" s="38" t="n"/>
      <c r="G1148" s="37">
        <f>IF(COUNTA(A1148:F1148)=0,"",IF(A1148="EXAMPLE","Example (skipped)",IF(OR(C1148="",E1148="",F1148=""),"✖ Portal, User ID and Password are all needed",IF(AND(A1148="",COUNTIF(Clients!$B$5:$B$1005,B1148)=0),"Not on Clients — will match a portal client by name",IF(AND(C1148="GST",D1148&lt;&gt;"",COUNTIF(Clients!$AN$5:$AN$1005,UPPER(D1148))=0,COUNTIF(Clients!$G$5:$G$1005,"*"&amp;UPPER(D1148)&amp;"*")=0),"GSTIN not on Clients — will be checked in the portal","✔ OK")))))</f>
        <v/>
      </c>
    </row>
    <row r="1149">
      <c r="A1149" s="38" t="n"/>
      <c r="B1149" s="39" t="n"/>
      <c r="C1149" s="39" t="n"/>
      <c r="D1149" s="38" t="n"/>
      <c r="E1149" s="38" t="n"/>
      <c r="F1149" s="38" t="n"/>
      <c r="G1149" s="37">
        <f>IF(COUNTA(A1149:F1149)=0,"",IF(A1149="EXAMPLE","Example (skipped)",IF(OR(C1149="",E1149="",F1149=""),"✖ Portal, User ID and Password are all needed",IF(AND(A1149="",COUNTIF(Clients!$B$5:$B$1005,B1149)=0),"Not on Clients — will match a portal client by name",IF(AND(C1149="GST",D1149&lt;&gt;"",COUNTIF(Clients!$AN$5:$AN$1005,UPPER(D1149))=0,COUNTIF(Clients!$G$5:$G$1005,"*"&amp;UPPER(D1149)&amp;"*")=0),"GSTIN not on Clients — will be checked in the portal","✔ OK")))))</f>
        <v/>
      </c>
    </row>
    <row r="1150">
      <c r="A1150" s="38" t="n"/>
      <c r="B1150" s="39" t="n"/>
      <c r="C1150" s="39" t="n"/>
      <c r="D1150" s="38" t="n"/>
      <c r="E1150" s="38" t="n"/>
      <c r="F1150" s="38" t="n"/>
      <c r="G1150" s="37">
        <f>IF(COUNTA(A1150:F1150)=0,"",IF(A1150="EXAMPLE","Example (skipped)",IF(OR(C1150="",E1150="",F1150=""),"✖ Portal, User ID and Password are all needed",IF(AND(A1150="",COUNTIF(Clients!$B$5:$B$1005,B1150)=0),"Not on Clients — will match a portal client by name",IF(AND(C1150="GST",D1150&lt;&gt;"",COUNTIF(Clients!$AN$5:$AN$1005,UPPER(D1150))=0,COUNTIF(Clients!$G$5:$G$1005,"*"&amp;UPPER(D1150)&amp;"*")=0),"GSTIN not on Clients — will be checked in the portal","✔ OK")))))</f>
        <v/>
      </c>
    </row>
    <row r="1151">
      <c r="A1151" s="38" t="n"/>
      <c r="B1151" s="39" t="n"/>
      <c r="C1151" s="39" t="n"/>
      <c r="D1151" s="38" t="n"/>
      <c r="E1151" s="38" t="n"/>
      <c r="F1151" s="38" t="n"/>
      <c r="G1151" s="37">
        <f>IF(COUNTA(A1151:F1151)=0,"",IF(A1151="EXAMPLE","Example (skipped)",IF(OR(C1151="",E1151="",F1151=""),"✖ Portal, User ID and Password are all needed",IF(AND(A1151="",COUNTIF(Clients!$B$5:$B$1005,B1151)=0),"Not on Clients — will match a portal client by name",IF(AND(C1151="GST",D1151&lt;&gt;"",COUNTIF(Clients!$AN$5:$AN$1005,UPPER(D1151))=0,COUNTIF(Clients!$G$5:$G$1005,"*"&amp;UPPER(D1151)&amp;"*")=0),"GSTIN not on Clients — will be checked in the portal","✔ OK")))))</f>
        <v/>
      </c>
    </row>
    <row r="1152">
      <c r="A1152" s="38" t="n"/>
      <c r="B1152" s="39" t="n"/>
      <c r="C1152" s="39" t="n"/>
      <c r="D1152" s="38" t="n"/>
      <c r="E1152" s="38" t="n"/>
      <c r="F1152" s="38" t="n"/>
      <c r="G1152" s="37">
        <f>IF(COUNTA(A1152:F1152)=0,"",IF(A1152="EXAMPLE","Example (skipped)",IF(OR(C1152="",E1152="",F1152=""),"✖ Portal, User ID and Password are all needed",IF(AND(A1152="",COUNTIF(Clients!$B$5:$B$1005,B1152)=0),"Not on Clients — will match a portal client by name",IF(AND(C1152="GST",D1152&lt;&gt;"",COUNTIF(Clients!$AN$5:$AN$1005,UPPER(D1152))=0,COUNTIF(Clients!$G$5:$G$1005,"*"&amp;UPPER(D1152)&amp;"*")=0),"GSTIN not on Clients — will be checked in the portal","✔ OK")))))</f>
        <v/>
      </c>
    </row>
    <row r="1153">
      <c r="A1153" s="38" t="n"/>
      <c r="B1153" s="39" t="n"/>
      <c r="C1153" s="39" t="n"/>
      <c r="D1153" s="38" t="n"/>
      <c r="E1153" s="38" t="n"/>
      <c r="F1153" s="38" t="n"/>
      <c r="G1153" s="37">
        <f>IF(COUNTA(A1153:F1153)=0,"",IF(A1153="EXAMPLE","Example (skipped)",IF(OR(C1153="",E1153="",F1153=""),"✖ Portal, User ID and Password are all needed",IF(AND(A1153="",COUNTIF(Clients!$B$5:$B$1005,B1153)=0),"Not on Clients — will match a portal client by name",IF(AND(C1153="GST",D1153&lt;&gt;"",COUNTIF(Clients!$AN$5:$AN$1005,UPPER(D1153))=0,COUNTIF(Clients!$G$5:$G$1005,"*"&amp;UPPER(D1153)&amp;"*")=0),"GSTIN not on Clients — will be checked in the portal","✔ OK")))))</f>
        <v/>
      </c>
    </row>
    <row r="1154">
      <c r="A1154" s="38" t="n"/>
      <c r="B1154" s="39" t="n"/>
      <c r="C1154" s="39" t="n"/>
      <c r="D1154" s="38" t="n"/>
      <c r="E1154" s="38" t="n"/>
      <c r="F1154" s="38" t="n"/>
      <c r="G1154" s="37">
        <f>IF(COUNTA(A1154:F1154)=0,"",IF(A1154="EXAMPLE","Example (skipped)",IF(OR(C1154="",E1154="",F1154=""),"✖ Portal, User ID and Password are all needed",IF(AND(A1154="",COUNTIF(Clients!$B$5:$B$1005,B1154)=0),"Not on Clients — will match a portal client by name",IF(AND(C1154="GST",D1154&lt;&gt;"",COUNTIF(Clients!$AN$5:$AN$1005,UPPER(D1154))=0,COUNTIF(Clients!$G$5:$G$1005,"*"&amp;UPPER(D1154)&amp;"*")=0),"GSTIN not on Clients — will be checked in the portal","✔ OK")))))</f>
        <v/>
      </c>
    </row>
    <row r="1155">
      <c r="A1155" s="38" t="n"/>
      <c r="B1155" s="39" t="n"/>
      <c r="C1155" s="39" t="n"/>
      <c r="D1155" s="38" t="n"/>
      <c r="E1155" s="38" t="n"/>
      <c r="F1155" s="38" t="n"/>
      <c r="G1155" s="37">
        <f>IF(COUNTA(A1155:F1155)=0,"",IF(A1155="EXAMPLE","Example (skipped)",IF(OR(C1155="",E1155="",F1155=""),"✖ Portal, User ID and Password are all needed",IF(AND(A1155="",COUNTIF(Clients!$B$5:$B$1005,B1155)=0),"Not on Clients — will match a portal client by name",IF(AND(C1155="GST",D1155&lt;&gt;"",COUNTIF(Clients!$AN$5:$AN$1005,UPPER(D1155))=0,COUNTIF(Clients!$G$5:$G$1005,"*"&amp;UPPER(D1155)&amp;"*")=0),"GSTIN not on Clients — will be checked in the portal","✔ OK")))))</f>
        <v/>
      </c>
    </row>
    <row r="1156">
      <c r="A1156" s="38" t="n"/>
      <c r="B1156" s="39" t="n"/>
      <c r="C1156" s="39" t="n"/>
      <c r="D1156" s="38" t="n"/>
      <c r="E1156" s="38" t="n"/>
      <c r="F1156" s="38" t="n"/>
      <c r="G1156" s="37">
        <f>IF(COUNTA(A1156:F1156)=0,"",IF(A1156="EXAMPLE","Example (skipped)",IF(OR(C1156="",E1156="",F1156=""),"✖ Portal, User ID and Password are all needed",IF(AND(A1156="",COUNTIF(Clients!$B$5:$B$1005,B1156)=0),"Not on Clients — will match a portal client by name",IF(AND(C1156="GST",D1156&lt;&gt;"",COUNTIF(Clients!$AN$5:$AN$1005,UPPER(D1156))=0,COUNTIF(Clients!$G$5:$G$1005,"*"&amp;UPPER(D1156)&amp;"*")=0),"GSTIN not on Clients — will be checked in the portal","✔ OK")))))</f>
        <v/>
      </c>
    </row>
    <row r="1157">
      <c r="A1157" s="38" t="n"/>
      <c r="B1157" s="39" t="n"/>
      <c r="C1157" s="39" t="n"/>
      <c r="D1157" s="38" t="n"/>
      <c r="E1157" s="38" t="n"/>
      <c r="F1157" s="38" t="n"/>
      <c r="G1157" s="37">
        <f>IF(COUNTA(A1157:F1157)=0,"",IF(A1157="EXAMPLE","Example (skipped)",IF(OR(C1157="",E1157="",F1157=""),"✖ Portal, User ID and Password are all needed",IF(AND(A1157="",COUNTIF(Clients!$B$5:$B$1005,B1157)=0),"Not on Clients — will match a portal client by name",IF(AND(C1157="GST",D1157&lt;&gt;"",COUNTIF(Clients!$AN$5:$AN$1005,UPPER(D1157))=0,COUNTIF(Clients!$G$5:$G$1005,"*"&amp;UPPER(D1157)&amp;"*")=0),"GSTIN not on Clients — will be checked in the portal","✔ OK")))))</f>
        <v/>
      </c>
    </row>
    <row r="1158">
      <c r="A1158" s="38" t="n"/>
      <c r="B1158" s="39" t="n"/>
      <c r="C1158" s="39" t="n"/>
      <c r="D1158" s="38" t="n"/>
      <c r="E1158" s="38" t="n"/>
      <c r="F1158" s="38" t="n"/>
      <c r="G1158" s="37">
        <f>IF(COUNTA(A1158:F1158)=0,"",IF(A1158="EXAMPLE","Example (skipped)",IF(OR(C1158="",E1158="",F1158=""),"✖ Portal, User ID and Password are all needed",IF(AND(A1158="",COUNTIF(Clients!$B$5:$B$1005,B1158)=0),"Not on Clients — will match a portal client by name",IF(AND(C1158="GST",D1158&lt;&gt;"",COUNTIF(Clients!$AN$5:$AN$1005,UPPER(D1158))=0,COUNTIF(Clients!$G$5:$G$1005,"*"&amp;UPPER(D1158)&amp;"*")=0),"GSTIN not on Clients — will be checked in the portal","✔ OK")))))</f>
        <v/>
      </c>
    </row>
    <row r="1159">
      <c r="A1159" s="38" t="n"/>
      <c r="B1159" s="39" t="n"/>
      <c r="C1159" s="39" t="n"/>
      <c r="D1159" s="38" t="n"/>
      <c r="E1159" s="38" t="n"/>
      <c r="F1159" s="38" t="n"/>
      <c r="G1159" s="37">
        <f>IF(COUNTA(A1159:F1159)=0,"",IF(A1159="EXAMPLE","Example (skipped)",IF(OR(C1159="",E1159="",F1159=""),"✖ Portal, User ID and Password are all needed",IF(AND(A1159="",COUNTIF(Clients!$B$5:$B$1005,B1159)=0),"Not on Clients — will match a portal client by name",IF(AND(C1159="GST",D1159&lt;&gt;"",COUNTIF(Clients!$AN$5:$AN$1005,UPPER(D1159))=0,COUNTIF(Clients!$G$5:$G$1005,"*"&amp;UPPER(D1159)&amp;"*")=0),"GSTIN not on Clients — will be checked in the portal","✔ OK")))))</f>
        <v/>
      </c>
    </row>
    <row r="1160">
      <c r="A1160" s="38" t="n"/>
      <c r="B1160" s="39" t="n"/>
      <c r="C1160" s="39" t="n"/>
      <c r="D1160" s="38" t="n"/>
      <c r="E1160" s="38" t="n"/>
      <c r="F1160" s="38" t="n"/>
      <c r="G1160" s="37">
        <f>IF(COUNTA(A1160:F1160)=0,"",IF(A1160="EXAMPLE","Example (skipped)",IF(OR(C1160="",E1160="",F1160=""),"✖ Portal, User ID and Password are all needed",IF(AND(A1160="",COUNTIF(Clients!$B$5:$B$1005,B1160)=0),"Not on Clients — will match a portal client by name",IF(AND(C1160="GST",D1160&lt;&gt;"",COUNTIF(Clients!$AN$5:$AN$1005,UPPER(D1160))=0,COUNTIF(Clients!$G$5:$G$1005,"*"&amp;UPPER(D1160)&amp;"*")=0),"GSTIN not on Clients — will be checked in the portal","✔ OK")))))</f>
        <v/>
      </c>
    </row>
    <row r="1161">
      <c r="A1161" s="38" t="n"/>
      <c r="B1161" s="39" t="n"/>
      <c r="C1161" s="39" t="n"/>
      <c r="D1161" s="38" t="n"/>
      <c r="E1161" s="38" t="n"/>
      <c r="F1161" s="38" t="n"/>
      <c r="G1161" s="37">
        <f>IF(COUNTA(A1161:F1161)=0,"",IF(A1161="EXAMPLE","Example (skipped)",IF(OR(C1161="",E1161="",F1161=""),"✖ Portal, User ID and Password are all needed",IF(AND(A1161="",COUNTIF(Clients!$B$5:$B$1005,B1161)=0),"Not on Clients — will match a portal client by name",IF(AND(C1161="GST",D1161&lt;&gt;"",COUNTIF(Clients!$AN$5:$AN$1005,UPPER(D1161))=0,COUNTIF(Clients!$G$5:$G$1005,"*"&amp;UPPER(D1161)&amp;"*")=0),"GSTIN not on Clients — will be checked in the portal","✔ OK")))))</f>
        <v/>
      </c>
    </row>
    <row r="1162">
      <c r="A1162" s="38" t="n"/>
      <c r="B1162" s="39" t="n"/>
      <c r="C1162" s="39" t="n"/>
      <c r="D1162" s="38" t="n"/>
      <c r="E1162" s="38" t="n"/>
      <c r="F1162" s="38" t="n"/>
      <c r="G1162" s="37">
        <f>IF(COUNTA(A1162:F1162)=0,"",IF(A1162="EXAMPLE","Example (skipped)",IF(OR(C1162="",E1162="",F1162=""),"✖ Portal, User ID and Password are all needed",IF(AND(A1162="",COUNTIF(Clients!$B$5:$B$1005,B1162)=0),"Not on Clients — will match a portal client by name",IF(AND(C1162="GST",D1162&lt;&gt;"",COUNTIF(Clients!$AN$5:$AN$1005,UPPER(D1162))=0,COUNTIF(Clients!$G$5:$G$1005,"*"&amp;UPPER(D1162)&amp;"*")=0),"GSTIN not on Clients — will be checked in the portal","✔ OK")))))</f>
        <v/>
      </c>
    </row>
    <row r="1163">
      <c r="A1163" s="38" t="n"/>
      <c r="B1163" s="39" t="n"/>
      <c r="C1163" s="39" t="n"/>
      <c r="D1163" s="38" t="n"/>
      <c r="E1163" s="38" t="n"/>
      <c r="F1163" s="38" t="n"/>
      <c r="G1163" s="37">
        <f>IF(COUNTA(A1163:F1163)=0,"",IF(A1163="EXAMPLE","Example (skipped)",IF(OR(C1163="",E1163="",F1163=""),"✖ Portal, User ID and Password are all needed",IF(AND(A1163="",COUNTIF(Clients!$B$5:$B$1005,B1163)=0),"Not on Clients — will match a portal client by name",IF(AND(C1163="GST",D1163&lt;&gt;"",COUNTIF(Clients!$AN$5:$AN$1005,UPPER(D1163))=0,COUNTIF(Clients!$G$5:$G$1005,"*"&amp;UPPER(D1163)&amp;"*")=0),"GSTIN not on Clients — will be checked in the portal","✔ OK")))))</f>
        <v/>
      </c>
    </row>
    <row r="1164">
      <c r="A1164" s="38" t="n"/>
      <c r="B1164" s="39" t="n"/>
      <c r="C1164" s="39" t="n"/>
      <c r="D1164" s="38" t="n"/>
      <c r="E1164" s="38" t="n"/>
      <c r="F1164" s="38" t="n"/>
      <c r="G1164" s="37">
        <f>IF(COUNTA(A1164:F1164)=0,"",IF(A1164="EXAMPLE","Example (skipped)",IF(OR(C1164="",E1164="",F1164=""),"✖ Portal, User ID and Password are all needed",IF(AND(A1164="",COUNTIF(Clients!$B$5:$B$1005,B1164)=0),"Not on Clients — will match a portal client by name",IF(AND(C1164="GST",D1164&lt;&gt;"",COUNTIF(Clients!$AN$5:$AN$1005,UPPER(D1164))=0,COUNTIF(Clients!$G$5:$G$1005,"*"&amp;UPPER(D1164)&amp;"*")=0),"GSTIN not on Clients — will be checked in the portal","✔ OK")))))</f>
        <v/>
      </c>
    </row>
    <row r="1165">
      <c r="A1165" s="38" t="n"/>
      <c r="B1165" s="39" t="n"/>
      <c r="C1165" s="39" t="n"/>
      <c r="D1165" s="38" t="n"/>
      <c r="E1165" s="38" t="n"/>
      <c r="F1165" s="38" t="n"/>
      <c r="G1165" s="37">
        <f>IF(COUNTA(A1165:F1165)=0,"",IF(A1165="EXAMPLE","Example (skipped)",IF(OR(C1165="",E1165="",F1165=""),"✖ Portal, User ID and Password are all needed",IF(AND(A1165="",COUNTIF(Clients!$B$5:$B$1005,B1165)=0),"Not on Clients — will match a portal client by name",IF(AND(C1165="GST",D1165&lt;&gt;"",COUNTIF(Clients!$AN$5:$AN$1005,UPPER(D1165))=0,COUNTIF(Clients!$G$5:$G$1005,"*"&amp;UPPER(D1165)&amp;"*")=0),"GSTIN not on Clients — will be checked in the portal","✔ OK")))))</f>
        <v/>
      </c>
    </row>
    <row r="1166">
      <c r="A1166" s="38" t="n"/>
      <c r="B1166" s="39" t="n"/>
      <c r="C1166" s="39" t="n"/>
      <c r="D1166" s="38" t="n"/>
      <c r="E1166" s="38" t="n"/>
      <c r="F1166" s="38" t="n"/>
      <c r="G1166" s="37">
        <f>IF(COUNTA(A1166:F1166)=0,"",IF(A1166="EXAMPLE","Example (skipped)",IF(OR(C1166="",E1166="",F1166=""),"✖ Portal, User ID and Password are all needed",IF(AND(A1166="",COUNTIF(Clients!$B$5:$B$1005,B1166)=0),"Not on Clients — will match a portal client by name",IF(AND(C1166="GST",D1166&lt;&gt;"",COUNTIF(Clients!$AN$5:$AN$1005,UPPER(D1166))=0,COUNTIF(Clients!$G$5:$G$1005,"*"&amp;UPPER(D1166)&amp;"*")=0),"GSTIN not on Clients — will be checked in the portal","✔ OK")))))</f>
        <v/>
      </c>
    </row>
    <row r="1167">
      <c r="A1167" s="38" t="n"/>
      <c r="B1167" s="39" t="n"/>
      <c r="C1167" s="39" t="n"/>
      <c r="D1167" s="38" t="n"/>
      <c r="E1167" s="38" t="n"/>
      <c r="F1167" s="38" t="n"/>
      <c r="G1167" s="37">
        <f>IF(COUNTA(A1167:F1167)=0,"",IF(A1167="EXAMPLE","Example (skipped)",IF(OR(C1167="",E1167="",F1167=""),"✖ Portal, User ID and Password are all needed",IF(AND(A1167="",COUNTIF(Clients!$B$5:$B$1005,B1167)=0),"Not on Clients — will match a portal client by name",IF(AND(C1167="GST",D1167&lt;&gt;"",COUNTIF(Clients!$AN$5:$AN$1005,UPPER(D1167))=0,COUNTIF(Clients!$G$5:$G$1005,"*"&amp;UPPER(D1167)&amp;"*")=0),"GSTIN not on Clients — will be checked in the portal","✔ OK")))))</f>
        <v/>
      </c>
    </row>
    <row r="1168">
      <c r="A1168" s="38" t="n"/>
      <c r="B1168" s="39" t="n"/>
      <c r="C1168" s="39" t="n"/>
      <c r="D1168" s="38" t="n"/>
      <c r="E1168" s="38" t="n"/>
      <c r="F1168" s="38" t="n"/>
      <c r="G1168" s="37">
        <f>IF(COUNTA(A1168:F1168)=0,"",IF(A1168="EXAMPLE","Example (skipped)",IF(OR(C1168="",E1168="",F1168=""),"✖ Portal, User ID and Password are all needed",IF(AND(A1168="",COUNTIF(Clients!$B$5:$B$1005,B1168)=0),"Not on Clients — will match a portal client by name",IF(AND(C1168="GST",D1168&lt;&gt;"",COUNTIF(Clients!$AN$5:$AN$1005,UPPER(D1168))=0,COUNTIF(Clients!$G$5:$G$1005,"*"&amp;UPPER(D1168)&amp;"*")=0),"GSTIN not on Clients — will be checked in the portal","✔ OK")))))</f>
        <v/>
      </c>
    </row>
    <row r="1169">
      <c r="A1169" s="38" t="n"/>
      <c r="B1169" s="39" t="n"/>
      <c r="C1169" s="39" t="n"/>
      <c r="D1169" s="38" t="n"/>
      <c r="E1169" s="38" t="n"/>
      <c r="F1169" s="38" t="n"/>
      <c r="G1169" s="37">
        <f>IF(COUNTA(A1169:F1169)=0,"",IF(A1169="EXAMPLE","Example (skipped)",IF(OR(C1169="",E1169="",F1169=""),"✖ Portal, User ID and Password are all needed",IF(AND(A1169="",COUNTIF(Clients!$B$5:$B$1005,B1169)=0),"Not on Clients — will match a portal client by name",IF(AND(C1169="GST",D1169&lt;&gt;"",COUNTIF(Clients!$AN$5:$AN$1005,UPPER(D1169))=0,COUNTIF(Clients!$G$5:$G$1005,"*"&amp;UPPER(D1169)&amp;"*")=0),"GSTIN not on Clients — will be checked in the portal","✔ OK")))))</f>
        <v/>
      </c>
    </row>
    <row r="1170">
      <c r="A1170" s="38" t="n"/>
      <c r="B1170" s="39" t="n"/>
      <c r="C1170" s="39" t="n"/>
      <c r="D1170" s="38" t="n"/>
      <c r="E1170" s="38" t="n"/>
      <c r="F1170" s="38" t="n"/>
      <c r="G1170" s="37">
        <f>IF(COUNTA(A1170:F1170)=0,"",IF(A1170="EXAMPLE","Example (skipped)",IF(OR(C1170="",E1170="",F1170=""),"✖ Portal, User ID and Password are all needed",IF(AND(A1170="",COUNTIF(Clients!$B$5:$B$1005,B1170)=0),"Not on Clients — will match a portal client by name",IF(AND(C1170="GST",D1170&lt;&gt;"",COUNTIF(Clients!$AN$5:$AN$1005,UPPER(D1170))=0,COUNTIF(Clients!$G$5:$G$1005,"*"&amp;UPPER(D1170)&amp;"*")=0),"GSTIN not on Clients — will be checked in the portal","✔ OK")))))</f>
        <v/>
      </c>
    </row>
    <row r="1171">
      <c r="A1171" s="38" t="n"/>
      <c r="B1171" s="39" t="n"/>
      <c r="C1171" s="39" t="n"/>
      <c r="D1171" s="38" t="n"/>
      <c r="E1171" s="38" t="n"/>
      <c r="F1171" s="38" t="n"/>
      <c r="G1171" s="37">
        <f>IF(COUNTA(A1171:F1171)=0,"",IF(A1171="EXAMPLE","Example (skipped)",IF(OR(C1171="",E1171="",F1171=""),"✖ Portal, User ID and Password are all needed",IF(AND(A1171="",COUNTIF(Clients!$B$5:$B$1005,B1171)=0),"Not on Clients — will match a portal client by name",IF(AND(C1171="GST",D1171&lt;&gt;"",COUNTIF(Clients!$AN$5:$AN$1005,UPPER(D1171))=0,COUNTIF(Clients!$G$5:$G$1005,"*"&amp;UPPER(D1171)&amp;"*")=0),"GSTIN not on Clients — will be checked in the portal","✔ OK")))))</f>
        <v/>
      </c>
    </row>
    <row r="1172">
      <c r="A1172" s="38" t="n"/>
      <c r="B1172" s="39" t="n"/>
      <c r="C1172" s="39" t="n"/>
      <c r="D1172" s="38" t="n"/>
      <c r="E1172" s="38" t="n"/>
      <c r="F1172" s="38" t="n"/>
      <c r="G1172" s="37">
        <f>IF(COUNTA(A1172:F1172)=0,"",IF(A1172="EXAMPLE","Example (skipped)",IF(OR(C1172="",E1172="",F1172=""),"✖ Portal, User ID and Password are all needed",IF(AND(A1172="",COUNTIF(Clients!$B$5:$B$1005,B1172)=0),"Not on Clients — will match a portal client by name",IF(AND(C1172="GST",D1172&lt;&gt;"",COUNTIF(Clients!$AN$5:$AN$1005,UPPER(D1172))=0,COUNTIF(Clients!$G$5:$G$1005,"*"&amp;UPPER(D1172)&amp;"*")=0),"GSTIN not on Clients — will be checked in the portal","✔ OK")))))</f>
        <v/>
      </c>
    </row>
    <row r="1173">
      <c r="A1173" s="38" t="n"/>
      <c r="B1173" s="39" t="n"/>
      <c r="C1173" s="39" t="n"/>
      <c r="D1173" s="38" t="n"/>
      <c r="E1173" s="38" t="n"/>
      <c r="F1173" s="38" t="n"/>
      <c r="G1173" s="37">
        <f>IF(COUNTA(A1173:F1173)=0,"",IF(A1173="EXAMPLE","Example (skipped)",IF(OR(C1173="",E1173="",F1173=""),"✖ Portal, User ID and Password are all needed",IF(AND(A1173="",COUNTIF(Clients!$B$5:$B$1005,B1173)=0),"Not on Clients — will match a portal client by name",IF(AND(C1173="GST",D1173&lt;&gt;"",COUNTIF(Clients!$AN$5:$AN$1005,UPPER(D1173))=0,COUNTIF(Clients!$G$5:$G$1005,"*"&amp;UPPER(D1173)&amp;"*")=0),"GSTIN not on Clients — will be checked in the portal","✔ OK")))))</f>
        <v/>
      </c>
    </row>
    <row r="1174">
      <c r="A1174" s="38" t="n"/>
      <c r="B1174" s="39" t="n"/>
      <c r="C1174" s="39" t="n"/>
      <c r="D1174" s="38" t="n"/>
      <c r="E1174" s="38" t="n"/>
      <c r="F1174" s="38" t="n"/>
      <c r="G1174" s="37">
        <f>IF(COUNTA(A1174:F1174)=0,"",IF(A1174="EXAMPLE","Example (skipped)",IF(OR(C1174="",E1174="",F1174=""),"✖ Portal, User ID and Password are all needed",IF(AND(A1174="",COUNTIF(Clients!$B$5:$B$1005,B1174)=0),"Not on Clients — will match a portal client by name",IF(AND(C1174="GST",D1174&lt;&gt;"",COUNTIF(Clients!$AN$5:$AN$1005,UPPER(D1174))=0,COUNTIF(Clients!$G$5:$G$1005,"*"&amp;UPPER(D1174)&amp;"*")=0),"GSTIN not on Clients — will be checked in the portal","✔ OK")))))</f>
        <v/>
      </c>
    </row>
    <row r="1175">
      <c r="A1175" s="38" t="n"/>
      <c r="B1175" s="39" t="n"/>
      <c r="C1175" s="39" t="n"/>
      <c r="D1175" s="38" t="n"/>
      <c r="E1175" s="38" t="n"/>
      <c r="F1175" s="38" t="n"/>
      <c r="G1175" s="37">
        <f>IF(COUNTA(A1175:F1175)=0,"",IF(A1175="EXAMPLE","Example (skipped)",IF(OR(C1175="",E1175="",F1175=""),"✖ Portal, User ID and Password are all needed",IF(AND(A1175="",COUNTIF(Clients!$B$5:$B$1005,B1175)=0),"Not on Clients — will match a portal client by name",IF(AND(C1175="GST",D1175&lt;&gt;"",COUNTIF(Clients!$AN$5:$AN$1005,UPPER(D1175))=0,COUNTIF(Clients!$G$5:$G$1005,"*"&amp;UPPER(D1175)&amp;"*")=0),"GSTIN not on Clients — will be checked in the portal","✔ OK")))))</f>
        <v/>
      </c>
    </row>
    <row r="1176">
      <c r="A1176" s="38" t="n"/>
      <c r="B1176" s="39" t="n"/>
      <c r="C1176" s="39" t="n"/>
      <c r="D1176" s="38" t="n"/>
      <c r="E1176" s="38" t="n"/>
      <c r="F1176" s="38" t="n"/>
      <c r="G1176" s="37">
        <f>IF(COUNTA(A1176:F1176)=0,"",IF(A1176="EXAMPLE","Example (skipped)",IF(OR(C1176="",E1176="",F1176=""),"✖ Portal, User ID and Password are all needed",IF(AND(A1176="",COUNTIF(Clients!$B$5:$B$1005,B1176)=0),"Not on Clients — will match a portal client by name",IF(AND(C1176="GST",D1176&lt;&gt;"",COUNTIF(Clients!$AN$5:$AN$1005,UPPER(D1176))=0,COUNTIF(Clients!$G$5:$G$1005,"*"&amp;UPPER(D1176)&amp;"*")=0),"GSTIN not on Clients — will be checked in the portal","✔ OK")))))</f>
        <v/>
      </c>
    </row>
    <row r="1177">
      <c r="A1177" s="38" t="n"/>
      <c r="B1177" s="39" t="n"/>
      <c r="C1177" s="39" t="n"/>
      <c r="D1177" s="38" t="n"/>
      <c r="E1177" s="38" t="n"/>
      <c r="F1177" s="38" t="n"/>
      <c r="G1177" s="37">
        <f>IF(COUNTA(A1177:F1177)=0,"",IF(A1177="EXAMPLE","Example (skipped)",IF(OR(C1177="",E1177="",F1177=""),"✖ Portal, User ID and Password are all needed",IF(AND(A1177="",COUNTIF(Clients!$B$5:$B$1005,B1177)=0),"Not on Clients — will match a portal client by name",IF(AND(C1177="GST",D1177&lt;&gt;"",COUNTIF(Clients!$AN$5:$AN$1005,UPPER(D1177))=0,COUNTIF(Clients!$G$5:$G$1005,"*"&amp;UPPER(D1177)&amp;"*")=0),"GSTIN not on Clients — will be checked in the portal","✔ OK")))))</f>
        <v/>
      </c>
    </row>
    <row r="1178">
      <c r="A1178" s="38" t="n"/>
      <c r="B1178" s="39" t="n"/>
      <c r="C1178" s="39" t="n"/>
      <c r="D1178" s="38" t="n"/>
      <c r="E1178" s="38" t="n"/>
      <c r="F1178" s="38" t="n"/>
      <c r="G1178" s="37">
        <f>IF(COUNTA(A1178:F1178)=0,"",IF(A1178="EXAMPLE","Example (skipped)",IF(OR(C1178="",E1178="",F1178=""),"✖ Portal, User ID and Password are all needed",IF(AND(A1178="",COUNTIF(Clients!$B$5:$B$1005,B1178)=0),"Not on Clients — will match a portal client by name",IF(AND(C1178="GST",D1178&lt;&gt;"",COUNTIF(Clients!$AN$5:$AN$1005,UPPER(D1178))=0,COUNTIF(Clients!$G$5:$G$1005,"*"&amp;UPPER(D1178)&amp;"*")=0),"GSTIN not on Clients — will be checked in the portal","✔ OK")))))</f>
        <v/>
      </c>
    </row>
    <row r="1179">
      <c r="A1179" s="38" t="n"/>
      <c r="B1179" s="39" t="n"/>
      <c r="C1179" s="39" t="n"/>
      <c r="D1179" s="38" t="n"/>
      <c r="E1179" s="38" t="n"/>
      <c r="F1179" s="38" t="n"/>
      <c r="G1179" s="37">
        <f>IF(COUNTA(A1179:F1179)=0,"",IF(A1179="EXAMPLE","Example (skipped)",IF(OR(C1179="",E1179="",F1179=""),"✖ Portal, User ID and Password are all needed",IF(AND(A1179="",COUNTIF(Clients!$B$5:$B$1005,B1179)=0),"Not on Clients — will match a portal client by name",IF(AND(C1179="GST",D1179&lt;&gt;"",COUNTIF(Clients!$AN$5:$AN$1005,UPPER(D1179))=0,COUNTIF(Clients!$G$5:$G$1005,"*"&amp;UPPER(D1179)&amp;"*")=0),"GSTIN not on Clients — will be checked in the portal","✔ OK")))))</f>
        <v/>
      </c>
    </row>
    <row r="1180">
      <c r="A1180" s="38" t="n"/>
      <c r="B1180" s="39" t="n"/>
      <c r="C1180" s="39" t="n"/>
      <c r="D1180" s="38" t="n"/>
      <c r="E1180" s="38" t="n"/>
      <c r="F1180" s="38" t="n"/>
      <c r="G1180" s="37">
        <f>IF(COUNTA(A1180:F1180)=0,"",IF(A1180="EXAMPLE","Example (skipped)",IF(OR(C1180="",E1180="",F1180=""),"✖ Portal, User ID and Password are all needed",IF(AND(A1180="",COUNTIF(Clients!$B$5:$B$1005,B1180)=0),"Not on Clients — will match a portal client by name",IF(AND(C1180="GST",D1180&lt;&gt;"",COUNTIF(Clients!$AN$5:$AN$1005,UPPER(D1180))=0,COUNTIF(Clients!$G$5:$G$1005,"*"&amp;UPPER(D1180)&amp;"*")=0),"GSTIN not on Clients — will be checked in the portal","✔ OK")))))</f>
        <v/>
      </c>
    </row>
    <row r="1181">
      <c r="A1181" s="38" t="n"/>
      <c r="B1181" s="39" t="n"/>
      <c r="C1181" s="39" t="n"/>
      <c r="D1181" s="38" t="n"/>
      <c r="E1181" s="38" t="n"/>
      <c r="F1181" s="38" t="n"/>
      <c r="G1181" s="37">
        <f>IF(COUNTA(A1181:F1181)=0,"",IF(A1181="EXAMPLE","Example (skipped)",IF(OR(C1181="",E1181="",F1181=""),"✖ Portal, User ID and Password are all needed",IF(AND(A1181="",COUNTIF(Clients!$B$5:$B$1005,B1181)=0),"Not on Clients — will match a portal client by name",IF(AND(C1181="GST",D1181&lt;&gt;"",COUNTIF(Clients!$AN$5:$AN$1005,UPPER(D1181))=0,COUNTIF(Clients!$G$5:$G$1005,"*"&amp;UPPER(D1181)&amp;"*")=0),"GSTIN not on Clients — will be checked in the portal","✔ OK")))))</f>
        <v/>
      </c>
    </row>
    <row r="1182">
      <c r="A1182" s="38" t="n"/>
      <c r="B1182" s="39" t="n"/>
      <c r="C1182" s="39" t="n"/>
      <c r="D1182" s="38" t="n"/>
      <c r="E1182" s="38" t="n"/>
      <c r="F1182" s="38" t="n"/>
      <c r="G1182" s="37">
        <f>IF(COUNTA(A1182:F1182)=0,"",IF(A1182="EXAMPLE","Example (skipped)",IF(OR(C1182="",E1182="",F1182=""),"✖ Portal, User ID and Password are all needed",IF(AND(A1182="",COUNTIF(Clients!$B$5:$B$1005,B1182)=0),"Not on Clients — will match a portal client by name",IF(AND(C1182="GST",D1182&lt;&gt;"",COUNTIF(Clients!$AN$5:$AN$1005,UPPER(D1182))=0,COUNTIF(Clients!$G$5:$G$1005,"*"&amp;UPPER(D1182)&amp;"*")=0),"GSTIN not on Clients — will be checked in the portal","✔ OK")))))</f>
        <v/>
      </c>
    </row>
    <row r="1183">
      <c r="A1183" s="38" t="n"/>
      <c r="B1183" s="39" t="n"/>
      <c r="C1183" s="39" t="n"/>
      <c r="D1183" s="38" t="n"/>
      <c r="E1183" s="38" t="n"/>
      <c r="F1183" s="38" t="n"/>
      <c r="G1183" s="37">
        <f>IF(COUNTA(A1183:F1183)=0,"",IF(A1183="EXAMPLE","Example (skipped)",IF(OR(C1183="",E1183="",F1183=""),"✖ Portal, User ID and Password are all needed",IF(AND(A1183="",COUNTIF(Clients!$B$5:$B$1005,B1183)=0),"Not on Clients — will match a portal client by name",IF(AND(C1183="GST",D1183&lt;&gt;"",COUNTIF(Clients!$AN$5:$AN$1005,UPPER(D1183))=0,COUNTIF(Clients!$G$5:$G$1005,"*"&amp;UPPER(D1183)&amp;"*")=0),"GSTIN not on Clients — will be checked in the portal","✔ OK")))))</f>
        <v/>
      </c>
    </row>
    <row r="1184">
      <c r="A1184" s="38" t="n"/>
      <c r="B1184" s="39" t="n"/>
      <c r="C1184" s="39" t="n"/>
      <c r="D1184" s="38" t="n"/>
      <c r="E1184" s="38" t="n"/>
      <c r="F1184" s="38" t="n"/>
      <c r="G1184" s="37">
        <f>IF(COUNTA(A1184:F1184)=0,"",IF(A1184="EXAMPLE","Example (skipped)",IF(OR(C1184="",E1184="",F1184=""),"✖ Portal, User ID and Password are all needed",IF(AND(A1184="",COUNTIF(Clients!$B$5:$B$1005,B1184)=0),"Not on Clients — will match a portal client by name",IF(AND(C1184="GST",D1184&lt;&gt;"",COUNTIF(Clients!$AN$5:$AN$1005,UPPER(D1184))=0,COUNTIF(Clients!$G$5:$G$1005,"*"&amp;UPPER(D1184)&amp;"*")=0),"GSTIN not on Clients — will be checked in the portal","✔ OK")))))</f>
        <v/>
      </c>
    </row>
    <row r="1185">
      <c r="A1185" s="38" t="n"/>
      <c r="B1185" s="39" t="n"/>
      <c r="C1185" s="39" t="n"/>
      <c r="D1185" s="38" t="n"/>
      <c r="E1185" s="38" t="n"/>
      <c r="F1185" s="38" t="n"/>
      <c r="G1185" s="37">
        <f>IF(COUNTA(A1185:F1185)=0,"",IF(A1185="EXAMPLE","Example (skipped)",IF(OR(C1185="",E1185="",F1185=""),"✖ Portal, User ID and Password are all needed",IF(AND(A1185="",COUNTIF(Clients!$B$5:$B$1005,B1185)=0),"Not on Clients — will match a portal client by name",IF(AND(C1185="GST",D1185&lt;&gt;"",COUNTIF(Clients!$AN$5:$AN$1005,UPPER(D1185))=0,COUNTIF(Clients!$G$5:$G$1005,"*"&amp;UPPER(D1185)&amp;"*")=0),"GSTIN not on Clients — will be checked in the portal","✔ OK")))))</f>
        <v/>
      </c>
    </row>
    <row r="1186">
      <c r="A1186" s="38" t="n"/>
      <c r="B1186" s="39" t="n"/>
      <c r="C1186" s="39" t="n"/>
      <c r="D1186" s="38" t="n"/>
      <c r="E1186" s="38" t="n"/>
      <c r="F1186" s="38" t="n"/>
      <c r="G1186" s="37">
        <f>IF(COUNTA(A1186:F1186)=0,"",IF(A1186="EXAMPLE","Example (skipped)",IF(OR(C1186="",E1186="",F1186=""),"✖ Portal, User ID and Password are all needed",IF(AND(A1186="",COUNTIF(Clients!$B$5:$B$1005,B1186)=0),"Not on Clients — will match a portal client by name",IF(AND(C1186="GST",D1186&lt;&gt;"",COUNTIF(Clients!$AN$5:$AN$1005,UPPER(D1186))=0,COUNTIF(Clients!$G$5:$G$1005,"*"&amp;UPPER(D1186)&amp;"*")=0),"GSTIN not on Clients — will be checked in the portal","✔ OK")))))</f>
        <v/>
      </c>
    </row>
    <row r="1187">
      <c r="A1187" s="38" t="n"/>
      <c r="B1187" s="39" t="n"/>
      <c r="C1187" s="39" t="n"/>
      <c r="D1187" s="38" t="n"/>
      <c r="E1187" s="38" t="n"/>
      <c r="F1187" s="38" t="n"/>
      <c r="G1187" s="37">
        <f>IF(COUNTA(A1187:F1187)=0,"",IF(A1187="EXAMPLE","Example (skipped)",IF(OR(C1187="",E1187="",F1187=""),"✖ Portal, User ID and Password are all needed",IF(AND(A1187="",COUNTIF(Clients!$B$5:$B$1005,B1187)=0),"Not on Clients — will match a portal client by name",IF(AND(C1187="GST",D1187&lt;&gt;"",COUNTIF(Clients!$AN$5:$AN$1005,UPPER(D1187))=0,COUNTIF(Clients!$G$5:$G$1005,"*"&amp;UPPER(D1187)&amp;"*")=0),"GSTIN not on Clients — will be checked in the portal","✔ OK")))))</f>
        <v/>
      </c>
    </row>
    <row r="1188">
      <c r="A1188" s="38" t="n"/>
      <c r="B1188" s="39" t="n"/>
      <c r="C1188" s="39" t="n"/>
      <c r="D1188" s="38" t="n"/>
      <c r="E1188" s="38" t="n"/>
      <c r="F1188" s="38" t="n"/>
      <c r="G1188" s="37">
        <f>IF(COUNTA(A1188:F1188)=0,"",IF(A1188="EXAMPLE","Example (skipped)",IF(OR(C1188="",E1188="",F1188=""),"✖ Portal, User ID and Password are all needed",IF(AND(A1188="",COUNTIF(Clients!$B$5:$B$1005,B1188)=0),"Not on Clients — will match a portal client by name",IF(AND(C1188="GST",D1188&lt;&gt;"",COUNTIF(Clients!$AN$5:$AN$1005,UPPER(D1188))=0,COUNTIF(Clients!$G$5:$G$1005,"*"&amp;UPPER(D1188)&amp;"*")=0),"GSTIN not on Clients — will be checked in the portal","✔ OK")))))</f>
        <v/>
      </c>
    </row>
    <row r="1189">
      <c r="A1189" s="38" t="n"/>
      <c r="B1189" s="39" t="n"/>
      <c r="C1189" s="39" t="n"/>
      <c r="D1189" s="38" t="n"/>
      <c r="E1189" s="38" t="n"/>
      <c r="F1189" s="38" t="n"/>
      <c r="G1189" s="37">
        <f>IF(COUNTA(A1189:F1189)=0,"",IF(A1189="EXAMPLE","Example (skipped)",IF(OR(C1189="",E1189="",F1189=""),"✖ Portal, User ID and Password are all needed",IF(AND(A1189="",COUNTIF(Clients!$B$5:$B$1005,B1189)=0),"Not on Clients — will match a portal client by name",IF(AND(C1189="GST",D1189&lt;&gt;"",COUNTIF(Clients!$AN$5:$AN$1005,UPPER(D1189))=0,COUNTIF(Clients!$G$5:$G$1005,"*"&amp;UPPER(D1189)&amp;"*")=0),"GSTIN not on Clients — will be checked in the portal","✔ OK")))))</f>
        <v/>
      </c>
    </row>
    <row r="1190">
      <c r="A1190" s="38" t="n"/>
      <c r="B1190" s="39" t="n"/>
      <c r="C1190" s="39" t="n"/>
      <c r="D1190" s="38" t="n"/>
      <c r="E1190" s="38" t="n"/>
      <c r="F1190" s="38" t="n"/>
      <c r="G1190" s="37">
        <f>IF(COUNTA(A1190:F1190)=0,"",IF(A1190="EXAMPLE","Example (skipped)",IF(OR(C1190="",E1190="",F1190=""),"✖ Portal, User ID and Password are all needed",IF(AND(A1190="",COUNTIF(Clients!$B$5:$B$1005,B1190)=0),"Not on Clients — will match a portal client by name",IF(AND(C1190="GST",D1190&lt;&gt;"",COUNTIF(Clients!$AN$5:$AN$1005,UPPER(D1190))=0,COUNTIF(Clients!$G$5:$G$1005,"*"&amp;UPPER(D1190)&amp;"*")=0),"GSTIN not on Clients — will be checked in the portal","✔ OK")))))</f>
        <v/>
      </c>
    </row>
    <row r="1191">
      <c r="A1191" s="38" t="n"/>
      <c r="B1191" s="39" t="n"/>
      <c r="C1191" s="39" t="n"/>
      <c r="D1191" s="38" t="n"/>
      <c r="E1191" s="38" t="n"/>
      <c r="F1191" s="38" t="n"/>
      <c r="G1191" s="37">
        <f>IF(COUNTA(A1191:F1191)=0,"",IF(A1191="EXAMPLE","Example (skipped)",IF(OR(C1191="",E1191="",F1191=""),"✖ Portal, User ID and Password are all needed",IF(AND(A1191="",COUNTIF(Clients!$B$5:$B$1005,B1191)=0),"Not on Clients — will match a portal client by name",IF(AND(C1191="GST",D1191&lt;&gt;"",COUNTIF(Clients!$AN$5:$AN$1005,UPPER(D1191))=0,COUNTIF(Clients!$G$5:$G$1005,"*"&amp;UPPER(D1191)&amp;"*")=0),"GSTIN not on Clients — will be checked in the portal","✔ OK")))))</f>
        <v/>
      </c>
    </row>
    <row r="1192">
      <c r="A1192" s="38" t="n"/>
      <c r="B1192" s="39" t="n"/>
      <c r="C1192" s="39" t="n"/>
      <c r="D1192" s="38" t="n"/>
      <c r="E1192" s="38" t="n"/>
      <c r="F1192" s="38" t="n"/>
      <c r="G1192" s="37">
        <f>IF(COUNTA(A1192:F1192)=0,"",IF(A1192="EXAMPLE","Example (skipped)",IF(OR(C1192="",E1192="",F1192=""),"✖ Portal, User ID and Password are all needed",IF(AND(A1192="",COUNTIF(Clients!$B$5:$B$1005,B1192)=0),"Not on Clients — will match a portal client by name",IF(AND(C1192="GST",D1192&lt;&gt;"",COUNTIF(Clients!$AN$5:$AN$1005,UPPER(D1192))=0,COUNTIF(Clients!$G$5:$G$1005,"*"&amp;UPPER(D1192)&amp;"*")=0),"GSTIN not on Clients — will be checked in the portal","✔ OK")))))</f>
        <v/>
      </c>
    </row>
    <row r="1193">
      <c r="A1193" s="38" t="n"/>
      <c r="B1193" s="39" t="n"/>
      <c r="C1193" s="39" t="n"/>
      <c r="D1193" s="38" t="n"/>
      <c r="E1193" s="38" t="n"/>
      <c r="F1193" s="38" t="n"/>
      <c r="G1193" s="37">
        <f>IF(COUNTA(A1193:F1193)=0,"",IF(A1193="EXAMPLE","Example (skipped)",IF(OR(C1193="",E1193="",F1193=""),"✖ Portal, User ID and Password are all needed",IF(AND(A1193="",COUNTIF(Clients!$B$5:$B$1005,B1193)=0),"Not on Clients — will match a portal client by name",IF(AND(C1193="GST",D1193&lt;&gt;"",COUNTIF(Clients!$AN$5:$AN$1005,UPPER(D1193))=0,COUNTIF(Clients!$G$5:$G$1005,"*"&amp;UPPER(D1193)&amp;"*")=0),"GSTIN not on Clients — will be checked in the portal","✔ OK")))))</f>
        <v/>
      </c>
    </row>
    <row r="1194">
      <c r="A1194" s="38" t="n"/>
      <c r="B1194" s="39" t="n"/>
      <c r="C1194" s="39" t="n"/>
      <c r="D1194" s="38" t="n"/>
      <c r="E1194" s="38" t="n"/>
      <c r="F1194" s="38" t="n"/>
      <c r="G1194" s="37">
        <f>IF(COUNTA(A1194:F1194)=0,"",IF(A1194="EXAMPLE","Example (skipped)",IF(OR(C1194="",E1194="",F1194=""),"✖ Portal, User ID and Password are all needed",IF(AND(A1194="",COUNTIF(Clients!$B$5:$B$1005,B1194)=0),"Not on Clients — will match a portal client by name",IF(AND(C1194="GST",D1194&lt;&gt;"",COUNTIF(Clients!$AN$5:$AN$1005,UPPER(D1194))=0,COUNTIF(Clients!$G$5:$G$1005,"*"&amp;UPPER(D1194)&amp;"*")=0),"GSTIN not on Clients — will be checked in the portal","✔ OK")))))</f>
        <v/>
      </c>
    </row>
    <row r="1195">
      <c r="A1195" s="38" t="n"/>
      <c r="B1195" s="39" t="n"/>
      <c r="C1195" s="39" t="n"/>
      <c r="D1195" s="38" t="n"/>
      <c r="E1195" s="38" t="n"/>
      <c r="F1195" s="38" t="n"/>
      <c r="G1195" s="37">
        <f>IF(COUNTA(A1195:F1195)=0,"",IF(A1195="EXAMPLE","Example (skipped)",IF(OR(C1195="",E1195="",F1195=""),"✖ Portal, User ID and Password are all needed",IF(AND(A1195="",COUNTIF(Clients!$B$5:$B$1005,B1195)=0),"Not on Clients — will match a portal client by name",IF(AND(C1195="GST",D1195&lt;&gt;"",COUNTIF(Clients!$AN$5:$AN$1005,UPPER(D1195))=0,COUNTIF(Clients!$G$5:$G$1005,"*"&amp;UPPER(D1195)&amp;"*")=0),"GSTIN not on Clients — will be checked in the portal","✔ OK")))))</f>
        <v/>
      </c>
    </row>
    <row r="1196">
      <c r="A1196" s="38" t="n"/>
      <c r="B1196" s="39" t="n"/>
      <c r="C1196" s="39" t="n"/>
      <c r="D1196" s="38" t="n"/>
      <c r="E1196" s="38" t="n"/>
      <c r="F1196" s="38" t="n"/>
      <c r="G1196" s="37">
        <f>IF(COUNTA(A1196:F1196)=0,"",IF(A1196="EXAMPLE","Example (skipped)",IF(OR(C1196="",E1196="",F1196=""),"✖ Portal, User ID and Password are all needed",IF(AND(A1196="",COUNTIF(Clients!$B$5:$B$1005,B1196)=0),"Not on Clients — will match a portal client by name",IF(AND(C1196="GST",D1196&lt;&gt;"",COUNTIF(Clients!$AN$5:$AN$1005,UPPER(D1196))=0,COUNTIF(Clients!$G$5:$G$1005,"*"&amp;UPPER(D1196)&amp;"*")=0),"GSTIN not on Clients — will be checked in the portal","✔ OK")))))</f>
        <v/>
      </c>
    </row>
    <row r="1197">
      <c r="A1197" s="38" t="n"/>
      <c r="B1197" s="39" t="n"/>
      <c r="C1197" s="39" t="n"/>
      <c r="D1197" s="38" t="n"/>
      <c r="E1197" s="38" t="n"/>
      <c r="F1197" s="38" t="n"/>
      <c r="G1197" s="37">
        <f>IF(COUNTA(A1197:F1197)=0,"",IF(A1197="EXAMPLE","Example (skipped)",IF(OR(C1197="",E1197="",F1197=""),"✖ Portal, User ID and Password are all needed",IF(AND(A1197="",COUNTIF(Clients!$B$5:$B$1005,B1197)=0),"Not on Clients — will match a portal client by name",IF(AND(C1197="GST",D1197&lt;&gt;"",COUNTIF(Clients!$AN$5:$AN$1005,UPPER(D1197))=0,COUNTIF(Clients!$G$5:$G$1005,"*"&amp;UPPER(D1197)&amp;"*")=0),"GSTIN not on Clients — will be checked in the portal","✔ OK")))))</f>
        <v/>
      </c>
    </row>
    <row r="1198">
      <c r="A1198" s="38" t="n"/>
      <c r="B1198" s="39" t="n"/>
      <c r="C1198" s="39" t="n"/>
      <c r="D1198" s="38" t="n"/>
      <c r="E1198" s="38" t="n"/>
      <c r="F1198" s="38" t="n"/>
      <c r="G1198" s="37">
        <f>IF(COUNTA(A1198:F1198)=0,"",IF(A1198="EXAMPLE","Example (skipped)",IF(OR(C1198="",E1198="",F1198=""),"✖ Portal, User ID and Password are all needed",IF(AND(A1198="",COUNTIF(Clients!$B$5:$B$1005,B1198)=0),"Not on Clients — will match a portal client by name",IF(AND(C1198="GST",D1198&lt;&gt;"",COUNTIF(Clients!$AN$5:$AN$1005,UPPER(D1198))=0,COUNTIF(Clients!$G$5:$G$1005,"*"&amp;UPPER(D1198)&amp;"*")=0),"GSTIN not on Clients — will be checked in the portal","✔ OK")))))</f>
        <v/>
      </c>
    </row>
    <row r="1199">
      <c r="A1199" s="38" t="n"/>
      <c r="B1199" s="39" t="n"/>
      <c r="C1199" s="39" t="n"/>
      <c r="D1199" s="38" t="n"/>
      <c r="E1199" s="38" t="n"/>
      <c r="F1199" s="38" t="n"/>
      <c r="G1199" s="37">
        <f>IF(COUNTA(A1199:F1199)=0,"",IF(A1199="EXAMPLE","Example (skipped)",IF(OR(C1199="",E1199="",F1199=""),"✖ Portal, User ID and Password are all needed",IF(AND(A1199="",COUNTIF(Clients!$B$5:$B$1005,B1199)=0),"Not on Clients — will match a portal client by name",IF(AND(C1199="GST",D1199&lt;&gt;"",COUNTIF(Clients!$AN$5:$AN$1005,UPPER(D1199))=0,COUNTIF(Clients!$G$5:$G$1005,"*"&amp;UPPER(D1199)&amp;"*")=0),"GSTIN not on Clients — will be checked in the portal","✔ OK")))))</f>
        <v/>
      </c>
    </row>
    <row r="1200">
      <c r="A1200" s="38" t="n"/>
      <c r="B1200" s="39" t="n"/>
      <c r="C1200" s="39" t="n"/>
      <c r="D1200" s="38" t="n"/>
      <c r="E1200" s="38" t="n"/>
      <c r="F1200" s="38" t="n"/>
      <c r="G1200" s="37">
        <f>IF(COUNTA(A1200:F1200)=0,"",IF(A1200="EXAMPLE","Example (skipped)",IF(OR(C1200="",E1200="",F1200=""),"✖ Portal, User ID and Password are all needed",IF(AND(A1200="",COUNTIF(Clients!$B$5:$B$1005,B1200)=0),"Not on Clients — will match a portal client by name",IF(AND(C1200="GST",D1200&lt;&gt;"",COUNTIF(Clients!$AN$5:$AN$1005,UPPER(D1200))=0,COUNTIF(Clients!$G$5:$G$1005,"*"&amp;UPPER(D1200)&amp;"*")=0),"GSTIN not on Clients — will be checked in the portal","✔ OK")))))</f>
        <v/>
      </c>
    </row>
    <row r="1201">
      <c r="A1201" s="38" t="n"/>
      <c r="B1201" s="39" t="n"/>
      <c r="C1201" s="39" t="n"/>
      <c r="D1201" s="38" t="n"/>
      <c r="E1201" s="38" t="n"/>
      <c r="F1201" s="38" t="n"/>
      <c r="G1201" s="37">
        <f>IF(COUNTA(A1201:F1201)=0,"",IF(A1201="EXAMPLE","Example (skipped)",IF(OR(C1201="",E1201="",F1201=""),"✖ Portal, User ID and Password are all needed",IF(AND(A1201="",COUNTIF(Clients!$B$5:$B$1005,B1201)=0),"Not on Clients — will match a portal client by name",IF(AND(C1201="GST",D1201&lt;&gt;"",COUNTIF(Clients!$AN$5:$AN$1005,UPPER(D1201))=0,COUNTIF(Clients!$G$5:$G$1005,"*"&amp;UPPER(D1201)&amp;"*")=0),"GSTIN not on Clients — will be checked in the portal","✔ OK")))))</f>
        <v/>
      </c>
    </row>
    <row r="1202">
      <c r="A1202" s="38" t="n"/>
      <c r="B1202" s="39" t="n"/>
      <c r="C1202" s="39" t="n"/>
      <c r="D1202" s="38" t="n"/>
      <c r="E1202" s="38" t="n"/>
      <c r="F1202" s="38" t="n"/>
      <c r="G1202" s="37">
        <f>IF(COUNTA(A1202:F1202)=0,"",IF(A1202="EXAMPLE","Example (skipped)",IF(OR(C1202="",E1202="",F1202=""),"✖ Portal, User ID and Password are all needed",IF(AND(A1202="",COUNTIF(Clients!$B$5:$B$1005,B1202)=0),"Not on Clients — will match a portal client by name",IF(AND(C1202="GST",D1202&lt;&gt;"",COUNTIF(Clients!$AN$5:$AN$1005,UPPER(D1202))=0,COUNTIF(Clients!$G$5:$G$1005,"*"&amp;UPPER(D1202)&amp;"*")=0),"GSTIN not on Clients — will be checked in the portal","✔ OK")))))</f>
        <v/>
      </c>
    </row>
    <row r="1203">
      <c r="A1203" s="38" t="n"/>
      <c r="B1203" s="39" t="n"/>
      <c r="C1203" s="39" t="n"/>
      <c r="D1203" s="38" t="n"/>
      <c r="E1203" s="38" t="n"/>
      <c r="F1203" s="38" t="n"/>
      <c r="G1203" s="37">
        <f>IF(COUNTA(A1203:F1203)=0,"",IF(A1203="EXAMPLE","Example (skipped)",IF(OR(C1203="",E1203="",F1203=""),"✖ Portal, User ID and Password are all needed",IF(AND(A1203="",COUNTIF(Clients!$B$5:$B$1005,B1203)=0),"Not on Clients — will match a portal client by name",IF(AND(C1203="GST",D1203&lt;&gt;"",COUNTIF(Clients!$AN$5:$AN$1005,UPPER(D1203))=0,COUNTIF(Clients!$G$5:$G$1005,"*"&amp;UPPER(D1203)&amp;"*")=0),"GSTIN not on Clients — will be checked in the portal","✔ OK")))))</f>
        <v/>
      </c>
    </row>
    <row r="1204">
      <c r="A1204" s="38" t="n"/>
      <c r="B1204" s="39" t="n"/>
      <c r="C1204" s="39" t="n"/>
      <c r="D1204" s="38" t="n"/>
      <c r="E1204" s="38" t="n"/>
      <c r="F1204" s="38" t="n"/>
      <c r="G1204" s="37">
        <f>IF(COUNTA(A1204:F1204)=0,"",IF(A1204="EXAMPLE","Example (skipped)",IF(OR(C1204="",E1204="",F1204=""),"✖ Portal, User ID and Password are all needed",IF(AND(A1204="",COUNTIF(Clients!$B$5:$B$1005,B1204)=0),"Not on Clients — will match a portal client by name",IF(AND(C1204="GST",D1204&lt;&gt;"",COUNTIF(Clients!$AN$5:$AN$1005,UPPER(D1204))=0,COUNTIF(Clients!$G$5:$G$1005,"*"&amp;UPPER(D1204)&amp;"*")=0),"GSTIN not on Clients — will be checked in the portal","✔ OK")))))</f>
        <v/>
      </c>
    </row>
    <row r="1205">
      <c r="A1205" s="38" t="n"/>
      <c r="B1205" s="39" t="n"/>
      <c r="C1205" s="39" t="n"/>
      <c r="D1205" s="38" t="n"/>
      <c r="E1205" s="38" t="n"/>
      <c r="F1205" s="38" t="n"/>
      <c r="G1205" s="37">
        <f>IF(COUNTA(A1205:F1205)=0,"",IF(A1205="EXAMPLE","Example (skipped)",IF(OR(C1205="",E1205="",F1205=""),"✖ Portal, User ID and Password are all needed",IF(AND(A1205="",COUNTIF(Clients!$B$5:$B$1005,B1205)=0),"Not on Clients — will match a portal client by name",IF(AND(C1205="GST",D1205&lt;&gt;"",COUNTIF(Clients!$AN$5:$AN$1005,UPPER(D1205))=0,COUNTIF(Clients!$G$5:$G$1005,"*"&amp;UPPER(D1205)&amp;"*")=0),"GSTIN not on Clients — will be checked in the portal","✔ OK")))))</f>
        <v/>
      </c>
    </row>
    <row r="1206">
      <c r="A1206" s="38" t="n"/>
      <c r="B1206" s="39" t="n"/>
      <c r="C1206" s="39" t="n"/>
      <c r="D1206" s="38" t="n"/>
      <c r="E1206" s="38" t="n"/>
      <c r="F1206" s="38" t="n"/>
      <c r="G1206" s="37">
        <f>IF(COUNTA(A1206:F1206)=0,"",IF(A1206="EXAMPLE","Example (skipped)",IF(OR(C1206="",E1206="",F1206=""),"✖ Portal, User ID and Password are all needed",IF(AND(A1206="",COUNTIF(Clients!$B$5:$B$1005,B1206)=0),"Not on Clients — will match a portal client by name",IF(AND(C1206="GST",D1206&lt;&gt;"",COUNTIF(Clients!$AN$5:$AN$1005,UPPER(D1206))=0,COUNTIF(Clients!$G$5:$G$1005,"*"&amp;UPPER(D1206)&amp;"*")=0),"GSTIN not on Clients — will be checked in the portal","✔ OK")))))</f>
        <v/>
      </c>
    </row>
    <row r="1207">
      <c r="A1207" s="38" t="n"/>
      <c r="B1207" s="39" t="n"/>
      <c r="C1207" s="39" t="n"/>
      <c r="D1207" s="38" t="n"/>
      <c r="E1207" s="38" t="n"/>
      <c r="F1207" s="38" t="n"/>
      <c r="G1207" s="37">
        <f>IF(COUNTA(A1207:F1207)=0,"",IF(A1207="EXAMPLE","Example (skipped)",IF(OR(C1207="",E1207="",F1207=""),"✖ Portal, User ID and Password are all needed",IF(AND(A1207="",COUNTIF(Clients!$B$5:$B$1005,B1207)=0),"Not on Clients — will match a portal client by name",IF(AND(C1207="GST",D1207&lt;&gt;"",COUNTIF(Clients!$AN$5:$AN$1005,UPPER(D1207))=0,COUNTIF(Clients!$G$5:$G$1005,"*"&amp;UPPER(D1207)&amp;"*")=0),"GSTIN not on Clients — will be checked in the portal","✔ OK")))))</f>
        <v/>
      </c>
    </row>
    <row r="1208">
      <c r="A1208" s="38" t="n"/>
      <c r="B1208" s="39" t="n"/>
      <c r="C1208" s="39" t="n"/>
      <c r="D1208" s="38" t="n"/>
      <c r="E1208" s="38" t="n"/>
      <c r="F1208" s="38" t="n"/>
      <c r="G1208" s="37">
        <f>IF(COUNTA(A1208:F1208)=0,"",IF(A1208="EXAMPLE","Example (skipped)",IF(OR(C1208="",E1208="",F1208=""),"✖ Portal, User ID and Password are all needed",IF(AND(A1208="",COUNTIF(Clients!$B$5:$B$1005,B1208)=0),"Not on Clients — will match a portal client by name",IF(AND(C1208="GST",D1208&lt;&gt;"",COUNTIF(Clients!$AN$5:$AN$1005,UPPER(D1208))=0,COUNTIF(Clients!$G$5:$G$1005,"*"&amp;UPPER(D1208)&amp;"*")=0),"GSTIN not on Clients — will be checked in the portal","✔ OK")))))</f>
        <v/>
      </c>
    </row>
    <row r="1209">
      <c r="A1209" s="38" t="n"/>
      <c r="B1209" s="39" t="n"/>
      <c r="C1209" s="39" t="n"/>
      <c r="D1209" s="38" t="n"/>
      <c r="E1209" s="38" t="n"/>
      <c r="F1209" s="38" t="n"/>
      <c r="G1209" s="37">
        <f>IF(COUNTA(A1209:F1209)=0,"",IF(A1209="EXAMPLE","Example (skipped)",IF(OR(C1209="",E1209="",F1209=""),"✖ Portal, User ID and Password are all needed",IF(AND(A1209="",COUNTIF(Clients!$B$5:$B$1005,B1209)=0),"Not on Clients — will match a portal client by name",IF(AND(C1209="GST",D1209&lt;&gt;"",COUNTIF(Clients!$AN$5:$AN$1005,UPPER(D1209))=0,COUNTIF(Clients!$G$5:$G$1005,"*"&amp;UPPER(D1209)&amp;"*")=0),"GSTIN not on Clients — will be checked in the portal","✔ OK")))))</f>
        <v/>
      </c>
    </row>
    <row r="1210">
      <c r="A1210" s="38" t="n"/>
      <c r="B1210" s="39" t="n"/>
      <c r="C1210" s="39" t="n"/>
      <c r="D1210" s="38" t="n"/>
      <c r="E1210" s="38" t="n"/>
      <c r="F1210" s="38" t="n"/>
      <c r="G1210" s="37">
        <f>IF(COUNTA(A1210:F1210)=0,"",IF(A1210="EXAMPLE","Example (skipped)",IF(OR(C1210="",E1210="",F1210=""),"✖ Portal, User ID and Password are all needed",IF(AND(A1210="",COUNTIF(Clients!$B$5:$B$1005,B1210)=0),"Not on Clients — will match a portal client by name",IF(AND(C1210="GST",D1210&lt;&gt;"",COUNTIF(Clients!$AN$5:$AN$1005,UPPER(D1210))=0,COUNTIF(Clients!$G$5:$G$1005,"*"&amp;UPPER(D1210)&amp;"*")=0),"GSTIN not on Clients — will be checked in the portal","✔ OK")))))</f>
        <v/>
      </c>
    </row>
    <row r="1211">
      <c r="A1211" s="38" t="n"/>
      <c r="B1211" s="39" t="n"/>
      <c r="C1211" s="39" t="n"/>
      <c r="D1211" s="38" t="n"/>
      <c r="E1211" s="38" t="n"/>
      <c r="F1211" s="38" t="n"/>
      <c r="G1211" s="37">
        <f>IF(COUNTA(A1211:F1211)=0,"",IF(A1211="EXAMPLE","Example (skipped)",IF(OR(C1211="",E1211="",F1211=""),"✖ Portal, User ID and Password are all needed",IF(AND(A1211="",COUNTIF(Clients!$B$5:$B$1005,B1211)=0),"Not on Clients — will match a portal client by name",IF(AND(C1211="GST",D1211&lt;&gt;"",COUNTIF(Clients!$AN$5:$AN$1005,UPPER(D1211))=0,COUNTIF(Clients!$G$5:$G$1005,"*"&amp;UPPER(D1211)&amp;"*")=0),"GSTIN not on Clients — will be checked in the portal","✔ OK")))))</f>
        <v/>
      </c>
    </row>
    <row r="1212">
      <c r="A1212" s="38" t="n"/>
      <c r="B1212" s="39" t="n"/>
      <c r="C1212" s="39" t="n"/>
      <c r="D1212" s="38" t="n"/>
      <c r="E1212" s="38" t="n"/>
      <c r="F1212" s="38" t="n"/>
      <c r="G1212" s="37">
        <f>IF(COUNTA(A1212:F1212)=0,"",IF(A1212="EXAMPLE","Example (skipped)",IF(OR(C1212="",E1212="",F1212=""),"✖ Portal, User ID and Password are all needed",IF(AND(A1212="",COUNTIF(Clients!$B$5:$B$1005,B1212)=0),"Not on Clients — will match a portal client by name",IF(AND(C1212="GST",D1212&lt;&gt;"",COUNTIF(Clients!$AN$5:$AN$1005,UPPER(D1212))=0,COUNTIF(Clients!$G$5:$G$1005,"*"&amp;UPPER(D1212)&amp;"*")=0),"GSTIN not on Clients — will be checked in the portal","✔ OK")))))</f>
        <v/>
      </c>
    </row>
    <row r="1213">
      <c r="A1213" s="38" t="n"/>
      <c r="B1213" s="39" t="n"/>
      <c r="C1213" s="39" t="n"/>
      <c r="D1213" s="38" t="n"/>
      <c r="E1213" s="38" t="n"/>
      <c r="F1213" s="38" t="n"/>
      <c r="G1213" s="37">
        <f>IF(COUNTA(A1213:F1213)=0,"",IF(A1213="EXAMPLE","Example (skipped)",IF(OR(C1213="",E1213="",F1213=""),"✖ Portal, User ID and Password are all needed",IF(AND(A1213="",COUNTIF(Clients!$B$5:$B$1005,B1213)=0),"Not on Clients — will match a portal client by name",IF(AND(C1213="GST",D1213&lt;&gt;"",COUNTIF(Clients!$AN$5:$AN$1005,UPPER(D1213))=0,COUNTIF(Clients!$G$5:$G$1005,"*"&amp;UPPER(D1213)&amp;"*")=0),"GSTIN not on Clients — will be checked in the portal","✔ OK")))))</f>
        <v/>
      </c>
    </row>
    <row r="1214">
      <c r="A1214" s="38" t="n"/>
      <c r="B1214" s="39" t="n"/>
      <c r="C1214" s="39" t="n"/>
      <c r="D1214" s="38" t="n"/>
      <c r="E1214" s="38" t="n"/>
      <c r="F1214" s="38" t="n"/>
      <c r="G1214" s="37">
        <f>IF(COUNTA(A1214:F1214)=0,"",IF(A1214="EXAMPLE","Example (skipped)",IF(OR(C1214="",E1214="",F1214=""),"✖ Portal, User ID and Password are all needed",IF(AND(A1214="",COUNTIF(Clients!$B$5:$B$1005,B1214)=0),"Not on Clients — will match a portal client by name",IF(AND(C1214="GST",D1214&lt;&gt;"",COUNTIF(Clients!$AN$5:$AN$1005,UPPER(D1214))=0,COUNTIF(Clients!$G$5:$G$1005,"*"&amp;UPPER(D1214)&amp;"*")=0),"GSTIN not on Clients — will be checked in the portal","✔ OK")))))</f>
        <v/>
      </c>
    </row>
    <row r="1215">
      <c r="A1215" s="38" t="n"/>
      <c r="B1215" s="39" t="n"/>
      <c r="C1215" s="39" t="n"/>
      <c r="D1215" s="38" t="n"/>
      <c r="E1215" s="38" t="n"/>
      <c r="F1215" s="38" t="n"/>
      <c r="G1215" s="37">
        <f>IF(COUNTA(A1215:F1215)=0,"",IF(A1215="EXAMPLE","Example (skipped)",IF(OR(C1215="",E1215="",F1215=""),"✖ Portal, User ID and Password are all needed",IF(AND(A1215="",COUNTIF(Clients!$B$5:$B$1005,B1215)=0),"Not on Clients — will match a portal client by name",IF(AND(C1215="GST",D1215&lt;&gt;"",COUNTIF(Clients!$AN$5:$AN$1005,UPPER(D1215))=0,COUNTIF(Clients!$G$5:$G$1005,"*"&amp;UPPER(D1215)&amp;"*")=0),"GSTIN not on Clients — will be checked in the portal","✔ OK")))))</f>
        <v/>
      </c>
    </row>
    <row r="1216">
      <c r="A1216" s="38" t="n"/>
      <c r="B1216" s="39" t="n"/>
      <c r="C1216" s="39" t="n"/>
      <c r="D1216" s="38" t="n"/>
      <c r="E1216" s="38" t="n"/>
      <c r="F1216" s="38" t="n"/>
      <c r="G1216" s="37">
        <f>IF(COUNTA(A1216:F1216)=0,"",IF(A1216="EXAMPLE","Example (skipped)",IF(OR(C1216="",E1216="",F1216=""),"✖ Portal, User ID and Password are all needed",IF(AND(A1216="",COUNTIF(Clients!$B$5:$B$1005,B1216)=0),"Not on Clients — will match a portal client by name",IF(AND(C1216="GST",D1216&lt;&gt;"",COUNTIF(Clients!$AN$5:$AN$1005,UPPER(D1216))=0,COUNTIF(Clients!$G$5:$G$1005,"*"&amp;UPPER(D1216)&amp;"*")=0),"GSTIN not on Clients — will be checked in the portal","✔ OK")))))</f>
        <v/>
      </c>
    </row>
    <row r="1217">
      <c r="A1217" s="38" t="n"/>
      <c r="B1217" s="39" t="n"/>
      <c r="C1217" s="39" t="n"/>
      <c r="D1217" s="38" t="n"/>
      <c r="E1217" s="38" t="n"/>
      <c r="F1217" s="38" t="n"/>
      <c r="G1217" s="37">
        <f>IF(COUNTA(A1217:F1217)=0,"",IF(A1217="EXAMPLE","Example (skipped)",IF(OR(C1217="",E1217="",F1217=""),"✖ Portal, User ID and Password are all needed",IF(AND(A1217="",COUNTIF(Clients!$B$5:$B$1005,B1217)=0),"Not on Clients — will match a portal client by name",IF(AND(C1217="GST",D1217&lt;&gt;"",COUNTIF(Clients!$AN$5:$AN$1005,UPPER(D1217))=0,COUNTIF(Clients!$G$5:$G$1005,"*"&amp;UPPER(D1217)&amp;"*")=0),"GSTIN not on Clients — will be checked in the portal","✔ OK")))))</f>
        <v/>
      </c>
    </row>
    <row r="1218">
      <c r="A1218" s="38" t="n"/>
      <c r="B1218" s="39" t="n"/>
      <c r="C1218" s="39" t="n"/>
      <c r="D1218" s="38" t="n"/>
      <c r="E1218" s="38" t="n"/>
      <c r="F1218" s="38" t="n"/>
      <c r="G1218" s="37">
        <f>IF(COUNTA(A1218:F1218)=0,"",IF(A1218="EXAMPLE","Example (skipped)",IF(OR(C1218="",E1218="",F1218=""),"✖ Portal, User ID and Password are all needed",IF(AND(A1218="",COUNTIF(Clients!$B$5:$B$1005,B1218)=0),"Not on Clients — will match a portal client by name",IF(AND(C1218="GST",D1218&lt;&gt;"",COUNTIF(Clients!$AN$5:$AN$1005,UPPER(D1218))=0,COUNTIF(Clients!$G$5:$G$1005,"*"&amp;UPPER(D1218)&amp;"*")=0),"GSTIN not on Clients — will be checked in the portal","✔ OK")))))</f>
        <v/>
      </c>
    </row>
    <row r="1219">
      <c r="A1219" s="38" t="n"/>
      <c r="B1219" s="39" t="n"/>
      <c r="C1219" s="39" t="n"/>
      <c r="D1219" s="38" t="n"/>
      <c r="E1219" s="38" t="n"/>
      <c r="F1219" s="38" t="n"/>
      <c r="G1219" s="37">
        <f>IF(COUNTA(A1219:F1219)=0,"",IF(A1219="EXAMPLE","Example (skipped)",IF(OR(C1219="",E1219="",F1219=""),"✖ Portal, User ID and Password are all needed",IF(AND(A1219="",COUNTIF(Clients!$B$5:$B$1005,B1219)=0),"Not on Clients — will match a portal client by name",IF(AND(C1219="GST",D1219&lt;&gt;"",COUNTIF(Clients!$AN$5:$AN$1005,UPPER(D1219))=0,COUNTIF(Clients!$G$5:$G$1005,"*"&amp;UPPER(D1219)&amp;"*")=0),"GSTIN not on Clients — will be checked in the portal","✔ OK")))))</f>
        <v/>
      </c>
    </row>
    <row r="1220">
      <c r="A1220" s="38" t="n"/>
      <c r="B1220" s="39" t="n"/>
      <c r="C1220" s="39" t="n"/>
      <c r="D1220" s="38" t="n"/>
      <c r="E1220" s="38" t="n"/>
      <c r="F1220" s="38" t="n"/>
      <c r="G1220" s="37">
        <f>IF(COUNTA(A1220:F1220)=0,"",IF(A1220="EXAMPLE","Example (skipped)",IF(OR(C1220="",E1220="",F1220=""),"✖ Portal, User ID and Password are all needed",IF(AND(A1220="",COUNTIF(Clients!$B$5:$B$1005,B1220)=0),"Not on Clients — will match a portal client by name",IF(AND(C1220="GST",D1220&lt;&gt;"",COUNTIF(Clients!$AN$5:$AN$1005,UPPER(D1220))=0,COUNTIF(Clients!$G$5:$G$1005,"*"&amp;UPPER(D1220)&amp;"*")=0),"GSTIN not on Clients — will be checked in the portal","✔ OK")))))</f>
        <v/>
      </c>
    </row>
    <row r="1221">
      <c r="A1221" s="38" t="n"/>
      <c r="B1221" s="39" t="n"/>
      <c r="C1221" s="39" t="n"/>
      <c r="D1221" s="38" t="n"/>
      <c r="E1221" s="38" t="n"/>
      <c r="F1221" s="38" t="n"/>
      <c r="G1221" s="37">
        <f>IF(COUNTA(A1221:F1221)=0,"",IF(A1221="EXAMPLE","Example (skipped)",IF(OR(C1221="",E1221="",F1221=""),"✖ Portal, User ID and Password are all needed",IF(AND(A1221="",COUNTIF(Clients!$B$5:$B$1005,B1221)=0),"Not on Clients — will match a portal client by name",IF(AND(C1221="GST",D1221&lt;&gt;"",COUNTIF(Clients!$AN$5:$AN$1005,UPPER(D1221))=0,COUNTIF(Clients!$G$5:$G$1005,"*"&amp;UPPER(D1221)&amp;"*")=0),"GSTIN not on Clients — will be checked in the portal","✔ OK")))))</f>
        <v/>
      </c>
    </row>
    <row r="1222">
      <c r="A1222" s="38" t="n"/>
      <c r="B1222" s="39" t="n"/>
      <c r="C1222" s="39" t="n"/>
      <c r="D1222" s="38" t="n"/>
      <c r="E1222" s="38" t="n"/>
      <c r="F1222" s="38" t="n"/>
      <c r="G1222" s="37">
        <f>IF(COUNTA(A1222:F1222)=0,"",IF(A1222="EXAMPLE","Example (skipped)",IF(OR(C1222="",E1222="",F1222=""),"✖ Portal, User ID and Password are all needed",IF(AND(A1222="",COUNTIF(Clients!$B$5:$B$1005,B1222)=0),"Not on Clients — will match a portal client by name",IF(AND(C1222="GST",D1222&lt;&gt;"",COUNTIF(Clients!$AN$5:$AN$1005,UPPER(D1222))=0,COUNTIF(Clients!$G$5:$G$1005,"*"&amp;UPPER(D1222)&amp;"*")=0),"GSTIN not on Clients — will be checked in the portal","✔ OK")))))</f>
        <v/>
      </c>
    </row>
    <row r="1223">
      <c r="A1223" s="38" t="n"/>
      <c r="B1223" s="39" t="n"/>
      <c r="C1223" s="39" t="n"/>
      <c r="D1223" s="38" t="n"/>
      <c r="E1223" s="38" t="n"/>
      <c r="F1223" s="38" t="n"/>
      <c r="G1223" s="37">
        <f>IF(COUNTA(A1223:F1223)=0,"",IF(A1223="EXAMPLE","Example (skipped)",IF(OR(C1223="",E1223="",F1223=""),"✖ Portal, User ID and Password are all needed",IF(AND(A1223="",COUNTIF(Clients!$B$5:$B$1005,B1223)=0),"Not on Clients — will match a portal client by name",IF(AND(C1223="GST",D1223&lt;&gt;"",COUNTIF(Clients!$AN$5:$AN$1005,UPPER(D1223))=0,COUNTIF(Clients!$G$5:$G$1005,"*"&amp;UPPER(D1223)&amp;"*")=0),"GSTIN not on Clients — will be checked in the portal","✔ OK")))))</f>
        <v/>
      </c>
    </row>
    <row r="1224">
      <c r="A1224" s="38" t="n"/>
      <c r="B1224" s="39" t="n"/>
      <c r="C1224" s="39" t="n"/>
      <c r="D1224" s="38" t="n"/>
      <c r="E1224" s="38" t="n"/>
      <c r="F1224" s="38" t="n"/>
      <c r="G1224" s="37">
        <f>IF(COUNTA(A1224:F1224)=0,"",IF(A1224="EXAMPLE","Example (skipped)",IF(OR(C1224="",E1224="",F1224=""),"✖ Portal, User ID and Password are all needed",IF(AND(A1224="",COUNTIF(Clients!$B$5:$B$1005,B1224)=0),"Not on Clients — will match a portal client by name",IF(AND(C1224="GST",D1224&lt;&gt;"",COUNTIF(Clients!$AN$5:$AN$1005,UPPER(D1224))=0,COUNTIF(Clients!$G$5:$G$1005,"*"&amp;UPPER(D1224)&amp;"*")=0),"GSTIN not on Clients — will be checked in the portal","✔ OK")))))</f>
        <v/>
      </c>
    </row>
    <row r="1225">
      <c r="A1225" s="38" t="n"/>
      <c r="B1225" s="39" t="n"/>
      <c r="C1225" s="39" t="n"/>
      <c r="D1225" s="38" t="n"/>
      <c r="E1225" s="38" t="n"/>
      <c r="F1225" s="38" t="n"/>
      <c r="G1225" s="37">
        <f>IF(COUNTA(A1225:F1225)=0,"",IF(A1225="EXAMPLE","Example (skipped)",IF(OR(C1225="",E1225="",F1225=""),"✖ Portal, User ID and Password are all needed",IF(AND(A1225="",COUNTIF(Clients!$B$5:$B$1005,B1225)=0),"Not on Clients — will match a portal client by name",IF(AND(C1225="GST",D1225&lt;&gt;"",COUNTIF(Clients!$AN$5:$AN$1005,UPPER(D1225))=0,COUNTIF(Clients!$G$5:$G$1005,"*"&amp;UPPER(D1225)&amp;"*")=0),"GSTIN not on Clients — will be checked in the portal","✔ OK")))))</f>
        <v/>
      </c>
    </row>
    <row r="1226">
      <c r="A1226" s="38" t="n"/>
      <c r="B1226" s="39" t="n"/>
      <c r="C1226" s="39" t="n"/>
      <c r="D1226" s="38" t="n"/>
      <c r="E1226" s="38" t="n"/>
      <c r="F1226" s="38" t="n"/>
      <c r="G1226" s="37">
        <f>IF(COUNTA(A1226:F1226)=0,"",IF(A1226="EXAMPLE","Example (skipped)",IF(OR(C1226="",E1226="",F1226=""),"✖ Portal, User ID and Password are all needed",IF(AND(A1226="",COUNTIF(Clients!$B$5:$B$1005,B1226)=0),"Not on Clients — will match a portal client by name",IF(AND(C1226="GST",D1226&lt;&gt;"",COUNTIF(Clients!$AN$5:$AN$1005,UPPER(D1226))=0,COUNTIF(Clients!$G$5:$G$1005,"*"&amp;UPPER(D1226)&amp;"*")=0),"GSTIN not on Clients — will be checked in the portal","✔ OK")))))</f>
        <v/>
      </c>
    </row>
    <row r="1227">
      <c r="A1227" s="38" t="n"/>
      <c r="B1227" s="39" t="n"/>
      <c r="C1227" s="39" t="n"/>
      <c r="D1227" s="38" t="n"/>
      <c r="E1227" s="38" t="n"/>
      <c r="F1227" s="38" t="n"/>
      <c r="G1227" s="37">
        <f>IF(COUNTA(A1227:F1227)=0,"",IF(A1227="EXAMPLE","Example (skipped)",IF(OR(C1227="",E1227="",F1227=""),"✖ Portal, User ID and Password are all needed",IF(AND(A1227="",COUNTIF(Clients!$B$5:$B$1005,B1227)=0),"Not on Clients — will match a portal client by name",IF(AND(C1227="GST",D1227&lt;&gt;"",COUNTIF(Clients!$AN$5:$AN$1005,UPPER(D1227))=0,COUNTIF(Clients!$G$5:$G$1005,"*"&amp;UPPER(D1227)&amp;"*")=0),"GSTIN not on Clients — will be checked in the portal","✔ OK")))))</f>
        <v/>
      </c>
    </row>
    <row r="1228">
      <c r="A1228" s="38" t="n"/>
      <c r="B1228" s="39" t="n"/>
      <c r="C1228" s="39" t="n"/>
      <c r="D1228" s="38" t="n"/>
      <c r="E1228" s="38" t="n"/>
      <c r="F1228" s="38" t="n"/>
      <c r="G1228" s="37">
        <f>IF(COUNTA(A1228:F1228)=0,"",IF(A1228="EXAMPLE","Example (skipped)",IF(OR(C1228="",E1228="",F1228=""),"✖ Portal, User ID and Password are all needed",IF(AND(A1228="",COUNTIF(Clients!$B$5:$B$1005,B1228)=0),"Not on Clients — will match a portal client by name",IF(AND(C1228="GST",D1228&lt;&gt;"",COUNTIF(Clients!$AN$5:$AN$1005,UPPER(D1228))=0,COUNTIF(Clients!$G$5:$G$1005,"*"&amp;UPPER(D1228)&amp;"*")=0),"GSTIN not on Clients — will be checked in the portal","✔ OK")))))</f>
        <v/>
      </c>
    </row>
    <row r="1229">
      <c r="A1229" s="38" t="n"/>
      <c r="B1229" s="39" t="n"/>
      <c r="C1229" s="39" t="n"/>
      <c r="D1229" s="38" t="n"/>
      <c r="E1229" s="38" t="n"/>
      <c r="F1229" s="38" t="n"/>
      <c r="G1229" s="37">
        <f>IF(COUNTA(A1229:F1229)=0,"",IF(A1229="EXAMPLE","Example (skipped)",IF(OR(C1229="",E1229="",F1229=""),"✖ Portal, User ID and Password are all needed",IF(AND(A1229="",COUNTIF(Clients!$B$5:$B$1005,B1229)=0),"Not on Clients — will match a portal client by name",IF(AND(C1229="GST",D1229&lt;&gt;"",COUNTIF(Clients!$AN$5:$AN$1005,UPPER(D1229))=0,COUNTIF(Clients!$G$5:$G$1005,"*"&amp;UPPER(D1229)&amp;"*")=0),"GSTIN not on Clients — will be checked in the portal","✔ OK")))))</f>
        <v/>
      </c>
    </row>
    <row r="1230">
      <c r="A1230" s="38" t="n"/>
      <c r="B1230" s="39" t="n"/>
      <c r="C1230" s="39" t="n"/>
      <c r="D1230" s="38" t="n"/>
      <c r="E1230" s="38" t="n"/>
      <c r="F1230" s="38" t="n"/>
      <c r="G1230" s="37">
        <f>IF(COUNTA(A1230:F1230)=0,"",IF(A1230="EXAMPLE","Example (skipped)",IF(OR(C1230="",E1230="",F1230=""),"✖ Portal, User ID and Password are all needed",IF(AND(A1230="",COUNTIF(Clients!$B$5:$B$1005,B1230)=0),"Not on Clients — will match a portal client by name",IF(AND(C1230="GST",D1230&lt;&gt;"",COUNTIF(Clients!$AN$5:$AN$1005,UPPER(D1230))=0,COUNTIF(Clients!$G$5:$G$1005,"*"&amp;UPPER(D1230)&amp;"*")=0),"GSTIN not on Clients — will be checked in the portal","✔ OK")))))</f>
        <v/>
      </c>
    </row>
    <row r="1231">
      <c r="A1231" s="38" t="n"/>
      <c r="B1231" s="39" t="n"/>
      <c r="C1231" s="39" t="n"/>
      <c r="D1231" s="38" t="n"/>
      <c r="E1231" s="38" t="n"/>
      <c r="F1231" s="38" t="n"/>
      <c r="G1231" s="37">
        <f>IF(COUNTA(A1231:F1231)=0,"",IF(A1231="EXAMPLE","Example (skipped)",IF(OR(C1231="",E1231="",F1231=""),"✖ Portal, User ID and Password are all needed",IF(AND(A1231="",COUNTIF(Clients!$B$5:$B$1005,B1231)=0),"Not on Clients — will match a portal client by name",IF(AND(C1231="GST",D1231&lt;&gt;"",COUNTIF(Clients!$AN$5:$AN$1005,UPPER(D1231))=0,COUNTIF(Clients!$G$5:$G$1005,"*"&amp;UPPER(D1231)&amp;"*")=0),"GSTIN not on Clients — will be checked in the portal","✔ OK")))))</f>
        <v/>
      </c>
    </row>
    <row r="1232">
      <c r="A1232" s="38" t="n"/>
      <c r="B1232" s="39" t="n"/>
      <c r="C1232" s="39" t="n"/>
      <c r="D1232" s="38" t="n"/>
      <c r="E1232" s="38" t="n"/>
      <c r="F1232" s="38" t="n"/>
      <c r="G1232" s="37">
        <f>IF(COUNTA(A1232:F1232)=0,"",IF(A1232="EXAMPLE","Example (skipped)",IF(OR(C1232="",E1232="",F1232=""),"✖ Portal, User ID and Password are all needed",IF(AND(A1232="",COUNTIF(Clients!$B$5:$B$1005,B1232)=0),"Not on Clients — will match a portal client by name",IF(AND(C1232="GST",D1232&lt;&gt;"",COUNTIF(Clients!$AN$5:$AN$1005,UPPER(D1232))=0,COUNTIF(Clients!$G$5:$G$1005,"*"&amp;UPPER(D1232)&amp;"*")=0),"GSTIN not on Clients — will be checked in the portal","✔ OK")))))</f>
        <v/>
      </c>
    </row>
    <row r="1233">
      <c r="A1233" s="38" t="n"/>
      <c r="B1233" s="39" t="n"/>
      <c r="C1233" s="39" t="n"/>
      <c r="D1233" s="38" t="n"/>
      <c r="E1233" s="38" t="n"/>
      <c r="F1233" s="38" t="n"/>
      <c r="G1233" s="37">
        <f>IF(COUNTA(A1233:F1233)=0,"",IF(A1233="EXAMPLE","Example (skipped)",IF(OR(C1233="",E1233="",F1233=""),"✖ Portal, User ID and Password are all needed",IF(AND(A1233="",COUNTIF(Clients!$B$5:$B$1005,B1233)=0),"Not on Clients — will match a portal client by name",IF(AND(C1233="GST",D1233&lt;&gt;"",COUNTIF(Clients!$AN$5:$AN$1005,UPPER(D1233))=0,COUNTIF(Clients!$G$5:$G$1005,"*"&amp;UPPER(D1233)&amp;"*")=0),"GSTIN not on Clients — will be checked in the portal","✔ OK")))))</f>
        <v/>
      </c>
    </row>
    <row r="1234">
      <c r="A1234" s="38" t="n"/>
      <c r="B1234" s="39" t="n"/>
      <c r="C1234" s="39" t="n"/>
      <c r="D1234" s="38" t="n"/>
      <c r="E1234" s="38" t="n"/>
      <c r="F1234" s="38" t="n"/>
      <c r="G1234" s="37">
        <f>IF(COUNTA(A1234:F1234)=0,"",IF(A1234="EXAMPLE","Example (skipped)",IF(OR(C1234="",E1234="",F1234=""),"✖ Portal, User ID and Password are all needed",IF(AND(A1234="",COUNTIF(Clients!$B$5:$B$1005,B1234)=0),"Not on Clients — will match a portal client by name",IF(AND(C1234="GST",D1234&lt;&gt;"",COUNTIF(Clients!$AN$5:$AN$1005,UPPER(D1234))=0,COUNTIF(Clients!$G$5:$G$1005,"*"&amp;UPPER(D1234)&amp;"*")=0),"GSTIN not on Clients — will be checked in the portal","✔ OK")))))</f>
        <v/>
      </c>
    </row>
    <row r="1235">
      <c r="A1235" s="38" t="n"/>
      <c r="B1235" s="39" t="n"/>
      <c r="C1235" s="39" t="n"/>
      <c r="D1235" s="38" t="n"/>
      <c r="E1235" s="38" t="n"/>
      <c r="F1235" s="38" t="n"/>
      <c r="G1235" s="37">
        <f>IF(COUNTA(A1235:F1235)=0,"",IF(A1235="EXAMPLE","Example (skipped)",IF(OR(C1235="",E1235="",F1235=""),"✖ Portal, User ID and Password are all needed",IF(AND(A1235="",COUNTIF(Clients!$B$5:$B$1005,B1235)=0),"Not on Clients — will match a portal client by name",IF(AND(C1235="GST",D1235&lt;&gt;"",COUNTIF(Clients!$AN$5:$AN$1005,UPPER(D1235))=0,COUNTIF(Clients!$G$5:$G$1005,"*"&amp;UPPER(D1235)&amp;"*")=0),"GSTIN not on Clients — will be checked in the portal","✔ OK")))))</f>
        <v/>
      </c>
    </row>
    <row r="1236">
      <c r="A1236" s="38" t="n"/>
      <c r="B1236" s="39" t="n"/>
      <c r="C1236" s="39" t="n"/>
      <c r="D1236" s="38" t="n"/>
      <c r="E1236" s="38" t="n"/>
      <c r="F1236" s="38" t="n"/>
      <c r="G1236" s="37">
        <f>IF(COUNTA(A1236:F1236)=0,"",IF(A1236="EXAMPLE","Example (skipped)",IF(OR(C1236="",E1236="",F1236=""),"✖ Portal, User ID and Password are all needed",IF(AND(A1236="",COUNTIF(Clients!$B$5:$B$1005,B1236)=0),"Not on Clients — will match a portal client by name",IF(AND(C1236="GST",D1236&lt;&gt;"",COUNTIF(Clients!$AN$5:$AN$1005,UPPER(D1236))=0,COUNTIF(Clients!$G$5:$G$1005,"*"&amp;UPPER(D1236)&amp;"*")=0),"GSTIN not on Clients — will be checked in the portal","✔ OK")))))</f>
        <v/>
      </c>
    </row>
    <row r="1237">
      <c r="A1237" s="38" t="n"/>
      <c r="B1237" s="39" t="n"/>
      <c r="C1237" s="39" t="n"/>
      <c r="D1237" s="38" t="n"/>
      <c r="E1237" s="38" t="n"/>
      <c r="F1237" s="38" t="n"/>
      <c r="G1237" s="37">
        <f>IF(COUNTA(A1237:F1237)=0,"",IF(A1237="EXAMPLE","Example (skipped)",IF(OR(C1237="",E1237="",F1237=""),"✖ Portal, User ID and Password are all needed",IF(AND(A1237="",COUNTIF(Clients!$B$5:$B$1005,B1237)=0),"Not on Clients — will match a portal client by name",IF(AND(C1237="GST",D1237&lt;&gt;"",COUNTIF(Clients!$AN$5:$AN$1005,UPPER(D1237))=0,COUNTIF(Clients!$G$5:$G$1005,"*"&amp;UPPER(D1237)&amp;"*")=0),"GSTIN not on Clients — will be checked in the portal","✔ OK")))))</f>
        <v/>
      </c>
    </row>
    <row r="1238">
      <c r="A1238" s="38" t="n"/>
      <c r="B1238" s="39" t="n"/>
      <c r="C1238" s="39" t="n"/>
      <c r="D1238" s="38" t="n"/>
      <c r="E1238" s="38" t="n"/>
      <c r="F1238" s="38" t="n"/>
      <c r="G1238" s="37">
        <f>IF(COUNTA(A1238:F1238)=0,"",IF(A1238="EXAMPLE","Example (skipped)",IF(OR(C1238="",E1238="",F1238=""),"✖ Portal, User ID and Password are all needed",IF(AND(A1238="",COUNTIF(Clients!$B$5:$B$1005,B1238)=0),"Not on Clients — will match a portal client by name",IF(AND(C1238="GST",D1238&lt;&gt;"",COUNTIF(Clients!$AN$5:$AN$1005,UPPER(D1238))=0,COUNTIF(Clients!$G$5:$G$1005,"*"&amp;UPPER(D1238)&amp;"*")=0),"GSTIN not on Clients — will be checked in the portal","✔ OK")))))</f>
        <v/>
      </c>
    </row>
    <row r="1239">
      <c r="A1239" s="38" t="n"/>
      <c r="B1239" s="39" t="n"/>
      <c r="C1239" s="39" t="n"/>
      <c r="D1239" s="38" t="n"/>
      <c r="E1239" s="38" t="n"/>
      <c r="F1239" s="38" t="n"/>
      <c r="G1239" s="37">
        <f>IF(COUNTA(A1239:F1239)=0,"",IF(A1239="EXAMPLE","Example (skipped)",IF(OR(C1239="",E1239="",F1239=""),"✖ Portal, User ID and Password are all needed",IF(AND(A1239="",COUNTIF(Clients!$B$5:$B$1005,B1239)=0),"Not on Clients — will match a portal client by name",IF(AND(C1239="GST",D1239&lt;&gt;"",COUNTIF(Clients!$AN$5:$AN$1005,UPPER(D1239))=0,COUNTIF(Clients!$G$5:$G$1005,"*"&amp;UPPER(D1239)&amp;"*")=0),"GSTIN not on Clients — will be checked in the portal","✔ OK")))))</f>
        <v/>
      </c>
    </row>
    <row r="1240">
      <c r="A1240" s="38" t="n"/>
      <c r="B1240" s="39" t="n"/>
      <c r="C1240" s="39" t="n"/>
      <c r="D1240" s="38" t="n"/>
      <c r="E1240" s="38" t="n"/>
      <c r="F1240" s="38" t="n"/>
      <c r="G1240" s="37">
        <f>IF(COUNTA(A1240:F1240)=0,"",IF(A1240="EXAMPLE","Example (skipped)",IF(OR(C1240="",E1240="",F1240=""),"✖ Portal, User ID and Password are all needed",IF(AND(A1240="",COUNTIF(Clients!$B$5:$B$1005,B1240)=0),"Not on Clients — will match a portal client by name",IF(AND(C1240="GST",D1240&lt;&gt;"",COUNTIF(Clients!$AN$5:$AN$1005,UPPER(D1240))=0,COUNTIF(Clients!$G$5:$G$1005,"*"&amp;UPPER(D1240)&amp;"*")=0),"GSTIN not on Clients — will be checked in the portal","✔ OK")))))</f>
        <v/>
      </c>
    </row>
    <row r="1241">
      <c r="A1241" s="38" t="n"/>
      <c r="B1241" s="39" t="n"/>
      <c r="C1241" s="39" t="n"/>
      <c r="D1241" s="38" t="n"/>
      <c r="E1241" s="38" t="n"/>
      <c r="F1241" s="38" t="n"/>
      <c r="G1241" s="37">
        <f>IF(COUNTA(A1241:F1241)=0,"",IF(A1241="EXAMPLE","Example (skipped)",IF(OR(C1241="",E1241="",F1241=""),"✖ Portal, User ID and Password are all needed",IF(AND(A1241="",COUNTIF(Clients!$B$5:$B$1005,B1241)=0),"Not on Clients — will match a portal client by name",IF(AND(C1241="GST",D1241&lt;&gt;"",COUNTIF(Clients!$AN$5:$AN$1005,UPPER(D1241))=0,COUNTIF(Clients!$G$5:$G$1005,"*"&amp;UPPER(D1241)&amp;"*")=0),"GSTIN not on Clients — will be checked in the portal","✔ OK")))))</f>
        <v/>
      </c>
    </row>
    <row r="1242">
      <c r="A1242" s="38" t="n"/>
      <c r="B1242" s="39" t="n"/>
      <c r="C1242" s="39" t="n"/>
      <c r="D1242" s="38" t="n"/>
      <c r="E1242" s="38" t="n"/>
      <c r="F1242" s="38" t="n"/>
      <c r="G1242" s="37">
        <f>IF(COUNTA(A1242:F1242)=0,"",IF(A1242="EXAMPLE","Example (skipped)",IF(OR(C1242="",E1242="",F1242=""),"✖ Portal, User ID and Password are all needed",IF(AND(A1242="",COUNTIF(Clients!$B$5:$B$1005,B1242)=0),"Not on Clients — will match a portal client by name",IF(AND(C1242="GST",D1242&lt;&gt;"",COUNTIF(Clients!$AN$5:$AN$1005,UPPER(D1242))=0,COUNTIF(Clients!$G$5:$G$1005,"*"&amp;UPPER(D1242)&amp;"*")=0),"GSTIN not on Clients — will be checked in the portal","✔ OK")))))</f>
        <v/>
      </c>
    </row>
    <row r="1243">
      <c r="A1243" s="38" t="n"/>
      <c r="B1243" s="39" t="n"/>
      <c r="C1243" s="39" t="n"/>
      <c r="D1243" s="38" t="n"/>
      <c r="E1243" s="38" t="n"/>
      <c r="F1243" s="38" t="n"/>
      <c r="G1243" s="37">
        <f>IF(COUNTA(A1243:F1243)=0,"",IF(A1243="EXAMPLE","Example (skipped)",IF(OR(C1243="",E1243="",F1243=""),"✖ Portal, User ID and Password are all needed",IF(AND(A1243="",COUNTIF(Clients!$B$5:$B$1005,B1243)=0),"Not on Clients — will match a portal client by name",IF(AND(C1243="GST",D1243&lt;&gt;"",COUNTIF(Clients!$AN$5:$AN$1005,UPPER(D1243))=0,COUNTIF(Clients!$G$5:$G$1005,"*"&amp;UPPER(D1243)&amp;"*")=0),"GSTIN not on Clients — will be checked in the portal","✔ OK")))))</f>
        <v/>
      </c>
    </row>
    <row r="1244">
      <c r="A1244" s="38" t="n"/>
      <c r="B1244" s="39" t="n"/>
      <c r="C1244" s="39" t="n"/>
      <c r="D1244" s="38" t="n"/>
      <c r="E1244" s="38" t="n"/>
      <c r="F1244" s="38" t="n"/>
      <c r="G1244" s="37">
        <f>IF(COUNTA(A1244:F1244)=0,"",IF(A1244="EXAMPLE","Example (skipped)",IF(OR(C1244="",E1244="",F1244=""),"✖ Portal, User ID and Password are all needed",IF(AND(A1244="",COUNTIF(Clients!$B$5:$B$1005,B1244)=0),"Not on Clients — will match a portal client by name",IF(AND(C1244="GST",D1244&lt;&gt;"",COUNTIF(Clients!$AN$5:$AN$1005,UPPER(D1244))=0,COUNTIF(Clients!$G$5:$G$1005,"*"&amp;UPPER(D1244)&amp;"*")=0),"GSTIN not on Clients — will be checked in the portal","✔ OK")))))</f>
        <v/>
      </c>
    </row>
    <row r="1245">
      <c r="A1245" s="38" t="n"/>
      <c r="B1245" s="39" t="n"/>
      <c r="C1245" s="39" t="n"/>
      <c r="D1245" s="38" t="n"/>
      <c r="E1245" s="38" t="n"/>
      <c r="F1245" s="38" t="n"/>
      <c r="G1245" s="37">
        <f>IF(COUNTA(A1245:F1245)=0,"",IF(A1245="EXAMPLE","Example (skipped)",IF(OR(C1245="",E1245="",F1245=""),"✖ Portal, User ID and Password are all needed",IF(AND(A1245="",COUNTIF(Clients!$B$5:$B$1005,B1245)=0),"Not on Clients — will match a portal client by name",IF(AND(C1245="GST",D1245&lt;&gt;"",COUNTIF(Clients!$AN$5:$AN$1005,UPPER(D1245))=0,COUNTIF(Clients!$G$5:$G$1005,"*"&amp;UPPER(D1245)&amp;"*")=0),"GSTIN not on Clients — will be checked in the portal","✔ OK")))))</f>
        <v/>
      </c>
    </row>
    <row r="1246">
      <c r="A1246" s="38" t="n"/>
      <c r="B1246" s="39" t="n"/>
      <c r="C1246" s="39" t="n"/>
      <c r="D1246" s="38" t="n"/>
      <c r="E1246" s="38" t="n"/>
      <c r="F1246" s="38" t="n"/>
      <c r="G1246" s="37">
        <f>IF(COUNTA(A1246:F1246)=0,"",IF(A1246="EXAMPLE","Example (skipped)",IF(OR(C1246="",E1246="",F1246=""),"✖ Portal, User ID and Password are all needed",IF(AND(A1246="",COUNTIF(Clients!$B$5:$B$1005,B1246)=0),"Not on Clients — will match a portal client by name",IF(AND(C1246="GST",D1246&lt;&gt;"",COUNTIF(Clients!$AN$5:$AN$1005,UPPER(D1246))=0,COUNTIF(Clients!$G$5:$G$1005,"*"&amp;UPPER(D1246)&amp;"*")=0),"GSTIN not on Clients — will be checked in the portal","✔ OK")))))</f>
        <v/>
      </c>
    </row>
    <row r="1247">
      <c r="A1247" s="38" t="n"/>
      <c r="B1247" s="39" t="n"/>
      <c r="C1247" s="39" t="n"/>
      <c r="D1247" s="38" t="n"/>
      <c r="E1247" s="38" t="n"/>
      <c r="F1247" s="38" t="n"/>
      <c r="G1247" s="37">
        <f>IF(COUNTA(A1247:F1247)=0,"",IF(A1247="EXAMPLE","Example (skipped)",IF(OR(C1247="",E1247="",F1247=""),"✖ Portal, User ID and Password are all needed",IF(AND(A1247="",COUNTIF(Clients!$B$5:$B$1005,B1247)=0),"Not on Clients — will match a portal client by name",IF(AND(C1247="GST",D1247&lt;&gt;"",COUNTIF(Clients!$AN$5:$AN$1005,UPPER(D1247))=0,COUNTIF(Clients!$G$5:$G$1005,"*"&amp;UPPER(D1247)&amp;"*")=0),"GSTIN not on Clients — will be checked in the portal","✔ OK")))))</f>
        <v/>
      </c>
    </row>
    <row r="1248">
      <c r="A1248" s="38" t="n"/>
      <c r="B1248" s="39" t="n"/>
      <c r="C1248" s="39" t="n"/>
      <c r="D1248" s="38" t="n"/>
      <c r="E1248" s="38" t="n"/>
      <c r="F1248" s="38" t="n"/>
      <c r="G1248" s="37">
        <f>IF(COUNTA(A1248:F1248)=0,"",IF(A1248="EXAMPLE","Example (skipped)",IF(OR(C1248="",E1248="",F1248=""),"✖ Portal, User ID and Password are all needed",IF(AND(A1248="",COUNTIF(Clients!$B$5:$B$1005,B1248)=0),"Not on Clients — will match a portal client by name",IF(AND(C1248="GST",D1248&lt;&gt;"",COUNTIF(Clients!$AN$5:$AN$1005,UPPER(D1248))=0,COUNTIF(Clients!$G$5:$G$1005,"*"&amp;UPPER(D1248)&amp;"*")=0),"GSTIN not on Clients — will be checked in the portal","✔ OK")))))</f>
        <v/>
      </c>
    </row>
    <row r="1249">
      <c r="A1249" s="38" t="n"/>
      <c r="B1249" s="39" t="n"/>
      <c r="C1249" s="39" t="n"/>
      <c r="D1249" s="38" t="n"/>
      <c r="E1249" s="38" t="n"/>
      <c r="F1249" s="38" t="n"/>
      <c r="G1249" s="37">
        <f>IF(COUNTA(A1249:F1249)=0,"",IF(A1249="EXAMPLE","Example (skipped)",IF(OR(C1249="",E1249="",F1249=""),"✖ Portal, User ID and Password are all needed",IF(AND(A1249="",COUNTIF(Clients!$B$5:$B$1005,B1249)=0),"Not on Clients — will match a portal client by name",IF(AND(C1249="GST",D1249&lt;&gt;"",COUNTIF(Clients!$AN$5:$AN$1005,UPPER(D1249))=0,COUNTIF(Clients!$G$5:$G$1005,"*"&amp;UPPER(D1249)&amp;"*")=0),"GSTIN not on Clients — will be checked in the portal","✔ OK")))))</f>
        <v/>
      </c>
    </row>
    <row r="1250">
      <c r="A1250" s="38" t="n"/>
      <c r="B1250" s="39" t="n"/>
      <c r="C1250" s="39" t="n"/>
      <c r="D1250" s="38" t="n"/>
      <c r="E1250" s="38" t="n"/>
      <c r="F1250" s="38" t="n"/>
      <c r="G1250" s="37">
        <f>IF(COUNTA(A1250:F1250)=0,"",IF(A1250="EXAMPLE","Example (skipped)",IF(OR(C1250="",E1250="",F1250=""),"✖ Portal, User ID and Password are all needed",IF(AND(A1250="",COUNTIF(Clients!$B$5:$B$1005,B1250)=0),"Not on Clients — will match a portal client by name",IF(AND(C1250="GST",D1250&lt;&gt;"",COUNTIF(Clients!$AN$5:$AN$1005,UPPER(D1250))=0,COUNTIF(Clients!$G$5:$G$1005,"*"&amp;UPPER(D1250)&amp;"*")=0),"GSTIN not on Clients — will be checked in the portal","✔ OK")))))</f>
        <v/>
      </c>
    </row>
    <row r="1251">
      <c r="A1251" s="38" t="n"/>
      <c r="B1251" s="39" t="n"/>
      <c r="C1251" s="39" t="n"/>
      <c r="D1251" s="38" t="n"/>
      <c r="E1251" s="38" t="n"/>
      <c r="F1251" s="38" t="n"/>
      <c r="G1251" s="37">
        <f>IF(COUNTA(A1251:F1251)=0,"",IF(A1251="EXAMPLE","Example (skipped)",IF(OR(C1251="",E1251="",F1251=""),"✖ Portal, User ID and Password are all needed",IF(AND(A1251="",COUNTIF(Clients!$B$5:$B$1005,B1251)=0),"Not on Clients — will match a portal client by name",IF(AND(C1251="GST",D1251&lt;&gt;"",COUNTIF(Clients!$AN$5:$AN$1005,UPPER(D1251))=0,COUNTIF(Clients!$G$5:$G$1005,"*"&amp;UPPER(D1251)&amp;"*")=0),"GSTIN not on Clients — will be checked in the portal","✔ OK")))))</f>
        <v/>
      </c>
    </row>
    <row r="1252">
      <c r="A1252" s="38" t="n"/>
      <c r="B1252" s="39" t="n"/>
      <c r="C1252" s="39" t="n"/>
      <c r="D1252" s="38" t="n"/>
      <c r="E1252" s="38" t="n"/>
      <c r="F1252" s="38" t="n"/>
      <c r="G1252" s="37">
        <f>IF(COUNTA(A1252:F1252)=0,"",IF(A1252="EXAMPLE","Example (skipped)",IF(OR(C1252="",E1252="",F1252=""),"✖ Portal, User ID and Password are all needed",IF(AND(A1252="",COUNTIF(Clients!$B$5:$B$1005,B1252)=0),"Not on Clients — will match a portal client by name",IF(AND(C1252="GST",D1252&lt;&gt;"",COUNTIF(Clients!$AN$5:$AN$1005,UPPER(D1252))=0,COUNTIF(Clients!$G$5:$G$1005,"*"&amp;UPPER(D1252)&amp;"*")=0),"GSTIN not on Clients — will be checked in the portal","✔ OK")))))</f>
        <v/>
      </c>
    </row>
    <row r="1253">
      <c r="A1253" s="38" t="n"/>
      <c r="B1253" s="39" t="n"/>
      <c r="C1253" s="39" t="n"/>
      <c r="D1253" s="38" t="n"/>
      <c r="E1253" s="38" t="n"/>
      <c r="F1253" s="38" t="n"/>
      <c r="G1253" s="37">
        <f>IF(COUNTA(A1253:F1253)=0,"",IF(A1253="EXAMPLE","Example (skipped)",IF(OR(C1253="",E1253="",F1253=""),"✖ Portal, User ID and Password are all needed",IF(AND(A1253="",COUNTIF(Clients!$B$5:$B$1005,B1253)=0),"Not on Clients — will match a portal client by name",IF(AND(C1253="GST",D1253&lt;&gt;"",COUNTIF(Clients!$AN$5:$AN$1005,UPPER(D1253))=0,COUNTIF(Clients!$G$5:$G$1005,"*"&amp;UPPER(D1253)&amp;"*")=0),"GSTIN not on Clients — will be checked in the portal","✔ OK")))))</f>
        <v/>
      </c>
    </row>
    <row r="1254">
      <c r="A1254" s="38" t="n"/>
      <c r="B1254" s="39" t="n"/>
      <c r="C1254" s="39" t="n"/>
      <c r="D1254" s="38" t="n"/>
      <c r="E1254" s="38" t="n"/>
      <c r="F1254" s="38" t="n"/>
      <c r="G1254" s="37">
        <f>IF(COUNTA(A1254:F1254)=0,"",IF(A1254="EXAMPLE","Example (skipped)",IF(OR(C1254="",E1254="",F1254=""),"✖ Portal, User ID and Password are all needed",IF(AND(A1254="",COUNTIF(Clients!$B$5:$B$1005,B1254)=0),"Not on Clients — will match a portal client by name",IF(AND(C1254="GST",D1254&lt;&gt;"",COUNTIF(Clients!$AN$5:$AN$1005,UPPER(D1254))=0,COUNTIF(Clients!$G$5:$G$1005,"*"&amp;UPPER(D1254)&amp;"*")=0),"GSTIN not on Clients — will be checked in the portal","✔ OK")))))</f>
        <v/>
      </c>
    </row>
    <row r="1255">
      <c r="A1255" s="38" t="n"/>
      <c r="B1255" s="39" t="n"/>
      <c r="C1255" s="39" t="n"/>
      <c r="D1255" s="38" t="n"/>
      <c r="E1255" s="38" t="n"/>
      <c r="F1255" s="38" t="n"/>
      <c r="G1255" s="37">
        <f>IF(COUNTA(A1255:F1255)=0,"",IF(A1255="EXAMPLE","Example (skipped)",IF(OR(C1255="",E1255="",F1255=""),"✖ Portal, User ID and Password are all needed",IF(AND(A1255="",COUNTIF(Clients!$B$5:$B$1005,B1255)=0),"Not on Clients — will match a portal client by name",IF(AND(C1255="GST",D1255&lt;&gt;"",COUNTIF(Clients!$AN$5:$AN$1005,UPPER(D1255))=0,COUNTIF(Clients!$G$5:$G$1005,"*"&amp;UPPER(D1255)&amp;"*")=0),"GSTIN not on Clients — will be checked in the portal","✔ OK")))))</f>
        <v/>
      </c>
    </row>
    <row r="1256">
      <c r="A1256" s="38" t="n"/>
      <c r="B1256" s="39" t="n"/>
      <c r="C1256" s="39" t="n"/>
      <c r="D1256" s="38" t="n"/>
      <c r="E1256" s="38" t="n"/>
      <c r="F1256" s="38" t="n"/>
      <c r="G1256" s="37">
        <f>IF(COUNTA(A1256:F1256)=0,"",IF(A1256="EXAMPLE","Example (skipped)",IF(OR(C1256="",E1256="",F1256=""),"✖ Portal, User ID and Password are all needed",IF(AND(A1256="",COUNTIF(Clients!$B$5:$B$1005,B1256)=0),"Not on Clients — will match a portal client by name",IF(AND(C1256="GST",D1256&lt;&gt;"",COUNTIF(Clients!$AN$5:$AN$1005,UPPER(D1256))=0,COUNTIF(Clients!$G$5:$G$1005,"*"&amp;UPPER(D1256)&amp;"*")=0),"GSTIN not on Clients — will be checked in the portal","✔ OK")))))</f>
        <v/>
      </c>
    </row>
    <row r="1257">
      <c r="A1257" s="38" t="n"/>
      <c r="B1257" s="39" t="n"/>
      <c r="C1257" s="39" t="n"/>
      <c r="D1257" s="38" t="n"/>
      <c r="E1257" s="38" t="n"/>
      <c r="F1257" s="38" t="n"/>
      <c r="G1257" s="37">
        <f>IF(COUNTA(A1257:F1257)=0,"",IF(A1257="EXAMPLE","Example (skipped)",IF(OR(C1257="",E1257="",F1257=""),"✖ Portal, User ID and Password are all needed",IF(AND(A1257="",COUNTIF(Clients!$B$5:$B$1005,B1257)=0),"Not on Clients — will match a portal client by name",IF(AND(C1257="GST",D1257&lt;&gt;"",COUNTIF(Clients!$AN$5:$AN$1005,UPPER(D1257))=0,COUNTIF(Clients!$G$5:$G$1005,"*"&amp;UPPER(D1257)&amp;"*")=0),"GSTIN not on Clients — will be checked in the portal","✔ OK")))))</f>
        <v/>
      </c>
    </row>
    <row r="1258">
      <c r="A1258" s="38" t="n"/>
      <c r="B1258" s="39" t="n"/>
      <c r="C1258" s="39" t="n"/>
      <c r="D1258" s="38" t="n"/>
      <c r="E1258" s="38" t="n"/>
      <c r="F1258" s="38" t="n"/>
      <c r="G1258" s="37">
        <f>IF(COUNTA(A1258:F1258)=0,"",IF(A1258="EXAMPLE","Example (skipped)",IF(OR(C1258="",E1258="",F1258=""),"✖ Portal, User ID and Password are all needed",IF(AND(A1258="",COUNTIF(Clients!$B$5:$B$1005,B1258)=0),"Not on Clients — will match a portal client by name",IF(AND(C1258="GST",D1258&lt;&gt;"",COUNTIF(Clients!$AN$5:$AN$1005,UPPER(D1258))=0,COUNTIF(Clients!$G$5:$G$1005,"*"&amp;UPPER(D1258)&amp;"*")=0),"GSTIN not on Clients — will be checked in the portal","✔ OK")))))</f>
        <v/>
      </c>
    </row>
    <row r="1259">
      <c r="A1259" s="38" t="n"/>
      <c r="B1259" s="39" t="n"/>
      <c r="C1259" s="39" t="n"/>
      <c r="D1259" s="38" t="n"/>
      <c r="E1259" s="38" t="n"/>
      <c r="F1259" s="38" t="n"/>
      <c r="G1259" s="37">
        <f>IF(COUNTA(A1259:F1259)=0,"",IF(A1259="EXAMPLE","Example (skipped)",IF(OR(C1259="",E1259="",F1259=""),"✖ Portal, User ID and Password are all needed",IF(AND(A1259="",COUNTIF(Clients!$B$5:$B$1005,B1259)=0),"Not on Clients — will match a portal client by name",IF(AND(C1259="GST",D1259&lt;&gt;"",COUNTIF(Clients!$AN$5:$AN$1005,UPPER(D1259))=0,COUNTIF(Clients!$G$5:$G$1005,"*"&amp;UPPER(D1259)&amp;"*")=0),"GSTIN not on Clients — will be checked in the portal","✔ OK")))))</f>
        <v/>
      </c>
    </row>
    <row r="1260">
      <c r="A1260" s="38" t="n"/>
      <c r="B1260" s="39" t="n"/>
      <c r="C1260" s="39" t="n"/>
      <c r="D1260" s="38" t="n"/>
      <c r="E1260" s="38" t="n"/>
      <c r="F1260" s="38" t="n"/>
      <c r="G1260" s="37">
        <f>IF(COUNTA(A1260:F1260)=0,"",IF(A1260="EXAMPLE","Example (skipped)",IF(OR(C1260="",E1260="",F1260=""),"✖ Portal, User ID and Password are all needed",IF(AND(A1260="",COUNTIF(Clients!$B$5:$B$1005,B1260)=0),"Not on Clients — will match a portal client by name",IF(AND(C1260="GST",D1260&lt;&gt;"",COUNTIF(Clients!$AN$5:$AN$1005,UPPER(D1260))=0,COUNTIF(Clients!$G$5:$G$1005,"*"&amp;UPPER(D1260)&amp;"*")=0),"GSTIN not on Clients — will be checked in the portal","✔ OK")))))</f>
        <v/>
      </c>
    </row>
    <row r="1261">
      <c r="A1261" s="38" t="n"/>
      <c r="B1261" s="39" t="n"/>
      <c r="C1261" s="39" t="n"/>
      <c r="D1261" s="38" t="n"/>
      <c r="E1261" s="38" t="n"/>
      <c r="F1261" s="38" t="n"/>
      <c r="G1261" s="37">
        <f>IF(COUNTA(A1261:F1261)=0,"",IF(A1261="EXAMPLE","Example (skipped)",IF(OR(C1261="",E1261="",F1261=""),"✖ Portal, User ID and Password are all needed",IF(AND(A1261="",COUNTIF(Clients!$B$5:$B$1005,B1261)=0),"Not on Clients — will match a portal client by name",IF(AND(C1261="GST",D1261&lt;&gt;"",COUNTIF(Clients!$AN$5:$AN$1005,UPPER(D1261))=0,COUNTIF(Clients!$G$5:$G$1005,"*"&amp;UPPER(D1261)&amp;"*")=0),"GSTIN not on Clients — will be checked in the portal","✔ OK")))))</f>
        <v/>
      </c>
    </row>
    <row r="1262">
      <c r="A1262" s="38" t="n"/>
      <c r="B1262" s="39" t="n"/>
      <c r="C1262" s="39" t="n"/>
      <c r="D1262" s="38" t="n"/>
      <c r="E1262" s="38" t="n"/>
      <c r="F1262" s="38" t="n"/>
      <c r="G1262" s="37">
        <f>IF(COUNTA(A1262:F1262)=0,"",IF(A1262="EXAMPLE","Example (skipped)",IF(OR(C1262="",E1262="",F1262=""),"✖ Portal, User ID and Password are all needed",IF(AND(A1262="",COUNTIF(Clients!$B$5:$B$1005,B1262)=0),"Not on Clients — will match a portal client by name",IF(AND(C1262="GST",D1262&lt;&gt;"",COUNTIF(Clients!$AN$5:$AN$1005,UPPER(D1262))=0,COUNTIF(Clients!$G$5:$G$1005,"*"&amp;UPPER(D1262)&amp;"*")=0),"GSTIN not on Clients — will be checked in the portal","✔ OK")))))</f>
        <v/>
      </c>
    </row>
    <row r="1263">
      <c r="A1263" s="38" t="n"/>
      <c r="B1263" s="39" t="n"/>
      <c r="C1263" s="39" t="n"/>
      <c r="D1263" s="38" t="n"/>
      <c r="E1263" s="38" t="n"/>
      <c r="F1263" s="38" t="n"/>
      <c r="G1263" s="37">
        <f>IF(COUNTA(A1263:F1263)=0,"",IF(A1263="EXAMPLE","Example (skipped)",IF(OR(C1263="",E1263="",F1263=""),"✖ Portal, User ID and Password are all needed",IF(AND(A1263="",COUNTIF(Clients!$B$5:$B$1005,B1263)=0),"Not on Clients — will match a portal client by name",IF(AND(C1263="GST",D1263&lt;&gt;"",COUNTIF(Clients!$AN$5:$AN$1005,UPPER(D1263))=0,COUNTIF(Clients!$G$5:$G$1005,"*"&amp;UPPER(D1263)&amp;"*")=0),"GSTIN not on Clients — will be checked in the portal","✔ OK")))))</f>
        <v/>
      </c>
    </row>
    <row r="1264">
      <c r="A1264" s="38" t="n"/>
      <c r="B1264" s="39" t="n"/>
      <c r="C1264" s="39" t="n"/>
      <c r="D1264" s="38" t="n"/>
      <c r="E1264" s="38" t="n"/>
      <c r="F1264" s="38" t="n"/>
      <c r="G1264" s="37">
        <f>IF(COUNTA(A1264:F1264)=0,"",IF(A1264="EXAMPLE","Example (skipped)",IF(OR(C1264="",E1264="",F1264=""),"✖ Portal, User ID and Password are all needed",IF(AND(A1264="",COUNTIF(Clients!$B$5:$B$1005,B1264)=0),"Not on Clients — will match a portal client by name",IF(AND(C1264="GST",D1264&lt;&gt;"",COUNTIF(Clients!$AN$5:$AN$1005,UPPER(D1264))=0,COUNTIF(Clients!$G$5:$G$1005,"*"&amp;UPPER(D1264)&amp;"*")=0),"GSTIN not on Clients — will be checked in the portal","✔ OK")))))</f>
        <v/>
      </c>
    </row>
    <row r="1265">
      <c r="A1265" s="38" t="n"/>
      <c r="B1265" s="39" t="n"/>
      <c r="C1265" s="39" t="n"/>
      <c r="D1265" s="38" t="n"/>
      <c r="E1265" s="38" t="n"/>
      <c r="F1265" s="38" t="n"/>
      <c r="G1265" s="37">
        <f>IF(COUNTA(A1265:F1265)=0,"",IF(A1265="EXAMPLE","Example (skipped)",IF(OR(C1265="",E1265="",F1265=""),"✖ Portal, User ID and Password are all needed",IF(AND(A1265="",COUNTIF(Clients!$B$5:$B$1005,B1265)=0),"Not on Clients — will match a portal client by name",IF(AND(C1265="GST",D1265&lt;&gt;"",COUNTIF(Clients!$AN$5:$AN$1005,UPPER(D1265))=0,COUNTIF(Clients!$G$5:$G$1005,"*"&amp;UPPER(D1265)&amp;"*")=0),"GSTIN not on Clients — will be checked in the portal","✔ OK")))))</f>
        <v/>
      </c>
    </row>
    <row r="1266">
      <c r="A1266" s="38" t="n"/>
      <c r="B1266" s="39" t="n"/>
      <c r="C1266" s="39" t="n"/>
      <c r="D1266" s="38" t="n"/>
      <c r="E1266" s="38" t="n"/>
      <c r="F1266" s="38" t="n"/>
      <c r="G1266" s="37">
        <f>IF(COUNTA(A1266:F1266)=0,"",IF(A1266="EXAMPLE","Example (skipped)",IF(OR(C1266="",E1266="",F1266=""),"✖ Portal, User ID and Password are all needed",IF(AND(A1266="",COUNTIF(Clients!$B$5:$B$1005,B1266)=0),"Not on Clients — will match a portal client by name",IF(AND(C1266="GST",D1266&lt;&gt;"",COUNTIF(Clients!$AN$5:$AN$1005,UPPER(D1266))=0,COUNTIF(Clients!$G$5:$G$1005,"*"&amp;UPPER(D1266)&amp;"*")=0),"GSTIN not on Clients — will be checked in the portal","✔ OK")))))</f>
        <v/>
      </c>
    </row>
    <row r="1267">
      <c r="A1267" s="38" t="n"/>
      <c r="B1267" s="39" t="n"/>
      <c r="C1267" s="39" t="n"/>
      <c r="D1267" s="38" t="n"/>
      <c r="E1267" s="38" t="n"/>
      <c r="F1267" s="38" t="n"/>
      <c r="G1267" s="37">
        <f>IF(COUNTA(A1267:F1267)=0,"",IF(A1267="EXAMPLE","Example (skipped)",IF(OR(C1267="",E1267="",F1267=""),"✖ Portal, User ID and Password are all needed",IF(AND(A1267="",COUNTIF(Clients!$B$5:$B$1005,B1267)=0),"Not on Clients — will match a portal client by name",IF(AND(C1267="GST",D1267&lt;&gt;"",COUNTIF(Clients!$AN$5:$AN$1005,UPPER(D1267))=0,COUNTIF(Clients!$G$5:$G$1005,"*"&amp;UPPER(D1267)&amp;"*")=0),"GSTIN not on Clients — will be checked in the portal","✔ OK")))))</f>
        <v/>
      </c>
    </row>
    <row r="1268">
      <c r="A1268" s="38" t="n"/>
      <c r="B1268" s="39" t="n"/>
      <c r="C1268" s="39" t="n"/>
      <c r="D1268" s="38" t="n"/>
      <c r="E1268" s="38" t="n"/>
      <c r="F1268" s="38" t="n"/>
      <c r="G1268" s="37">
        <f>IF(COUNTA(A1268:F1268)=0,"",IF(A1268="EXAMPLE","Example (skipped)",IF(OR(C1268="",E1268="",F1268=""),"✖ Portal, User ID and Password are all needed",IF(AND(A1268="",COUNTIF(Clients!$B$5:$B$1005,B1268)=0),"Not on Clients — will match a portal client by name",IF(AND(C1268="GST",D1268&lt;&gt;"",COUNTIF(Clients!$AN$5:$AN$1005,UPPER(D1268))=0,COUNTIF(Clients!$G$5:$G$1005,"*"&amp;UPPER(D1268)&amp;"*")=0),"GSTIN not on Clients — will be checked in the portal","✔ OK")))))</f>
        <v/>
      </c>
    </row>
    <row r="1269">
      <c r="A1269" s="38" t="n"/>
      <c r="B1269" s="39" t="n"/>
      <c r="C1269" s="39" t="n"/>
      <c r="D1269" s="38" t="n"/>
      <c r="E1269" s="38" t="n"/>
      <c r="F1269" s="38" t="n"/>
      <c r="G1269" s="37">
        <f>IF(COUNTA(A1269:F1269)=0,"",IF(A1269="EXAMPLE","Example (skipped)",IF(OR(C1269="",E1269="",F1269=""),"✖ Portal, User ID and Password are all needed",IF(AND(A1269="",COUNTIF(Clients!$B$5:$B$1005,B1269)=0),"Not on Clients — will match a portal client by name",IF(AND(C1269="GST",D1269&lt;&gt;"",COUNTIF(Clients!$AN$5:$AN$1005,UPPER(D1269))=0,COUNTIF(Clients!$G$5:$G$1005,"*"&amp;UPPER(D1269)&amp;"*")=0),"GSTIN not on Clients — will be checked in the portal","✔ OK")))))</f>
        <v/>
      </c>
    </row>
    <row r="1270">
      <c r="A1270" s="38" t="n"/>
      <c r="B1270" s="39" t="n"/>
      <c r="C1270" s="39" t="n"/>
      <c r="D1270" s="38" t="n"/>
      <c r="E1270" s="38" t="n"/>
      <c r="F1270" s="38" t="n"/>
      <c r="G1270" s="37">
        <f>IF(COUNTA(A1270:F1270)=0,"",IF(A1270="EXAMPLE","Example (skipped)",IF(OR(C1270="",E1270="",F1270=""),"✖ Portal, User ID and Password are all needed",IF(AND(A1270="",COUNTIF(Clients!$B$5:$B$1005,B1270)=0),"Not on Clients — will match a portal client by name",IF(AND(C1270="GST",D1270&lt;&gt;"",COUNTIF(Clients!$AN$5:$AN$1005,UPPER(D1270))=0,COUNTIF(Clients!$G$5:$G$1005,"*"&amp;UPPER(D1270)&amp;"*")=0),"GSTIN not on Clients — will be checked in the portal","✔ OK")))))</f>
        <v/>
      </c>
    </row>
    <row r="1271">
      <c r="A1271" s="38" t="n"/>
      <c r="B1271" s="39" t="n"/>
      <c r="C1271" s="39" t="n"/>
      <c r="D1271" s="38" t="n"/>
      <c r="E1271" s="38" t="n"/>
      <c r="F1271" s="38" t="n"/>
      <c r="G1271" s="37">
        <f>IF(COUNTA(A1271:F1271)=0,"",IF(A1271="EXAMPLE","Example (skipped)",IF(OR(C1271="",E1271="",F1271=""),"✖ Portal, User ID and Password are all needed",IF(AND(A1271="",COUNTIF(Clients!$B$5:$B$1005,B1271)=0),"Not on Clients — will match a portal client by name",IF(AND(C1271="GST",D1271&lt;&gt;"",COUNTIF(Clients!$AN$5:$AN$1005,UPPER(D1271))=0,COUNTIF(Clients!$G$5:$G$1005,"*"&amp;UPPER(D1271)&amp;"*")=0),"GSTIN not on Clients — will be checked in the portal","✔ OK")))))</f>
        <v/>
      </c>
    </row>
    <row r="1272">
      <c r="A1272" s="38" t="n"/>
      <c r="B1272" s="39" t="n"/>
      <c r="C1272" s="39" t="n"/>
      <c r="D1272" s="38" t="n"/>
      <c r="E1272" s="38" t="n"/>
      <c r="F1272" s="38" t="n"/>
      <c r="G1272" s="37">
        <f>IF(COUNTA(A1272:F1272)=0,"",IF(A1272="EXAMPLE","Example (skipped)",IF(OR(C1272="",E1272="",F1272=""),"✖ Portal, User ID and Password are all needed",IF(AND(A1272="",COUNTIF(Clients!$B$5:$B$1005,B1272)=0),"Not on Clients — will match a portal client by name",IF(AND(C1272="GST",D1272&lt;&gt;"",COUNTIF(Clients!$AN$5:$AN$1005,UPPER(D1272))=0,COUNTIF(Clients!$G$5:$G$1005,"*"&amp;UPPER(D1272)&amp;"*")=0),"GSTIN not on Clients — will be checked in the portal","✔ OK")))))</f>
        <v/>
      </c>
    </row>
    <row r="1273">
      <c r="A1273" s="38" t="n"/>
      <c r="B1273" s="39" t="n"/>
      <c r="C1273" s="39" t="n"/>
      <c r="D1273" s="38" t="n"/>
      <c r="E1273" s="38" t="n"/>
      <c r="F1273" s="38" t="n"/>
      <c r="G1273" s="37">
        <f>IF(COUNTA(A1273:F1273)=0,"",IF(A1273="EXAMPLE","Example (skipped)",IF(OR(C1273="",E1273="",F1273=""),"✖ Portal, User ID and Password are all needed",IF(AND(A1273="",COUNTIF(Clients!$B$5:$B$1005,B1273)=0),"Not on Clients — will match a portal client by name",IF(AND(C1273="GST",D1273&lt;&gt;"",COUNTIF(Clients!$AN$5:$AN$1005,UPPER(D1273))=0,COUNTIF(Clients!$G$5:$G$1005,"*"&amp;UPPER(D1273)&amp;"*")=0),"GSTIN not on Clients — will be checked in the portal","✔ OK")))))</f>
        <v/>
      </c>
    </row>
    <row r="1274">
      <c r="A1274" s="38" t="n"/>
      <c r="B1274" s="39" t="n"/>
      <c r="C1274" s="39" t="n"/>
      <c r="D1274" s="38" t="n"/>
      <c r="E1274" s="38" t="n"/>
      <c r="F1274" s="38" t="n"/>
      <c r="G1274" s="37">
        <f>IF(COUNTA(A1274:F1274)=0,"",IF(A1274="EXAMPLE","Example (skipped)",IF(OR(C1274="",E1274="",F1274=""),"✖ Portal, User ID and Password are all needed",IF(AND(A1274="",COUNTIF(Clients!$B$5:$B$1005,B1274)=0),"Not on Clients — will match a portal client by name",IF(AND(C1274="GST",D1274&lt;&gt;"",COUNTIF(Clients!$AN$5:$AN$1005,UPPER(D1274))=0,COUNTIF(Clients!$G$5:$G$1005,"*"&amp;UPPER(D1274)&amp;"*")=0),"GSTIN not on Clients — will be checked in the portal","✔ OK")))))</f>
        <v/>
      </c>
    </row>
    <row r="1275">
      <c r="A1275" s="38" t="n"/>
      <c r="B1275" s="39" t="n"/>
      <c r="C1275" s="39" t="n"/>
      <c r="D1275" s="38" t="n"/>
      <c r="E1275" s="38" t="n"/>
      <c r="F1275" s="38" t="n"/>
      <c r="G1275" s="37">
        <f>IF(COUNTA(A1275:F1275)=0,"",IF(A1275="EXAMPLE","Example (skipped)",IF(OR(C1275="",E1275="",F1275=""),"✖ Portal, User ID and Password are all needed",IF(AND(A1275="",COUNTIF(Clients!$B$5:$B$1005,B1275)=0),"Not on Clients — will match a portal client by name",IF(AND(C1275="GST",D1275&lt;&gt;"",COUNTIF(Clients!$AN$5:$AN$1005,UPPER(D1275))=0,COUNTIF(Clients!$G$5:$G$1005,"*"&amp;UPPER(D1275)&amp;"*")=0),"GSTIN not on Clients — will be checked in the portal","✔ OK")))))</f>
        <v/>
      </c>
    </row>
    <row r="1276">
      <c r="A1276" s="38" t="n"/>
      <c r="B1276" s="39" t="n"/>
      <c r="C1276" s="39" t="n"/>
      <c r="D1276" s="38" t="n"/>
      <c r="E1276" s="38" t="n"/>
      <c r="F1276" s="38" t="n"/>
      <c r="G1276" s="37">
        <f>IF(COUNTA(A1276:F1276)=0,"",IF(A1276="EXAMPLE","Example (skipped)",IF(OR(C1276="",E1276="",F1276=""),"✖ Portal, User ID and Password are all needed",IF(AND(A1276="",COUNTIF(Clients!$B$5:$B$1005,B1276)=0),"Not on Clients — will match a portal client by name",IF(AND(C1276="GST",D1276&lt;&gt;"",COUNTIF(Clients!$AN$5:$AN$1005,UPPER(D1276))=0,COUNTIF(Clients!$G$5:$G$1005,"*"&amp;UPPER(D1276)&amp;"*")=0),"GSTIN not on Clients — will be checked in the portal","✔ OK")))))</f>
        <v/>
      </c>
    </row>
    <row r="1277">
      <c r="A1277" s="38" t="n"/>
      <c r="B1277" s="39" t="n"/>
      <c r="C1277" s="39" t="n"/>
      <c r="D1277" s="38" t="n"/>
      <c r="E1277" s="38" t="n"/>
      <c r="F1277" s="38" t="n"/>
      <c r="G1277" s="37">
        <f>IF(COUNTA(A1277:F1277)=0,"",IF(A1277="EXAMPLE","Example (skipped)",IF(OR(C1277="",E1277="",F1277=""),"✖ Portal, User ID and Password are all needed",IF(AND(A1277="",COUNTIF(Clients!$B$5:$B$1005,B1277)=0),"Not on Clients — will match a portal client by name",IF(AND(C1277="GST",D1277&lt;&gt;"",COUNTIF(Clients!$AN$5:$AN$1005,UPPER(D1277))=0,COUNTIF(Clients!$G$5:$G$1005,"*"&amp;UPPER(D1277)&amp;"*")=0),"GSTIN not on Clients — will be checked in the portal","✔ OK")))))</f>
        <v/>
      </c>
    </row>
    <row r="1278">
      <c r="A1278" s="38" t="n"/>
      <c r="B1278" s="39" t="n"/>
      <c r="C1278" s="39" t="n"/>
      <c r="D1278" s="38" t="n"/>
      <c r="E1278" s="38" t="n"/>
      <c r="F1278" s="38" t="n"/>
      <c r="G1278" s="37">
        <f>IF(COUNTA(A1278:F1278)=0,"",IF(A1278="EXAMPLE","Example (skipped)",IF(OR(C1278="",E1278="",F1278=""),"✖ Portal, User ID and Password are all needed",IF(AND(A1278="",COUNTIF(Clients!$B$5:$B$1005,B1278)=0),"Not on Clients — will match a portal client by name",IF(AND(C1278="GST",D1278&lt;&gt;"",COUNTIF(Clients!$AN$5:$AN$1005,UPPER(D1278))=0,COUNTIF(Clients!$G$5:$G$1005,"*"&amp;UPPER(D1278)&amp;"*")=0),"GSTIN not on Clients — will be checked in the portal","✔ OK")))))</f>
        <v/>
      </c>
    </row>
    <row r="1279">
      <c r="A1279" s="38" t="n"/>
      <c r="B1279" s="39" t="n"/>
      <c r="C1279" s="39" t="n"/>
      <c r="D1279" s="38" t="n"/>
      <c r="E1279" s="38" t="n"/>
      <c r="F1279" s="38" t="n"/>
      <c r="G1279" s="37">
        <f>IF(COUNTA(A1279:F1279)=0,"",IF(A1279="EXAMPLE","Example (skipped)",IF(OR(C1279="",E1279="",F1279=""),"✖ Portal, User ID and Password are all needed",IF(AND(A1279="",COUNTIF(Clients!$B$5:$B$1005,B1279)=0),"Not on Clients — will match a portal client by name",IF(AND(C1279="GST",D1279&lt;&gt;"",COUNTIF(Clients!$AN$5:$AN$1005,UPPER(D1279))=0,COUNTIF(Clients!$G$5:$G$1005,"*"&amp;UPPER(D1279)&amp;"*")=0),"GSTIN not on Clients — will be checked in the portal","✔ OK")))))</f>
        <v/>
      </c>
    </row>
    <row r="1280">
      <c r="A1280" s="38" t="n"/>
      <c r="B1280" s="39" t="n"/>
      <c r="C1280" s="39" t="n"/>
      <c r="D1280" s="38" t="n"/>
      <c r="E1280" s="38" t="n"/>
      <c r="F1280" s="38" t="n"/>
      <c r="G1280" s="37">
        <f>IF(COUNTA(A1280:F1280)=0,"",IF(A1280="EXAMPLE","Example (skipped)",IF(OR(C1280="",E1280="",F1280=""),"✖ Portal, User ID and Password are all needed",IF(AND(A1280="",COUNTIF(Clients!$B$5:$B$1005,B1280)=0),"Not on Clients — will match a portal client by name",IF(AND(C1280="GST",D1280&lt;&gt;"",COUNTIF(Clients!$AN$5:$AN$1005,UPPER(D1280))=0,COUNTIF(Clients!$G$5:$G$1005,"*"&amp;UPPER(D1280)&amp;"*")=0),"GSTIN not on Clients — will be checked in the portal","✔ OK")))))</f>
        <v/>
      </c>
    </row>
    <row r="1281">
      <c r="A1281" s="38" t="n"/>
      <c r="B1281" s="39" t="n"/>
      <c r="C1281" s="39" t="n"/>
      <c r="D1281" s="38" t="n"/>
      <c r="E1281" s="38" t="n"/>
      <c r="F1281" s="38" t="n"/>
      <c r="G1281" s="37">
        <f>IF(COUNTA(A1281:F1281)=0,"",IF(A1281="EXAMPLE","Example (skipped)",IF(OR(C1281="",E1281="",F1281=""),"✖ Portal, User ID and Password are all needed",IF(AND(A1281="",COUNTIF(Clients!$B$5:$B$1005,B1281)=0),"Not on Clients — will match a portal client by name",IF(AND(C1281="GST",D1281&lt;&gt;"",COUNTIF(Clients!$AN$5:$AN$1005,UPPER(D1281))=0,COUNTIF(Clients!$G$5:$G$1005,"*"&amp;UPPER(D1281)&amp;"*")=0),"GSTIN not on Clients — will be checked in the portal","✔ OK")))))</f>
        <v/>
      </c>
    </row>
    <row r="1282">
      <c r="A1282" s="38" t="n"/>
      <c r="B1282" s="39" t="n"/>
      <c r="C1282" s="39" t="n"/>
      <c r="D1282" s="38" t="n"/>
      <c r="E1282" s="38" t="n"/>
      <c r="F1282" s="38" t="n"/>
      <c r="G1282" s="37">
        <f>IF(COUNTA(A1282:F1282)=0,"",IF(A1282="EXAMPLE","Example (skipped)",IF(OR(C1282="",E1282="",F1282=""),"✖ Portal, User ID and Password are all needed",IF(AND(A1282="",COUNTIF(Clients!$B$5:$B$1005,B1282)=0),"Not on Clients — will match a portal client by name",IF(AND(C1282="GST",D1282&lt;&gt;"",COUNTIF(Clients!$AN$5:$AN$1005,UPPER(D1282))=0,COUNTIF(Clients!$G$5:$G$1005,"*"&amp;UPPER(D1282)&amp;"*")=0),"GSTIN not on Clients — will be checked in the portal","✔ OK")))))</f>
        <v/>
      </c>
    </row>
    <row r="1283">
      <c r="A1283" s="38" t="n"/>
      <c r="B1283" s="39" t="n"/>
      <c r="C1283" s="39" t="n"/>
      <c r="D1283" s="38" t="n"/>
      <c r="E1283" s="38" t="n"/>
      <c r="F1283" s="38" t="n"/>
      <c r="G1283" s="37">
        <f>IF(COUNTA(A1283:F1283)=0,"",IF(A1283="EXAMPLE","Example (skipped)",IF(OR(C1283="",E1283="",F1283=""),"✖ Portal, User ID and Password are all needed",IF(AND(A1283="",COUNTIF(Clients!$B$5:$B$1005,B1283)=0),"Not on Clients — will match a portal client by name",IF(AND(C1283="GST",D1283&lt;&gt;"",COUNTIF(Clients!$AN$5:$AN$1005,UPPER(D1283))=0,COUNTIF(Clients!$G$5:$G$1005,"*"&amp;UPPER(D1283)&amp;"*")=0),"GSTIN not on Clients — will be checked in the portal","✔ OK")))))</f>
        <v/>
      </c>
    </row>
    <row r="1284">
      <c r="A1284" s="38" t="n"/>
      <c r="B1284" s="39" t="n"/>
      <c r="C1284" s="39" t="n"/>
      <c r="D1284" s="38" t="n"/>
      <c r="E1284" s="38" t="n"/>
      <c r="F1284" s="38" t="n"/>
      <c r="G1284" s="37">
        <f>IF(COUNTA(A1284:F1284)=0,"",IF(A1284="EXAMPLE","Example (skipped)",IF(OR(C1284="",E1284="",F1284=""),"✖ Portal, User ID and Password are all needed",IF(AND(A1284="",COUNTIF(Clients!$B$5:$B$1005,B1284)=0),"Not on Clients — will match a portal client by name",IF(AND(C1284="GST",D1284&lt;&gt;"",COUNTIF(Clients!$AN$5:$AN$1005,UPPER(D1284))=0,COUNTIF(Clients!$G$5:$G$1005,"*"&amp;UPPER(D1284)&amp;"*")=0),"GSTIN not on Clients — will be checked in the portal","✔ OK")))))</f>
        <v/>
      </c>
    </row>
    <row r="1285">
      <c r="A1285" s="38" t="n"/>
      <c r="B1285" s="39" t="n"/>
      <c r="C1285" s="39" t="n"/>
      <c r="D1285" s="38" t="n"/>
      <c r="E1285" s="38" t="n"/>
      <c r="F1285" s="38" t="n"/>
      <c r="G1285" s="37">
        <f>IF(COUNTA(A1285:F1285)=0,"",IF(A1285="EXAMPLE","Example (skipped)",IF(OR(C1285="",E1285="",F1285=""),"✖ Portal, User ID and Password are all needed",IF(AND(A1285="",COUNTIF(Clients!$B$5:$B$1005,B1285)=0),"Not on Clients — will match a portal client by name",IF(AND(C1285="GST",D1285&lt;&gt;"",COUNTIF(Clients!$AN$5:$AN$1005,UPPER(D1285))=0,COUNTIF(Clients!$G$5:$G$1005,"*"&amp;UPPER(D1285)&amp;"*")=0),"GSTIN not on Clients — will be checked in the portal","✔ OK")))))</f>
        <v/>
      </c>
    </row>
    <row r="1286">
      <c r="A1286" s="38" t="n"/>
      <c r="B1286" s="39" t="n"/>
      <c r="C1286" s="39" t="n"/>
      <c r="D1286" s="38" t="n"/>
      <c r="E1286" s="38" t="n"/>
      <c r="F1286" s="38" t="n"/>
      <c r="G1286" s="37">
        <f>IF(COUNTA(A1286:F1286)=0,"",IF(A1286="EXAMPLE","Example (skipped)",IF(OR(C1286="",E1286="",F1286=""),"✖ Portal, User ID and Password are all needed",IF(AND(A1286="",COUNTIF(Clients!$B$5:$B$1005,B1286)=0),"Not on Clients — will match a portal client by name",IF(AND(C1286="GST",D1286&lt;&gt;"",COUNTIF(Clients!$AN$5:$AN$1005,UPPER(D1286))=0,COUNTIF(Clients!$G$5:$G$1005,"*"&amp;UPPER(D1286)&amp;"*")=0),"GSTIN not on Clients — will be checked in the portal","✔ OK")))))</f>
        <v/>
      </c>
    </row>
    <row r="1287">
      <c r="A1287" s="38" t="n"/>
      <c r="B1287" s="39" t="n"/>
      <c r="C1287" s="39" t="n"/>
      <c r="D1287" s="38" t="n"/>
      <c r="E1287" s="38" t="n"/>
      <c r="F1287" s="38" t="n"/>
      <c r="G1287" s="37">
        <f>IF(COUNTA(A1287:F1287)=0,"",IF(A1287="EXAMPLE","Example (skipped)",IF(OR(C1287="",E1287="",F1287=""),"✖ Portal, User ID and Password are all needed",IF(AND(A1287="",COUNTIF(Clients!$B$5:$B$1005,B1287)=0),"Not on Clients — will match a portal client by name",IF(AND(C1287="GST",D1287&lt;&gt;"",COUNTIF(Clients!$AN$5:$AN$1005,UPPER(D1287))=0,COUNTIF(Clients!$G$5:$G$1005,"*"&amp;UPPER(D1287)&amp;"*")=0),"GSTIN not on Clients — will be checked in the portal","✔ OK")))))</f>
        <v/>
      </c>
    </row>
    <row r="1288">
      <c r="A1288" s="38" t="n"/>
      <c r="B1288" s="39" t="n"/>
      <c r="C1288" s="39" t="n"/>
      <c r="D1288" s="38" t="n"/>
      <c r="E1288" s="38" t="n"/>
      <c r="F1288" s="38" t="n"/>
      <c r="G1288" s="37">
        <f>IF(COUNTA(A1288:F1288)=0,"",IF(A1288="EXAMPLE","Example (skipped)",IF(OR(C1288="",E1288="",F1288=""),"✖ Portal, User ID and Password are all needed",IF(AND(A1288="",COUNTIF(Clients!$B$5:$B$1005,B1288)=0),"Not on Clients — will match a portal client by name",IF(AND(C1288="GST",D1288&lt;&gt;"",COUNTIF(Clients!$AN$5:$AN$1005,UPPER(D1288))=0,COUNTIF(Clients!$G$5:$G$1005,"*"&amp;UPPER(D1288)&amp;"*")=0),"GSTIN not on Clients — will be checked in the portal","✔ OK")))))</f>
        <v/>
      </c>
    </row>
    <row r="1289">
      <c r="A1289" s="38" t="n"/>
      <c r="B1289" s="39" t="n"/>
      <c r="C1289" s="39" t="n"/>
      <c r="D1289" s="38" t="n"/>
      <c r="E1289" s="38" t="n"/>
      <c r="F1289" s="38" t="n"/>
      <c r="G1289" s="37">
        <f>IF(COUNTA(A1289:F1289)=0,"",IF(A1289="EXAMPLE","Example (skipped)",IF(OR(C1289="",E1289="",F1289=""),"✖ Portal, User ID and Password are all needed",IF(AND(A1289="",COUNTIF(Clients!$B$5:$B$1005,B1289)=0),"Not on Clients — will match a portal client by name",IF(AND(C1289="GST",D1289&lt;&gt;"",COUNTIF(Clients!$AN$5:$AN$1005,UPPER(D1289))=0,COUNTIF(Clients!$G$5:$G$1005,"*"&amp;UPPER(D1289)&amp;"*")=0),"GSTIN not on Clients — will be checked in the portal","✔ OK")))))</f>
        <v/>
      </c>
    </row>
    <row r="1290">
      <c r="A1290" s="38" t="n"/>
      <c r="B1290" s="39" t="n"/>
      <c r="C1290" s="39" t="n"/>
      <c r="D1290" s="38" t="n"/>
      <c r="E1290" s="38" t="n"/>
      <c r="F1290" s="38" t="n"/>
      <c r="G1290" s="37">
        <f>IF(COUNTA(A1290:F1290)=0,"",IF(A1290="EXAMPLE","Example (skipped)",IF(OR(C1290="",E1290="",F1290=""),"✖ Portal, User ID and Password are all needed",IF(AND(A1290="",COUNTIF(Clients!$B$5:$B$1005,B1290)=0),"Not on Clients — will match a portal client by name",IF(AND(C1290="GST",D1290&lt;&gt;"",COUNTIF(Clients!$AN$5:$AN$1005,UPPER(D1290))=0,COUNTIF(Clients!$G$5:$G$1005,"*"&amp;UPPER(D1290)&amp;"*")=0),"GSTIN not on Clients — will be checked in the portal","✔ OK")))))</f>
        <v/>
      </c>
    </row>
    <row r="1291">
      <c r="A1291" s="38" t="n"/>
      <c r="B1291" s="39" t="n"/>
      <c r="C1291" s="39" t="n"/>
      <c r="D1291" s="38" t="n"/>
      <c r="E1291" s="38" t="n"/>
      <c r="F1291" s="38" t="n"/>
      <c r="G1291" s="37">
        <f>IF(COUNTA(A1291:F1291)=0,"",IF(A1291="EXAMPLE","Example (skipped)",IF(OR(C1291="",E1291="",F1291=""),"✖ Portal, User ID and Password are all needed",IF(AND(A1291="",COUNTIF(Clients!$B$5:$B$1005,B1291)=0),"Not on Clients — will match a portal client by name",IF(AND(C1291="GST",D1291&lt;&gt;"",COUNTIF(Clients!$AN$5:$AN$1005,UPPER(D1291))=0,COUNTIF(Clients!$G$5:$G$1005,"*"&amp;UPPER(D1291)&amp;"*")=0),"GSTIN not on Clients — will be checked in the portal","✔ OK")))))</f>
        <v/>
      </c>
    </row>
    <row r="1292">
      <c r="A1292" s="38" t="n"/>
      <c r="B1292" s="39" t="n"/>
      <c r="C1292" s="39" t="n"/>
      <c r="D1292" s="38" t="n"/>
      <c r="E1292" s="38" t="n"/>
      <c r="F1292" s="38" t="n"/>
      <c r="G1292" s="37">
        <f>IF(COUNTA(A1292:F1292)=0,"",IF(A1292="EXAMPLE","Example (skipped)",IF(OR(C1292="",E1292="",F1292=""),"✖ Portal, User ID and Password are all needed",IF(AND(A1292="",COUNTIF(Clients!$B$5:$B$1005,B1292)=0),"Not on Clients — will match a portal client by name",IF(AND(C1292="GST",D1292&lt;&gt;"",COUNTIF(Clients!$AN$5:$AN$1005,UPPER(D1292))=0,COUNTIF(Clients!$G$5:$G$1005,"*"&amp;UPPER(D1292)&amp;"*")=0),"GSTIN not on Clients — will be checked in the portal","✔ OK")))))</f>
        <v/>
      </c>
    </row>
    <row r="1293">
      <c r="A1293" s="38" t="n"/>
      <c r="B1293" s="39" t="n"/>
      <c r="C1293" s="39" t="n"/>
      <c r="D1293" s="38" t="n"/>
      <c r="E1293" s="38" t="n"/>
      <c r="F1293" s="38" t="n"/>
      <c r="G1293" s="37">
        <f>IF(COUNTA(A1293:F1293)=0,"",IF(A1293="EXAMPLE","Example (skipped)",IF(OR(C1293="",E1293="",F1293=""),"✖ Portal, User ID and Password are all needed",IF(AND(A1293="",COUNTIF(Clients!$B$5:$B$1005,B1293)=0),"Not on Clients — will match a portal client by name",IF(AND(C1293="GST",D1293&lt;&gt;"",COUNTIF(Clients!$AN$5:$AN$1005,UPPER(D1293))=0,COUNTIF(Clients!$G$5:$G$1005,"*"&amp;UPPER(D1293)&amp;"*")=0),"GSTIN not on Clients — will be checked in the portal","✔ OK")))))</f>
        <v/>
      </c>
    </row>
    <row r="1294">
      <c r="A1294" s="38" t="n"/>
      <c r="B1294" s="39" t="n"/>
      <c r="C1294" s="39" t="n"/>
      <c r="D1294" s="38" t="n"/>
      <c r="E1294" s="38" t="n"/>
      <c r="F1294" s="38" t="n"/>
      <c r="G1294" s="37">
        <f>IF(COUNTA(A1294:F1294)=0,"",IF(A1294="EXAMPLE","Example (skipped)",IF(OR(C1294="",E1294="",F1294=""),"✖ Portal, User ID and Password are all needed",IF(AND(A1294="",COUNTIF(Clients!$B$5:$B$1005,B1294)=0),"Not on Clients — will match a portal client by name",IF(AND(C1294="GST",D1294&lt;&gt;"",COUNTIF(Clients!$AN$5:$AN$1005,UPPER(D1294))=0,COUNTIF(Clients!$G$5:$G$1005,"*"&amp;UPPER(D1294)&amp;"*")=0),"GSTIN not on Clients — will be checked in the portal","✔ OK")))))</f>
        <v/>
      </c>
    </row>
    <row r="1295">
      <c r="A1295" s="38" t="n"/>
      <c r="B1295" s="39" t="n"/>
      <c r="C1295" s="39" t="n"/>
      <c r="D1295" s="38" t="n"/>
      <c r="E1295" s="38" t="n"/>
      <c r="F1295" s="38" t="n"/>
      <c r="G1295" s="37">
        <f>IF(COUNTA(A1295:F1295)=0,"",IF(A1295="EXAMPLE","Example (skipped)",IF(OR(C1295="",E1295="",F1295=""),"✖ Portal, User ID and Password are all needed",IF(AND(A1295="",COUNTIF(Clients!$B$5:$B$1005,B1295)=0),"Not on Clients — will match a portal client by name",IF(AND(C1295="GST",D1295&lt;&gt;"",COUNTIF(Clients!$AN$5:$AN$1005,UPPER(D1295))=0,COUNTIF(Clients!$G$5:$G$1005,"*"&amp;UPPER(D1295)&amp;"*")=0),"GSTIN not on Clients — will be checked in the portal","✔ OK")))))</f>
        <v/>
      </c>
    </row>
    <row r="1296">
      <c r="A1296" s="38" t="n"/>
      <c r="B1296" s="39" t="n"/>
      <c r="C1296" s="39" t="n"/>
      <c r="D1296" s="38" t="n"/>
      <c r="E1296" s="38" t="n"/>
      <c r="F1296" s="38" t="n"/>
      <c r="G1296" s="37">
        <f>IF(COUNTA(A1296:F1296)=0,"",IF(A1296="EXAMPLE","Example (skipped)",IF(OR(C1296="",E1296="",F1296=""),"✖ Portal, User ID and Password are all needed",IF(AND(A1296="",COUNTIF(Clients!$B$5:$B$1005,B1296)=0),"Not on Clients — will match a portal client by name",IF(AND(C1296="GST",D1296&lt;&gt;"",COUNTIF(Clients!$AN$5:$AN$1005,UPPER(D1296))=0,COUNTIF(Clients!$G$5:$G$1005,"*"&amp;UPPER(D1296)&amp;"*")=0),"GSTIN not on Clients — will be checked in the portal","✔ OK")))))</f>
        <v/>
      </c>
    </row>
    <row r="1297">
      <c r="A1297" s="38" t="n"/>
      <c r="B1297" s="39" t="n"/>
      <c r="C1297" s="39" t="n"/>
      <c r="D1297" s="38" t="n"/>
      <c r="E1297" s="38" t="n"/>
      <c r="F1297" s="38" t="n"/>
      <c r="G1297" s="37">
        <f>IF(COUNTA(A1297:F1297)=0,"",IF(A1297="EXAMPLE","Example (skipped)",IF(OR(C1297="",E1297="",F1297=""),"✖ Portal, User ID and Password are all needed",IF(AND(A1297="",COUNTIF(Clients!$B$5:$B$1005,B1297)=0),"Not on Clients — will match a portal client by name",IF(AND(C1297="GST",D1297&lt;&gt;"",COUNTIF(Clients!$AN$5:$AN$1005,UPPER(D1297))=0,COUNTIF(Clients!$G$5:$G$1005,"*"&amp;UPPER(D1297)&amp;"*")=0),"GSTIN not on Clients — will be checked in the portal","✔ OK")))))</f>
        <v/>
      </c>
    </row>
    <row r="1298">
      <c r="A1298" s="38" t="n"/>
      <c r="B1298" s="39" t="n"/>
      <c r="C1298" s="39" t="n"/>
      <c r="D1298" s="38" t="n"/>
      <c r="E1298" s="38" t="n"/>
      <c r="F1298" s="38" t="n"/>
      <c r="G1298" s="37">
        <f>IF(COUNTA(A1298:F1298)=0,"",IF(A1298="EXAMPLE","Example (skipped)",IF(OR(C1298="",E1298="",F1298=""),"✖ Portal, User ID and Password are all needed",IF(AND(A1298="",COUNTIF(Clients!$B$5:$B$1005,B1298)=0),"Not on Clients — will match a portal client by name",IF(AND(C1298="GST",D1298&lt;&gt;"",COUNTIF(Clients!$AN$5:$AN$1005,UPPER(D1298))=0,COUNTIF(Clients!$G$5:$G$1005,"*"&amp;UPPER(D1298)&amp;"*")=0),"GSTIN not on Clients — will be checked in the portal","✔ OK")))))</f>
        <v/>
      </c>
    </row>
    <row r="1299">
      <c r="A1299" s="38" t="n"/>
      <c r="B1299" s="39" t="n"/>
      <c r="C1299" s="39" t="n"/>
      <c r="D1299" s="38" t="n"/>
      <c r="E1299" s="38" t="n"/>
      <c r="F1299" s="38" t="n"/>
      <c r="G1299" s="37">
        <f>IF(COUNTA(A1299:F1299)=0,"",IF(A1299="EXAMPLE","Example (skipped)",IF(OR(C1299="",E1299="",F1299=""),"✖ Portal, User ID and Password are all needed",IF(AND(A1299="",COUNTIF(Clients!$B$5:$B$1005,B1299)=0),"Not on Clients — will match a portal client by name",IF(AND(C1299="GST",D1299&lt;&gt;"",COUNTIF(Clients!$AN$5:$AN$1005,UPPER(D1299))=0,COUNTIF(Clients!$G$5:$G$1005,"*"&amp;UPPER(D1299)&amp;"*")=0),"GSTIN not on Clients — will be checked in the portal","✔ OK")))))</f>
        <v/>
      </c>
    </row>
    <row r="1300">
      <c r="A1300" s="38" t="n"/>
      <c r="B1300" s="39" t="n"/>
      <c r="C1300" s="39" t="n"/>
      <c r="D1300" s="38" t="n"/>
      <c r="E1300" s="38" t="n"/>
      <c r="F1300" s="38" t="n"/>
      <c r="G1300" s="37">
        <f>IF(COUNTA(A1300:F1300)=0,"",IF(A1300="EXAMPLE","Example (skipped)",IF(OR(C1300="",E1300="",F1300=""),"✖ Portal, User ID and Password are all needed",IF(AND(A1300="",COUNTIF(Clients!$B$5:$B$1005,B1300)=0),"Not on Clients — will match a portal client by name",IF(AND(C1300="GST",D1300&lt;&gt;"",COUNTIF(Clients!$AN$5:$AN$1005,UPPER(D1300))=0,COUNTIF(Clients!$G$5:$G$1005,"*"&amp;UPPER(D1300)&amp;"*")=0),"GSTIN not on Clients — will be checked in the portal","✔ OK")))))</f>
        <v/>
      </c>
    </row>
    <row r="1301">
      <c r="A1301" s="38" t="n"/>
      <c r="B1301" s="39" t="n"/>
      <c r="C1301" s="39" t="n"/>
      <c r="D1301" s="38" t="n"/>
      <c r="E1301" s="38" t="n"/>
      <c r="F1301" s="38" t="n"/>
      <c r="G1301" s="37">
        <f>IF(COUNTA(A1301:F1301)=0,"",IF(A1301="EXAMPLE","Example (skipped)",IF(OR(C1301="",E1301="",F1301=""),"✖ Portal, User ID and Password are all needed",IF(AND(A1301="",COUNTIF(Clients!$B$5:$B$1005,B1301)=0),"Not on Clients — will match a portal client by name",IF(AND(C1301="GST",D1301&lt;&gt;"",COUNTIF(Clients!$AN$5:$AN$1005,UPPER(D1301))=0,COUNTIF(Clients!$G$5:$G$1005,"*"&amp;UPPER(D1301)&amp;"*")=0),"GSTIN not on Clients — will be checked in the portal","✔ OK")))))</f>
        <v/>
      </c>
    </row>
    <row r="1302">
      <c r="A1302" s="38" t="n"/>
      <c r="B1302" s="39" t="n"/>
      <c r="C1302" s="39" t="n"/>
      <c r="D1302" s="38" t="n"/>
      <c r="E1302" s="38" t="n"/>
      <c r="F1302" s="38" t="n"/>
      <c r="G1302" s="37">
        <f>IF(COUNTA(A1302:F1302)=0,"",IF(A1302="EXAMPLE","Example (skipped)",IF(OR(C1302="",E1302="",F1302=""),"✖ Portal, User ID and Password are all needed",IF(AND(A1302="",COUNTIF(Clients!$B$5:$B$1005,B1302)=0),"Not on Clients — will match a portal client by name",IF(AND(C1302="GST",D1302&lt;&gt;"",COUNTIF(Clients!$AN$5:$AN$1005,UPPER(D1302))=0,COUNTIF(Clients!$G$5:$G$1005,"*"&amp;UPPER(D1302)&amp;"*")=0),"GSTIN not on Clients — will be checked in the portal","✔ OK")))))</f>
        <v/>
      </c>
    </row>
    <row r="1303">
      <c r="A1303" s="38" t="n"/>
      <c r="B1303" s="39" t="n"/>
      <c r="C1303" s="39" t="n"/>
      <c r="D1303" s="38" t="n"/>
      <c r="E1303" s="38" t="n"/>
      <c r="F1303" s="38" t="n"/>
      <c r="G1303" s="37">
        <f>IF(COUNTA(A1303:F1303)=0,"",IF(A1303="EXAMPLE","Example (skipped)",IF(OR(C1303="",E1303="",F1303=""),"✖ Portal, User ID and Password are all needed",IF(AND(A1303="",COUNTIF(Clients!$B$5:$B$1005,B1303)=0),"Not on Clients — will match a portal client by name",IF(AND(C1303="GST",D1303&lt;&gt;"",COUNTIF(Clients!$AN$5:$AN$1005,UPPER(D1303))=0,COUNTIF(Clients!$G$5:$G$1005,"*"&amp;UPPER(D1303)&amp;"*")=0),"GSTIN not on Clients — will be checked in the portal","✔ OK")))))</f>
        <v/>
      </c>
    </row>
    <row r="1304">
      <c r="A1304" s="38" t="n"/>
      <c r="B1304" s="39" t="n"/>
      <c r="C1304" s="39" t="n"/>
      <c r="D1304" s="38" t="n"/>
      <c r="E1304" s="38" t="n"/>
      <c r="F1304" s="38" t="n"/>
      <c r="G1304" s="37">
        <f>IF(COUNTA(A1304:F1304)=0,"",IF(A1304="EXAMPLE","Example (skipped)",IF(OR(C1304="",E1304="",F1304=""),"✖ Portal, User ID and Password are all needed",IF(AND(A1304="",COUNTIF(Clients!$B$5:$B$1005,B1304)=0),"Not on Clients — will match a portal client by name",IF(AND(C1304="GST",D1304&lt;&gt;"",COUNTIF(Clients!$AN$5:$AN$1005,UPPER(D1304))=0,COUNTIF(Clients!$G$5:$G$1005,"*"&amp;UPPER(D1304)&amp;"*")=0),"GSTIN not on Clients — will be checked in the portal","✔ OK")))))</f>
        <v/>
      </c>
    </row>
    <row r="1305">
      <c r="A1305" s="38" t="n"/>
      <c r="B1305" s="39" t="n"/>
      <c r="C1305" s="39" t="n"/>
      <c r="D1305" s="38" t="n"/>
      <c r="E1305" s="38" t="n"/>
      <c r="F1305" s="38" t="n"/>
      <c r="G1305" s="37">
        <f>IF(COUNTA(A1305:F1305)=0,"",IF(A1305="EXAMPLE","Example (skipped)",IF(OR(C1305="",E1305="",F1305=""),"✖ Portal, User ID and Password are all needed",IF(AND(A1305="",COUNTIF(Clients!$B$5:$B$1005,B1305)=0),"Not on Clients — will match a portal client by name",IF(AND(C1305="GST",D1305&lt;&gt;"",COUNTIF(Clients!$AN$5:$AN$1005,UPPER(D1305))=0,COUNTIF(Clients!$G$5:$G$1005,"*"&amp;UPPER(D1305)&amp;"*")=0),"GSTIN not on Clients — will be checked in the portal","✔ OK")))))</f>
        <v/>
      </c>
    </row>
    <row r="1306">
      <c r="A1306" s="38" t="n"/>
      <c r="B1306" s="39" t="n"/>
      <c r="C1306" s="39" t="n"/>
      <c r="D1306" s="38" t="n"/>
      <c r="E1306" s="38" t="n"/>
      <c r="F1306" s="38" t="n"/>
      <c r="G1306" s="37">
        <f>IF(COUNTA(A1306:F1306)=0,"",IF(A1306="EXAMPLE","Example (skipped)",IF(OR(C1306="",E1306="",F1306=""),"✖ Portal, User ID and Password are all needed",IF(AND(A1306="",COUNTIF(Clients!$B$5:$B$1005,B1306)=0),"Not on Clients — will match a portal client by name",IF(AND(C1306="GST",D1306&lt;&gt;"",COUNTIF(Clients!$AN$5:$AN$1005,UPPER(D1306))=0,COUNTIF(Clients!$G$5:$G$1005,"*"&amp;UPPER(D1306)&amp;"*")=0),"GSTIN not on Clients — will be checked in the portal","✔ OK")))))</f>
        <v/>
      </c>
    </row>
    <row r="1307">
      <c r="A1307" s="38" t="n"/>
      <c r="B1307" s="39" t="n"/>
      <c r="C1307" s="39" t="n"/>
      <c r="D1307" s="38" t="n"/>
      <c r="E1307" s="38" t="n"/>
      <c r="F1307" s="38" t="n"/>
      <c r="G1307" s="37">
        <f>IF(COUNTA(A1307:F1307)=0,"",IF(A1307="EXAMPLE","Example (skipped)",IF(OR(C1307="",E1307="",F1307=""),"✖ Portal, User ID and Password are all needed",IF(AND(A1307="",COUNTIF(Clients!$B$5:$B$1005,B1307)=0),"Not on Clients — will match a portal client by name",IF(AND(C1307="GST",D1307&lt;&gt;"",COUNTIF(Clients!$AN$5:$AN$1005,UPPER(D1307))=0,COUNTIF(Clients!$G$5:$G$1005,"*"&amp;UPPER(D1307)&amp;"*")=0),"GSTIN not on Clients — will be checked in the portal","✔ OK")))))</f>
        <v/>
      </c>
    </row>
    <row r="1308">
      <c r="A1308" s="38" t="n"/>
      <c r="B1308" s="39" t="n"/>
      <c r="C1308" s="39" t="n"/>
      <c r="D1308" s="38" t="n"/>
      <c r="E1308" s="38" t="n"/>
      <c r="F1308" s="38" t="n"/>
      <c r="G1308" s="37">
        <f>IF(COUNTA(A1308:F1308)=0,"",IF(A1308="EXAMPLE","Example (skipped)",IF(OR(C1308="",E1308="",F1308=""),"✖ Portal, User ID and Password are all needed",IF(AND(A1308="",COUNTIF(Clients!$B$5:$B$1005,B1308)=0),"Not on Clients — will match a portal client by name",IF(AND(C1308="GST",D1308&lt;&gt;"",COUNTIF(Clients!$AN$5:$AN$1005,UPPER(D1308))=0,COUNTIF(Clients!$G$5:$G$1005,"*"&amp;UPPER(D1308)&amp;"*")=0),"GSTIN not on Clients — will be checked in the portal","✔ OK")))))</f>
        <v/>
      </c>
    </row>
    <row r="1309">
      <c r="A1309" s="38" t="n"/>
      <c r="B1309" s="39" t="n"/>
      <c r="C1309" s="39" t="n"/>
      <c r="D1309" s="38" t="n"/>
      <c r="E1309" s="38" t="n"/>
      <c r="F1309" s="38" t="n"/>
      <c r="G1309" s="37">
        <f>IF(COUNTA(A1309:F1309)=0,"",IF(A1309="EXAMPLE","Example (skipped)",IF(OR(C1309="",E1309="",F1309=""),"✖ Portal, User ID and Password are all needed",IF(AND(A1309="",COUNTIF(Clients!$B$5:$B$1005,B1309)=0),"Not on Clients — will match a portal client by name",IF(AND(C1309="GST",D1309&lt;&gt;"",COUNTIF(Clients!$AN$5:$AN$1005,UPPER(D1309))=0,COUNTIF(Clients!$G$5:$G$1005,"*"&amp;UPPER(D1309)&amp;"*")=0),"GSTIN not on Clients — will be checked in the portal","✔ OK")))))</f>
        <v/>
      </c>
    </row>
    <row r="1310">
      <c r="A1310" s="38" t="n"/>
      <c r="B1310" s="39" t="n"/>
      <c r="C1310" s="39" t="n"/>
      <c r="D1310" s="38" t="n"/>
      <c r="E1310" s="38" t="n"/>
      <c r="F1310" s="38" t="n"/>
      <c r="G1310" s="37">
        <f>IF(COUNTA(A1310:F1310)=0,"",IF(A1310="EXAMPLE","Example (skipped)",IF(OR(C1310="",E1310="",F1310=""),"✖ Portal, User ID and Password are all needed",IF(AND(A1310="",COUNTIF(Clients!$B$5:$B$1005,B1310)=0),"Not on Clients — will match a portal client by name",IF(AND(C1310="GST",D1310&lt;&gt;"",COUNTIF(Clients!$AN$5:$AN$1005,UPPER(D1310))=0,COUNTIF(Clients!$G$5:$G$1005,"*"&amp;UPPER(D1310)&amp;"*")=0),"GSTIN not on Clients — will be checked in the portal","✔ OK")))))</f>
        <v/>
      </c>
    </row>
    <row r="1311">
      <c r="A1311" s="38" t="n"/>
      <c r="B1311" s="39" t="n"/>
      <c r="C1311" s="39" t="n"/>
      <c r="D1311" s="38" t="n"/>
      <c r="E1311" s="38" t="n"/>
      <c r="F1311" s="38" t="n"/>
      <c r="G1311" s="37">
        <f>IF(COUNTA(A1311:F1311)=0,"",IF(A1311="EXAMPLE","Example (skipped)",IF(OR(C1311="",E1311="",F1311=""),"✖ Portal, User ID and Password are all needed",IF(AND(A1311="",COUNTIF(Clients!$B$5:$B$1005,B1311)=0),"Not on Clients — will match a portal client by name",IF(AND(C1311="GST",D1311&lt;&gt;"",COUNTIF(Clients!$AN$5:$AN$1005,UPPER(D1311))=0,COUNTIF(Clients!$G$5:$G$1005,"*"&amp;UPPER(D1311)&amp;"*")=0),"GSTIN not on Clients — will be checked in the portal","✔ OK")))))</f>
        <v/>
      </c>
    </row>
    <row r="1312">
      <c r="A1312" s="38" t="n"/>
      <c r="B1312" s="39" t="n"/>
      <c r="C1312" s="39" t="n"/>
      <c r="D1312" s="38" t="n"/>
      <c r="E1312" s="38" t="n"/>
      <c r="F1312" s="38" t="n"/>
      <c r="G1312" s="37">
        <f>IF(COUNTA(A1312:F1312)=0,"",IF(A1312="EXAMPLE","Example (skipped)",IF(OR(C1312="",E1312="",F1312=""),"✖ Portal, User ID and Password are all needed",IF(AND(A1312="",COUNTIF(Clients!$B$5:$B$1005,B1312)=0),"Not on Clients — will match a portal client by name",IF(AND(C1312="GST",D1312&lt;&gt;"",COUNTIF(Clients!$AN$5:$AN$1005,UPPER(D1312))=0,COUNTIF(Clients!$G$5:$G$1005,"*"&amp;UPPER(D1312)&amp;"*")=0),"GSTIN not on Clients — will be checked in the portal","✔ OK")))))</f>
        <v/>
      </c>
    </row>
    <row r="1313">
      <c r="A1313" s="38" t="n"/>
      <c r="B1313" s="39" t="n"/>
      <c r="C1313" s="39" t="n"/>
      <c r="D1313" s="38" t="n"/>
      <c r="E1313" s="38" t="n"/>
      <c r="F1313" s="38" t="n"/>
      <c r="G1313" s="37">
        <f>IF(COUNTA(A1313:F1313)=0,"",IF(A1313="EXAMPLE","Example (skipped)",IF(OR(C1313="",E1313="",F1313=""),"✖ Portal, User ID and Password are all needed",IF(AND(A1313="",COUNTIF(Clients!$B$5:$B$1005,B1313)=0),"Not on Clients — will match a portal client by name",IF(AND(C1313="GST",D1313&lt;&gt;"",COUNTIF(Clients!$AN$5:$AN$1005,UPPER(D1313))=0,COUNTIF(Clients!$G$5:$G$1005,"*"&amp;UPPER(D1313)&amp;"*")=0),"GSTIN not on Clients — will be checked in the portal","✔ OK")))))</f>
        <v/>
      </c>
    </row>
    <row r="1314">
      <c r="A1314" s="38" t="n"/>
      <c r="B1314" s="39" t="n"/>
      <c r="C1314" s="39" t="n"/>
      <c r="D1314" s="38" t="n"/>
      <c r="E1314" s="38" t="n"/>
      <c r="F1314" s="38" t="n"/>
      <c r="G1314" s="37">
        <f>IF(COUNTA(A1314:F1314)=0,"",IF(A1314="EXAMPLE","Example (skipped)",IF(OR(C1314="",E1314="",F1314=""),"✖ Portal, User ID and Password are all needed",IF(AND(A1314="",COUNTIF(Clients!$B$5:$B$1005,B1314)=0),"Not on Clients — will match a portal client by name",IF(AND(C1314="GST",D1314&lt;&gt;"",COUNTIF(Clients!$AN$5:$AN$1005,UPPER(D1314))=0,COUNTIF(Clients!$G$5:$G$1005,"*"&amp;UPPER(D1314)&amp;"*")=0),"GSTIN not on Clients — will be checked in the portal","✔ OK")))))</f>
        <v/>
      </c>
    </row>
    <row r="1315">
      <c r="A1315" s="38" t="n"/>
      <c r="B1315" s="39" t="n"/>
      <c r="C1315" s="39" t="n"/>
      <c r="D1315" s="38" t="n"/>
      <c r="E1315" s="38" t="n"/>
      <c r="F1315" s="38" t="n"/>
      <c r="G1315" s="37">
        <f>IF(COUNTA(A1315:F1315)=0,"",IF(A1315="EXAMPLE","Example (skipped)",IF(OR(C1315="",E1315="",F1315=""),"✖ Portal, User ID and Password are all needed",IF(AND(A1315="",COUNTIF(Clients!$B$5:$B$1005,B1315)=0),"Not on Clients — will match a portal client by name",IF(AND(C1315="GST",D1315&lt;&gt;"",COUNTIF(Clients!$AN$5:$AN$1005,UPPER(D1315))=0,COUNTIF(Clients!$G$5:$G$1005,"*"&amp;UPPER(D1315)&amp;"*")=0),"GSTIN not on Clients — will be checked in the portal","✔ OK")))))</f>
        <v/>
      </c>
    </row>
    <row r="1316">
      <c r="A1316" s="38" t="n"/>
      <c r="B1316" s="39" t="n"/>
      <c r="C1316" s="39" t="n"/>
      <c r="D1316" s="38" t="n"/>
      <c r="E1316" s="38" t="n"/>
      <c r="F1316" s="38" t="n"/>
      <c r="G1316" s="37">
        <f>IF(COUNTA(A1316:F1316)=0,"",IF(A1316="EXAMPLE","Example (skipped)",IF(OR(C1316="",E1316="",F1316=""),"✖ Portal, User ID and Password are all needed",IF(AND(A1316="",COUNTIF(Clients!$B$5:$B$1005,B1316)=0),"Not on Clients — will match a portal client by name",IF(AND(C1316="GST",D1316&lt;&gt;"",COUNTIF(Clients!$AN$5:$AN$1005,UPPER(D1316))=0,COUNTIF(Clients!$G$5:$G$1005,"*"&amp;UPPER(D1316)&amp;"*")=0),"GSTIN not on Clients — will be checked in the portal","✔ OK")))))</f>
        <v/>
      </c>
    </row>
    <row r="1317">
      <c r="A1317" s="38" t="n"/>
      <c r="B1317" s="39" t="n"/>
      <c r="C1317" s="39" t="n"/>
      <c r="D1317" s="38" t="n"/>
      <c r="E1317" s="38" t="n"/>
      <c r="F1317" s="38" t="n"/>
      <c r="G1317" s="37">
        <f>IF(COUNTA(A1317:F1317)=0,"",IF(A1317="EXAMPLE","Example (skipped)",IF(OR(C1317="",E1317="",F1317=""),"✖ Portal, User ID and Password are all needed",IF(AND(A1317="",COUNTIF(Clients!$B$5:$B$1005,B1317)=0),"Not on Clients — will match a portal client by name",IF(AND(C1317="GST",D1317&lt;&gt;"",COUNTIF(Clients!$AN$5:$AN$1005,UPPER(D1317))=0,COUNTIF(Clients!$G$5:$G$1005,"*"&amp;UPPER(D1317)&amp;"*")=0),"GSTIN not on Clients — will be checked in the portal","✔ OK")))))</f>
        <v/>
      </c>
    </row>
    <row r="1318">
      <c r="A1318" s="38" t="n"/>
      <c r="B1318" s="39" t="n"/>
      <c r="C1318" s="39" t="n"/>
      <c r="D1318" s="38" t="n"/>
      <c r="E1318" s="38" t="n"/>
      <c r="F1318" s="38" t="n"/>
      <c r="G1318" s="37">
        <f>IF(COUNTA(A1318:F1318)=0,"",IF(A1318="EXAMPLE","Example (skipped)",IF(OR(C1318="",E1318="",F1318=""),"✖ Portal, User ID and Password are all needed",IF(AND(A1318="",COUNTIF(Clients!$B$5:$B$1005,B1318)=0),"Not on Clients — will match a portal client by name",IF(AND(C1318="GST",D1318&lt;&gt;"",COUNTIF(Clients!$AN$5:$AN$1005,UPPER(D1318))=0,COUNTIF(Clients!$G$5:$G$1005,"*"&amp;UPPER(D1318)&amp;"*")=0),"GSTIN not on Clients — will be checked in the portal","✔ OK")))))</f>
        <v/>
      </c>
    </row>
    <row r="1319">
      <c r="A1319" s="38" t="n"/>
      <c r="B1319" s="39" t="n"/>
      <c r="C1319" s="39" t="n"/>
      <c r="D1319" s="38" t="n"/>
      <c r="E1319" s="38" t="n"/>
      <c r="F1319" s="38" t="n"/>
      <c r="G1319" s="37">
        <f>IF(COUNTA(A1319:F1319)=0,"",IF(A1319="EXAMPLE","Example (skipped)",IF(OR(C1319="",E1319="",F1319=""),"✖ Portal, User ID and Password are all needed",IF(AND(A1319="",COUNTIF(Clients!$B$5:$B$1005,B1319)=0),"Not on Clients — will match a portal client by name",IF(AND(C1319="GST",D1319&lt;&gt;"",COUNTIF(Clients!$AN$5:$AN$1005,UPPER(D1319))=0,COUNTIF(Clients!$G$5:$G$1005,"*"&amp;UPPER(D1319)&amp;"*")=0),"GSTIN not on Clients — will be checked in the portal","✔ OK")))))</f>
        <v/>
      </c>
    </row>
    <row r="1320">
      <c r="A1320" s="38" t="n"/>
      <c r="B1320" s="39" t="n"/>
      <c r="C1320" s="39" t="n"/>
      <c r="D1320" s="38" t="n"/>
      <c r="E1320" s="38" t="n"/>
      <c r="F1320" s="38" t="n"/>
      <c r="G1320" s="37">
        <f>IF(COUNTA(A1320:F1320)=0,"",IF(A1320="EXAMPLE","Example (skipped)",IF(OR(C1320="",E1320="",F1320=""),"✖ Portal, User ID and Password are all needed",IF(AND(A1320="",COUNTIF(Clients!$B$5:$B$1005,B1320)=0),"Not on Clients — will match a portal client by name",IF(AND(C1320="GST",D1320&lt;&gt;"",COUNTIF(Clients!$AN$5:$AN$1005,UPPER(D1320))=0,COUNTIF(Clients!$G$5:$G$1005,"*"&amp;UPPER(D1320)&amp;"*")=0),"GSTIN not on Clients — will be checked in the portal","✔ OK")))))</f>
        <v/>
      </c>
    </row>
    <row r="1321">
      <c r="A1321" s="38" t="n"/>
      <c r="B1321" s="39" t="n"/>
      <c r="C1321" s="39" t="n"/>
      <c r="D1321" s="38" t="n"/>
      <c r="E1321" s="38" t="n"/>
      <c r="F1321" s="38" t="n"/>
      <c r="G1321" s="37">
        <f>IF(COUNTA(A1321:F1321)=0,"",IF(A1321="EXAMPLE","Example (skipped)",IF(OR(C1321="",E1321="",F1321=""),"✖ Portal, User ID and Password are all needed",IF(AND(A1321="",COUNTIF(Clients!$B$5:$B$1005,B1321)=0),"Not on Clients — will match a portal client by name",IF(AND(C1321="GST",D1321&lt;&gt;"",COUNTIF(Clients!$AN$5:$AN$1005,UPPER(D1321))=0,COUNTIF(Clients!$G$5:$G$1005,"*"&amp;UPPER(D1321)&amp;"*")=0),"GSTIN not on Clients — will be checked in the portal","✔ OK")))))</f>
        <v/>
      </c>
    </row>
    <row r="1322">
      <c r="A1322" s="38" t="n"/>
      <c r="B1322" s="39" t="n"/>
      <c r="C1322" s="39" t="n"/>
      <c r="D1322" s="38" t="n"/>
      <c r="E1322" s="38" t="n"/>
      <c r="F1322" s="38" t="n"/>
      <c r="G1322" s="37">
        <f>IF(COUNTA(A1322:F1322)=0,"",IF(A1322="EXAMPLE","Example (skipped)",IF(OR(C1322="",E1322="",F1322=""),"✖ Portal, User ID and Password are all needed",IF(AND(A1322="",COUNTIF(Clients!$B$5:$B$1005,B1322)=0),"Not on Clients — will match a portal client by name",IF(AND(C1322="GST",D1322&lt;&gt;"",COUNTIF(Clients!$AN$5:$AN$1005,UPPER(D1322))=0,COUNTIF(Clients!$G$5:$G$1005,"*"&amp;UPPER(D1322)&amp;"*")=0),"GSTIN not on Clients — will be checked in the portal","✔ OK")))))</f>
        <v/>
      </c>
    </row>
    <row r="1323">
      <c r="A1323" s="38" t="n"/>
      <c r="B1323" s="39" t="n"/>
      <c r="C1323" s="39" t="n"/>
      <c r="D1323" s="38" t="n"/>
      <c r="E1323" s="38" t="n"/>
      <c r="F1323" s="38" t="n"/>
      <c r="G1323" s="37">
        <f>IF(COUNTA(A1323:F1323)=0,"",IF(A1323="EXAMPLE","Example (skipped)",IF(OR(C1323="",E1323="",F1323=""),"✖ Portal, User ID and Password are all needed",IF(AND(A1323="",COUNTIF(Clients!$B$5:$B$1005,B1323)=0),"Not on Clients — will match a portal client by name",IF(AND(C1323="GST",D1323&lt;&gt;"",COUNTIF(Clients!$AN$5:$AN$1005,UPPER(D1323))=0,COUNTIF(Clients!$G$5:$G$1005,"*"&amp;UPPER(D1323)&amp;"*")=0),"GSTIN not on Clients — will be checked in the portal","✔ OK")))))</f>
        <v/>
      </c>
    </row>
    <row r="1324">
      <c r="A1324" s="38" t="n"/>
      <c r="B1324" s="39" t="n"/>
      <c r="C1324" s="39" t="n"/>
      <c r="D1324" s="38" t="n"/>
      <c r="E1324" s="38" t="n"/>
      <c r="F1324" s="38" t="n"/>
      <c r="G1324" s="37">
        <f>IF(COUNTA(A1324:F1324)=0,"",IF(A1324="EXAMPLE","Example (skipped)",IF(OR(C1324="",E1324="",F1324=""),"✖ Portal, User ID and Password are all needed",IF(AND(A1324="",COUNTIF(Clients!$B$5:$B$1005,B1324)=0),"Not on Clients — will match a portal client by name",IF(AND(C1324="GST",D1324&lt;&gt;"",COUNTIF(Clients!$AN$5:$AN$1005,UPPER(D1324))=0,COUNTIF(Clients!$G$5:$G$1005,"*"&amp;UPPER(D1324)&amp;"*")=0),"GSTIN not on Clients — will be checked in the portal","✔ OK")))))</f>
        <v/>
      </c>
    </row>
    <row r="1325">
      <c r="A1325" s="38" t="n"/>
      <c r="B1325" s="39" t="n"/>
      <c r="C1325" s="39" t="n"/>
      <c r="D1325" s="38" t="n"/>
      <c r="E1325" s="38" t="n"/>
      <c r="F1325" s="38" t="n"/>
      <c r="G1325" s="37">
        <f>IF(COUNTA(A1325:F1325)=0,"",IF(A1325="EXAMPLE","Example (skipped)",IF(OR(C1325="",E1325="",F1325=""),"✖ Portal, User ID and Password are all needed",IF(AND(A1325="",COUNTIF(Clients!$B$5:$B$1005,B1325)=0),"Not on Clients — will match a portal client by name",IF(AND(C1325="GST",D1325&lt;&gt;"",COUNTIF(Clients!$AN$5:$AN$1005,UPPER(D1325))=0,COUNTIF(Clients!$G$5:$G$1005,"*"&amp;UPPER(D1325)&amp;"*")=0),"GSTIN not on Clients — will be checked in the portal","✔ OK")))))</f>
        <v/>
      </c>
    </row>
    <row r="1326">
      <c r="A1326" s="38" t="n"/>
      <c r="B1326" s="39" t="n"/>
      <c r="C1326" s="39" t="n"/>
      <c r="D1326" s="38" t="n"/>
      <c r="E1326" s="38" t="n"/>
      <c r="F1326" s="38" t="n"/>
      <c r="G1326" s="37">
        <f>IF(COUNTA(A1326:F1326)=0,"",IF(A1326="EXAMPLE","Example (skipped)",IF(OR(C1326="",E1326="",F1326=""),"✖ Portal, User ID and Password are all needed",IF(AND(A1326="",COUNTIF(Clients!$B$5:$B$1005,B1326)=0),"Not on Clients — will match a portal client by name",IF(AND(C1326="GST",D1326&lt;&gt;"",COUNTIF(Clients!$AN$5:$AN$1005,UPPER(D1326))=0,COUNTIF(Clients!$G$5:$G$1005,"*"&amp;UPPER(D1326)&amp;"*")=0),"GSTIN not on Clients — will be checked in the portal","✔ OK")))))</f>
        <v/>
      </c>
    </row>
    <row r="1327">
      <c r="A1327" s="38" t="n"/>
      <c r="B1327" s="39" t="n"/>
      <c r="C1327" s="39" t="n"/>
      <c r="D1327" s="38" t="n"/>
      <c r="E1327" s="38" t="n"/>
      <c r="F1327" s="38" t="n"/>
      <c r="G1327" s="37">
        <f>IF(COUNTA(A1327:F1327)=0,"",IF(A1327="EXAMPLE","Example (skipped)",IF(OR(C1327="",E1327="",F1327=""),"✖ Portal, User ID and Password are all needed",IF(AND(A1327="",COUNTIF(Clients!$B$5:$B$1005,B1327)=0),"Not on Clients — will match a portal client by name",IF(AND(C1327="GST",D1327&lt;&gt;"",COUNTIF(Clients!$AN$5:$AN$1005,UPPER(D1327))=0,COUNTIF(Clients!$G$5:$G$1005,"*"&amp;UPPER(D1327)&amp;"*")=0),"GSTIN not on Clients — will be checked in the portal","✔ OK")))))</f>
        <v/>
      </c>
    </row>
    <row r="1328">
      <c r="A1328" s="38" t="n"/>
      <c r="B1328" s="39" t="n"/>
      <c r="C1328" s="39" t="n"/>
      <c r="D1328" s="38" t="n"/>
      <c r="E1328" s="38" t="n"/>
      <c r="F1328" s="38" t="n"/>
      <c r="G1328" s="37">
        <f>IF(COUNTA(A1328:F1328)=0,"",IF(A1328="EXAMPLE","Example (skipped)",IF(OR(C1328="",E1328="",F1328=""),"✖ Portal, User ID and Password are all needed",IF(AND(A1328="",COUNTIF(Clients!$B$5:$B$1005,B1328)=0),"Not on Clients — will match a portal client by name",IF(AND(C1328="GST",D1328&lt;&gt;"",COUNTIF(Clients!$AN$5:$AN$1005,UPPER(D1328))=0,COUNTIF(Clients!$G$5:$G$1005,"*"&amp;UPPER(D1328)&amp;"*")=0),"GSTIN not on Clients — will be checked in the portal","✔ OK")))))</f>
        <v/>
      </c>
    </row>
    <row r="1329">
      <c r="A1329" s="38" t="n"/>
      <c r="B1329" s="39" t="n"/>
      <c r="C1329" s="39" t="n"/>
      <c r="D1329" s="38" t="n"/>
      <c r="E1329" s="38" t="n"/>
      <c r="F1329" s="38" t="n"/>
      <c r="G1329" s="37">
        <f>IF(COUNTA(A1329:F1329)=0,"",IF(A1329="EXAMPLE","Example (skipped)",IF(OR(C1329="",E1329="",F1329=""),"✖ Portal, User ID and Password are all needed",IF(AND(A1329="",COUNTIF(Clients!$B$5:$B$1005,B1329)=0),"Not on Clients — will match a portal client by name",IF(AND(C1329="GST",D1329&lt;&gt;"",COUNTIF(Clients!$AN$5:$AN$1005,UPPER(D1329))=0,COUNTIF(Clients!$G$5:$G$1005,"*"&amp;UPPER(D1329)&amp;"*")=0),"GSTIN not on Clients — will be checked in the portal","✔ OK")))))</f>
        <v/>
      </c>
    </row>
    <row r="1330">
      <c r="A1330" s="38" t="n"/>
      <c r="B1330" s="39" t="n"/>
      <c r="C1330" s="39" t="n"/>
      <c r="D1330" s="38" t="n"/>
      <c r="E1330" s="38" t="n"/>
      <c r="F1330" s="38" t="n"/>
      <c r="G1330" s="37">
        <f>IF(COUNTA(A1330:F1330)=0,"",IF(A1330="EXAMPLE","Example (skipped)",IF(OR(C1330="",E1330="",F1330=""),"✖ Portal, User ID and Password are all needed",IF(AND(A1330="",COUNTIF(Clients!$B$5:$B$1005,B1330)=0),"Not on Clients — will match a portal client by name",IF(AND(C1330="GST",D1330&lt;&gt;"",COUNTIF(Clients!$AN$5:$AN$1005,UPPER(D1330))=0,COUNTIF(Clients!$G$5:$G$1005,"*"&amp;UPPER(D1330)&amp;"*")=0),"GSTIN not on Clients — will be checked in the portal","✔ OK")))))</f>
        <v/>
      </c>
    </row>
    <row r="1331">
      <c r="A1331" s="38" t="n"/>
      <c r="B1331" s="39" t="n"/>
      <c r="C1331" s="39" t="n"/>
      <c r="D1331" s="38" t="n"/>
      <c r="E1331" s="38" t="n"/>
      <c r="F1331" s="38" t="n"/>
      <c r="G1331" s="37">
        <f>IF(COUNTA(A1331:F1331)=0,"",IF(A1331="EXAMPLE","Example (skipped)",IF(OR(C1331="",E1331="",F1331=""),"✖ Portal, User ID and Password are all needed",IF(AND(A1331="",COUNTIF(Clients!$B$5:$B$1005,B1331)=0),"Not on Clients — will match a portal client by name",IF(AND(C1331="GST",D1331&lt;&gt;"",COUNTIF(Clients!$AN$5:$AN$1005,UPPER(D1331))=0,COUNTIF(Clients!$G$5:$G$1005,"*"&amp;UPPER(D1331)&amp;"*")=0),"GSTIN not on Clients — will be checked in the portal","✔ OK")))))</f>
        <v/>
      </c>
    </row>
    <row r="1332">
      <c r="A1332" s="38" t="n"/>
      <c r="B1332" s="39" t="n"/>
      <c r="C1332" s="39" t="n"/>
      <c r="D1332" s="38" t="n"/>
      <c r="E1332" s="38" t="n"/>
      <c r="F1332" s="38" t="n"/>
      <c r="G1332" s="37">
        <f>IF(COUNTA(A1332:F1332)=0,"",IF(A1332="EXAMPLE","Example (skipped)",IF(OR(C1332="",E1332="",F1332=""),"✖ Portal, User ID and Password are all needed",IF(AND(A1332="",COUNTIF(Clients!$B$5:$B$1005,B1332)=0),"Not on Clients — will match a portal client by name",IF(AND(C1332="GST",D1332&lt;&gt;"",COUNTIF(Clients!$AN$5:$AN$1005,UPPER(D1332))=0,COUNTIF(Clients!$G$5:$G$1005,"*"&amp;UPPER(D1332)&amp;"*")=0),"GSTIN not on Clients — will be checked in the portal","✔ OK")))))</f>
        <v/>
      </c>
    </row>
    <row r="1333">
      <c r="A1333" s="38" t="n"/>
      <c r="B1333" s="39" t="n"/>
      <c r="C1333" s="39" t="n"/>
      <c r="D1333" s="38" t="n"/>
      <c r="E1333" s="38" t="n"/>
      <c r="F1333" s="38" t="n"/>
      <c r="G1333" s="37">
        <f>IF(COUNTA(A1333:F1333)=0,"",IF(A1333="EXAMPLE","Example (skipped)",IF(OR(C1333="",E1333="",F1333=""),"✖ Portal, User ID and Password are all needed",IF(AND(A1333="",COUNTIF(Clients!$B$5:$B$1005,B1333)=0),"Not on Clients — will match a portal client by name",IF(AND(C1333="GST",D1333&lt;&gt;"",COUNTIF(Clients!$AN$5:$AN$1005,UPPER(D1333))=0,COUNTIF(Clients!$G$5:$G$1005,"*"&amp;UPPER(D1333)&amp;"*")=0),"GSTIN not on Clients — will be checked in the portal","✔ OK")))))</f>
        <v/>
      </c>
    </row>
    <row r="1334">
      <c r="A1334" s="38" t="n"/>
      <c r="B1334" s="39" t="n"/>
      <c r="C1334" s="39" t="n"/>
      <c r="D1334" s="38" t="n"/>
      <c r="E1334" s="38" t="n"/>
      <c r="F1334" s="38" t="n"/>
      <c r="G1334" s="37">
        <f>IF(COUNTA(A1334:F1334)=0,"",IF(A1334="EXAMPLE","Example (skipped)",IF(OR(C1334="",E1334="",F1334=""),"✖ Portal, User ID and Password are all needed",IF(AND(A1334="",COUNTIF(Clients!$B$5:$B$1005,B1334)=0),"Not on Clients — will match a portal client by name",IF(AND(C1334="GST",D1334&lt;&gt;"",COUNTIF(Clients!$AN$5:$AN$1005,UPPER(D1334))=0,COUNTIF(Clients!$G$5:$G$1005,"*"&amp;UPPER(D1334)&amp;"*")=0),"GSTIN not on Clients — will be checked in the portal","✔ OK")))))</f>
        <v/>
      </c>
    </row>
    <row r="1335">
      <c r="A1335" s="38" t="n"/>
      <c r="B1335" s="39" t="n"/>
      <c r="C1335" s="39" t="n"/>
      <c r="D1335" s="38" t="n"/>
      <c r="E1335" s="38" t="n"/>
      <c r="F1335" s="38" t="n"/>
      <c r="G1335" s="37">
        <f>IF(COUNTA(A1335:F1335)=0,"",IF(A1335="EXAMPLE","Example (skipped)",IF(OR(C1335="",E1335="",F1335=""),"✖ Portal, User ID and Password are all needed",IF(AND(A1335="",COUNTIF(Clients!$B$5:$B$1005,B1335)=0),"Not on Clients — will match a portal client by name",IF(AND(C1335="GST",D1335&lt;&gt;"",COUNTIF(Clients!$AN$5:$AN$1005,UPPER(D1335))=0,COUNTIF(Clients!$G$5:$G$1005,"*"&amp;UPPER(D1335)&amp;"*")=0),"GSTIN not on Clients — will be checked in the portal","✔ OK")))))</f>
        <v/>
      </c>
    </row>
    <row r="1336">
      <c r="A1336" s="38" t="n"/>
      <c r="B1336" s="39" t="n"/>
      <c r="C1336" s="39" t="n"/>
      <c r="D1336" s="38" t="n"/>
      <c r="E1336" s="38" t="n"/>
      <c r="F1336" s="38" t="n"/>
      <c r="G1336" s="37">
        <f>IF(COUNTA(A1336:F1336)=0,"",IF(A1336="EXAMPLE","Example (skipped)",IF(OR(C1336="",E1336="",F1336=""),"✖ Portal, User ID and Password are all needed",IF(AND(A1336="",COUNTIF(Clients!$B$5:$B$1005,B1336)=0),"Not on Clients — will match a portal client by name",IF(AND(C1336="GST",D1336&lt;&gt;"",COUNTIF(Clients!$AN$5:$AN$1005,UPPER(D1336))=0,COUNTIF(Clients!$G$5:$G$1005,"*"&amp;UPPER(D1336)&amp;"*")=0),"GSTIN not on Clients — will be checked in the portal","✔ OK")))))</f>
        <v/>
      </c>
    </row>
    <row r="1337">
      <c r="A1337" s="38" t="n"/>
      <c r="B1337" s="39" t="n"/>
      <c r="C1337" s="39" t="n"/>
      <c r="D1337" s="38" t="n"/>
      <c r="E1337" s="38" t="n"/>
      <c r="F1337" s="38" t="n"/>
      <c r="G1337" s="37">
        <f>IF(COUNTA(A1337:F1337)=0,"",IF(A1337="EXAMPLE","Example (skipped)",IF(OR(C1337="",E1337="",F1337=""),"✖ Portal, User ID and Password are all needed",IF(AND(A1337="",COUNTIF(Clients!$B$5:$B$1005,B1337)=0),"Not on Clients — will match a portal client by name",IF(AND(C1337="GST",D1337&lt;&gt;"",COUNTIF(Clients!$AN$5:$AN$1005,UPPER(D1337))=0,COUNTIF(Clients!$G$5:$G$1005,"*"&amp;UPPER(D1337)&amp;"*")=0),"GSTIN not on Clients — will be checked in the portal","✔ OK")))))</f>
        <v/>
      </c>
    </row>
    <row r="1338">
      <c r="A1338" s="38" t="n"/>
      <c r="B1338" s="39" t="n"/>
      <c r="C1338" s="39" t="n"/>
      <c r="D1338" s="38" t="n"/>
      <c r="E1338" s="38" t="n"/>
      <c r="F1338" s="38" t="n"/>
      <c r="G1338" s="37">
        <f>IF(COUNTA(A1338:F1338)=0,"",IF(A1338="EXAMPLE","Example (skipped)",IF(OR(C1338="",E1338="",F1338=""),"✖ Portal, User ID and Password are all needed",IF(AND(A1338="",COUNTIF(Clients!$B$5:$B$1005,B1338)=0),"Not on Clients — will match a portal client by name",IF(AND(C1338="GST",D1338&lt;&gt;"",COUNTIF(Clients!$AN$5:$AN$1005,UPPER(D1338))=0,COUNTIF(Clients!$G$5:$G$1005,"*"&amp;UPPER(D1338)&amp;"*")=0),"GSTIN not on Clients — will be checked in the portal","✔ OK")))))</f>
        <v/>
      </c>
    </row>
    <row r="1339">
      <c r="A1339" s="38" t="n"/>
      <c r="B1339" s="39" t="n"/>
      <c r="C1339" s="39" t="n"/>
      <c r="D1339" s="38" t="n"/>
      <c r="E1339" s="38" t="n"/>
      <c r="F1339" s="38" t="n"/>
      <c r="G1339" s="37">
        <f>IF(COUNTA(A1339:F1339)=0,"",IF(A1339="EXAMPLE","Example (skipped)",IF(OR(C1339="",E1339="",F1339=""),"✖ Portal, User ID and Password are all needed",IF(AND(A1339="",COUNTIF(Clients!$B$5:$B$1005,B1339)=0),"Not on Clients — will match a portal client by name",IF(AND(C1339="GST",D1339&lt;&gt;"",COUNTIF(Clients!$AN$5:$AN$1005,UPPER(D1339))=0,COUNTIF(Clients!$G$5:$G$1005,"*"&amp;UPPER(D1339)&amp;"*")=0),"GSTIN not on Clients — will be checked in the portal","✔ OK")))))</f>
        <v/>
      </c>
    </row>
    <row r="1340">
      <c r="A1340" s="38" t="n"/>
      <c r="B1340" s="39" t="n"/>
      <c r="C1340" s="39" t="n"/>
      <c r="D1340" s="38" t="n"/>
      <c r="E1340" s="38" t="n"/>
      <c r="F1340" s="38" t="n"/>
      <c r="G1340" s="37">
        <f>IF(COUNTA(A1340:F1340)=0,"",IF(A1340="EXAMPLE","Example (skipped)",IF(OR(C1340="",E1340="",F1340=""),"✖ Portal, User ID and Password are all needed",IF(AND(A1340="",COUNTIF(Clients!$B$5:$B$1005,B1340)=0),"Not on Clients — will match a portal client by name",IF(AND(C1340="GST",D1340&lt;&gt;"",COUNTIF(Clients!$AN$5:$AN$1005,UPPER(D1340))=0,COUNTIF(Clients!$G$5:$G$1005,"*"&amp;UPPER(D1340)&amp;"*")=0),"GSTIN not on Clients — will be checked in the portal","✔ OK")))))</f>
        <v/>
      </c>
    </row>
    <row r="1341">
      <c r="A1341" s="38" t="n"/>
      <c r="B1341" s="39" t="n"/>
      <c r="C1341" s="39" t="n"/>
      <c r="D1341" s="38" t="n"/>
      <c r="E1341" s="38" t="n"/>
      <c r="F1341" s="38" t="n"/>
      <c r="G1341" s="37">
        <f>IF(COUNTA(A1341:F1341)=0,"",IF(A1341="EXAMPLE","Example (skipped)",IF(OR(C1341="",E1341="",F1341=""),"✖ Portal, User ID and Password are all needed",IF(AND(A1341="",COUNTIF(Clients!$B$5:$B$1005,B1341)=0),"Not on Clients — will match a portal client by name",IF(AND(C1341="GST",D1341&lt;&gt;"",COUNTIF(Clients!$AN$5:$AN$1005,UPPER(D1341))=0,COUNTIF(Clients!$G$5:$G$1005,"*"&amp;UPPER(D1341)&amp;"*")=0),"GSTIN not on Clients — will be checked in the portal","✔ OK")))))</f>
        <v/>
      </c>
    </row>
    <row r="1342">
      <c r="A1342" s="38" t="n"/>
      <c r="B1342" s="39" t="n"/>
      <c r="C1342" s="39" t="n"/>
      <c r="D1342" s="38" t="n"/>
      <c r="E1342" s="38" t="n"/>
      <c r="F1342" s="38" t="n"/>
      <c r="G1342" s="37">
        <f>IF(COUNTA(A1342:F1342)=0,"",IF(A1342="EXAMPLE","Example (skipped)",IF(OR(C1342="",E1342="",F1342=""),"✖ Portal, User ID and Password are all needed",IF(AND(A1342="",COUNTIF(Clients!$B$5:$B$1005,B1342)=0),"Not on Clients — will match a portal client by name",IF(AND(C1342="GST",D1342&lt;&gt;"",COUNTIF(Clients!$AN$5:$AN$1005,UPPER(D1342))=0,COUNTIF(Clients!$G$5:$G$1005,"*"&amp;UPPER(D1342)&amp;"*")=0),"GSTIN not on Clients — will be checked in the portal","✔ OK")))))</f>
        <v/>
      </c>
    </row>
    <row r="1343">
      <c r="A1343" s="38" t="n"/>
      <c r="B1343" s="39" t="n"/>
      <c r="C1343" s="39" t="n"/>
      <c r="D1343" s="38" t="n"/>
      <c r="E1343" s="38" t="n"/>
      <c r="F1343" s="38" t="n"/>
      <c r="G1343" s="37">
        <f>IF(COUNTA(A1343:F1343)=0,"",IF(A1343="EXAMPLE","Example (skipped)",IF(OR(C1343="",E1343="",F1343=""),"✖ Portal, User ID and Password are all needed",IF(AND(A1343="",COUNTIF(Clients!$B$5:$B$1005,B1343)=0),"Not on Clients — will match a portal client by name",IF(AND(C1343="GST",D1343&lt;&gt;"",COUNTIF(Clients!$AN$5:$AN$1005,UPPER(D1343))=0,COUNTIF(Clients!$G$5:$G$1005,"*"&amp;UPPER(D1343)&amp;"*")=0),"GSTIN not on Clients — will be checked in the portal","✔ OK")))))</f>
        <v/>
      </c>
    </row>
    <row r="1344">
      <c r="A1344" s="38" t="n"/>
      <c r="B1344" s="39" t="n"/>
      <c r="C1344" s="39" t="n"/>
      <c r="D1344" s="38" t="n"/>
      <c r="E1344" s="38" t="n"/>
      <c r="F1344" s="38" t="n"/>
      <c r="G1344" s="37">
        <f>IF(COUNTA(A1344:F1344)=0,"",IF(A1344="EXAMPLE","Example (skipped)",IF(OR(C1344="",E1344="",F1344=""),"✖ Portal, User ID and Password are all needed",IF(AND(A1344="",COUNTIF(Clients!$B$5:$B$1005,B1344)=0),"Not on Clients — will match a portal client by name",IF(AND(C1344="GST",D1344&lt;&gt;"",COUNTIF(Clients!$AN$5:$AN$1005,UPPER(D1344))=0,COUNTIF(Clients!$G$5:$G$1005,"*"&amp;UPPER(D1344)&amp;"*")=0),"GSTIN not on Clients — will be checked in the portal","✔ OK")))))</f>
        <v/>
      </c>
    </row>
    <row r="1345">
      <c r="A1345" s="38" t="n"/>
      <c r="B1345" s="39" t="n"/>
      <c r="C1345" s="39" t="n"/>
      <c r="D1345" s="38" t="n"/>
      <c r="E1345" s="38" t="n"/>
      <c r="F1345" s="38" t="n"/>
      <c r="G1345" s="37">
        <f>IF(COUNTA(A1345:F1345)=0,"",IF(A1345="EXAMPLE","Example (skipped)",IF(OR(C1345="",E1345="",F1345=""),"✖ Portal, User ID and Password are all needed",IF(AND(A1345="",COUNTIF(Clients!$B$5:$B$1005,B1345)=0),"Not on Clients — will match a portal client by name",IF(AND(C1345="GST",D1345&lt;&gt;"",COUNTIF(Clients!$AN$5:$AN$1005,UPPER(D1345))=0,COUNTIF(Clients!$G$5:$G$1005,"*"&amp;UPPER(D1345)&amp;"*")=0),"GSTIN not on Clients — will be checked in the portal","✔ OK")))))</f>
        <v/>
      </c>
    </row>
    <row r="1346">
      <c r="A1346" s="38" t="n"/>
      <c r="B1346" s="39" t="n"/>
      <c r="C1346" s="39" t="n"/>
      <c r="D1346" s="38" t="n"/>
      <c r="E1346" s="38" t="n"/>
      <c r="F1346" s="38" t="n"/>
      <c r="G1346" s="37">
        <f>IF(COUNTA(A1346:F1346)=0,"",IF(A1346="EXAMPLE","Example (skipped)",IF(OR(C1346="",E1346="",F1346=""),"✖ Portal, User ID and Password are all needed",IF(AND(A1346="",COUNTIF(Clients!$B$5:$B$1005,B1346)=0),"Not on Clients — will match a portal client by name",IF(AND(C1346="GST",D1346&lt;&gt;"",COUNTIF(Clients!$AN$5:$AN$1005,UPPER(D1346))=0,COUNTIF(Clients!$G$5:$G$1005,"*"&amp;UPPER(D1346)&amp;"*")=0),"GSTIN not on Clients — will be checked in the portal","✔ OK")))))</f>
        <v/>
      </c>
    </row>
    <row r="1347">
      <c r="A1347" s="38" t="n"/>
      <c r="B1347" s="39" t="n"/>
      <c r="C1347" s="39" t="n"/>
      <c r="D1347" s="38" t="n"/>
      <c r="E1347" s="38" t="n"/>
      <c r="F1347" s="38" t="n"/>
      <c r="G1347" s="37">
        <f>IF(COUNTA(A1347:F1347)=0,"",IF(A1347="EXAMPLE","Example (skipped)",IF(OR(C1347="",E1347="",F1347=""),"✖ Portal, User ID and Password are all needed",IF(AND(A1347="",COUNTIF(Clients!$B$5:$B$1005,B1347)=0),"Not on Clients — will match a portal client by name",IF(AND(C1347="GST",D1347&lt;&gt;"",COUNTIF(Clients!$AN$5:$AN$1005,UPPER(D1347))=0,COUNTIF(Clients!$G$5:$G$1005,"*"&amp;UPPER(D1347)&amp;"*")=0),"GSTIN not on Clients — will be checked in the portal","✔ OK")))))</f>
        <v/>
      </c>
    </row>
    <row r="1348">
      <c r="A1348" s="38" t="n"/>
      <c r="B1348" s="39" t="n"/>
      <c r="C1348" s="39" t="n"/>
      <c r="D1348" s="38" t="n"/>
      <c r="E1348" s="38" t="n"/>
      <c r="F1348" s="38" t="n"/>
      <c r="G1348" s="37">
        <f>IF(COUNTA(A1348:F1348)=0,"",IF(A1348="EXAMPLE","Example (skipped)",IF(OR(C1348="",E1348="",F1348=""),"✖ Portal, User ID and Password are all needed",IF(AND(A1348="",COUNTIF(Clients!$B$5:$B$1005,B1348)=0),"Not on Clients — will match a portal client by name",IF(AND(C1348="GST",D1348&lt;&gt;"",COUNTIF(Clients!$AN$5:$AN$1005,UPPER(D1348))=0,COUNTIF(Clients!$G$5:$G$1005,"*"&amp;UPPER(D1348)&amp;"*")=0),"GSTIN not on Clients — will be checked in the portal","✔ OK")))))</f>
        <v/>
      </c>
    </row>
    <row r="1349">
      <c r="A1349" s="38" t="n"/>
      <c r="B1349" s="39" t="n"/>
      <c r="C1349" s="39" t="n"/>
      <c r="D1349" s="38" t="n"/>
      <c r="E1349" s="38" t="n"/>
      <c r="F1349" s="38" t="n"/>
      <c r="G1349" s="37">
        <f>IF(COUNTA(A1349:F1349)=0,"",IF(A1349="EXAMPLE","Example (skipped)",IF(OR(C1349="",E1349="",F1349=""),"✖ Portal, User ID and Password are all needed",IF(AND(A1349="",COUNTIF(Clients!$B$5:$B$1005,B1349)=0),"Not on Clients — will match a portal client by name",IF(AND(C1349="GST",D1349&lt;&gt;"",COUNTIF(Clients!$AN$5:$AN$1005,UPPER(D1349))=0,COUNTIF(Clients!$G$5:$G$1005,"*"&amp;UPPER(D1349)&amp;"*")=0),"GSTIN not on Clients — will be checked in the portal","✔ OK")))))</f>
        <v/>
      </c>
    </row>
    <row r="1350">
      <c r="A1350" s="38" t="n"/>
      <c r="B1350" s="39" t="n"/>
      <c r="C1350" s="39" t="n"/>
      <c r="D1350" s="38" t="n"/>
      <c r="E1350" s="38" t="n"/>
      <c r="F1350" s="38" t="n"/>
      <c r="G1350" s="37">
        <f>IF(COUNTA(A1350:F1350)=0,"",IF(A1350="EXAMPLE","Example (skipped)",IF(OR(C1350="",E1350="",F1350=""),"✖ Portal, User ID and Password are all needed",IF(AND(A1350="",COUNTIF(Clients!$B$5:$B$1005,B1350)=0),"Not on Clients — will match a portal client by name",IF(AND(C1350="GST",D1350&lt;&gt;"",COUNTIF(Clients!$AN$5:$AN$1005,UPPER(D1350))=0,COUNTIF(Clients!$G$5:$G$1005,"*"&amp;UPPER(D1350)&amp;"*")=0),"GSTIN not on Clients — will be checked in the portal","✔ OK")))))</f>
        <v/>
      </c>
    </row>
    <row r="1351">
      <c r="A1351" s="38" t="n"/>
      <c r="B1351" s="39" t="n"/>
      <c r="C1351" s="39" t="n"/>
      <c r="D1351" s="38" t="n"/>
      <c r="E1351" s="38" t="n"/>
      <c r="F1351" s="38" t="n"/>
      <c r="G1351" s="37">
        <f>IF(COUNTA(A1351:F1351)=0,"",IF(A1351="EXAMPLE","Example (skipped)",IF(OR(C1351="",E1351="",F1351=""),"✖ Portal, User ID and Password are all needed",IF(AND(A1351="",COUNTIF(Clients!$B$5:$B$1005,B1351)=0),"Not on Clients — will match a portal client by name",IF(AND(C1351="GST",D1351&lt;&gt;"",COUNTIF(Clients!$AN$5:$AN$1005,UPPER(D1351))=0,COUNTIF(Clients!$G$5:$G$1005,"*"&amp;UPPER(D1351)&amp;"*")=0),"GSTIN not on Clients — will be checked in the portal","✔ OK")))))</f>
        <v/>
      </c>
    </row>
    <row r="1352">
      <c r="A1352" s="38" t="n"/>
      <c r="B1352" s="39" t="n"/>
      <c r="C1352" s="39" t="n"/>
      <c r="D1352" s="38" t="n"/>
      <c r="E1352" s="38" t="n"/>
      <c r="F1352" s="38" t="n"/>
      <c r="G1352" s="37">
        <f>IF(COUNTA(A1352:F1352)=0,"",IF(A1352="EXAMPLE","Example (skipped)",IF(OR(C1352="",E1352="",F1352=""),"✖ Portal, User ID and Password are all needed",IF(AND(A1352="",COUNTIF(Clients!$B$5:$B$1005,B1352)=0),"Not on Clients — will match a portal client by name",IF(AND(C1352="GST",D1352&lt;&gt;"",COUNTIF(Clients!$AN$5:$AN$1005,UPPER(D1352))=0,COUNTIF(Clients!$G$5:$G$1005,"*"&amp;UPPER(D1352)&amp;"*")=0),"GSTIN not on Clients — will be checked in the portal","✔ OK")))))</f>
        <v/>
      </c>
    </row>
    <row r="1353">
      <c r="A1353" s="38" t="n"/>
      <c r="B1353" s="39" t="n"/>
      <c r="C1353" s="39" t="n"/>
      <c r="D1353" s="38" t="n"/>
      <c r="E1353" s="38" t="n"/>
      <c r="F1353" s="38" t="n"/>
      <c r="G1353" s="37">
        <f>IF(COUNTA(A1353:F1353)=0,"",IF(A1353="EXAMPLE","Example (skipped)",IF(OR(C1353="",E1353="",F1353=""),"✖ Portal, User ID and Password are all needed",IF(AND(A1353="",COUNTIF(Clients!$B$5:$B$1005,B1353)=0),"Not on Clients — will match a portal client by name",IF(AND(C1353="GST",D1353&lt;&gt;"",COUNTIF(Clients!$AN$5:$AN$1005,UPPER(D1353))=0,COUNTIF(Clients!$G$5:$G$1005,"*"&amp;UPPER(D1353)&amp;"*")=0),"GSTIN not on Clients — will be checked in the portal","✔ OK")))))</f>
        <v/>
      </c>
    </row>
    <row r="1354">
      <c r="A1354" s="38" t="n"/>
      <c r="B1354" s="39" t="n"/>
      <c r="C1354" s="39" t="n"/>
      <c r="D1354" s="38" t="n"/>
      <c r="E1354" s="38" t="n"/>
      <c r="F1354" s="38" t="n"/>
      <c r="G1354" s="37">
        <f>IF(COUNTA(A1354:F1354)=0,"",IF(A1354="EXAMPLE","Example (skipped)",IF(OR(C1354="",E1354="",F1354=""),"✖ Portal, User ID and Password are all needed",IF(AND(A1354="",COUNTIF(Clients!$B$5:$B$1005,B1354)=0),"Not on Clients — will match a portal client by name",IF(AND(C1354="GST",D1354&lt;&gt;"",COUNTIF(Clients!$AN$5:$AN$1005,UPPER(D1354))=0,COUNTIF(Clients!$G$5:$G$1005,"*"&amp;UPPER(D1354)&amp;"*")=0),"GSTIN not on Clients — will be checked in the portal","✔ OK")))))</f>
        <v/>
      </c>
    </row>
    <row r="1355">
      <c r="A1355" s="38" t="n"/>
      <c r="B1355" s="39" t="n"/>
      <c r="C1355" s="39" t="n"/>
      <c r="D1355" s="38" t="n"/>
      <c r="E1355" s="38" t="n"/>
      <c r="F1355" s="38" t="n"/>
      <c r="G1355" s="37">
        <f>IF(COUNTA(A1355:F1355)=0,"",IF(A1355="EXAMPLE","Example (skipped)",IF(OR(C1355="",E1355="",F1355=""),"✖ Portal, User ID and Password are all needed",IF(AND(A1355="",COUNTIF(Clients!$B$5:$B$1005,B1355)=0),"Not on Clients — will match a portal client by name",IF(AND(C1355="GST",D1355&lt;&gt;"",COUNTIF(Clients!$AN$5:$AN$1005,UPPER(D1355))=0,COUNTIF(Clients!$G$5:$G$1005,"*"&amp;UPPER(D1355)&amp;"*")=0),"GSTIN not on Clients — will be checked in the portal","✔ OK")))))</f>
        <v/>
      </c>
    </row>
    <row r="1356">
      <c r="A1356" s="38" t="n"/>
      <c r="B1356" s="39" t="n"/>
      <c r="C1356" s="39" t="n"/>
      <c r="D1356" s="38" t="n"/>
      <c r="E1356" s="38" t="n"/>
      <c r="F1356" s="38" t="n"/>
      <c r="G1356" s="37">
        <f>IF(COUNTA(A1356:F1356)=0,"",IF(A1356="EXAMPLE","Example (skipped)",IF(OR(C1356="",E1356="",F1356=""),"✖ Portal, User ID and Password are all needed",IF(AND(A1356="",COUNTIF(Clients!$B$5:$B$1005,B1356)=0),"Not on Clients — will match a portal client by name",IF(AND(C1356="GST",D1356&lt;&gt;"",COUNTIF(Clients!$AN$5:$AN$1005,UPPER(D1356))=0,COUNTIF(Clients!$G$5:$G$1005,"*"&amp;UPPER(D1356)&amp;"*")=0),"GSTIN not on Clients — will be checked in the portal","✔ OK")))))</f>
        <v/>
      </c>
    </row>
    <row r="1357">
      <c r="A1357" s="38" t="n"/>
      <c r="B1357" s="39" t="n"/>
      <c r="C1357" s="39" t="n"/>
      <c r="D1357" s="38" t="n"/>
      <c r="E1357" s="38" t="n"/>
      <c r="F1357" s="38" t="n"/>
      <c r="G1357" s="37">
        <f>IF(COUNTA(A1357:F1357)=0,"",IF(A1357="EXAMPLE","Example (skipped)",IF(OR(C1357="",E1357="",F1357=""),"✖ Portal, User ID and Password are all needed",IF(AND(A1357="",COUNTIF(Clients!$B$5:$B$1005,B1357)=0),"Not on Clients — will match a portal client by name",IF(AND(C1357="GST",D1357&lt;&gt;"",COUNTIF(Clients!$AN$5:$AN$1005,UPPER(D1357))=0,COUNTIF(Clients!$G$5:$G$1005,"*"&amp;UPPER(D1357)&amp;"*")=0),"GSTIN not on Clients — will be checked in the portal","✔ OK")))))</f>
        <v/>
      </c>
    </row>
    <row r="1358">
      <c r="A1358" s="38" t="n"/>
      <c r="B1358" s="39" t="n"/>
      <c r="C1358" s="39" t="n"/>
      <c r="D1358" s="38" t="n"/>
      <c r="E1358" s="38" t="n"/>
      <c r="F1358" s="38" t="n"/>
      <c r="G1358" s="37">
        <f>IF(COUNTA(A1358:F1358)=0,"",IF(A1358="EXAMPLE","Example (skipped)",IF(OR(C1358="",E1358="",F1358=""),"✖ Portal, User ID and Password are all needed",IF(AND(A1358="",COUNTIF(Clients!$B$5:$B$1005,B1358)=0),"Not on Clients — will match a portal client by name",IF(AND(C1358="GST",D1358&lt;&gt;"",COUNTIF(Clients!$AN$5:$AN$1005,UPPER(D1358))=0,COUNTIF(Clients!$G$5:$G$1005,"*"&amp;UPPER(D1358)&amp;"*")=0),"GSTIN not on Clients — will be checked in the portal","✔ OK")))))</f>
        <v/>
      </c>
    </row>
    <row r="1359">
      <c r="A1359" s="38" t="n"/>
      <c r="B1359" s="39" t="n"/>
      <c r="C1359" s="39" t="n"/>
      <c r="D1359" s="38" t="n"/>
      <c r="E1359" s="38" t="n"/>
      <c r="F1359" s="38" t="n"/>
      <c r="G1359" s="37">
        <f>IF(COUNTA(A1359:F1359)=0,"",IF(A1359="EXAMPLE","Example (skipped)",IF(OR(C1359="",E1359="",F1359=""),"✖ Portal, User ID and Password are all needed",IF(AND(A1359="",COUNTIF(Clients!$B$5:$B$1005,B1359)=0),"Not on Clients — will match a portal client by name",IF(AND(C1359="GST",D1359&lt;&gt;"",COUNTIF(Clients!$AN$5:$AN$1005,UPPER(D1359))=0,COUNTIF(Clients!$G$5:$G$1005,"*"&amp;UPPER(D1359)&amp;"*")=0),"GSTIN not on Clients — will be checked in the portal","✔ OK")))))</f>
        <v/>
      </c>
    </row>
    <row r="1360">
      <c r="A1360" s="38" t="n"/>
      <c r="B1360" s="39" t="n"/>
      <c r="C1360" s="39" t="n"/>
      <c r="D1360" s="38" t="n"/>
      <c r="E1360" s="38" t="n"/>
      <c r="F1360" s="38" t="n"/>
      <c r="G1360" s="37">
        <f>IF(COUNTA(A1360:F1360)=0,"",IF(A1360="EXAMPLE","Example (skipped)",IF(OR(C1360="",E1360="",F1360=""),"✖ Portal, User ID and Password are all needed",IF(AND(A1360="",COUNTIF(Clients!$B$5:$B$1005,B1360)=0),"Not on Clients — will match a portal client by name",IF(AND(C1360="GST",D1360&lt;&gt;"",COUNTIF(Clients!$AN$5:$AN$1005,UPPER(D1360))=0,COUNTIF(Clients!$G$5:$G$1005,"*"&amp;UPPER(D1360)&amp;"*")=0),"GSTIN not on Clients — will be checked in the portal","✔ OK")))))</f>
        <v/>
      </c>
    </row>
    <row r="1361">
      <c r="A1361" s="38" t="n"/>
      <c r="B1361" s="39" t="n"/>
      <c r="C1361" s="39" t="n"/>
      <c r="D1361" s="38" t="n"/>
      <c r="E1361" s="38" t="n"/>
      <c r="F1361" s="38" t="n"/>
      <c r="G1361" s="37">
        <f>IF(COUNTA(A1361:F1361)=0,"",IF(A1361="EXAMPLE","Example (skipped)",IF(OR(C1361="",E1361="",F1361=""),"✖ Portal, User ID and Password are all needed",IF(AND(A1361="",COUNTIF(Clients!$B$5:$B$1005,B1361)=0),"Not on Clients — will match a portal client by name",IF(AND(C1361="GST",D1361&lt;&gt;"",COUNTIF(Clients!$AN$5:$AN$1005,UPPER(D1361))=0,COUNTIF(Clients!$G$5:$G$1005,"*"&amp;UPPER(D1361)&amp;"*")=0),"GSTIN not on Clients — will be checked in the portal","✔ OK")))))</f>
        <v/>
      </c>
    </row>
    <row r="1362">
      <c r="A1362" s="38" t="n"/>
      <c r="B1362" s="39" t="n"/>
      <c r="C1362" s="39" t="n"/>
      <c r="D1362" s="38" t="n"/>
      <c r="E1362" s="38" t="n"/>
      <c r="F1362" s="38" t="n"/>
      <c r="G1362" s="37">
        <f>IF(COUNTA(A1362:F1362)=0,"",IF(A1362="EXAMPLE","Example (skipped)",IF(OR(C1362="",E1362="",F1362=""),"✖ Portal, User ID and Password are all needed",IF(AND(A1362="",COUNTIF(Clients!$B$5:$B$1005,B1362)=0),"Not on Clients — will match a portal client by name",IF(AND(C1362="GST",D1362&lt;&gt;"",COUNTIF(Clients!$AN$5:$AN$1005,UPPER(D1362))=0,COUNTIF(Clients!$G$5:$G$1005,"*"&amp;UPPER(D1362)&amp;"*")=0),"GSTIN not on Clients — will be checked in the portal","✔ OK")))))</f>
        <v/>
      </c>
    </row>
    <row r="1363">
      <c r="A1363" s="38" t="n"/>
      <c r="B1363" s="39" t="n"/>
      <c r="C1363" s="39" t="n"/>
      <c r="D1363" s="38" t="n"/>
      <c r="E1363" s="38" t="n"/>
      <c r="F1363" s="38" t="n"/>
      <c r="G1363" s="37">
        <f>IF(COUNTA(A1363:F1363)=0,"",IF(A1363="EXAMPLE","Example (skipped)",IF(OR(C1363="",E1363="",F1363=""),"✖ Portal, User ID and Password are all needed",IF(AND(A1363="",COUNTIF(Clients!$B$5:$B$1005,B1363)=0),"Not on Clients — will match a portal client by name",IF(AND(C1363="GST",D1363&lt;&gt;"",COUNTIF(Clients!$AN$5:$AN$1005,UPPER(D1363))=0,COUNTIF(Clients!$G$5:$G$1005,"*"&amp;UPPER(D1363)&amp;"*")=0),"GSTIN not on Clients — will be checked in the portal","✔ OK")))))</f>
        <v/>
      </c>
    </row>
    <row r="1364">
      <c r="A1364" s="38" t="n"/>
      <c r="B1364" s="39" t="n"/>
      <c r="C1364" s="39" t="n"/>
      <c r="D1364" s="38" t="n"/>
      <c r="E1364" s="38" t="n"/>
      <c r="F1364" s="38" t="n"/>
      <c r="G1364" s="37">
        <f>IF(COUNTA(A1364:F1364)=0,"",IF(A1364="EXAMPLE","Example (skipped)",IF(OR(C1364="",E1364="",F1364=""),"✖ Portal, User ID and Password are all needed",IF(AND(A1364="",COUNTIF(Clients!$B$5:$B$1005,B1364)=0),"Not on Clients — will match a portal client by name",IF(AND(C1364="GST",D1364&lt;&gt;"",COUNTIF(Clients!$AN$5:$AN$1005,UPPER(D1364))=0,COUNTIF(Clients!$G$5:$G$1005,"*"&amp;UPPER(D1364)&amp;"*")=0),"GSTIN not on Clients — will be checked in the portal","✔ OK")))))</f>
        <v/>
      </c>
    </row>
    <row r="1365">
      <c r="A1365" s="38" t="n"/>
      <c r="B1365" s="39" t="n"/>
      <c r="C1365" s="39" t="n"/>
      <c r="D1365" s="38" t="n"/>
      <c r="E1365" s="38" t="n"/>
      <c r="F1365" s="38" t="n"/>
      <c r="G1365" s="37">
        <f>IF(COUNTA(A1365:F1365)=0,"",IF(A1365="EXAMPLE","Example (skipped)",IF(OR(C1365="",E1365="",F1365=""),"✖ Portal, User ID and Password are all needed",IF(AND(A1365="",COUNTIF(Clients!$B$5:$B$1005,B1365)=0),"Not on Clients — will match a portal client by name",IF(AND(C1365="GST",D1365&lt;&gt;"",COUNTIF(Clients!$AN$5:$AN$1005,UPPER(D1365))=0,COUNTIF(Clients!$G$5:$G$1005,"*"&amp;UPPER(D1365)&amp;"*")=0),"GSTIN not on Clients — will be checked in the portal","✔ OK")))))</f>
        <v/>
      </c>
    </row>
    <row r="1366">
      <c r="A1366" s="38" t="n"/>
      <c r="B1366" s="39" t="n"/>
      <c r="C1366" s="39" t="n"/>
      <c r="D1366" s="38" t="n"/>
      <c r="E1366" s="38" t="n"/>
      <c r="F1366" s="38" t="n"/>
      <c r="G1366" s="37">
        <f>IF(COUNTA(A1366:F1366)=0,"",IF(A1366="EXAMPLE","Example (skipped)",IF(OR(C1366="",E1366="",F1366=""),"✖ Portal, User ID and Password are all needed",IF(AND(A1366="",COUNTIF(Clients!$B$5:$B$1005,B1366)=0),"Not on Clients — will match a portal client by name",IF(AND(C1366="GST",D1366&lt;&gt;"",COUNTIF(Clients!$AN$5:$AN$1005,UPPER(D1366))=0,COUNTIF(Clients!$G$5:$G$1005,"*"&amp;UPPER(D1366)&amp;"*")=0),"GSTIN not on Clients — will be checked in the portal","✔ OK")))))</f>
        <v/>
      </c>
    </row>
    <row r="1367">
      <c r="A1367" s="38" t="n"/>
      <c r="B1367" s="39" t="n"/>
      <c r="C1367" s="39" t="n"/>
      <c r="D1367" s="38" t="n"/>
      <c r="E1367" s="38" t="n"/>
      <c r="F1367" s="38" t="n"/>
      <c r="G1367" s="37">
        <f>IF(COUNTA(A1367:F1367)=0,"",IF(A1367="EXAMPLE","Example (skipped)",IF(OR(C1367="",E1367="",F1367=""),"✖ Portal, User ID and Password are all needed",IF(AND(A1367="",COUNTIF(Clients!$B$5:$B$1005,B1367)=0),"Not on Clients — will match a portal client by name",IF(AND(C1367="GST",D1367&lt;&gt;"",COUNTIF(Clients!$AN$5:$AN$1005,UPPER(D1367))=0,COUNTIF(Clients!$G$5:$G$1005,"*"&amp;UPPER(D1367)&amp;"*")=0),"GSTIN not on Clients — will be checked in the portal","✔ OK")))))</f>
        <v/>
      </c>
    </row>
    <row r="1368">
      <c r="A1368" s="38" t="n"/>
      <c r="B1368" s="39" t="n"/>
      <c r="C1368" s="39" t="n"/>
      <c r="D1368" s="38" t="n"/>
      <c r="E1368" s="38" t="n"/>
      <c r="F1368" s="38" t="n"/>
      <c r="G1368" s="37">
        <f>IF(COUNTA(A1368:F1368)=0,"",IF(A1368="EXAMPLE","Example (skipped)",IF(OR(C1368="",E1368="",F1368=""),"✖ Portal, User ID and Password are all needed",IF(AND(A1368="",COUNTIF(Clients!$B$5:$B$1005,B1368)=0),"Not on Clients — will match a portal client by name",IF(AND(C1368="GST",D1368&lt;&gt;"",COUNTIF(Clients!$AN$5:$AN$1005,UPPER(D1368))=0,COUNTIF(Clients!$G$5:$G$1005,"*"&amp;UPPER(D1368)&amp;"*")=0),"GSTIN not on Clients — will be checked in the portal","✔ OK")))))</f>
        <v/>
      </c>
    </row>
    <row r="1369">
      <c r="A1369" s="38" t="n"/>
      <c r="B1369" s="39" t="n"/>
      <c r="C1369" s="39" t="n"/>
      <c r="D1369" s="38" t="n"/>
      <c r="E1369" s="38" t="n"/>
      <c r="F1369" s="38" t="n"/>
      <c r="G1369" s="37">
        <f>IF(COUNTA(A1369:F1369)=0,"",IF(A1369="EXAMPLE","Example (skipped)",IF(OR(C1369="",E1369="",F1369=""),"✖ Portal, User ID and Password are all needed",IF(AND(A1369="",COUNTIF(Clients!$B$5:$B$1005,B1369)=0),"Not on Clients — will match a portal client by name",IF(AND(C1369="GST",D1369&lt;&gt;"",COUNTIF(Clients!$AN$5:$AN$1005,UPPER(D1369))=0,COUNTIF(Clients!$G$5:$G$1005,"*"&amp;UPPER(D1369)&amp;"*")=0),"GSTIN not on Clients — will be checked in the portal","✔ OK")))))</f>
        <v/>
      </c>
    </row>
    <row r="1370">
      <c r="A1370" s="38" t="n"/>
      <c r="B1370" s="39" t="n"/>
      <c r="C1370" s="39" t="n"/>
      <c r="D1370" s="38" t="n"/>
      <c r="E1370" s="38" t="n"/>
      <c r="F1370" s="38" t="n"/>
      <c r="G1370" s="37">
        <f>IF(COUNTA(A1370:F1370)=0,"",IF(A1370="EXAMPLE","Example (skipped)",IF(OR(C1370="",E1370="",F1370=""),"✖ Portal, User ID and Password are all needed",IF(AND(A1370="",COUNTIF(Clients!$B$5:$B$1005,B1370)=0),"Not on Clients — will match a portal client by name",IF(AND(C1370="GST",D1370&lt;&gt;"",COUNTIF(Clients!$AN$5:$AN$1005,UPPER(D1370))=0,COUNTIF(Clients!$G$5:$G$1005,"*"&amp;UPPER(D1370)&amp;"*")=0),"GSTIN not on Clients — will be checked in the portal","✔ OK")))))</f>
        <v/>
      </c>
    </row>
    <row r="1371">
      <c r="A1371" s="38" t="n"/>
      <c r="B1371" s="39" t="n"/>
      <c r="C1371" s="39" t="n"/>
      <c r="D1371" s="38" t="n"/>
      <c r="E1371" s="38" t="n"/>
      <c r="F1371" s="38" t="n"/>
      <c r="G1371" s="37">
        <f>IF(COUNTA(A1371:F1371)=0,"",IF(A1371="EXAMPLE","Example (skipped)",IF(OR(C1371="",E1371="",F1371=""),"✖ Portal, User ID and Password are all needed",IF(AND(A1371="",COUNTIF(Clients!$B$5:$B$1005,B1371)=0),"Not on Clients — will match a portal client by name",IF(AND(C1371="GST",D1371&lt;&gt;"",COUNTIF(Clients!$AN$5:$AN$1005,UPPER(D1371))=0,COUNTIF(Clients!$G$5:$G$1005,"*"&amp;UPPER(D1371)&amp;"*")=0),"GSTIN not on Clients — will be checked in the portal","✔ OK")))))</f>
        <v/>
      </c>
    </row>
    <row r="1372">
      <c r="A1372" s="38" t="n"/>
      <c r="B1372" s="39" t="n"/>
      <c r="C1372" s="39" t="n"/>
      <c r="D1372" s="38" t="n"/>
      <c r="E1372" s="38" t="n"/>
      <c r="F1372" s="38" t="n"/>
      <c r="G1372" s="37">
        <f>IF(COUNTA(A1372:F1372)=0,"",IF(A1372="EXAMPLE","Example (skipped)",IF(OR(C1372="",E1372="",F1372=""),"✖ Portal, User ID and Password are all needed",IF(AND(A1372="",COUNTIF(Clients!$B$5:$B$1005,B1372)=0),"Not on Clients — will match a portal client by name",IF(AND(C1372="GST",D1372&lt;&gt;"",COUNTIF(Clients!$AN$5:$AN$1005,UPPER(D1372))=0,COUNTIF(Clients!$G$5:$G$1005,"*"&amp;UPPER(D1372)&amp;"*")=0),"GSTIN not on Clients — will be checked in the portal","✔ OK")))))</f>
        <v/>
      </c>
    </row>
    <row r="1373">
      <c r="A1373" s="38" t="n"/>
      <c r="B1373" s="39" t="n"/>
      <c r="C1373" s="39" t="n"/>
      <c r="D1373" s="38" t="n"/>
      <c r="E1373" s="38" t="n"/>
      <c r="F1373" s="38" t="n"/>
      <c r="G1373" s="37">
        <f>IF(COUNTA(A1373:F1373)=0,"",IF(A1373="EXAMPLE","Example (skipped)",IF(OR(C1373="",E1373="",F1373=""),"✖ Portal, User ID and Password are all needed",IF(AND(A1373="",COUNTIF(Clients!$B$5:$B$1005,B1373)=0),"Not on Clients — will match a portal client by name",IF(AND(C1373="GST",D1373&lt;&gt;"",COUNTIF(Clients!$AN$5:$AN$1005,UPPER(D1373))=0,COUNTIF(Clients!$G$5:$G$1005,"*"&amp;UPPER(D1373)&amp;"*")=0),"GSTIN not on Clients — will be checked in the portal","✔ OK")))))</f>
        <v/>
      </c>
    </row>
    <row r="1374">
      <c r="A1374" s="38" t="n"/>
      <c r="B1374" s="39" t="n"/>
      <c r="C1374" s="39" t="n"/>
      <c r="D1374" s="38" t="n"/>
      <c r="E1374" s="38" t="n"/>
      <c r="F1374" s="38" t="n"/>
      <c r="G1374" s="37">
        <f>IF(COUNTA(A1374:F1374)=0,"",IF(A1374="EXAMPLE","Example (skipped)",IF(OR(C1374="",E1374="",F1374=""),"✖ Portal, User ID and Password are all needed",IF(AND(A1374="",COUNTIF(Clients!$B$5:$B$1005,B1374)=0),"Not on Clients — will match a portal client by name",IF(AND(C1374="GST",D1374&lt;&gt;"",COUNTIF(Clients!$AN$5:$AN$1005,UPPER(D1374))=0,COUNTIF(Clients!$G$5:$G$1005,"*"&amp;UPPER(D1374)&amp;"*")=0),"GSTIN not on Clients — will be checked in the portal","✔ OK")))))</f>
        <v/>
      </c>
    </row>
    <row r="1375">
      <c r="A1375" s="38" t="n"/>
      <c r="B1375" s="39" t="n"/>
      <c r="C1375" s="39" t="n"/>
      <c r="D1375" s="38" t="n"/>
      <c r="E1375" s="38" t="n"/>
      <c r="F1375" s="38" t="n"/>
      <c r="G1375" s="37">
        <f>IF(COUNTA(A1375:F1375)=0,"",IF(A1375="EXAMPLE","Example (skipped)",IF(OR(C1375="",E1375="",F1375=""),"✖ Portal, User ID and Password are all needed",IF(AND(A1375="",COUNTIF(Clients!$B$5:$B$1005,B1375)=0),"Not on Clients — will match a portal client by name",IF(AND(C1375="GST",D1375&lt;&gt;"",COUNTIF(Clients!$AN$5:$AN$1005,UPPER(D1375))=0,COUNTIF(Clients!$G$5:$G$1005,"*"&amp;UPPER(D1375)&amp;"*")=0),"GSTIN not on Clients — will be checked in the portal","✔ OK")))))</f>
        <v/>
      </c>
    </row>
    <row r="1376">
      <c r="A1376" s="38" t="n"/>
      <c r="B1376" s="39" t="n"/>
      <c r="C1376" s="39" t="n"/>
      <c r="D1376" s="38" t="n"/>
      <c r="E1376" s="38" t="n"/>
      <c r="F1376" s="38" t="n"/>
      <c r="G1376" s="37">
        <f>IF(COUNTA(A1376:F1376)=0,"",IF(A1376="EXAMPLE","Example (skipped)",IF(OR(C1376="",E1376="",F1376=""),"✖ Portal, User ID and Password are all needed",IF(AND(A1376="",COUNTIF(Clients!$B$5:$B$1005,B1376)=0),"Not on Clients — will match a portal client by name",IF(AND(C1376="GST",D1376&lt;&gt;"",COUNTIF(Clients!$AN$5:$AN$1005,UPPER(D1376))=0,COUNTIF(Clients!$G$5:$G$1005,"*"&amp;UPPER(D1376)&amp;"*")=0),"GSTIN not on Clients — will be checked in the portal","✔ OK")))))</f>
        <v/>
      </c>
    </row>
    <row r="1377">
      <c r="A1377" s="38" t="n"/>
      <c r="B1377" s="39" t="n"/>
      <c r="C1377" s="39" t="n"/>
      <c r="D1377" s="38" t="n"/>
      <c r="E1377" s="38" t="n"/>
      <c r="F1377" s="38" t="n"/>
      <c r="G1377" s="37">
        <f>IF(COUNTA(A1377:F1377)=0,"",IF(A1377="EXAMPLE","Example (skipped)",IF(OR(C1377="",E1377="",F1377=""),"✖ Portal, User ID and Password are all needed",IF(AND(A1377="",COUNTIF(Clients!$B$5:$B$1005,B1377)=0),"Not on Clients — will match a portal client by name",IF(AND(C1377="GST",D1377&lt;&gt;"",COUNTIF(Clients!$AN$5:$AN$1005,UPPER(D1377))=0,COUNTIF(Clients!$G$5:$G$1005,"*"&amp;UPPER(D1377)&amp;"*")=0),"GSTIN not on Clients — will be checked in the portal","✔ OK")))))</f>
        <v/>
      </c>
    </row>
    <row r="1378">
      <c r="A1378" s="38" t="n"/>
      <c r="B1378" s="39" t="n"/>
      <c r="C1378" s="39" t="n"/>
      <c r="D1378" s="38" t="n"/>
      <c r="E1378" s="38" t="n"/>
      <c r="F1378" s="38" t="n"/>
      <c r="G1378" s="37">
        <f>IF(COUNTA(A1378:F1378)=0,"",IF(A1378="EXAMPLE","Example (skipped)",IF(OR(C1378="",E1378="",F1378=""),"✖ Portal, User ID and Password are all needed",IF(AND(A1378="",COUNTIF(Clients!$B$5:$B$1005,B1378)=0),"Not on Clients — will match a portal client by name",IF(AND(C1378="GST",D1378&lt;&gt;"",COUNTIF(Clients!$AN$5:$AN$1005,UPPER(D1378))=0,COUNTIF(Clients!$G$5:$G$1005,"*"&amp;UPPER(D1378)&amp;"*")=0),"GSTIN not on Clients — will be checked in the portal","✔ OK")))))</f>
        <v/>
      </c>
    </row>
    <row r="1379">
      <c r="A1379" s="38" t="n"/>
      <c r="B1379" s="39" t="n"/>
      <c r="C1379" s="39" t="n"/>
      <c r="D1379" s="38" t="n"/>
      <c r="E1379" s="38" t="n"/>
      <c r="F1379" s="38" t="n"/>
      <c r="G1379" s="37">
        <f>IF(COUNTA(A1379:F1379)=0,"",IF(A1379="EXAMPLE","Example (skipped)",IF(OR(C1379="",E1379="",F1379=""),"✖ Portal, User ID and Password are all needed",IF(AND(A1379="",COUNTIF(Clients!$B$5:$B$1005,B1379)=0),"Not on Clients — will match a portal client by name",IF(AND(C1379="GST",D1379&lt;&gt;"",COUNTIF(Clients!$AN$5:$AN$1005,UPPER(D1379))=0,COUNTIF(Clients!$G$5:$G$1005,"*"&amp;UPPER(D1379)&amp;"*")=0),"GSTIN not on Clients — will be checked in the portal","✔ OK")))))</f>
        <v/>
      </c>
    </row>
    <row r="1380">
      <c r="A1380" s="38" t="n"/>
      <c r="B1380" s="39" t="n"/>
      <c r="C1380" s="39" t="n"/>
      <c r="D1380" s="38" t="n"/>
      <c r="E1380" s="38" t="n"/>
      <c r="F1380" s="38" t="n"/>
      <c r="G1380" s="37">
        <f>IF(COUNTA(A1380:F1380)=0,"",IF(A1380="EXAMPLE","Example (skipped)",IF(OR(C1380="",E1380="",F1380=""),"✖ Portal, User ID and Password are all needed",IF(AND(A1380="",COUNTIF(Clients!$B$5:$B$1005,B1380)=0),"Not on Clients — will match a portal client by name",IF(AND(C1380="GST",D1380&lt;&gt;"",COUNTIF(Clients!$AN$5:$AN$1005,UPPER(D1380))=0,COUNTIF(Clients!$G$5:$G$1005,"*"&amp;UPPER(D1380)&amp;"*")=0),"GSTIN not on Clients — will be checked in the portal","✔ OK")))))</f>
        <v/>
      </c>
    </row>
    <row r="1381">
      <c r="A1381" s="38" t="n"/>
      <c r="B1381" s="39" t="n"/>
      <c r="C1381" s="39" t="n"/>
      <c r="D1381" s="38" t="n"/>
      <c r="E1381" s="38" t="n"/>
      <c r="F1381" s="38" t="n"/>
      <c r="G1381" s="37">
        <f>IF(COUNTA(A1381:F1381)=0,"",IF(A1381="EXAMPLE","Example (skipped)",IF(OR(C1381="",E1381="",F1381=""),"✖ Portal, User ID and Password are all needed",IF(AND(A1381="",COUNTIF(Clients!$B$5:$B$1005,B1381)=0),"Not on Clients — will match a portal client by name",IF(AND(C1381="GST",D1381&lt;&gt;"",COUNTIF(Clients!$AN$5:$AN$1005,UPPER(D1381))=0,COUNTIF(Clients!$G$5:$G$1005,"*"&amp;UPPER(D1381)&amp;"*")=0),"GSTIN not on Clients — will be checked in the portal","✔ OK")))))</f>
        <v/>
      </c>
    </row>
    <row r="1382">
      <c r="A1382" s="38" t="n"/>
      <c r="B1382" s="39" t="n"/>
      <c r="C1382" s="39" t="n"/>
      <c r="D1382" s="38" t="n"/>
      <c r="E1382" s="38" t="n"/>
      <c r="F1382" s="38" t="n"/>
      <c r="G1382" s="37">
        <f>IF(COUNTA(A1382:F1382)=0,"",IF(A1382="EXAMPLE","Example (skipped)",IF(OR(C1382="",E1382="",F1382=""),"✖ Portal, User ID and Password are all needed",IF(AND(A1382="",COUNTIF(Clients!$B$5:$B$1005,B1382)=0),"Not on Clients — will match a portal client by name",IF(AND(C1382="GST",D1382&lt;&gt;"",COUNTIF(Clients!$AN$5:$AN$1005,UPPER(D1382))=0,COUNTIF(Clients!$G$5:$G$1005,"*"&amp;UPPER(D1382)&amp;"*")=0),"GSTIN not on Clients — will be checked in the portal","✔ OK")))))</f>
        <v/>
      </c>
    </row>
    <row r="1383">
      <c r="A1383" s="38" t="n"/>
      <c r="B1383" s="39" t="n"/>
      <c r="C1383" s="39" t="n"/>
      <c r="D1383" s="38" t="n"/>
      <c r="E1383" s="38" t="n"/>
      <c r="F1383" s="38" t="n"/>
      <c r="G1383" s="37">
        <f>IF(COUNTA(A1383:F1383)=0,"",IF(A1383="EXAMPLE","Example (skipped)",IF(OR(C1383="",E1383="",F1383=""),"✖ Portal, User ID and Password are all needed",IF(AND(A1383="",COUNTIF(Clients!$B$5:$B$1005,B1383)=0),"Not on Clients — will match a portal client by name",IF(AND(C1383="GST",D1383&lt;&gt;"",COUNTIF(Clients!$AN$5:$AN$1005,UPPER(D1383))=0,COUNTIF(Clients!$G$5:$G$1005,"*"&amp;UPPER(D1383)&amp;"*")=0),"GSTIN not on Clients — will be checked in the portal","✔ OK")))))</f>
        <v/>
      </c>
    </row>
    <row r="1384">
      <c r="A1384" s="38" t="n"/>
      <c r="B1384" s="39" t="n"/>
      <c r="C1384" s="39" t="n"/>
      <c r="D1384" s="38" t="n"/>
      <c r="E1384" s="38" t="n"/>
      <c r="F1384" s="38" t="n"/>
      <c r="G1384" s="37">
        <f>IF(COUNTA(A1384:F1384)=0,"",IF(A1384="EXAMPLE","Example (skipped)",IF(OR(C1384="",E1384="",F1384=""),"✖ Portal, User ID and Password are all needed",IF(AND(A1384="",COUNTIF(Clients!$B$5:$B$1005,B1384)=0),"Not on Clients — will match a portal client by name",IF(AND(C1384="GST",D1384&lt;&gt;"",COUNTIF(Clients!$AN$5:$AN$1005,UPPER(D1384))=0,COUNTIF(Clients!$G$5:$G$1005,"*"&amp;UPPER(D1384)&amp;"*")=0),"GSTIN not on Clients — will be checked in the portal","✔ OK")))))</f>
        <v/>
      </c>
    </row>
    <row r="1385">
      <c r="A1385" s="38" t="n"/>
      <c r="B1385" s="39" t="n"/>
      <c r="C1385" s="39" t="n"/>
      <c r="D1385" s="38" t="n"/>
      <c r="E1385" s="38" t="n"/>
      <c r="F1385" s="38" t="n"/>
      <c r="G1385" s="37">
        <f>IF(COUNTA(A1385:F1385)=0,"",IF(A1385="EXAMPLE","Example (skipped)",IF(OR(C1385="",E1385="",F1385=""),"✖ Portal, User ID and Password are all needed",IF(AND(A1385="",COUNTIF(Clients!$B$5:$B$1005,B1385)=0),"Not on Clients — will match a portal client by name",IF(AND(C1385="GST",D1385&lt;&gt;"",COUNTIF(Clients!$AN$5:$AN$1005,UPPER(D1385))=0,COUNTIF(Clients!$G$5:$G$1005,"*"&amp;UPPER(D1385)&amp;"*")=0),"GSTIN not on Clients — will be checked in the portal","✔ OK")))))</f>
        <v/>
      </c>
    </row>
    <row r="1386">
      <c r="A1386" s="38" t="n"/>
      <c r="B1386" s="39" t="n"/>
      <c r="C1386" s="39" t="n"/>
      <c r="D1386" s="38" t="n"/>
      <c r="E1386" s="38" t="n"/>
      <c r="F1386" s="38" t="n"/>
      <c r="G1386" s="37">
        <f>IF(COUNTA(A1386:F1386)=0,"",IF(A1386="EXAMPLE","Example (skipped)",IF(OR(C1386="",E1386="",F1386=""),"✖ Portal, User ID and Password are all needed",IF(AND(A1386="",COUNTIF(Clients!$B$5:$B$1005,B1386)=0),"Not on Clients — will match a portal client by name",IF(AND(C1386="GST",D1386&lt;&gt;"",COUNTIF(Clients!$AN$5:$AN$1005,UPPER(D1386))=0,COUNTIF(Clients!$G$5:$G$1005,"*"&amp;UPPER(D1386)&amp;"*")=0),"GSTIN not on Clients — will be checked in the portal","✔ OK")))))</f>
        <v/>
      </c>
    </row>
    <row r="1387">
      <c r="A1387" s="38" t="n"/>
      <c r="B1387" s="39" t="n"/>
      <c r="C1387" s="39" t="n"/>
      <c r="D1387" s="38" t="n"/>
      <c r="E1387" s="38" t="n"/>
      <c r="F1387" s="38" t="n"/>
      <c r="G1387" s="37">
        <f>IF(COUNTA(A1387:F1387)=0,"",IF(A1387="EXAMPLE","Example (skipped)",IF(OR(C1387="",E1387="",F1387=""),"✖ Portal, User ID and Password are all needed",IF(AND(A1387="",COUNTIF(Clients!$B$5:$B$1005,B1387)=0),"Not on Clients — will match a portal client by name",IF(AND(C1387="GST",D1387&lt;&gt;"",COUNTIF(Clients!$AN$5:$AN$1005,UPPER(D1387))=0,COUNTIF(Clients!$G$5:$G$1005,"*"&amp;UPPER(D1387)&amp;"*")=0),"GSTIN not on Clients — will be checked in the portal","✔ OK")))))</f>
        <v/>
      </c>
    </row>
    <row r="1388">
      <c r="A1388" s="38" t="n"/>
      <c r="B1388" s="39" t="n"/>
      <c r="C1388" s="39" t="n"/>
      <c r="D1388" s="38" t="n"/>
      <c r="E1388" s="38" t="n"/>
      <c r="F1388" s="38" t="n"/>
      <c r="G1388" s="37">
        <f>IF(COUNTA(A1388:F1388)=0,"",IF(A1388="EXAMPLE","Example (skipped)",IF(OR(C1388="",E1388="",F1388=""),"✖ Portal, User ID and Password are all needed",IF(AND(A1388="",COUNTIF(Clients!$B$5:$B$1005,B1388)=0),"Not on Clients — will match a portal client by name",IF(AND(C1388="GST",D1388&lt;&gt;"",COUNTIF(Clients!$AN$5:$AN$1005,UPPER(D1388))=0,COUNTIF(Clients!$G$5:$G$1005,"*"&amp;UPPER(D1388)&amp;"*")=0),"GSTIN not on Clients — will be checked in the portal","✔ OK")))))</f>
        <v/>
      </c>
    </row>
    <row r="1389">
      <c r="A1389" s="38" t="n"/>
      <c r="B1389" s="39" t="n"/>
      <c r="C1389" s="39" t="n"/>
      <c r="D1389" s="38" t="n"/>
      <c r="E1389" s="38" t="n"/>
      <c r="F1389" s="38" t="n"/>
      <c r="G1389" s="37">
        <f>IF(COUNTA(A1389:F1389)=0,"",IF(A1389="EXAMPLE","Example (skipped)",IF(OR(C1389="",E1389="",F1389=""),"✖ Portal, User ID and Password are all needed",IF(AND(A1389="",COUNTIF(Clients!$B$5:$B$1005,B1389)=0),"Not on Clients — will match a portal client by name",IF(AND(C1389="GST",D1389&lt;&gt;"",COUNTIF(Clients!$AN$5:$AN$1005,UPPER(D1389))=0,COUNTIF(Clients!$G$5:$G$1005,"*"&amp;UPPER(D1389)&amp;"*")=0),"GSTIN not on Clients — will be checked in the portal","✔ OK")))))</f>
        <v/>
      </c>
    </row>
    <row r="1390">
      <c r="A1390" s="38" t="n"/>
      <c r="B1390" s="39" t="n"/>
      <c r="C1390" s="39" t="n"/>
      <c r="D1390" s="38" t="n"/>
      <c r="E1390" s="38" t="n"/>
      <c r="F1390" s="38" t="n"/>
      <c r="G1390" s="37">
        <f>IF(COUNTA(A1390:F1390)=0,"",IF(A1390="EXAMPLE","Example (skipped)",IF(OR(C1390="",E1390="",F1390=""),"✖ Portal, User ID and Password are all needed",IF(AND(A1390="",COUNTIF(Clients!$B$5:$B$1005,B1390)=0),"Not on Clients — will match a portal client by name",IF(AND(C1390="GST",D1390&lt;&gt;"",COUNTIF(Clients!$AN$5:$AN$1005,UPPER(D1390))=0,COUNTIF(Clients!$G$5:$G$1005,"*"&amp;UPPER(D1390)&amp;"*")=0),"GSTIN not on Clients — will be checked in the portal","✔ OK")))))</f>
        <v/>
      </c>
    </row>
    <row r="1391">
      <c r="A1391" s="38" t="n"/>
      <c r="B1391" s="39" t="n"/>
      <c r="C1391" s="39" t="n"/>
      <c r="D1391" s="38" t="n"/>
      <c r="E1391" s="38" t="n"/>
      <c r="F1391" s="38" t="n"/>
      <c r="G1391" s="37">
        <f>IF(COUNTA(A1391:F1391)=0,"",IF(A1391="EXAMPLE","Example (skipped)",IF(OR(C1391="",E1391="",F1391=""),"✖ Portal, User ID and Password are all needed",IF(AND(A1391="",COUNTIF(Clients!$B$5:$B$1005,B1391)=0),"Not on Clients — will match a portal client by name",IF(AND(C1391="GST",D1391&lt;&gt;"",COUNTIF(Clients!$AN$5:$AN$1005,UPPER(D1391))=0,COUNTIF(Clients!$G$5:$G$1005,"*"&amp;UPPER(D1391)&amp;"*")=0),"GSTIN not on Clients — will be checked in the portal","✔ OK")))))</f>
        <v/>
      </c>
    </row>
    <row r="1392">
      <c r="A1392" s="38" t="n"/>
      <c r="B1392" s="39" t="n"/>
      <c r="C1392" s="39" t="n"/>
      <c r="D1392" s="38" t="n"/>
      <c r="E1392" s="38" t="n"/>
      <c r="F1392" s="38" t="n"/>
      <c r="G1392" s="37">
        <f>IF(COUNTA(A1392:F1392)=0,"",IF(A1392="EXAMPLE","Example (skipped)",IF(OR(C1392="",E1392="",F1392=""),"✖ Portal, User ID and Password are all needed",IF(AND(A1392="",COUNTIF(Clients!$B$5:$B$1005,B1392)=0),"Not on Clients — will match a portal client by name",IF(AND(C1392="GST",D1392&lt;&gt;"",COUNTIF(Clients!$AN$5:$AN$1005,UPPER(D1392))=0,COUNTIF(Clients!$G$5:$G$1005,"*"&amp;UPPER(D1392)&amp;"*")=0),"GSTIN not on Clients — will be checked in the portal","✔ OK")))))</f>
        <v/>
      </c>
    </row>
    <row r="1393">
      <c r="A1393" s="38" t="n"/>
      <c r="B1393" s="39" t="n"/>
      <c r="C1393" s="39" t="n"/>
      <c r="D1393" s="38" t="n"/>
      <c r="E1393" s="38" t="n"/>
      <c r="F1393" s="38" t="n"/>
      <c r="G1393" s="37">
        <f>IF(COUNTA(A1393:F1393)=0,"",IF(A1393="EXAMPLE","Example (skipped)",IF(OR(C1393="",E1393="",F1393=""),"✖ Portal, User ID and Password are all needed",IF(AND(A1393="",COUNTIF(Clients!$B$5:$B$1005,B1393)=0),"Not on Clients — will match a portal client by name",IF(AND(C1393="GST",D1393&lt;&gt;"",COUNTIF(Clients!$AN$5:$AN$1005,UPPER(D1393))=0,COUNTIF(Clients!$G$5:$G$1005,"*"&amp;UPPER(D1393)&amp;"*")=0),"GSTIN not on Clients — will be checked in the portal","✔ OK")))))</f>
        <v/>
      </c>
    </row>
    <row r="1394">
      <c r="A1394" s="38" t="n"/>
      <c r="B1394" s="39" t="n"/>
      <c r="C1394" s="39" t="n"/>
      <c r="D1394" s="38" t="n"/>
      <c r="E1394" s="38" t="n"/>
      <c r="F1394" s="38" t="n"/>
      <c r="G1394" s="37">
        <f>IF(COUNTA(A1394:F1394)=0,"",IF(A1394="EXAMPLE","Example (skipped)",IF(OR(C1394="",E1394="",F1394=""),"✖ Portal, User ID and Password are all needed",IF(AND(A1394="",COUNTIF(Clients!$B$5:$B$1005,B1394)=0),"Not on Clients — will match a portal client by name",IF(AND(C1394="GST",D1394&lt;&gt;"",COUNTIF(Clients!$AN$5:$AN$1005,UPPER(D1394))=0,COUNTIF(Clients!$G$5:$G$1005,"*"&amp;UPPER(D1394)&amp;"*")=0),"GSTIN not on Clients — will be checked in the portal","✔ OK")))))</f>
        <v/>
      </c>
    </row>
    <row r="1395">
      <c r="A1395" s="38" t="n"/>
      <c r="B1395" s="39" t="n"/>
      <c r="C1395" s="39" t="n"/>
      <c r="D1395" s="38" t="n"/>
      <c r="E1395" s="38" t="n"/>
      <c r="F1395" s="38" t="n"/>
      <c r="G1395" s="37">
        <f>IF(COUNTA(A1395:F1395)=0,"",IF(A1395="EXAMPLE","Example (skipped)",IF(OR(C1395="",E1395="",F1395=""),"✖ Portal, User ID and Password are all needed",IF(AND(A1395="",COUNTIF(Clients!$B$5:$B$1005,B1395)=0),"Not on Clients — will match a portal client by name",IF(AND(C1395="GST",D1395&lt;&gt;"",COUNTIF(Clients!$AN$5:$AN$1005,UPPER(D1395))=0,COUNTIF(Clients!$G$5:$G$1005,"*"&amp;UPPER(D1395)&amp;"*")=0),"GSTIN not on Clients — will be checked in the portal","✔ OK")))))</f>
        <v/>
      </c>
    </row>
    <row r="1396">
      <c r="A1396" s="38" t="n"/>
      <c r="B1396" s="39" t="n"/>
      <c r="C1396" s="39" t="n"/>
      <c r="D1396" s="38" t="n"/>
      <c r="E1396" s="38" t="n"/>
      <c r="F1396" s="38" t="n"/>
      <c r="G1396" s="37">
        <f>IF(COUNTA(A1396:F1396)=0,"",IF(A1396="EXAMPLE","Example (skipped)",IF(OR(C1396="",E1396="",F1396=""),"✖ Portal, User ID and Password are all needed",IF(AND(A1396="",COUNTIF(Clients!$B$5:$B$1005,B1396)=0),"Not on Clients — will match a portal client by name",IF(AND(C1396="GST",D1396&lt;&gt;"",COUNTIF(Clients!$AN$5:$AN$1005,UPPER(D1396))=0,COUNTIF(Clients!$G$5:$G$1005,"*"&amp;UPPER(D1396)&amp;"*")=0),"GSTIN not on Clients — will be checked in the portal","✔ OK")))))</f>
        <v/>
      </c>
    </row>
    <row r="1397">
      <c r="A1397" s="38" t="n"/>
      <c r="B1397" s="39" t="n"/>
      <c r="C1397" s="39" t="n"/>
      <c r="D1397" s="38" t="n"/>
      <c r="E1397" s="38" t="n"/>
      <c r="F1397" s="38" t="n"/>
      <c r="G1397" s="37">
        <f>IF(COUNTA(A1397:F1397)=0,"",IF(A1397="EXAMPLE","Example (skipped)",IF(OR(C1397="",E1397="",F1397=""),"✖ Portal, User ID and Password are all needed",IF(AND(A1397="",COUNTIF(Clients!$B$5:$B$1005,B1397)=0),"Not on Clients — will match a portal client by name",IF(AND(C1397="GST",D1397&lt;&gt;"",COUNTIF(Clients!$AN$5:$AN$1005,UPPER(D1397))=0,COUNTIF(Clients!$G$5:$G$1005,"*"&amp;UPPER(D1397)&amp;"*")=0),"GSTIN not on Clients — will be checked in the portal","✔ OK")))))</f>
        <v/>
      </c>
    </row>
    <row r="1398">
      <c r="A1398" s="38" t="n"/>
      <c r="B1398" s="39" t="n"/>
      <c r="C1398" s="39" t="n"/>
      <c r="D1398" s="38" t="n"/>
      <c r="E1398" s="38" t="n"/>
      <c r="F1398" s="38" t="n"/>
      <c r="G1398" s="37">
        <f>IF(COUNTA(A1398:F1398)=0,"",IF(A1398="EXAMPLE","Example (skipped)",IF(OR(C1398="",E1398="",F1398=""),"✖ Portal, User ID and Password are all needed",IF(AND(A1398="",COUNTIF(Clients!$B$5:$B$1005,B1398)=0),"Not on Clients — will match a portal client by name",IF(AND(C1398="GST",D1398&lt;&gt;"",COUNTIF(Clients!$AN$5:$AN$1005,UPPER(D1398))=0,COUNTIF(Clients!$G$5:$G$1005,"*"&amp;UPPER(D1398)&amp;"*")=0),"GSTIN not on Clients — will be checked in the portal","✔ OK")))))</f>
        <v/>
      </c>
    </row>
    <row r="1399">
      <c r="A1399" s="38" t="n"/>
      <c r="B1399" s="39" t="n"/>
      <c r="C1399" s="39" t="n"/>
      <c r="D1399" s="38" t="n"/>
      <c r="E1399" s="38" t="n"/>
      <c r="F1399" s="38" t="n"/>
      <c r="G1399" s="37">
        <f>IF(COUNTA(A1399:F1399)=0,"",IF(A1399="EXAMPLE","Example (skipped)",IF(OR(C1399="",E1399="",F1399=""),"✖ Portal, User ID and Password are all needed",IF(AND(A1399="",COUNTIF(Clients!$B$5:$B$1005,B1399)=0),"Not on Clients — will match a portal client by name",IF(AND(C1399="GST",D1399&lt;&gt;"",COUNTIF(Clients!$AN$5:$AN$1005,UPPER(D1399))=0,COUNTIF(Clients!$G$5:$G$1005,"*"&amp;UPPER(D1399)&amp;"*")=0),"GSTIN not on Clients — will be checked in the portal","✔ OK")))))</f>
        <v/>
      </c>
    </row>
    <row r="1400">
      <c r="A1400" s="38" t="n"/>
      <c r="B1400" s="39" t="n"/>
      <c r="C1400" s="39" t="n"/>
      <c r="D1400" s="38" t="n"/>
      <c r="E1400" s="38" t="n"/>
      <c r="F1400" s="38" t="n"/>
      <c r="G1400" s="37">
        <f>IF(COUNTA(A1400:F1400)=0,"",IF(A1400="EXAMPLE","Example (skipped)",IF(OR(C1400="",E1400="",F1400=""),"✖ Portal, User ID and Password are all needed",IF(AND(A1400="",COUNTIF(Clients!$B$5:$B$1005,B1400)=0),"Not on Clients — will match a portal client by name",IF(AND(C1400="GST",D1400&lt;&gt;"",COUNTIF(Clients!$AN$5:$AN$1005,UPPER(D1400))=0,COUNTIF(Clients!$G$5:$G$1005,"*"&amp;UPPER(D1400)&amp;"*")=0),"GSTIN not on Clients — will be checked in the portal","✔ OK")))))</f>
        <v/>
      </c>
    </row>
    <row r="1401">
      <c r="A1401" s="38" t="n"/>
      <c r="B1401" s="39" t="n"/>
      <c r="C1401" s="39" t="n"/>
      <c r="D1401" s="38" t="n"/>
      <c r="E1401" s="38" t="n"/>
      <c r="F1401" s="38" t="n"/>
      <c r="G1401" s="37">
        <f>IF(COUNTA(A1401:F1401)=0,"",IF(A1401="EXAMPLE","Example (skipped)",IF(OR(C1401="",E1401="",F1401=""),"✖ Portal, User ID and Password are all needed",IF(AND(A1401="",COUNTIF(Clients!$B$5:$B$1005,B1401)=0),"Not on Clients — will match a portal client by name",IF(AND(C1401="GST",D1401&lt;&gt;"",COUNTIF(Clients!$AN$5:$AN$1005,UPPER(D1401))=0,COUNTIF(Clients!$G$5:$G$1005,"*"&amp;UPPER(D1401)&amp;"*")=0),"GSTIN not on Clients — will be checked in the portal","✔ OK")))))</f>
        <v/>
      </c>
    </row>
    <row r="1402">
      <c r="A1402" s="38" t="n"/>
      <c r="B1402" s="39" t="n"/>
      <c r="C1402" s="39" t="n"/>
      <c r="D1402" s="38" t="n"/>
      <c r="E1402" s="38" t="n"/>
      <c r="F1402" s="38" t="n"/>
      <c r="G1402" s="37">
        <f>IF(COUNTA(A1402:F1402)=0,"",IF(A1402="EXAMPLE","Example (skipped)",IF(OR(C1402="",E1402="",F1402=""),"✖ Portal, User ID and Password are all needed",IF(AND(A1402="",COUNTIF(Clients!$B$5:$B$1005,B1402)=0),"Not on Clients — will match a portal client by name",IF(AND(C1402="GST",D1402&lt;&gt;"",COUNTIF(Clients!$AN$5:$AN$1005,UPPER(D1402))=0,COUNTIF(Clients!$G$5:$G$1005,"*"&amp;UPPER(D1402)&amp;"*")=0),"GSTIN not on Clients — will be checked in the portal","✔ OK")))))</f>
        <v/>
      </c>
    </row>
    <row r="1403">
      <c r="A1403" s="38" t="n"/>
      <c r="B1403" s="39" t="n"/>
      <c r="C1403" s="39" t="n"/>
      <c r="D1403" s="38" t="n"/>
      <c r="E1403" s="38" t="n"/>
      <c r="F1403" s="38" t="n"/>
      <c r="G1403" s="37">
        <f>IF(COUNTA(A1403:F1403)=0,"",IF(A1403="EXAMPLE","Example (skipped)",IF(OR(C1403="",E1403="",F1403=""),"✖ Portal, User ID and Password are all needed",IF(AND(A1403="",COUNTIF(Clients!$B$5:$B$1005,B1403)=0),"Not on Clients — will match a portal client by name",IF(AND(C1403="GST",D1403&lt;&gt;"",COUNTIF(Clients!$AN$5:$AN$1005,UPPER(D1403))=0,COUNTIF(Clients!$G$5:$G$1005,"*"&amp;UPPER(D1403)&amp;"*")=0),"GSTIN not on Clients — will be checked in the portal","✔ OK")))))</f>
        <v/>
      </c>
    </row>
    <row r="1404">
      <c r="A1404" s="38" t="n"/>
      <c r="B1404" s="39" t="n"/>
      <c r="C1404" s="39" t="n"/>
      <c r="D1404" s="38" t="n"/>
      <c r="E1404" s="38" t="n"/>
      <c r="F1404" s="38" t="n"/>
      <c r="G1404" s="37">
        <f>IF(COUNTA(A1404:F1404)=0,"",IF(A1404="EXAMPLE","Example (skipped)",IF(OR(C1404="",E1404="",F1404=""),"✖ Portal, User ID and Password are all needed",IF(AND(A1404="",COUNTIF(Clients!$B$5:$B$1005,B1404)=0),"Not on Clients — will match a portal client by name",IF(AND(C1404="GST",D1404&lt;&gt;"",COUNTIF(Clients!$AN$5:$AN$1005,UPPER(D1404))=0,COUNTIF(Clients!$G$5:$G$1005,"*"&amp;UPPER(D1404)&amp;"*")=0),"GSTIN not on Clients — will be checked in the portal","✔ OK")))))</f>
        <v/>
      </c>
    </row>
    <row r="1405">
      <c r="A1405" s="38" t="n"/>
      <c r="B1405" s="39" t="n"/>
      <c r="C1405" s="39" t="n"/>
      <c r="D1405" s="38" t="n"/>
      <c r="E1405" s="38" t="n"/>
      <c r="F1405" s="38" t="n"/>
      <c r="G1405" s="37">
        <f>IF(COUNTA(A1405:F1405)=0,"",IF(A1405="EXAMPLE","Example (skipped)",IF(OR(C1405="",E1405="",F1405=""),"✖ Portal, User ID and Password are all needed",IF(AND(A1405="",COUNTIF(Clients!$B$5:$B$1005,B1405)=0),"Not on Clients — will match a portal client by name",IF(AND(C1405="GST",D1405&lt;&gt;"",COUNTIF(Clients!$AN$5:$AN$1005,UPPER(D1405))=0,COUNTIF(Clients!$G$5:$G$1005,"*"&amp;UPPER(D1405)&amp;"*")=0),"GSTIN not on Clients — will be checked in the portal","✔ OK")))))</f>
        <v/>
      </c>
    </row>
    <row r="1406">
      <c r="A1406" s="38" t="n"/>
      <c r="B1406" s="39" t="n"/>
      <c r="C1406" s="39" t="n"/>
      <c r="D1406" s="38" t="n"/>
      <c r="E1406" s="38" t="n"/>
      <c r="F1406" s="38" t="n"/>
      <c r="G1406" s="37">
        <f>IF(COUNTA(A1406:F1406)=0,"",IF(A1406="EXAMPLE","Example (skipped)",IF(OR(C1406="",E1406="",F1406=""),"✖ Portal, User ID and Password are all needed",IF(AND(A1406="",COUNTIF(Clients!$B$5:$B$1005,B1406)=0),"Not on Clients — will match a portal client by name",IF(AND(C1406="GST",D1406&lt;&gt;"",COUNTIF(Clients!$AN$5:$AN$1005,UPPER(D1406))=0,COUNTIF(Clients!$G$5:$G$1005,"*"&amp;UPPER(D1406)&amp;"*")=0),"GSTIN not on Clients — will be checked in the portal","✔ OK")))))</f>
        <v/>
      </c>
    </row>
    <row r="1407">
      <c r="A1407" s="38" t="n"/>
      <c r="B1407" s="39" t="n"/>
      <c r="C1407" s="39" t="n"/>
      <c r="D1407" s="38" t="n"/>
      <c r="E1407" s="38" t="n"/>
      <c r="F1407" s="38" t="n"/>
      <c r="G1407" s="37">
        <f>IF(COUNTA(A1407:F1407)=0,"",IF(A1407="EXAMPLE","Example (skipped)",IF(OR(C1407="",E1407="",F1407=""),"✖ Portal, User ID and Password are all needed",IF(AND(A1407="",COUNTIF(Clients!$B$5:$B$1005,B1407)=0),"Not on Clients — will match a portal client by name",IF(AND(C1407="GST",D1407&lt;&gt;"",COUNTIF(Clients!$AN$5:$AN$1005,UPPER(D1407))=0,COUNTIF(Clients!$G$5:$G$1005,"*"&amp;UPPER(D1407)&amp;"*")=0),"GSTIN not on Clients — will be checked in the portal","✔ OK")))))</f>
        <v/>
      </c>
    </row>
    <row r="1408">
      <c r="A1408" s="38" t="n"/>
      <c r="B1408" s="39" t="n"/>
      <c r="C1408" s="39" t="n"/>
      <c r="D1408" s="38" t="n"/>
      <c r="E1408" s="38" t="n"/>
      <c r="F1408" s="38" t="n"/>
      <c r="G1408" s="37">
        <f>IF(COUNTA(A1408:F1408)=0,"",IF(A1408="EXAMPLE","Example (skipped)",IF(OR(C1408="",E1408="",F1408=""),"✖ Portal, User ID and Password are all needed",IF(AND(A1408="",COUNTIF(Clients!$B$5:$B$1005,B1408)=0),"Not on Clients — will match a portal client by name",IF(AND(C1408="GST",D1408&lt;&gt;"",COUNTIF(Clients!$AN$5:$AN$1005,UPPER(D1408))=0,COUNTIF(Clients!$G$5:$G$1005,"*"&amp;UPPER(D1408)&amp;"*")=0),"GSTIN not on Clients — will be checked in the portal","✔ OK")))))</f>
        <v/>
      </c>
    </row>
    <row r="1409">
      <c r="A1409" s="38" t="n"/>
      <c r="B1409" s="39" t="n"/>
      <c r="C1409" s="39" t="n"/>
      <c r="D1409" s="38" t="n"/>
      <c r="E1409" s="38" t="n"/>
      <c r="F1409" s="38" t="n"/>
      <c r="G1409" s="37">
        <f>IF(COUNTA(A1409:F1409)=0,"",IF(A1409="EXAMPLE","Example (skipped)",IF(OR(C1409="",E1409="",F1409=""),"✖ Portal, User ID and Password are all needed",IF(AND(A1409="",COUNTIF(Clients!$B$5:$B$1005,B1409)=0),"Not on Clients — will match a portal client by name",IF(AND(C1409="GST",D1409&lt;&gt;"",COUNTIF(Clients!$AN$5:$AN$1005,UPPER(D1409))=0,COUNTIF(Clients!$G$5:$G$1005,"*"&amp;UPPER(D1409)&amp;"*")=0),"GSTIN not on Clients — will be checked in the portal","✔ OK")))))</f>
        <v/>
      </c>
    </row>
    <row r="1410">
      <c r="A1410" s="38" t="n"/>
      <c r="B1410" s="39" t="n"/>
      <c r="C1410" s="39" t="n"/>
      <c r="D1410" s="38" t="n"/>
      <c r="E1410" s="38" t="n"/>
      <c r="F1410" s="38" t="n"/>
      <c r="G1410" s="37">
        <f>IF(COUNTA(A1410:F1410)=0,"",IF(A1410="EXAMPLE","Example (skipped)",IF(OR(C1410="",E1410="",F1410=""),"✖ Portal, User ID and Password are all needed",IF(AND(A1410="",COUNTIF(Clients!$B$5:$B$1005,B1410)=0),"Not on Clients — will match a portal client by name",IF(AND(C1410="GST",D1410&lt;&gt;"",COUNTIF(Clients!$AN$5:$AN$1005,UPPER(D1410))=0,COUNTIF(Clients!$G$5:$G$1005,"*"&amp;UPPER(D1410)&amp;"*")=0),"GSTIN not on Clients — will be checked in the portal","✔ OK")))))</f>
        <v/>
      </c>
    </row>
    <row r="1411">
      <c r="A1411" s="38" t="n"/>
      <c r="B1411" s="39" t="n"/>
      <c r="C1411" s="39" t="n"/>
      <c r="D1411" s="38" t="n"/>
      <c r="E1411" s="38" t="n"/>
      <c r="F1411" s="38" t="n"/>
      <c r="G1411" s="37">
        <f>IF(COUNTA(A1411:F1411)=0,"",IF(A1411="EXAMPLE","Example (skipped)",IF(OR(C1411="",E1411="",F1411=""),"✖ Portal, User ID and Password are all needed",IF(AND(A1411="",COUNTIF(Clients!$B$5:$B$1005,B1411)=0),"Not on Clients — will match a portal client by name",IF(AND(C1411="GST",D1411&lt;&gt;"",COUNTIF(Clients!$AN$5:$AN$1005,UPPER(D1411))=0,COUNTIF(Clients!$G$5:$G$1005,"*"&amp;UPPER(D1411)&amp;"*")=0),"GSTIN not on Clients — will be checked in the portal","✔ OK")))))</f>
        <v/>
      </c>
    </row>
    <row r="1412">
      <c r="A1412" s="38" t="n"/>
      <c r="B1412" s="39" t="n"/>
      <c r="C1412" s="39" t="n"/>
      <c r="D1412" s="38" t="n"/>
      <c r="E1412" s="38" t="n"/>
      <c r="F1412" s="38" t="n"/>
      <c r="G1412" s="37">
        <f>IF(COUNTA(A1412:F1412)=0,"",IF(A1412="EXAMPLE","Example (skipped)",IF(OR(C1412="",E1412="",F1412=""),"✖ Portal, User ID and Password are all needed",IF(AND(A1412="",COUNTIF(Clients!$B$5:$B$1005,B1412)=0),"Not on Clients — will match a portal client by name",IF(AND(C1412="GST",D1412&lt;&gt;"",COUNTIF(Clients!$AN$5:$AN$1005,UPPER(D1412))=0,COUNTIF(Clients!$G$5:$G$1005,"*"&amp;UPPER(D1412)&amp;"*")=0),"GSTIN not on Clients — will be checked in the portal","✔ OK")))))</f>
        <v/>
      </c>
    </row>
    <row r="1413">
      <c r="A1413" s="38" t="n"/>
      <c r="B1413" s="39" t="n"/>
      <c r="C1413" s="39" t="n"/>
      <c r="D1413" s="38" t="n"/>
      <c r="E1413" s="38" t="n"/>
      <c r="F1413" s="38" t="n"/>
      <c r="G1413" s="37">
        <f>IF(COUNTA(A1413:F1413)=0,"",IF(A1413="EXAMPLE","Example (skipped)",IF(OR(C1413="",E1413="",F1413=""),"✖ Portal, User ID and Password are all needed",IF(AND(A1413="",COUNTIF(Clients!$B$5:$B$1005,B1413)=0),"Not on Clients — will match a portal client by name",IF(AND(C1413="GST",D1413&lt;&gt;"",COUNTIF(Clients!$AN$5:$AN$1005,UPPER(D1413))=0,COUNTIF(Clients!$G$5:$G$1005,"*"&amp;UPPER(D1413)&amp;"*")=0),"GSTIN not on Clients — will be checked in the portal","✔ OK")))))</f>
        <v/>
      </c>
    </row>
    <row r="1414">
      <c r="A1414" s="38" t="n"/>
      <c r="B1414" s="39" t="n"/>
      <c r="C1414" s="39" t="n"/>
      <c r="D1414" s="38" t="n"/>
      <c r="E1414" s="38" t="n"/>
      <c r="F1414" s="38" t="n"/>
      <c r="G1414" s="37">
        <f>IF(COUNTA(A1414:F1414)=0,"",IF(A1414="EXAMPLE","Example (skipped)",IF(OR(C1414="",E1414="",F1414=""),"✖ Portal, User ID and Password are all needed",IF(AND(A1414="",COUNTIF(Clients!$B$5:$B$1005,B1414)=0),"Not on Clients — will match a portal client by name",IF(AND(C1414="GST",D1414&lt;&gt;"",COUNTIF(Clients!$AN$5:$AN$1005,UPPER(D1414))=0,COUNTIF(Clients!$G$5:$G$1005,"*"&amp;UPPER(D1414)&amp;"*")=0),"GSTIN not on Clients — will be checked in the portal","✔ OK")))))</f>
        <v/>
      </c>
    </row>
    <row r="1415">
      <c r="A1415" s="38" t="n"/>
      <c r="B1415" s="39" t="n"/>
      <c r="C1415" s="39" t="n"/>
      <c r="D1415" s="38" t="n"/>
      <c r="E1415" s="38" t="n"/>
      <c r="F1415" s="38" t="n"/>
      <c r="G1415" s="37">
        <f>IF(COUNTA(A1415:F1415)=0,"",IF(A1415="EXAMPLE","Example (skipped)",IF(OR(C1415="",E1415="",F1415=""),"✖ Portal, User ID and Password are all needed",IF(AND(A1415="",COUNTIF(Clients!$B$5:$B$1005,B1415)=0),"Not on Clients — will match a portal client by name",IF(AND(C1415="GST",D1415&lt;&gt;"",COUNTIF(Clients!$AN$5:$AN$1005,UPPER(D1415))=0,COUNTIF(Clients!$G$5:$G$1005,"*"&amp;UPPER(D1415)&amp;"*")=0),"GSTIN not on Clients — will be checked in the portal","✔ OK")))))</f>
        <v/>
      </c>
    </row>
    <row r="1416">
      <c r="A1416" s="38" t="n"/>
      <c r="B1416" s="39" t="n"/>
      <c r="C1416" s="39" t="n"/>
      <c r="D1416" s="38" t="n"/>
      <c r="E1416" s="38" t="n"/>
      <c r="F1416" s="38" t="n"/>
      <c r="G1416" s="37">
        <f>IF(COUNTA(A1416:F1416)=0,"",IF(A1416="EXAMPLE","Example (skipped)",IF(OR(C1416="",E1416="",F1416=""),"✖ Portal, User ID and Password are all needed",IF(AND(A1416="",COUNTIF(Clients!$B$5:$B$1005,B1416)=0),"Not on Clients — will match a portal client by name",IF(AND(C1416="GST",D1416&lt;&gt;"",COUNTIF(Clients!$AN$5:$AN$1005,UPPER(D1416))=0,COUNTIF(Clients!$G$5:$G$1005,"*"&amp;UPPER(D1416)&amp;"*")=0),"GSTIN not on Clients — will be checked in the portal","✔ OK")))))</f>
        <v/>
      </c>
    </row>
    <row r="1417">
      <c r="A1417" s="38" t="n"/>
      <c r="B1417" s="39" t="n"/>
      <c r="C1417" s="39" t="n"/>
      <c r="D1417" s="38" t="n"/>
      <c r="E1417" s="38" t="n"/>
      <c r="F1417" s="38" t="n"/>
      <c r="G1417" s="37">
        <f>IF(COUNTA(A1417:F1417)=0,"",IF(A1417="EXAMPLE","Example (skipped)",IF(OR(C1417="",E1417="",F1417=""),"✖ Portal, User ID and Password are all needed",IF(AND(A1417="",COUNTIF(Clients!$B$5:$B$1005,B1417)=0),"Not on Clients — will match a portal client by name",IF(AND(C1417="GST",D1417&lt;&gt;"",COUNTIF(Clients!$AN$5:$AN$1005,UPPER(D1417))=0,COUNTIF(Clients!$G$5:$G$1005,"*"&amp;UPPER(D1417)&amp;"*")=0),"GSTIN not on Clients — will be checked in the portal","✔ OK")))))</f>
        <v/>
      </c>
    </row>
    <row r="1418">
      <c r="A1418" s="38" t="n"/>
      <c r="B1418" s="39" t="n"/>
      <c r="C1418" s="39" t="n"/>
      <c r="D1418" s="38" t="n"/>
      <c r="E1418" s="38" t="n"/>
      <c r="F1418" s="38" t="n"/>
      <c r="G1418" s="37">
        <f>IF(COUNTA(A1418:F1418)=0,"",IF(A1418="EXAMPLE","Example (skipped)",IF(OR(C1418="",E1418="",F1418=""),"✖ Portal, User ID and Password are all needed",IF(AND(A1418="",COUNTIF(Clients!$B$5:$B$1005,B1418)=0),"Not on Clients — will match a portal client by name",IF(AND(C1418="GST",D1418&lt;&gt;"",COUNTIF(Clients!$AN$5:$AN$1005,UPPER(D1418))=0,COUNTIF(Clients!$G$5:$G$1005,"*"&amp;UPPER(D1418)&amp;"*")=0),"GSTIN not on Clients — will be checked in the portal","✔ OK")))))</f>
        <v/>
      </c>
    </row>
    <row r="1419">
      <c r="A1419" s="38" t="n"/>
      <c r="B1419" s="39" t="n"/>
      <c r="C1419" s="39" t="n"/>
      <c r="D1419" s="38" t="n"/>
      <c r="E1419" s="38" t="n"/>
      <c r="F1419" s="38" t="n"/>
      <c r="G1419" s="37">
        <f>IF(COUNTA(A1419:F1419)=0,"",IF(A1419="EXAMPLE","Example (skipped)",IF(OR(C1419="",E1419="",F1419=""),"✖ Portal, User ID and Password are all needed",IF(AND(A1419="",COUNTIF(Clients!$B$5:$B$1005,B1419)=0),"Not on Clients — will match a portal client by name",IF(AND(C1419="GST",D1419&lt;&gt;"",COUNTIF(Clients!$AN$5:$AN$1005,UPPER(D1419))=0,COUNTIF(Clients!$G$5:$G$1005,"*"&amp;UPPER(D1419)&amp;"*")=0),"GSTIN not on Clients — will be checked in the portal","✔ OK")))))</f>
        <v/>
      </c>
    </row>
    <row r="1420">
      <c r="A1420" s="38" t="n"/>
      <c r="B1420" s="39" t="n"/>
      <c r="C1420" s="39" t="n"/>
      <c r="D1420" s="38" t="n"/>
      <c r="E1420" s="38" t="n"/>
      <c r="F1420" s="38" t="n"/>
      <c r="G1420" s="37">
        <f>IF(COUNTA(A1420:F1420)=0,"",IF(A1420="EXAMPLE","Example (skipped)",IF(OR(C1420="",E1420="",F1420=""),"✖ Portal, User ID and Password are all needed",IF(AND(A1420="",COUNTIF(Clients!$B$5:$B$1005,B1420)=0),"Not on Clients — will match a portal client by name",IF(AND(C1420="GST",D1420&lt;&gt;"",COUNTIF(Clients!$AN$5:$AN$1005,UPPER(D1420))=0,COUNTIF(Clients!$G$5:$G$1005,"*"&amp;UPPER(D1420)&amp;"*")=0),"GSTIN not on Clients — will be checked in the portal","✔ OK")))))</f>
        <v/>
      </c>
    </row>
    <row r="1421">
      <c r="A1421" s="38" t="n"/>
      <c r="B1421" s="39" t="n"/>
      <c r="C1421" s="39" t="n"/>
      <c r="D1421" s="38" t="n"/>
      <c r="E1421" s="38" t="n"/>
      <c r="F1421" s="38" t="n"/>
      <c r="G1421" s="37">
        <f>IF(COUNTA(A1421:F1421)=0,"",IF(A1421="EXAMPLE","Example (skipped)",IF(OR(C1421="",E1421="",F1421=""),"✖ Portal, User ID and Password are all needed",IF(AND(A1421="",COUNTIF(Clients!$B$5:$B$1005,B1421)=0),"Not on Clients — will match a portal client by name",IF(AND(C1421="GST",D1421&lt;&gt;"",COUNTIF(Clients!$AN$5:$AN$1005,UPPER(D1421))=0,COUNTIF(Clients!$G$5:$G$1005,"*"&amp;UPPER(D1421)&amp;"*")=0),"GSTIN not on Clients — will be checked in the portal","✔ OK")))))</f>
        <v/>
      </c>
    </row>
    <row r="1422">
      <c r="A1422" s="38" t="n"/>
      <c r="B1422" s="39" t="n"/>
      <c r="C1422" s="39" t="n"/>
      <c r="D1422" s="38" t="n"/>
      <c r="E1422" s="38" t="n"/>
      <c r="F1422" s="38" t="n"/>
      <c r="G1422" s="37">
        <f>IF(COUNTA(A1422:F1422)=0,"",IF(A1422="EXAMPLE","Example (skipped)",IF(OR(C1422="",E1422="",F1422=""),"✖ Portal, User ID and Password are all needed",IF(AND(A1422="",COUNTIF(Clients!$B$5:$B$1005,B1422)=0),"Not on Clients — will match a portal client by name",IF(AND(C1422="GST",D1422&lt;&gt;"",COUNTIF(Clients!$AN$5:$AN$1005,UPPER(D1422))=0,COUNTIF(Clients!$G$5:$G$1005,"*"&amp;UPPER(D1422)&amp;"*")=0),"GSTIN not on Clients — will be checked in the portal","✔ OK")))))</f>
        <v/>
      </c>
    </row>
    <row r="1423">
      <c r="A1423" s="38" t="n"/>
      <c r="B1423" s="39" t="n"/>
      <c r="C1423" s="39" t="n"/>
      <c r="D1423" s="38" t="n"/>
      <c r="E1423" s="38" t="n"/>
      <c r="F1423" s="38" t="n"/>
      <c r="G1423" s="37">
        <f>IF(COUNTA(A1423:F1423)=0,"",IF(A1423="EXAMPLE","Example (skipped)",IF(OR(C1423="",E1423="",F1423=""),"✖ Portal, User ID and Password are all needed",IF(AND(A1423="",COUNTIF(Clients!$B$5:$B$1005,B1423)=0),"Not on Clients — will match a portal client by name",IF(AND(C1423="GST",D1423&lt;&gt;"",COUNTIF(Clients!$AN$5:$AN$1005,UPPER(D1423))=0,COUNTIF(Clients!$G$5:$G$1005,"*"&amp;UPPER(D1423)&amp;"*")=0),"GSTIN not on Clients — will be checked in the portal","✔ OK")))))</f>
        <v/>
      </c>
    </row>
    <row r="1424">
      <c r="A1424" s="38" t="n"/>
      <c r="B1424" s="39" t="n"/>
      <c r="C1424" s="39" t="n"/>
      <c r="D1424" s="38" t="n"/>
      <c r="E1424" s="38" t="n"/>
      <c r="F1424" s="38" t="n"/>
      <c r="G1424" s="37">
        <f>IF(COUNTA(A1424:F1424)=0,"",IF(A1424="EXAMPLE","Example (skipped)",IF(OR(C1424="",E1424="",F1424=""),"✖ Portal, User ID and Password are all needed",IF(AND(A1424="",COUNTIF(Clients!$B$5:$B$1005,B1424)=0),"Not on Clients — will match a portal client by name",IF(AND(C1424="GST",D1424&lt;&gt;"",COUNTIF(Clients!$AN$5:$AN$1005,UPPER(D1424))=0,COUNTIF(Clients!$G$5:$G$1005,"*"&amp;UPPER(D1424)&amp;"*")=0),"GSTIN not on Clients — will be checked in the portal","✔ OK")))))</f>
        <v/>
      </c>
    </row>
    <row r="1425">
      <c r="A1425" s="38" t="n"/>
      <c r="B1425" s="39" t="n"/>
      <c r="C1425" s="39" t="n"/>
      <c r="D1425" s="38" t="n"/>
      <c r="E1425" s="38" t="n"/>
      <c r="F1425" s="38" t="n"/>
      <c r="G1425" s="37">
        <f>IF(COUNTA(A1425:F1425)=0,"",IF(A1425="EXAMPLE","Example (skipped)",IF(OR(C1425="",E1425="",F1425=""),"✖ Portal, User ID and Password are all needed",IF(AND(A1425="",COUNTIF(Clients!$B$5:$B$1005,B1425)=0),"Not on Clients — will match a portal client by name",IF(AND(C1425="GST",D1425&lt;&gt;"",COUNTIF(Clients!$AN$5:$AN$1005,UPPER(D1425))=0,COUNTIF(Clients!$G$5:$G$1005,"*"&amp;UPPER(D1425)&amp;"*")=0),"GSTIN not on Clients — will be checked in the portal","✔ OK")))))</f>
        <v/>
      </c>
    </row>
    <row r="1426">
      <c r="A1426" s="38" t="n"/>
      <c r="B1426" s="39" t="n"/>
      <c r="C1426" s="39" t="n"/>
      <c r="D1426" s="38" t="n"/>
      <c r="E1426" s="38" t="n"/>
      <c r="F1426" s="38" t="n"/>
      <c r="G1426" s="37">
        <f>IF(COUNTA(A1426:F1426)=0,"",IF(A1426="EXAMPLE","Example (skipped)",IF(OR(C1426="",E1426="",F1426=""),"✖ Portal, User ID and Password are all needed",IF(AND(A1426="",COUNTIF(Clients!$B$5:$B$1005,B1426)=0),"Not on Clients — will match a portal client by name",IF(AND(C1426="GST",D1426&lt;&gt;"",COUNTIF(Clients!$AN$5:$AN$1005,UPPER(D1426))=0,COUNTIF(Clients!$G$5:$G$1005,"*"&amp;UPPER(D1426)&amp;"*")=0),"GSTIN not on Clients — will be checked in the portal","✔ OK")))))</f>
        <v/>
      </c>
    </row>
    <row r="1427">
      <c r="A1427" s="38" t="n"/>
      <c r="B1427" s="39" t="n"/>
      <c r="C1427" s="39" t="n"/>
      <c r="D1427" s="38" t="n"/>
      <c r="E1427" s="38" t="n"/>
      <c r="F1427" s="38" t="n"/>
      <c r="G1427" s="37">
        <f>IF(COUNTA(A1427:F1427)=0,"",IF(A1427="EXAMPLE","Example (skipped)",IF(OR(C1427="",E1427="",F1427=""),"✖ Portal, User ID and Password are all needed",IF(AND(A1427="",COUNTIF(Clients!$B$5:$B$1005,B1427)=0),"Not on Clients — will match a portal client by name",IF(AND(C1427="GST",D1427&lt;&gt;"",COUNTIF(Clients!$AN$5:$AN$1005,UPPER(D1427))=0,COUNTIF(Clients!$G$5:$G$1005,"*"&amp;UPPER(D1427)&amp;"*")=0),"GSTIN not on Clients — will be checked in the portal","✔ OK")))))</f>
        <v/>
      </c>
    </row>
    <row r="1428">
      <c r="A1428" s="38" t="n"/>
      <c r="B1428" s="39" t="n"/>
      <c r="C1428" s="39" t="n"/>
      <c r="D1428" s="38" t="n"/>
      <c r="E1428" s="38" t="n"/>
      <c r="F1428" s="38" t="n"/>
      <c r="G1428" s="37">
        <f>IF(COUNTA(A1428:F1428)=0,"",IF(A1428="EXAMPLE","Example (skipped)",IF(OR(C1428="",E1428="",F1428=""),"✖ Portal, User ID and Password are all needed",IF(AND(A1428="",COUNTIF(Clients!$B$5:$B$1005,B1428)=0),"Not on Clients — will match a portal client by name",IF(AND(C1428="GST",D1428&lt;&gt;"",COUNTIF(Clients!$AN$5:$AN$1005,UPPER(D1428))=0,COUNTIF(Clients!$G$5:$G$1005,"*"&amp;UPPER(D1428)&amp;"*")=0),"GSTIN not on Clients — will be checked in the portal","✔ OK")))))</f>
        <v/>
      </c>
    </row>
    <row r="1429">
      <c r="A1429" s="38" t="n"/>
      <c r="B1429" s="39" t="n"/>
      <c r="C1429" s="39" t="n"/>
      <c r="D1429" s="38" t="n"/>
      <c r="E1429" s="38" t="n"/>
      <c r="F1429" s="38" t="n"/>
      <c r="G1429" s="37">
        <f>IF(COUNTA(A1429:F1429)=0,"",IF(A1429="EXAMPLE","Example (skipped)",IF(OR(C1429="",E1429="",F1429=""),"✖ Portal, User ID and Password are all needed",IF(AND(A1429="",COUNTIF(Clients!$B$5:$B$1005,B1429)=0),"Not on Clients — will match a portal client by name",IF(AND(C1429="GST",D1429&lt;&gt;"",COUNTIF(Clients!$AN$5:$AN$1005,UPPER(D1429))=0,COUNTIF(Clients!$G$5:$G$1005,"*"&amp;UPPER(D1429)&amp;"*")=0),"GSTIN not on Clients — will be checked in the portal","✔ OK")))))</f>
        <v/>
      </c>
    </row>
    <row r="1430">
      <c r="A1430" s="38" t="n"/>
      <c r="B1430" s="39" t="n"/>
      <c r="C1430" s="39" t="n"/>
      <c r="D1430" s="38" t="n"/>
      <c r="E1430" s="38" t="n"/>
      <c r="F1430" s="38" t="n"/>
      <c r="G1430" s="37">
        <f>IF(COUNTA(A1430:F1430)=0,"",IF(A1430="EXAMPLE","Example (skipped)",IF(OR(C1430="",E1430="",F1430=""),"✖ Portal, User ID and Password are all needed",IF(AND(A1430="",COUNTIF(Clients!$B$5:$B$1005,B1430)=0),"Not on Clients — will match a portal client by name",IF(AND(C1430="GST",D1430&lt;&gt;"",COUNTIF(Clients!$AN$5:$AN$1005,UPPER(D1430))=0,COUNTIF(Clients!$G$5:$G$1005,"*"&amp;UPPER(D1430)&amp;"*")=0),"GSTIN not on Clients — will be checked in the portal","✔ OK")))))</f>
        <v/>
      </c>
    </row>
    <row r="1431">
      <c r="A1431" s="38" t="n"/>
      <c r="B1431" s="39" t="n"/>
      <c r="C1431" s="39" t="n"/>
      <c r="D1431" s="38" t="n"/>
      <c r="E1431" s="38" t="n"/>
      <c r="F1431" s="38" t="n"/>
      <c r="G1431" s="37">
        <f>IF(COUNTA(A1431:F1431)=0,"",IF(A1431="EXAMPLE","Example (skipped)",IF(OR(C1431="",E1431="",F1431=""),"✖ Portal, User ID and Password are all needed",IF(AND(A1431="",COUNTIF(Clients!$B$5:$B$1005,B1431)=0),"Not on Clients — will match a portal client by name",IF(AND(C1431="GST",D1431&lt;&gt;"",COUNTIF(Clients!$AN$5:$AN$1005,UPPER(D1431))=0,COUNTIF(Clients!$G$5:$G$1005,"*"&amp;UPPER(D1431)&amp;"*")=0),"GSTIN not on Clients — will be checked in the portal","✔ OK")))))</f>
        <v/>
      </c>
    </row>
    <row r="1432">
      <c r="A1432" s="38" t="n"/>
      <c r="B1432" s="39" t="n"/>
      <c r="C1432" s="39" t="n"/>
      <c r="D1432" s="38" t="n"/>
      <c r="E1432" s="38" t="n"/>
      <c r="F1432" s="38" t="n"/>
      <c r="G1432" s="37">
        <f>IF(COUNTA(A1432:F1432)=0,"",IF(A1432="EXAMPLE","Example (skipped)",IF(OR(C1432="",E1432="",F1432=""),"✖ Portal, User ID and Password are all needed",IF(AND(A1432="",COUNTIF(Clients!$B$5:$B$1005,B1432)=0),"Not on Clients — will match a portal client by name",IF(AND(C1432="GST",D1432&lt;&gt;"",COUNTIF(Clients!$AN$5:$AN$1005,UPPER(D1432))=0,COUNTIF(Clients!$G$5:$G$1005,"*"&amp;UPPER(D1432)&amp;"*")=0),"GSTIN not on Clients — will be checked in the portal","✔ OK")))))</f>
        <v/>
      </c>
    </row>
    <row r="1433">
      <c r="A1433" s="38" t="n"/>
      <c r="B1433" s="39" t="n"/>
      <c r="C1433" s="39" t="n"/>
      <c r="D1433" s="38" t="n"/>
      <c r="E1433" s="38" t="n"/>
      <c r="F1433" s="38" t="n"/>
      <c r="G1433" s="37">
        <f>IF(COUNTA(A1433:F1433)=0,"",IF(A1433="EXAMPLE","Example (skipped)",IF(OR(C1433="",E1433="",F1433=""),"✖ Portal, User ID and Password are all needed",IF(AND(A1433="",COUNTIF(Clients!$B$5:$B$1005,B1433)=0),"Not on Clients — will match a portal client by name",IF(AND(C1433="GST",D1433&lt;&gt;"",COUNTIF(Clients!$AN$5:$AN$1005,UPPER(D1433))=0,COUNTIF(Clients!$G$5:$G$1005,"*"&amp;UPPER(D1433)&amp;"*")=0),"GSTIN not on Clients — will be checked in the portal","✔ OK")))))</f>
        <v/>
      </c>
    </row>
    <row r="1434">
      <c r="A1434" s="38" t="n"/>
      <c r="B1434" s="39" t="n"/>
      <c r="C1434" s="39" t="n"/>
      <c r="D1434" s="38" t="n"/>
      <c r="E1434" s="38" t="n"/>
      <c r="F1434" s="38" t="n"/>
      <c r="G1434" s="37">
        <f>IF(COUNTA(A1434:F1434)=0,"",IF(A1434="EXAMPLE","Example (skipped)",IF(OR(C1434="",E1434="",F1434=""),"✖ Portal, User ID and Password are all needed",IF(AND(A1434="",COUNTIF(Clients!$B$5:$B$1005,B1434)=0),"Not on Clients — will match a portal client by name",IF(AND(C1434="GST",D1434&lt;&gt;"",COUNTIF(Clients!$AN$5:$AN$1005,UPPER(D1434))=0,COUNTIF(Clients!$G$5:$G$1005,"*"&amp;UPPER(D1434)&amp;"*")=0),"GSTIN not on Clients — will be checked in the portal","✔ OK")))))</f>
        <v/>
      </c>
    </row>
    <row r="1435">
      <c r="A1435" s="38" t="n"/>
      <c r="B1435" s="39" t="n"/>
      <c r="C1435" s="39" t="n"/>
      <c r="D1435" s="38" t="n"/>
      <c r="E1435" s="38" t="n"/>
      <c r="F1435" s="38" t="n"/>
      <c r="G1435" s="37">
        <f>IF(COUNTA(A1435:F1435)=0,"",IF(A1435="EXAMPLE","Example (skipped)",IF(OR(C1435="",E1435="",F1435=""),"✖ Portal, User ID and Password are all needed",IF(AND(A1435="",COUNTIF(Clients!$B$5:$B$1005,B1435)=0),"Not on Clients — will match a portal client by name",IF(AND(C1435="GST",D1435&lt;&gt;"",COUNTIF(Clients!$AN$5:$AN$1005,UPPER(D1435))=0,COUNTIF(Clients!$G$5:$G$1005,"*"&amp;UPPER(D1435)&amp;"*")=0),"GSTIN not on Clients — will be checked in the portal","✔ OK")))))</f>
        <v/>
      </c>
    </row>
    <row r="1436">
      <c r="A1436" s="38" t="n"/>
      <c r="B1436" s="39" t="n"/>
      <c r="C1436" s="39" t="n"/>
      <c r="D1436" s="38" t="n"/>
      <c r="E1436" s="38" t="n"/>
      <c r="F1436" s="38" t="n"/>
      <c r="G1436" s="37">
        <f>IF(COUNTA(A1436:F1436)=0,"",IF(A1436="EXAMPLE","Example (skipped)",IF(OR(C1436="",E1436="",F1436=""),"✖ Portal, User ID and Password are all needed",IF(AND(A1436="",COUNTIF(Clients!$B$5:$B$1005,B1436)=0),"Not on Clients — will match a portal client by name",IF(AND(C1436="GST",D1436&lt;&gt;"",COUNTIF(Clients!$AN$5:$AN$1005,UPPER(D1436))=0,COUNTIF(Clients!$G$5:$G$1005,"*"&amp;UPPER(D1436)&amp;"*")=0),"GSTIN not on Clients — will be checked in the portal","✔ OK")))))</f>
        <v/>
      </c>
    </row>
    <row r="1437">
      <c r="A1437" s="38" t="n"/>
      <c r="B1437" s="39" t="n"/>
      <c r="C1437" s="39" t="n"/>
      <c r="D1437" s="38" t="n"/>
      <c r="E1437" s="38" t="n"/>
      <c r="F1437" s="38" t="n"/>
      <c r="G1437" s="37">
        <f>IF(COUNTA(A1437:F1437)=0,"",IF(A1437="EXAMPLE","Example (skipped)",IF(OR(C1437="",E1437="",F1437=""),"✖ Portal, User ID and Password are all needed",IF(AND(A1437="",COUNTIF(Clients!$B$5:$B$1005,B1437)=0),"Not on Clients — will match a portal client by name",IF(AND(C1437="GST",D1437&lt;&gt;"",COUNTIF(Clients!$AN$5:$AN$1005,UPPER(D1437))=0,COUNTIF(Clients!$G$5:$G$1005,"*"&amp;UPPER(D1437)&amp;"*")=0),"GSTIN not on Clients — will be checked in the portal","✔ OK")))))</f>
        <v/>
      </c>
    </row>
    <row r="1438">
      <c r="A1438" s="38" t="n"/>
      <c r="B1438" s="39" t="n"/>
      <c r="C1438" s="39" t="n"/>
      <c r="D1438" s="38" t="n"/>
      <c r="E1438" s="38" t="n"/>
      <c r="F1438" s="38" t="n"/>
      <c r="G1438" s="37">
        <f>IF(COUNTA(A1438:F1438)=0,"",IF(A1438="EXAMPLE","Example (skipped)",IF(OR(C1438="",E1438="",F1438=""),"✖ Portal, User ID and Password are all needed",IF(AND(A1438="",COUNTIF(Clients!$B$5:$B$1005,B1438)=0),"Not on Clients — will match a portal client by name",IF(AND(C1438="GST",D1438&lt;&gt;"",COUNTIF(Clients!$AN$5:$AN$1005,UPPER(D1438))=0,COUNTIF(Clients!$G$5:$G$1005,"*"&amp;UPPER(D1438)&amp;"*")=0),"GSTIN not on Clients — will be checked in the portal","✔ OK")))))</f>
        <v/>
      </c>
    </row>
    <row r="1439">
      <c r="A1439" s="38" t="n"/>
      <c r="B1439" s="39" t="n"/>
      <c r="C1439" s="39" t="n"/>
      <c r="D1439" s="38" t="n"/>
      <c r="E1439" s="38" t="n"/>
      <c r="F1439" s="38" t="n"/>
      <c r="G1439" s="37">
        <f>IF(COUNTA(A1439:F1439)=0,"",IF(A1439="EXAMPLE","Example (skipped)",IF(OR(C1439="",E1439="",F1439=""),"✖ Portal, User ID and Password are all needed",IF(AND(A1439="",COUNTIF(Clients!$B$5:$B$1005,B1439)=0),"Not on Clients — will match a portal client by name",IF(AND(C1439="GST",D1439&lt;&gt;"",COUNTIF(Clients!$AN$5:$AN$1005,UPPER(D1439))=0,COUNTIF(Clients!$G$5:$G$1005,"*"&amp;UPPER(D1439)&amp;"*")=0),"GSTIN not on Clients — will be checked in the portal","✔ OK")))))</f>
        <v/>
      </c>
    </row>
    <row r="1440">
      <c r="A1440" s="38" t="n"/>
      <c r="B1440" s="39" t="n"/>
      <c r="C1440" s="39" t="n"/>
      <c r="D1440" s="38" t="n"/>
      <c r="E1440" s="38" t="n"/>
      <c r="F1440" s="38" t="n"/>
      <c r="G1440" s="37">
        <f>IF(COUNTA(A1440:F1440)=0,"",IF(A1440="EXAMPLE","Example (skipped)",IF(OR(C1440="",E1440="",F1440=""),"✖ Portal, User ID and Password are all needed",IF(AND(A1440="",COUNTIF(Clients!$B$5:$B$1005,B1440)=0),"Not on Clients — will match a portal client by name",IF(AND(C1440="GST",D1440&lt;&gt;"",COUNTIF(Clients!$AN$5:$AN$1005,UPPER(D1440))=0,COUNTIF(Clients!$G$5:$G$1005,"*"&amp;UPPER(D1440)&amp;"*")=0),"GSTIN not on Clients — will be checked in the portal","✔ OK")))))</f>
        <v/>
      </c>
    </row>
    <row r="1441">
      <c r="A1441" s="38" t="n"/>
      <c r="B1441" s="39" t="n"/>
      <c r="C1441" s="39" t="n"/>
      <c r="D1441" s="38" t="n"/>
      <c r="E1441" s="38" t="n"/>
      <c r="F1441" s="38" t="n"/>
      <c r="G1441" s="37">
        <f>IF(COUNTA(A1441:F1441)=0,"",IF(A1441="EXAMPLE","Example (skipped)",IF(OR(C1441="",E1441="",F1441=""),"✖ Portal, User ID and Password are all needed",IF(AND(A1441="",COUNTIF(Clients!$B$5:$B$1005,B1441)=0),"Not on Clients — will match a portal client by name",IF(AND(C1441="GST",D1441&lt;&gt;"",COUNTIF(Clients!$AN$5:$AN$1005,UPPER(D1441))=0,COUNTIF(Clients!$G$5:$G$1005,"*"&amp;UPPER(D1441)&amp;"*")=0),"GSTIN not on Clients — will be checked in the portal","✔ OK")))))</f>
        <v/>
      </c>
    </row>
    <row r="1442">
      <c r="A1442" s="38" t="n"/>
      <c r="B1442" s="39" t="n"/>
      <c r="C1442" s="39" t="n"/>
      <c r="D1442" s="38" t="n"/>
      <c r="E1442" s="38" t="n"/>
      <c r="F1442" s="38" t="n"/>
      <c r="G1442" s="37">
        <f>IF(COUNTA(A1442:F1442)=0,"",IF(A1442="EXAMPLE","Example (skipped)",IF(OR(C1442="",E1442="",F1442=""),"✖ Portal, User ID and Password are all needed",IF(AND(A1442="",COUNTIF(Clients!$B$5:$B$1005,B1442)=0),"Not on Clients — will match a portal client by name",IF(AND(C1442="GST",D1442&lt;&gt;"",COUNTIF(Clients!$AN$5:$AN$1005,UPPER(D1442))=0,COUNTIF(Clients!$G$5:$G$1005,"*"&amp;UPPER(D1442)&amp;"*")=0),"GSTIN not on Clients — will be checked in the portal","✔ OK")))))</f>
        <v/>
      </c>
    </row>
    <row r="1443">
      <c r="A1443" s="38" t="n"/>
      <c r="B1443" s="39" t="n"/>
      <c r="C1443" s="39" t="n"/>
      <c r="D1443" s="38" t="n"/>
      <c r="E1443" s="38" t="n"/>
      <c r="F1443" s="38" t="n"/>
      <c r="G1443" s="37">
        <f>IF(COUNTA(A1443:F1443)=0,"",IF(A1443="EXAMPLE","Example (skipped)",IF(OR(C1443="",E1443="",F1443=""),"✖ Portal, User ID and Password are all needed",IF(AND(A1443="",COUNTIF(Clients!$B$5:$B$1005,B1443)=0),"Not on Clients — will match a portal client by name",IF(AND(C1443="GST",D1443&lt;&gt;"",COUNTIF(Clients!$AN$5:$AN$1005,UPPER(D1443))=0,COUNTIF(Clients!$G$5:$G$1005,"*"&amp;UPPER(D1443)&amp;"*")=0),"GSTIN not on Clients — will be checked in the portal","✔ OK")))))</f>
        <v/>
      </c>
    </row>
    <row r="1444">
      <c r="A1444" s="38" t="n"/>
      <c r="B1444" s="39" t="n"/>
      <c r="C1444" s="39" t="n"/>
      <c r="D1444" s="38" t="n"/>
      <c r="E1444" s="38" t="n"/>
      <c r="F1444" s="38" t="n"/>
      <c r="G1444" s="37">
        <f>IF(COUNTA(A1444:F1444)=0,"",IF(A1444="EXAMPLE","Example (skipped)",IF(OR(C1444="",E1444="",F1444=""),"✖ Portal, User ID and Password are all needed",IF(AND(A1444="",COUNTIF(Clients!$B$5:$B$1005,B1444)=0),"Not on Clients — will match a portal client by name",IF(AND(C1444="GST",D1444&lt;&gt;"",COUNTIF(Clients!$AN$5:$AN$1005,UPPER(D1444))=0,COUNTIF(Clients!$G$5:$G$1005,"*"&amp;UPPER(D1444)&amp;"*")=0),"GSTIN not on Clients — will be checked in the portal","✔ OK")))))</f>
        <v/>
      </c>
    </row>
    <row r="1445">
      <c r="A1445" s="38" t="n"/>
      <c r="B1445" s="39" t="n"/>
      <c r="C1445" s="39" t="n"/>
      <c r="D1445" s="38" t="n"/>
      <c r="E1445" s="38" t="n"/>
      <c r="F1445" s="38" t="n"/>
      <c r="G1445" s="37">
        <f>IF(COUNTA(A1445:F1445)=0,"",IF(A1445="EXAMPLE","Example (skipped)",IF(OR(C1445="",E1445="",F1445=""),"✖ Portal, User ID and Password are all needed",IF(AND(A1445="",COUNTIF(Clients!$B$5:$B$1005,B1445)=0),"Not on Clients — will match a portal client by name",IF(AND(C1445="GST",D1445&lt;&gt;"",COUNTIF(Clients!$AN$5:$AN$1005,UPPER(D1445))=0,COUNTIF(Clients!$G$5:$G$1005,"*"&amp;UPPER(D1445)&amp;"*")=0),"GSTIN not on Clients — will be checked in the portal","✔ OK")))))</f>
        <v/>
      </c>
    </row>
    <row r="1446">
      <c r="A1446" s="38" t="n"/>
      <c r="B1446" s="39" t="n"/>
      <c r="C1446" s="39" t="n"/>
      <c r="D1446" s="38" t="n"/>
      <c r="E1446" s="38" t="n"/>
      <c r="F1446" s="38" t="n"/>
      <c r="G1446" s="37">
        <f>IF(COUNTA(A1446:F1446)=0,"",IF(A1446="EXAMPLE","Example (skipped)",IF(OR(C1446="",E1446="",F1446=""),"✖ Portal, User ID and Password are all needed",IF(AND(A1446="",COUNTIF(Clients!$B$5:$B$1005,B1446)=0),"Not on Clients — will match a portal client by name",IF(AND(C1446="GST",D1446&lt;&gt;"",COUNTIF(Clients!$AN$5:$AN$1005,UPPER(D1446))=0,COUNTIF(Clients!$G$5:$G$1005,"*"&amp;UPPER(D1446)&amp;"*")=0),"GSTIN not on Clients — will be checked in the portal","✔ OK")))))</f>
        <v/>
      </c>
    </row>
    <row r="1447">
      <c r="A1447" s="38" t="n"/>
      <c r="B1447" s="39" t="n"/>
      <c r="C1447" s="39" t="n"/>
      <c r="D1447" s="38" t="n"/>
      <c r="E1447" s="38" t="n"/>
      <c r="F1447" s="38" t="n"/>
      <c r="G1447" s="37">
        <f>IF(COUNTA(A1447:F1447)=0,"",IF(A1447="EXAMPLE","Example (skipped)",IF(OR(C1447="",E1447="",F1447=""),"✖ Portal, User ID and Password are all needed",IF(AND(A1447="",COUNTIF(Clients!$B$5:$B$1005,B1447)=0),"Not on Clients — will match a portal client by name",IF(AND(C1447="GST",D1447&lt;&gt;"",COUNTIF(Clients!$AN$5:$AN$1005,UPPER(D1447))=0,COUNTIF(Clients!$G$5:$G$1005,"*"&amp;UPPER(D1447)&amp;"*")=0),"GSTIN not on Clients — will be checked in the portal","✔ OK")))))</f>
        <v/>
      </c>
    </row>
    <row r="1448">
      <c r="A1448" s="38" t="n"/>
      <c r="B1448" s="39" t="n"/>
      <c r="C1448" s="39" t="n"/>
      <c r="D1448" s="38" t="n"/>
      <c r="E1448" s="38" t="n"/>
      <c r="F1448" s="38" t="n"/>
      <c r="G1448" s="37">
        <f>IF(COUNTA(A1448:F1448)=0,"",IF(A1448="EXAMPLE","Example (skipped)",IF(OR(C1448="",E1448="",F1448=""),"✖ Portal, User ID and Password are all needed",IF(AND(A1448="",COUNTIF(Clients!$B$5:$B$1005,B1448)=0),"Not on Clients — will match a portal client by name",IF(AND(C1448="GST",D1448&lt;&gt;"",COUNTIF(Clients!$AN$5:$AN$1005,UPPER(D1448))=0,COUNTIF(Clients!$G$5:$G$1005,"*"&amp;UPPER(D1448)&amp;"*")=0),"GSTIN not on Clients — will be checked in the portal","✔ OK")))))</f>
        <v/>
      </c>
    </row>
    <row r="1449">
      <c r="A1449" s="38" t="n"/>
      <c r="B1449" s="39" t="n"/>
      <c r="C1449" s="39" t="n"/>
      <c r="D1449" s="38" t="n"/>
      <c r="E1449" s="38" t="n"/>
      <c r="F1449" s="38" t="n"/>
      <c r="G1449" s="37">
        <f>IF(COUNTA(A1449:F1449)=0,"",IF(A1449="EXAMPLE","Example (skipped)",IF(OR(C1449="",E1449="",F1449=""),"✖ Portal, User ID and Password are all needed",IF(AND(A1449="",COUNTIF(Clients!$B$5:$B$1005,B1449)=0),"Not on Clients — will match a portal client by name",IF(AND(C1449="GST",D1449&lt;&gt;"",COUNTIF(Clients!$AN$5:$AN$1005,UPPER(D1449))=0,COUNTIF(Clients!$G$5:$G$1005,"*"&amp;UPPER(D1449)&amp;"*")=0),"GSTIN not on Clients — will be checked in the portal","✔ OK")))))</f>
        <v/>
      </c>
    </row>
    <row r="1450">
      <c r="A1450" s="38" t="n"/>
      <c r="B1450" s="39" t="n"/>
      <c r="C1450" s="39" t="n"/>
      <c r="D1450" s="38" t="n"/>
      <c r="E1450" s="38" t="n"/>
      <c r="F1450" s="38" t="n"/>
      <c r="G1450" s="37">
        <f>IF(COUNTA(A1450:F1450)=0,"",IF(A1450="EXAMPLE","Example (skipped)",IF(OR(C1450="",E1450="",F1450=""),"✖ Portal, User ID and Password are all needed",IF(AND(A1450="",COUNTIF(Clients!$B$5:$B$1005,B1450)=0),"Not on Clients — will match a portal client by name",IF(AND(C1450="GST",D1450&lt;&gt;"",COUNTIF(Clients!$AN$5:$AN$1005,UPPER(D1450))=0,COUNTIF(Clients!$G$5:$G$1005,"*"&amp;UPPER(D1450)&amp;"*")=0),"GSTIN not on Clients — will be checked in the portal","✔ OK")))))</f>
        <v/>
      </c>
    </row>
    <row r="1451">
      <c r="A1451" s="38" t="n"/>
      <c r="B1451" s="39" t="n"/>
      <c r="C1451" s="39" t="n"/>
      <c r="D1451" s="38" t="n"/>
      <c r="E1451" s="38" t="n"/>
      <c r="F1451" s="38" t="n"/>
      <c r="G1451" s="37">
        <f>IF(COUNTA(A1451:F1451)=0,"",IF(A1451="EXAMPLE","Example (skipped)",IF(OR(C1451="",E1451="",F1451=""),"✖ Portal, User ID and Password are all needed",IF(AND(A1451="",COUNTIF(Clients!$B$5:$B$1005,B1451)=0),"Not on Clients — will match a portal client by name",IF(AND(C1451="GST",D1451&lt;&gt;"",COUNTIF(Clients!$AN$5:$AN$1005,UPPER(D1451))=0,COUNTIF(Clients!$G$5:$G$1005,"*"&amp;UPPER(D1451)&amp;"*")=0),"GSTIN not on Clients — will be checked in the portal","✔ OK")))))</f>
        <v/>
      </c>
    </row>
    <row r="1452">
      <c r="A1452" s="38" t="n"/>
      <c r="B1452" s="39" t="n"/>
      <c r="C1452" s="39" t="n"/>
      <c r="D1452" s="38" t="n"/>
      <c r="E1452" s="38" t="n"/>
      <c r="F1452" s="38" t="n"/>
      <c r="G1452" s="37">
        <f>IF(COUNTA(A1452:F1452)=0,"",IF(A1452="EXAMPLE","Example (skipped)",IF(OR(C1452="",E1452="",F1452=""),"✖ Portal, User ID and Password are all needed",IF(AND(A1452="",COUNTIF(Clients!$B$5:$B$1005,B1452)=0),"Not on Clients — will match a portal client by name",IF(AND(C1452="GST",D1452&lt;&gt;"",COUNTIF(Clients!$AN$5:$AN$1005,UPPER(D1452))=0,COUNTIF(Clients!$G$5:$G$1005,"*"&amp;UPPER(D1452)&amp;"*")=0),"GSTIN not on Clients — will be checked in the portal","✔ OK")))))</f>
        <v/>
      </c>
    </row>
    <row r="1453">
      <c r="A1453" s="38" t="n"/>
      <c r="B1453" s="39" t="n"/>
      <c r="C1453" s="39" t="n"/>
      <c r="D1453" s="38" t="n"/>
      <c r="E1453" s="38" t="n"/>
      <c r="F1453" s="38" t="n"/>
      <c r="G1453" s="37">
        <f>IF(COUNTA(A1453:F1453)=0,"",IF(A1453="EXAMPLE","Example (skipped)",IF(OR(C1453="",E1453="",F1453=""),"✖ Portal, User ID and Password are all needed",IF(AND(A1453="",COUNTIF(Clients!$B$5:$B$1005,B1453)=0),"Not on Clients — will match a portal client by name",IF(AND(C1453="GST",D1453&lt;&gt;"",COUNTIF(Clients!$AN$5:$AN$1005,UPPER(D1453))=0,COUNTIF(Clients!$G$5:$G$1005,"*"&amp;UPPER(D1453)&amp;"*")=0),"GSTIN not on Clients — will be checked in the portal","✔ OK")))))</f>
        <v/>
      </c>
    </row>
    <row r="1454">
      <c r="A1454" s="38" t="n"/>
      <c r="B1454" s="39" t="n"/>
      <c r="C1454" s="39" t="n"/>
      <c r="D1454" s="38" t="n"/>
      <c r="E1454" s="38" t="n"/>
      <c r="F1454" s="38" t="n"/>
      <c r="G1454" s="37">
        <f>IF(COUNTA(A1454:F1454)=0,"",IF(A1454="EXAMPLE","Example (skipped)",IF(OR(C1454="",E1454="",F1454=""),"✖ Portal, User ID and Password are all needed",IF(AND(A1454="",COUNTIF(Clients!$B$5:$B$1005,B1454)=0),"Not on Clients — will match a portal client by name",IF(AND(C1454="GST",D1454&lt;&gt;"",COUNTIF(Clients!$AN$5:$AN$1005,UPPER(D1454))=0,COUNTIF(Clients!$G$5:$G$1005,"*"&amp;UPPER(D1454)&amp;"*")=0),"GSTIN not on Clients — will be checked in the portal","✔ OK")))))</f>
        <v/>
      </c>
    </row>
    <row r="1455">
      <c r="A1455" s="38" t="n"/>
      <c r="B1455" s="39" t="n"/>
      <c r="C1455" s="39" t="n"/>
      <c r="D1455" s="38" t="n"/>
      <c r="E1455" s="38" t="n"/>
      <c r="F1455" s="38" t="n"/>
      <c r="G1455" s="37">
        <f>IF(COUNTA(A1455:F1455)=0,"",IF(A1455="EXAMPLE","Example (skipped)",IF(OR(C1455="",E1455="",F1455=""),"✖ Portal, User ID and Password are all needed",IF(AND(A1455="",COUNTIF(Clients!$B$5:$B$1005,B1455)=0),"Not on Clients — will match a portal client by name",IF(AND(C1455="GST",D1455&lt;&gt;"",COUNTIF(Clients!$AN$5:$AN$1005,UPPER(D1455))=0,COUNTIF(Clients!$G$5:$G$1005,"*"&amp;UPPER(D1455)&amp;"*")=0),"GSTIN not on Clients — will be checked in the portal","✔ OK")))))</f>
        <v/>
      </c>
    </row>
    <row r="1456">
      <c r="A1456" s="38" t="n"/>
      <c r="B1456" s="39" t="n"/>
      <c r="C1456" s="39" t="n"/>
      <c r="D1456" s="38" t="n"/>
      <c r="E1456" s="38" t="n"/>
      <c r="F1456" s="38" t="n"/>
      <c r="G1456" s="37">
        <f>IF(COUNTA(A1456:F1456)=0,"",IF(A1456="EXAMPLE","Example (skipped)",IF(OR(C1456="",E1456="",F1456=""),"✖ Portal, User ID and Password are all needed",IF(AND(A1456="",COUNTIF(Clients!$B$5:$B$1005,B1456)=0),"Not on Clients — will match a portal client by name",IF(AND(C1456="GST",D1456&lt;&gt;"",COUNTIF(Clients!$AN$5:$AN$1005,UPPER(D1456))=0,COUNTIF(Clients!$G$5:$G$1005,"*"&amp;UPPER(D1456)&amp;"*")=0),"GSTIN not on Clients — will be checked in the portal","✔ OK")))))</f>
        <v/>
      </c>
    </row>
    <row r="1457">
      <c r="A1457" s="38" t="n"/>
      <c r="B1457" s="39" t="n"/>
      <c r="C1457" s="39" t="n"/>
      <c r="D1457" s="38" t="n"/>
      <c r="E1457" s="38" t="n"/>
      <c r="F1457" s="38" t="n"/>
      <c r="G1457" s="37">
        <f>IF(COUNTA(A1457:F1457)=0,"",IF(A1457="EXAMPLE","Example (skipped)",IF(OR(C1457="",E1457="",F1457=""),"✖ Portal, User ID and Password are all needed",IF(AND(A1457="",COUNTIF(Clients!$B$5:$B$1005,B1457)=0),"Not on Clients — will match a portal client by name",IF(AND(C1457="GST",D1457&lt;&gt;"",COUNTIF(Clients!$AN$5:$AN$1005,UPPER(D1457))=0,COUNTIF(Clients!$G$5:$G$1005,"*"&amp;UPPER(D1457)&amp;"*")=0),"GSTIN not on Clients — will be checked in the portal","✔ OK")))))</f>
        <v/>
      </c>
    </row>
    <row r="1458">
      <c r="A1458" s="38" t="n"/>
      <c r="B1458" s="39" t="n"/>
      <c r="C1458" s="39" t="n"/>
      <c r="D1458" s="38" t="n"/>
      <c r="E1458" s="38" t="n"/>
      <c r="F1458" s="38" t="n"/>
      <c r="G1458" s="37">
        <f>IF(COUNTA(A1458:F1458)=0,"",IF(A1458="EXAMPLE","Example (skipped)",IF(OR(C1458="",E1458="",F1458=""),"✖ Portal, User ID and Password are all needed",IF(AND(A1458="",COUNTIF(Clients!$B$5:$B$1005,B1458)=0),"Not on Clients — will match a portal client by name",IF(AND(C1458="GST",D1458&lt;&gt;"",COUNTIF(Clients!$AN$5:$AN$1005,UPPER(D1458))=0,COUNTIF(Clients!$G$5:$G$1005,"*"&amp;UPPER(D1458)&amp;"*")=0),"GSTIN not on Clients — will be checked in the portal","✔ OK")))))</f>
        <v/>
      </c>
    </row>
    <row r="1459">
      <c r="A1459" s="38" t="n"/>
      <c r="B1459" s="39" t="n"/>
      <c r="C1459" s="39" t="n"/>
      <c r="D1459" s="38" t="n"/>
      <c r="E1459" s="38" t="n"/>
      <c r="F1459" s="38" t="n"/>
      <c r="G1459" s="37">
        <f>IF(COUNTA(A1459:F1459)=0,"",IF(A1459="EXAMPLE","Example (skipped)",IF(OR(C1459="",E1459="",F1459=""),"✖ Portal, User ID and Password are all needed",IF(AND(A1459="",COUNTIF(Clients!$B$5:$B$1005,B1459)=0),"Not on Clients — will match a portal client by name",IF(AND(C1459="GST",D1459&lt;&gt;"",COUNTIF(Clients!$AN$5:$AN$1005,UPPER(D1459))=0,COUNTIF(Clients!$G$5:$G$1005,"*"&amp;UPPER(D1459)&amp;"*")=0),"GSTIN not on Clients — will be checked in the portal","✔ OK")))))</f>
        <v/>
      </c>
    </row>
    <row r="1460">
      <c r="A1460" s="38" t="n"/>
      <c r="B1460" s="39" t="n"/>
      <c r="C1460" s="39" t="n"/>
      <c r="D1460" s="38" t="n"/>
      <c r="E1460" s="38" t="n"/>
      <c r="F1460" s="38" t="n"/>
      <c r="G1460" s="37">
        <f>IF(COUNTA(A1460:F1460)=0,"",IF(A1460="EXAMPLE","Example (skipped)",IF(OR(C1460="",E1460="",F1460=""),"✖ Portal, User ID and Password are all needed",IF(AND(A1460="",COUNTIF(Clients!$B$5:$B$1005,B1460)=0),"Not on Clients — will match a portal client by name",IF(AND(C1460="GST",D1460&lt;&gt;"",COUNTIF(Clients!$AN$5:$AN$1005,UPPER(D1460))=0,COUNTIF(Clients!$G$5:$G$1005,"*"&amp;UPPER(D1460)&amp;"*")=0),"GSTIN not on Clients — will be checked in the portal","✔ OK")))))</f>
        <v/>
      </c>
    </row>
    <row r="1461">
      <c r="A1461" s="38" t="n"/>
      <c r="B1461" s="39" t="n"/>
      <c r="C1461" s="39" t="n"/>
      <c r="D1461" s="38" t="n"/>
      <c r="E1461" s="38" t="n"/>
      <c r="F1461" s="38" t="n"/>
      <c r="G1461" s="37">
        <f>IF(COUNTA(A1461:F1461)=0,"",IF(A1461="EXAMPLE","Example (skipped)",IF(OR(C1461="",E1461="",F1461=""),"✖ Portal, User ID and Password are all needed",IF(AND(A1461="",COUNTIF(Clients!$B$5:$B$1005,B1461)=0),"Not on Clients — will match a portal client by name",IF(AND(C1461="GST",D1461&lt;&gt;"",COUNTIF(Clients!$AN$5:$AN$1005,UPPER(D1461))=0,COUNTIF(Clients!$G$5:$G$1005,"*"&amp;UPPER(D1461)&amp;"*")=0),"GSTIN not on Clients — will be checked in the portal","✔ OK")))))</f>
        <v/>
      </c>
    </row>
    <row r="1462">
      <c r="A1462" s="38" t="n"/>
      <c r="B1462" s="39" t="n"/>
      <c r="C1462" s="39" t="n"/>
      <c r="D1462" s="38" t="n"/>
      <c r="E1462" s="38" t="n"/>
      <c r="F1462" s="38" t="n"/>
      <c r="G1462" s="37">
        <f>IF(COUNTA(A1462:F1462)=0,"",IF(A1462="EXAMPLE","Example (skipped)",IF(OR(C1462="",E1462="",F1462=""),"✖ Portal, User ID and Password are all needed",IF(AND(A1462="",COUNTIF(Clients!$B$5:$B$1005,B1462)=0),"Not on Clients — will match a portal client by name",IF(AND(C1462="GST",D1462&lt;&gt;"",COUNTIF(Clients!$AN$5:$AN$1005,UPPER(D1462))=0,COUNTIF(Clients!$G$5:$G$1005,"*"&amp;UPPER(D1462)&amp;"*")=0),"GSTIN not on Clients — will be checked in the portal","✔ OK")))))</f>
        <v/>
      </c>
    </row>
    <row r="1463">
      <c r="A1463" s="38" t="n"/>
      <c r="B1463" s="39" t="n"/>
      <c r="C1463" s="39" t="n"/>
      <c r="D1463" s="38" t="n"/>
      <c r="E1463" s="38" t="n"/>
      <c r="F1463" s="38" t="n"/>
      <c r="G1463" s="37">
        <f>IF(COUNTA(A1463:F1463)=0,"",IF(A1463="EXAMPLE","Example (skipped)",IF(OR(C1463="",E1463="",F1463=""),"✖ Portal, User ID and Password are all needed",IF(AND(A1463="",COUNTIF(Clients!$B$5:$B$1005,B1463)=0),"Not on Clients — will match a portal client by name",IF(AND(C1463="GST",D1463&lt;&gt;"",COUNTIF(Clients!$AN$5:$AN$1005,UPPER(D1463))=0,COUNTIF(Clients!$G$5:$G$1005,"*"&amp;UPPER(D1463)&amp;"*")=0),"GSTIN not on Clients — will be checked in the portal","✔ OK")))))</f>
        <v/>
      </c>
    </row>
    <row r="1464">
      <c r="A1464" s="38" t="n"/>
      <c r="B1464" s="39" t="n"/>
      <c r="C1464" s="39" t="n"/>
      <c r="D1464" s="38" t="n"/>
      <c r="E1464" s="38" t="n"/>
      <c r="F1464" s="38" t="n"/>
      <c r="G1464" s="37">
        <f>IF(COUNTA(A1464:F1464)=0,"",IF(A1464="EXAMPLE","Example (skipped)",IF(OR(C1464="",E1464="",F1464=""),"✖ Portal, User ID and Password are all needed",IF(AND(A1464="",COUNTIF(Clients!$B$5:$B$1005,B1464)=0),"Not on Clients — will match a portal client by name",IF(AND(C1464="GST",D1464&lt;&gt;"",COUNTIF(Clients!$AN$5:$AN$1005,UPPER(D1464))=0,COUNTIF(Clients!$G$5:$G$1005,"*"&amp;UPPER(D1464)&amp;"*")=0),"GSTIN not on Clients — will be checked in the portal","✔ OK")))))</f>
        <v/>
      </c>
    </row>
    <row r="1465">
      <c r="A1465" s="38" t="n"/>
      <c r="B1465" s="39" t="n"/>
      <c r="C1465" s="39" t="n"/>
      <c r="D1465" s="38" t="n"/>
      <c r="E1465" s="38" t="n"/>
      <c r="F1465" s="38" t="n"/>
      <c r="G1465" s="37">
        <f>IF(COUNTA(A1465:F1465)=0,"",IF(A1465="EXAMPLE","Example (skipped)",IF(OR(C1465="",E1465="",F1465=""),"✖ Portal, User ID and Password are all needed",IF(AND(A1465="",COUNTIF(Clients!$B$5:$B$1005,B1465)=0),"Not on Clients — will match a portal client by name",IF(AND(C1465="GST",D1465&lt;&gt;"",COUNTIF(Clients!$AN$5:$AN$1005,UPPER(D1465))=0,COUNTIF(Clients!$G$5:$G$1005,"*"&amp;UPPER(D1465)&amp;"*")=0),"GSTIN not on Clients — will be checked in the portal","✔ OK")))))</f>
        <v/>
      </c>
    </row>
    <row r="1466">
      <c r="A1466" s="38" t="n"/>
      <c r="B1466" s="39" t="n"/>
      <c r="C1466" s="39" t="n"/>
      <c r="D1466" s="38" t="n"/>
      <c r="E1466" s="38" t="n"/>
      <c r="F1466" s="38" t="n"/>
      <c r="G1466" s="37">
        <f>IF(COUNTA(A1466:F1466)=0,"",IF(A1466="EXAMPLE","Example (skipped)",IF(OR(C1466="",E1466="",F1466=""),"✖ Portal, User ID and Password are all needed",IF(AND(A1466="",COUNTIF(Clients!$B$5:$B$1005,B1466)=0),"Not on Clients — will match a portal client by name",IF(AND(C1466="GST",D1466&lt;&gt;"",COUNTIF(Clients!$AN$5:$AN$1005,UPPER(D1466))=0,COUNTIF(Clients!$G$5:$G$1005,"*"&amp;UPPER(D1466)&amp;"*")=0),"GSTIN not on Clients — will be checked in the portal","✔ OK")))))</f>
        <v/>
      </c>
    </row>
    <row r="1467">
      <c r="A1467" s="38" t="n"/>
      <c r="B1467" s="39" t="n"/>
      <c r="C1467" s="39" t="n"/>
      <c r="D1467" s="38" t="n"/>
      <c r="E1467" s="38" t="n"/>
      <c r="F1467" s="38" t="n"/>
      <c r="G1467" s="37">
        <f>IF(COUNTA(A1467:F1467)=0,"",IF(A1467="EXAMPLE","Example (skipped)",IF(OR(C1467="",E1467="",F1467=""),"✖ Portal, User ID and Password are all needed",IF(AND(A1467="",COUNTIF(Clients!$B$5:$B$1005,B1467)=0),"Not on Clients — will match a portal client by name",IF(AND(C1467="GST",D1467&lt;&gt;"",COUNTIF(Clients!$AN$5:$AN$1005,UPPER(D1467))=0,COUNTIF(Clients!$G$5:$G$1005,"*"&amp;UPPER(D1467)&amp;"*")=0),"GSTIN not on Clients — will be checked in the portal","✔ OK")))))</f>
        <v/>
      </c>
    </row>
    <row r="1468">
      <c r="A1468" s="38" t="n"/>
      <c r="B1468" s="39" t="n"/>
      <c r="C1468" s="39" t="n"/>
      <c r="D1468" s="38" t="n"/>
      <c r="E1468" s="38" t="n"/>
      <c r="F1468" s="38" t="n"/>
      <c r="G1468" s="37">
        <f>IF(COUNTA(A1468:F1468)=0,"",IF(A1468="EXAMPLE","Example (skipped)",IF(OR(C1468="",E1468="",F1468=""),"✖ Portal, User ID and Password are all needed",IF(AND(A1468="",COUNTIF(Clients!$B$5:$B$1005,B1468)=0),"Not on Clients — will match a portal client by name",IF(AND(C1468="GST",D1468&lt;&gt;"",COUNTIF(Clients!$AN$5:$AN$1005,UPPER(D1468))=0,COUNTIF(Clients!$G$5:$G$1005,"*"&amp;UPPER(D1468)&amp;"*")=0),"GSTIN not on Clients — will be checked in the portal","✔ OK")))))</f>
        <v/>
      </c>
    </row>
    <row r="1469">
      <c r="A1469" s="38" t="n"/>
      <c r="B1469" s="39" t="n"/>
      <c r="C1469" s="39" t="n"/>
      <c r="D1469" s="38" t="n"/>
      <c r="E1469" s="38" t="n"/>
      <c r="F1469" s="38" t="n"/>
      <c r="G1469" s="37">
        <f>IF(COUNTA(A1469:F1469)=0,"",IF(A1469="EXAMPLE","Example (skipped)",IF(OR(C1469="",E1469="",F1469=""),"✖ Portal, User ID and Password are all needed",IF(AND(A1469="",COUNTIF(Clients!$B$5:$B$1005,B1469)=0),"Not on Clients — will match a portal client by name",IF(AND(C1469="GST",D1469&lt;&gt;"",COUNTIF(Clients!$AN$5:$AN$1005,UPPER(D1469))=0,COUNTIF(Clients!$G$5:$G$1005,"*"&amp;UPPER(D1469)&amp;"*")=0),"GSTIN not on Clients — will be checked in the portal","✔ OK")))))</f>
        <v/>
      </c>
    </row>
    <row r="1470">
      <c r="A1470" s="38" t="n"/>
      <c r="B1470" s="39" t="n"/>
      <c r="C1470" s="39" t="n"/>
      <c r="D1470" s="38" t="n"/>
      <c r="E1470" s="38" t="n"/>
      <c r="F1470" s="38" t="n"/>
      <c r="G1470" s="37">
        <f>IF(COUNTA(A1470:F1470)=0,"",IF(A1470="EXAMPLE","Example (skipped)",IF(OR(C1470="",E1470="",F1470=""),"✖ Portal, User ID and Password are all needed",IF(AND(A1470="",COUNTIF(Clients!$B$5:$B$1005,B1470)=0),"Not on Clients — will match a portal client by name",IF(AND(C1470="GST",D1470&lt;&gt;"",COUNTIF(Clients!$AN$5:$AN$1005,UPPER(D1470))=0,COUNTIF(Clients!$G$5:$G$1005,"*"&amp;UPPER(D1470)&amp;"*")=0),"GSTIN not on Clients — will be checked in the portal","✔ OK")))))</f>
        <v/>
      </c>
    </row>
    <row r="1471">
      <c r="A1471" s="38" t="n"/>
      <c r="B1471" s="39" t="n"/>
      <c r="C1471" s="39" t="n"/>
      <c r="D1471" s="38" t="n"/>
      <c r="E1471" s="38" t="n"/>
      <c r="F1471" s="38" t="n"/>
      <c r="G1471" s="37">
        <f>IF(COUNTA(A1471:F1471)=0,"",IF(A1471="EXAMPLE","Example (skipped)",IF(OR(C1471="",E1471="",F1471=""),"✖ Portal, User ID and Password are all needed",IF(AND(A1471="",COUNTIF(Clients!$B$5:$B$1005,B1471)=0),"Not on Clients — will match a portal client by name",IF(AND(C1471="GST",D1471&lt;&gt;"",COUNTIF(Clients!$AN$5:$AN$1005,UPPER(D1471))=0,COUNTIF(Clients!$G$5:$G$1005,"*"&amp;UPPER(D1471)&amp;"*")=0),"GSTIN not on Clients — will be checked in the portal","✔ OK")))))</f>
        <v/>
      </c>
    </row>
    <row r="1472">
      <c r="A1472" s="38" t="n"/>
      <c r="B1472" s="39" t="n"/>
      <c r="C1472" s="39" t="n"/>
      <c r="D1472" s="38" t="n"/>
      <c r="E1472" s="38" t="n"/>
      <c r="F1472" s="38" t="n"/>
      <c r="G1472" s="37">
        <f>IF(COUNTA(A1472:F1472)=0,"",IF(A1472="EXAMPLE","Example (skipped)",IF(OR(C1472="",E1472="",F1472=""),"✖ Portal, User ID and Password are all needed",IF(AND(A1472="",COUNTIF(Clients!$B$5:$B$1005,B1472)=0),"Not on Clients — will match a portal client by name",IF(AND(C1472="GST",D1472&lt;&gt;"",COUNTIF(Clients!$AN$5:$AN$1005,UPPER(D1472))=0,COUNTIF(Clients!$G$5:$G$1005,"*"&amp;UPPER(D1472)&amp;"*")=0),"GSTIN not on Clients — will be checked in the portal","✔ OK")))))</f>
        <v/>
      </c>
    </row>
    <row r="1473">
      <c r="A1473" s="38" t="n"/>
      <c r="B1473" s="39" t="n"/>
      <c r="C1473" s="39" t="n"/>
      <c r="D1473" s="38" t="n"/>
      <c r="E1473" s="38" t="n"/>
      <c r="F1473" s="38" t="n"/>
      <c r="G1473" s="37">
        <f>IF(COUNTA(A1473:F1473)=0,"",IF(A1473="EXAMPLE","Example (skipped)",IF(OR(C1473="",E1473="",F1473=""),"✖ Portal, User ID and Password are all needed",IF(AND(A1473="",COUNTIF(Clients!$B$5:$B$1005,B1473)=0),"Not on Clients — will match a portal client by name",IF(AND(C1473="GST",D1473&lt;&gt;"",COUNTIF(Clients!$AN$5:$AN$1005,UPPER(D1473))=0,COUNTIF(Clients!$G$5:$G$1005,"*"&amp;UPPER(D1473)&amp;"*")=0),"GSTIN not on Clients — will be checked in the portal","✔ OK")))))</f>
        <v/>
      </c>
    </row>
    <row r="1474">
      <c r="A1474" s="38" t="n"/>
      <c r="B1474" s="39" t="n"/>
      <c r="C1474" s="39" t="n"/>
      <c r="D1474" s="38" t="n"/>
      <c r="E1474" s="38" t="n"/>
      <c r="F1474" s="38" t="n"/>
      <c r="G1474" s="37">
        <f>IF(COUNTA(A1474:F1474)=0,"",IF(A1474="EXAMPLE","Example (skipped)",IF(OR(C1474="",E1474="",F1474=""),"✖ Portal, User ID and Password are all needed",IF(AND(A1474="",COUNTIF(Clients!$B$5:$B$1005,B1474)=0),"Not on Clients — will match a portal client by name",IF(AND(C1474="GST",D1474&lt;&gt;"",COUNTIF(Clients!$AN$5:$AN$1005,UPPER(D1474))=0,COUNTIF(Clients!$G$5:$G$1005,"*"&amp;UPPER(D1474)&amp;"*")=0),"GSTIN not on Clients — will be checked in the portal","✔ OK")))))</f>
        <v/>
      </c>
    </row>
    <row r="1475">
      <c r="A1475" s="38" t="n"/>
      <c r="B1475" s="39" t="n"/>
      <c r="C1475" s="39" t="n"/>
      <c r="D1475" s="38" t="n"/>
      <c r="E1475" s="38" t="n"/>
      <c r="F1475" s="38" t="n"/>
      <c r="G1475" s="37">
        <f>IF(COUNTA(A1475:F1475)=0,"",IF(A1475="EXAMPLE","Example (skipped)",IF(OR(C1475="",E1475="",F1475=""),"✖ Portal, User ID and Password are all needed",IF(AND(A1475="",COUNTIF(Clients!$B$5:$B$1005,B1475)=0),"Not on Clients — will match a portal client by name",IF(AND(C1475="GST",D1475&lt;&gt;"",COUNTIF(Clients!$AN$5:$AN$1005,UPPER(D1475))=0,COUNTIF(Clients!$G$5:$G$1005,"*"&amp;UPPER(D1475)&amp;"*")=0),"GSTIN not on Clients — will be checked in the portal","✔ OK")))))</f>
        <v/>
      </c>
    </row>
    <row r="1476">
      <c r="A1476" s="38" t="n"/>
      <c r="B1476" s="39" t="n"/>
      <c r="C1476" s="39" t="n"/>
      <c r="D1476" s="38" t="n"/>
      <c r="E1476" s="38" t="n"/>
      <c r="F1476" s="38" t="n"/>
      <c r="G1476" s="37">
        <f>IF(COUNTA(A1476:F1476)=0,"",IF(A1476="EXAMPLE","Example (skipped)",IF(OR(C1476="",E1476="",F1476=""),"✖ Portal, User ID and Password are all needed",IF(AND(A1476="",COUNTIF(Clients!$B$5:$B$1005,B1476)=0),"Not on Clients — will match a portal client by name",IF(AND(C1476="GST",D1476&lt;&gt;"",COUNTIF(Clients!$AN$5:$AN$1005,UPPER(D1476))=0,COUNTIF(Clients!$G$5:$G$1005,"*"&amp;UPPER(D1476)&amp;"*")=0),"GSTIN not on Clients — will be checked in the portal","✔ OK")))))</f>
        <v/>
      </c>
    </row>
    <row r="1477">
      <c r="A1477" s="38" t="n"/>
      <c r="B1477" s="39" t="n"/>
      <c r="C1477" s="39" t="n"/>
      <c r="D1477" s="38" t="n"/>
      <c r="E1477" s="38" t="n"/>
      <c r="F1477" s="38" t="n"/>
      <c r="G1477" s="37">
        <f>IF(COUNTA(A1477:F1477)=0,"",IF(A1477="EXAMPLE","Example (skipped)",IF(OR(C1477="",E1477="",F1477=""),"✖ Portal, User ID and Password are all needed",IF(AND(A1477="",COUNTIF(Clients!$B$5:$B$1005,B1477)=0),"Not on Clients — will match a portal client by name",IF(AND(C1477="GST",D1477&lt;&gt;"",COUNTIF(Clients!$AN$5:$AN$1005,UPPER(D1477))=0,COUNTIF(Clients!$G$5:$G$1005,"*"&amp;UPPER(D1477)&amp;"*")=0),"GSTIN not on Clients — will be checked in the portal","✔ OK")))))</f>
        <v/>
      </c>
    </row>
    <row r="1478">
      <c r="A1478" s="38" t="n"/>
      <c r="B1478" s="39" t="n"/>
      <c r="C1478" s="39" t="n"/>
      <c r="D1478" s="38" t="n"/>
      <c r="E1478" s="38" t="n"/>
      <c r="F1478" s="38" t="n"/>
      <c r="G1478" s="37">
        <f>IF(COUNTA(A1478:F1478)=0,"",IF(A1478="EXAMPLE","Example (skipped)",IF(OR(C1478="",E1478="",F1478=""),"✖ Portal, User ID and Password are all needed",IF(AND(A1478="",COUNTIF(Clients!$B$5:$B$1005,B1478)=0),"Not on Clients — will match a portal client by name",IF(AND(C1478="GST",D1478&lt;&gt;"",COUNTIF(Clients!$AN$5:$AN$1005,UPPER(D1478))=0,COUNTIF(Clients!$G$5:$G$1005,"*"&amp;UPPER(D1478)&amp;"*")=0),"GSTIN not on Clients — will be checked in the portal","✔ OK")))))</f>
        <v/>
      </c>
    </row>
    <row r="1479">
      <c r="A1479" s="38" t="n"/>
      <c r="B1479" s="39" t="n"/>
      <c r="C1479" s="39" t="n"/>
      <c r="D1479" s="38" t="n"/>
      <c r="E1479" s="38" t="n"/>
      <c r="F1479" s="38" t="n"/>
      <c r="G1479" s="37">
        <f>IF(COUNTA(A1479:F1479)=0,"",IF(A1479="EXAMPLE","Example (skipped)",IF(OR(C1479="",E1479="",F1479=""),"✖ Portal, User ID and Password are all needed",IF(AND(A1479="",COUNTIF(Clients!$B$5:$B$1005,B1479)=0),"Not on Clients — will match a portal client by name",IF(AND(C1479="GST",D1479&lt;&gt;"",COUNTIF(Clients!$AN$5:$AN$1005,UPPER(D1479))=0,COUNTIF(Clients!$G$5:$G$1005,"*"&amp;UPPER(D1479)&amp;"*")=0),"GSTIN not on Clients — will be checked in the portal","✔ OK")))))</f>
        <v/>
      </c>
    </row>
    <row r="1480">
      <c r="A1480" s="38" t="n"/>
      <c r="B1480" s="39" t="n"/>
      <c r="C1480" s="39" t="n"/>
      <c r="D1480" s="38" t="n"/>
      <c r="E1480" s="38" t="n"/>
      <c r="F1480" s="38" t="n"/>
      <c r="G1480" s="37">
        <f>IF(COUNTA(A1480:F1480)=0,"",IF(A1480="EXAMPLE","Example (skipped)",IF(OR(C1480="",E1480="",F1480=""),"✖ Portal, User ID and Password are all needed",IF(AND(A1480="",COUNTIF(Clients!$B$5:$B$1005,B1480)=0),"Not on Clients — will match a portal client by name",IF(AND(C1480="GST",D1480&lt;&gt;"",COUNTIF(Clients!$AN$5:$AN$1005,UPPER(D1480))=0,COUNTIF(Clients!$G$5:$G$1005,"*"&amp;UPPER(D1480)&amp;"*")=0),"GSTIN not on Clients — will be checked in the portal","✔ OK")))))</f>
        <v/>
      </c>
    </row>
    <row r="1481">
      <c r="A1481" s="38" t="n"/>
      <c r="B1481" s="39" t="n"/>
      <c r="C1481" s="39" t="n"/>
      <c r="D1481" s="38" t="n"/>
      <c r="E1481" s="38" t="n"/>
      <c r="F1481" s="38" t="n"/>
      <c r="G1481" s="37">
        <f>IF(COUNTA(A1481:F1481)=0,"",IF(A1481="EXAMPLE","Example (skipped)",IF(OR(C1481="",E1481="",F1481=""),"✖ Portal, User ID and Password are all needed",IF(AND(A1481="",COUNTIF(Clients!$B$5:$B$1005,B1481)=0),"Not on Clients — will match a portal client by name",IF(AND(C1481="GST",D1481&lt;&gt;"",COUNTIF(Clients!$AN$5:$AN$1005,UPPER(D1481))=0,COUNTIF(Clients!$G$5:$G$1005,"*"&amp;UPPER(D1481)&amp;"*")=0),"GSTIN not on Clients — will be checked in the portal","✔ OK")))))</f>
        <v/>
      </c>
    </row>
    <row r="1482">
      <c r="A1482" s="38" t="n"/>
      <c r="B1482" s="39" t="n"/>
      <c r="C1482" s="39" t="n"/>
      <c r="D1482" s="38" t="n"/>
      <c r="E1482" s="38" t="n"/>
      <c r="F1482" s="38" t="n"/>
      <c r="G1482" s="37">
        <f>IF(COUNTA(A1482:F1482)=0,"",IF(A1482="EXAMPLE","Example (skipped)",IF(OR(C1482="",E1482="",F1482=""),"✖ Portal, User ID and Password are all needed",IF(AND(A1482="",COUNTIF(Clients!$B$5:$B$1005,B1482)=0),"Not on Clients — will match a portal client by name",IF(AND(C1482="GST",D1482&lt;&gt;"",COUNTIF(Clients!$AN$5:$AN$1005,UPPER(D1482))=0,COUNTIF(Clients!$G$5:$G$1005,"*"&amp;UPPER(D1482)&amp;"*")=0),"GSTIN not on Clients — will be checked in the portal","✔ OK")))))</f>
        <v/>
      </c>
    </row>
    <row r="1483">
      <c r="A1483" s="38" t="n"/>
      <c r="B1483" s="39" t="n"/>
      <c r="C1483" s="39" t="n"/>
      <c r="D1483" s="38" t="n"/>
      <c r="E1483" s="38" t="n"/>
      <c r="F1483" s="38" t="n"/>
      <c r="G1483" s="37">
        <f>IF(COUNTA(A1483:F1483)=0,"",IF(A1483="EXAMPLE","Example (skipped)",IF(OR(C1483="",E1483="",F1483=""),"✖ Portal, User ID and Password are all needed",IF(AND(A1483="",COUNTIF(Clients!$B$5:$B$1005,B1483)=0),"Not on Clients — will match a portal client by name",IF(AND(C1483="GST",D1483&lt;&gt;"",COUNTIF(Clients!$AN$5:$AN$1005,UPPER(D1483))=0,COUNTIF(Clients!$G$5:$G$1005,"*"&amp;UPPER(D1483)&amp;"*")=0),"GSTIN not on Clients — will be checked in the portal","✔ OK")))))</f>
        <v/>
      </c>
    </row>
    <row r="1484">
      <c r="A1484" s="38" t="n"/>
      <c r="B1484" s="39" t="n"/>
      <c r="C1484" s="39" t="n"/>
      <c r="D1484" s="38" t="n"/>
      <c r="E1484" s="38" t="n"/>
      <c r="F1484" s="38" t="n"/>
      <c r="G1484" s="37">
        <f>IF(COUNTA(A1484:F1484)=0,"",IF(A1484="EXAMPLE","Example (skipped)",IF(OR(C1484="",E1484="",F1484=""),"✖ Portal, User ID and Password are all needed",IF(AND(A1484="",COUNTIF(Clients!$B$5:$B$1005,B1484)=0),"Not on Clients — will match a portal client by name",IF(AND(C1484="GST",D1484&lt;&gt;"",COUNTIF(Clients!$AN$5:$AN$1005,UPPER(D1484))=0,COUNTIF(Clients!$G$5:$G$1005,"*"&amp;UPPER(D1484)&amp;"*")=0),"GSTIN not on Clients — will be checked in the portal","✔ OK")))))</f>
        <v/>
      </c>
    </row>
    <row r="1485">
      <c r="A1485" s="38" t="n"/>
      <c r="B1485" s="39" t="n"/>
      <c r="C1485" s="39" t="n"/>
      <c r="D1485" s="38" t="n"/>
      <c r="E1485" s="38" t="n"/>
      <c r="F1485" s="38" t="n"/>
      <c r="G1485" s="37">
        <f>IF(COUNTA(A1485:F1485)=0,"",IF(A1485="EXAMPLE","Example (skipped)",IF(OR(C1485="",E1485="",F1485=""),"✖ Portal, User ID and Password are all needed",IF(AND(A1485="",COUNTIF(Clients!$B$5:$B$1005,B1485)=0),"Not on Clients — will match a portal client by name",IF(AND(C1485="GST",D1485&lt;&gt;"",COUNTIF(Clients!$AN$5:$AN$1005,UPPER(D1485))=0,COUNTIF(Clients!$G$5:$G$1005,"*"&amp;UPPER(D1485)&amp;"*")=0),"GSTIN not on Clients — will be checked in the portal","✔ OK")))))</f>
        <v/>
      </c>
    </row>
    <row r="1486">
      <c r="A1486" s="38" t="n"/>
      <c r="B1486" s="39" t="n"/>
      <c r="C1486" s="39" t="n"/>
      <c r="D1486" s="38" t="n"/>
      <c r="E1486" s="38" t="n"/>
      <c r="F1486" s="38" t="n"/>
      <c r="G1486" s="37">
        <f>IF(COUNTA(A1486:F1486)=0,"",IF(A1486="EXAMPLE","Example (skipped)",IF(OR(C1486="",E1486="",F1486=""),"✖ Portal, User ID and Password are all needed",IF(AND(A1486="",COUNTIF(Clients!$B$5:$B$1005,B1486)=0),"Not on Clients — will match a portal client by name",IF(AND(C1486="GST",D1486&lt;&gt;"",COUNTIF(Clients!$AN$5:$AN$1005,UPPER(D1486))=0,COUNTIF(Clients!$G$5:$G$1005,"*"&amp;UPPER(D1486)&amp;"*")=0),"GSTIN not on Clients — will be checked in the portal","✔ OK")))))</f>
        <v/>
      </c>
    </row>
    <row r="1487">
      <c r="A1487" s="38" t="n"/>
      <c r="B1487" s="39" t="n"/>
      <c r="C1487" s="39" t="n"/>
      <c r="D1487" s="38" t="n"/>
      <c r="E1487" s="38" t="n"/>
      <c r="F1487" s="38" t="n"/>
      <c r="G1487" s="37">
        <f>IF(COUNTA(A1487:F1487)=0,"",IF(A1487="EXAMPLE","Example (skipped)",IF(OR(C1487="",E1487="",F1487=""),"✖ Portal, User ID and Password are all needed",IF(AND(A1487="",COUNTIF(Clients!$B$5:$B$1005,B1487)=0),"Not on Clients — will match a portal client by name",IF(AND(C1487="GST",D1487&lt;&gt;"",COUNTIF(Clients!$AN$5:$AN$1005,UPPER(D1487))=0,COUNTIF(Clients!$G$5:$G$1005,"*"&amp;UPPER(D1487)&amp;"*")=0),"GSTIN not on Clients — will be checked in the portal","✔ OK")))))</f>
        <v/>
      </c>
    </row>
    <row r="1488">
      <c r="A1488" s="38" t="n"/>
      <c r="B1488" s="39" t="n"/>
      <c r="C1488" s="39" t="n"/>
      <c r="D1488" s="38" t="n"/>
      <c r="E1488" s="38" t="n"/>
      <c r="F1488" s="38" t="n"/>
      <c r="G1488" s="37">
        <f>IF(COUNTA(A1488:F1488)=0,"",IF(A1488="EXAMPLE","Example (skipped)",IF(OR(C1488="",E1488="",F1488=""),"✖ Portal, User ID and Password are all needed",IF(AND(A1488="",COUNTIF(Clients!$B$5:$B$1005,B1488)=0),"Not on Clients — will match a portal client by name",IF(AND(C1488="GST",D1488&lt;&gt;"",COUNTIF(Clients!$AN$5:$AN$1005,UPPER(D1488))=0,COUNTIF(Clients!$G$5:$G$1005,"*"&amp;UPPER(D1488)&amp;"*")=0),"GSTIN not on Clients — will be checked in the portal","✔ OK")))))</f>
        <v/>
      </c>
    </row>
    <row r="1489">
      <c r="A1489" s="38" t="n"/>
      <c r="B1489" s="39" t="n"/>
      <c r="C1489" s="39" t="n"/>
      <c r="D1489" s="38" t="n"/>
      <c r="E1489" s="38" t="n"/>
      <c r="F1489" s="38" t="n"/>
      <c r="G1489" s="37">
        <f>IF(COUNTA(A1489:F1489)=0,"",IF(A1489="EXAMPLE","Example (skipped)",IF(OR(C1489="",E1489="",F1489=""),"✖ Portal, User ID and Password are all needed",IF(AND(A1489="",COUNTIF(Clients!$B$5:$B$1005,B1489)=0),"Not on Clients — will match a portal client by name",IF(AND(C1489="GST",D1489&lt;&gt;"",COUNTIF(Clients!$AN$5:$AN$1005,UPPER(D1489))=0,COUNTIF(Clients!$G$5:$G$1005,"*"&amp;UPPER(D1489)&amp;"*")=0),"GSTIN not on Clients — will be checked in the portal","✔ OK")))))</f>
        <v/>
      </c>
    </row>
    <row r="1490">
      <c r="A1490" s="38" t="n"/>
      <c r="B1490" s="39" t="n"/>
      <c r="C1490" s="39" t="n"/>
      <c r="D1490" s="38" t="n"/>
      <c r="E1490" s="38" t="n"/>
      <c r="F1490" s="38" t="n"/>
      <c r="G1490" s="37">
        <f>IF(COUNTA(A1490:F1490)=0,"",IF(A1490="EXAMPLE","Example (skipped)",IF(OR(C1490="",E1490="",F1490=""),"✖ Portal, User ID and Password are all needed",IF(AND(A1490="",COUNTIF(Clients!$B$5:$B$1005,B1490)=0),"Not on Clients — will match a portal client by name",IF(AND(C1490="GST",D1490&lt;&gt;"",COUNTIF(Clients!$AN$5:$AN$1005,UPPER(D1490))=0,COUNTIF(Clients!$G$5:$G$1005,"*"&amp;UPPER(D1490)&amp;"*")=0),"GSTIN not on Clients — will be checked in the portal","✔ OK")))))</f>
        <v/>
      </c>
    </row>
    <row r="1491">
      <c r="A1491" s="38" t="n"/>
      <c r="B1491" s="39" t="n"/>
      <c r="C1491" s="39" t="n"/>
      <c r="D1491" s="38" t="n"/>
      <c r="E1491" s="38" t="n"/>
      <c r="F1491" s="38" t="n"/>
      <c r="G1491" s="37">
        <f>IF(COUNTA(A1491:F1491)=0,"",IF(A1491="EXAMPLE","Example (skipped)",IF(OR(C1491="",E1491="",F1491=""),"✖ Portal, User ID and Password are all needed",IF(AND(A1491="",COUNTIF(Clients!$B$5:$B$1005,B1491)=0),"Not on Clients — will match a portal client by name",IF(AND(C1491="GST",D1491&lt;&gt;"",COUNTIF(Clients!$AN$5:$AN$1005,UPPER(D1491))=0,COUNTIF(Clients!$G$5:$G$1005,"*"&amp;UPPER(D1491)&amp;"*")=0),"GSTIN not on Clients — will be checked in the portal","✔ OK")))))</f>
        <v/>
      </c>
    </row>
    <row r="1492">
      <c r="A1492" s="38" t="n"/>
      <c r="B1492" s="39" t="n"/>
      <c r="C1492" s="39" t="n"/>
      <c r="D1492" s="38" t="n"/>
      <c r="E1492" s="38" t="n"/>
      <c r="F1492" s="38" t="n"/>
      <c r="G1492" s="37">
        <f>IF(COUNTA(A1492:F1492)=0,"",IF(A1492="EXAMPLE","Example (skipped)",IF(OR(C1492="",E1492="",F1492=""),"✖ Portal, User ID and Password are all needed",IF(AND(A1492="",COUNTIF(Clients!$B$5:$B$1005,B1492)=0),"Not on Clients — will match a portal client by name",IF(AND(C1492="GST",D1492&lt;&gt;"",COUNTIF(Clients!$AN$5:$AN$1005,UPPER(D1492))=0,COUNTIF(Clients!$G$5:$G$1005,"*"&amp;UPPER(D1492)&amp;"*")=0),"GSTIN not on Clients — will be checked in the portal","✔ OK")))))</f>
        <v/>
      </c>
    </row>
    <row r="1493">
      <c r="A1493" s="38" t="n"/>
      <c r="B1493" s="39" t="n"/>
      <c r="C1493" s="39" t="n"/>
      <c r="D1493" s="38" t="n"/>
      <c r="E1493" s="38" t="n"/>
      <c r="F1493" s="38" t="n"/>
      <c r="G1493" s="37">
        <f>IF(COUNTA(A1493:F1493)=0,"",IF(A1493="EXAMPLE","Example (skipped)",IF(OR(C1493="",E1493="",F1493=""),"✖ Portal, User ID and Password are all needed",IF(AND(A1493="",COUNTIF(Clients!$B$5:$B$1005,B1493)=0),"Not on Clients — will match a portal client by name",IF(AND(C1493="GST",D1493&lt;&gt;"",COUNTIF(Clients!$AN$5:$AN$1005,UPPER(D1493))=0,COUNTIF(Clients!$G$5:$G$1005,"*"&amp;UPPER(D1493)&amp;"*")=0),"GSTIN not on Clients — will be checked in the portal","✔ OK")))))</f>
        <v/>
      </c>
    </row>
    <row r="1494">
      <c r="A1494" s="38" t="n"/>
      <c r="B1494" s="39" t="n"/>
      <c r="C1494" s="39" t="n"/>
      <c r="D1494" s="38" t="n"/>
      <c r="E1494" s="38" t="n"/>
      <c r="F1494" s="38" t="n"/>
      <c r="G1494" s="37">
        <f>IF(COUNTA(A1494:F1494)=0,"",IF(A1494="EXAMPLE","Example (skipped)",IF(OR(C1494="",E1494="",F1494=""),"✖ Portal, User ID and Password are all needed",IF(AND(A1494="",COUNTIF(Clients!$B$5:$B$1005,B1494)=0),"Not on Clients — will match a portal client by name",IF(AND(C1494="GST",D1494&lt;&gt;"",COUNTIF(Clients!$AN$5:$AN$1005,UPPER(D1494))=0,COUNTIF(Clients!$G$5:$G$1005,"*"&amp;UPPER(D1494)&amp;"*")=0),"GSTIN not on Clients — will be checked in the portal","✔ OK")))))</f>
        <v/>
      </c>
    </row>
    <row r="1495">
      <c r="A1495" s="38" t="n"/>
      <c r="B1495" s="39" t="n"/>
      <c r="C1495" s="39" t="n"/>
      <c r="D1495" s="38" t="n"/>
      <c r="E1495" s="38" t="n"/>
      <c r="F1495" s="38" t="n"/>
      <c r="G1495" s="37">
        <f>IF(COUNTA(A1495:F1495)=0,"",IF(A1495="EXAMPLE","Example (skipped)",IF(OR(C1495="",E1495="",F1495=""),"✖ Portal, User ID and Password are all needed",IF(AND(A1495="",COUNTIF(Clients!$B$5:$B$1005,B1495)=0),"Not on Clients — will match a portal client by name",IF(AND(C1495="GST",D1495&lt;&gt;"",COUNTIF(Clients!$AN$5:$AN$1005,UPPER(D1495))=0,COUNTIF(Clients!$G$5:$G$1005,"*"&amp;UPPER(D1495)&amp;"*")=0),"GSTIN not on Clients — will be checked in the portal","✔ OK")))))</f>
        <v/>
      </c>
    </row>
    <row r="1496">
      <c r="A1496" s="38" t="n"/>
      <c r="B1496" s="39" t="n"/>
      <c r="C1496" s="39" t="n"/>
      <c r="D1496" s="38" t="n"/>
      <c r="E1496" s="38" t="n"/>
      <c r="F1496" s="38" t="n"/>
      <c r="G1496" s="37">
        <f>IF(COUNTA(A1496:F1496)=0,"",IF(A1496="EXAMPLE","Example (skipped)",IF(OR(C1496="",E1496="",F1496=""),"✖ Portal, User ID and Password are all needed",IF(AND(A1496="",COUNTIF(Clients!$B$5:$B$1005,B1496)=0),"Not on Clients — will match a portal client by name",IF(AND(C1496="GST",D1496&lt;&gt;"",COUNTIF(Clients!$AN$5:$AN$1005,UPPER(D1496))=0,COUNTIF(Clients!$G$5:$G$1005,"*"&amp;UPPER(D1496)&amp;"*")=0),"GSTIN not on Clients — will be checked in the portal","✔ OK")))))</f>
        <v/>
      </c>
    </row>
    <row r="1497">
      <c r="A1497" s="38" t="n"/>
      <c r="B1497" s="39" t="n"/>
      <c r="C1497" s="39" t="n"/>
      <c r="D1497" s="38" t="n"/>
      <c r="E1497" s="38" t="n"/>
      <c r="F1497" s="38" t="n"/>
      <c r="G1497" s="37">
        <f>IF(COUNTA(A1497:F1497)=0,"",IF(A1497="EXAMPLE","Example (skipped)",IF(OR(C1497="",E1497="",F1497=""),"✖ Portal, User ID and Password are all needed",IF(AND(A1497="",COUNTIF(Clients!$B$5:$B$1005,B1497)=0),"Not on Clients — will match a portal client by name",IF(AND(C1497="GST",D1497&lt;&gt;"",COUNTIF(Clients!$AN$5:$AN$1005,UPPER(D1497))=0,COUNTIF(Clients!$G$5:$G$1005,"*"&amp;UPPER(D1497)&amp;"*")=0),"GSTIN not on Clients — will be checked in the portal","✔ OK")))))</f>
        <v/>
      </c>
    </row>
    <row r="1498">
      <c r="A1498" s="38" t="n"/>
      <c r="B1498" s="39" t="n"/>
      <c r="C1498" s="39" t="n"/>
      <c r="D1498" s="38" t="n"/>
      <c r="E1498" s="38" t="n"/>
      <c r="F1498" s="38" t="n"/>
      <c r="G1498" s="37">
        <f>IF(COUNTA(A1498:F1498)=0,"",IF(A1498="EXAMPLE","Example (skipped)",IF(OR(C1498="",E1498="",F1498=""),"✖ Portal, User ID and Password are all needed",IF(AND(A1498="",COUNTIF(Clients!$B$5:$B$1005,B1498)=0),"Not on Clients — will match a portal client by name",IF(AND(C1498="GST",D1498&lt;&gt;"",COUNTIF(Clients!$AN$5:$AN$1005,UPPER(D1498))=0,COUNTIF(Clients!$G$5:$G$1005,"*"&amp;UPPER(D1498)&amp;"*")=0),"GSTIN not on Clients — will be checked in the portal","✔ OK")))))</f>
        <v/>
      </c>
    </row>
    <row r="1499">
      <c r="A1499" s="38" t="n"/>
      <c r="B1499" s="39" t="n"/>
      <c r="C1499" s="39" t="n"/>
      <c r="D1499" s="38" t="n"/>
      <c r="E1499" s="38" t="n"/>
      <c r="F1499" s="38" t="n"/>
      <c r="G1499" s="37">
        <f>IF(COUNTA(A1499:F1499)=0,"",IF(A1499="EXAMPLE","Example (skipped)",IF(OR(C1499="",E1499="",F1499=""),"✖ Portal, User ID and Password are all needed",IF(AND(A1499="",COUNTIF(Clients!$B$5:$B$1005,B1499)=0),"Not on Clients — will match a portal client by name",IF(AND(C1499="GST",D1499&lt;&gt;"",COUNTIF(Clients!$AN$5:$AN$1005,UPPER(D1499))=0,COUNTIF(Clients!$G$5:$G$1005,"*"&amp;UPPER(D1499)&amp;"*")=0),"GSTIN not on Clients — will be checked in the portal","✔ OK")))))</f>
        <v/>
      </c>
    </row>
    <row r="1500">
      <c r="A1500" s="38" t="n"/>
      <c r="B1500" s="39" t="n"/>
      <c r="C1500" s="39" t="n"/>
      <c r="D1500" s="38" t="n"/>
      <c r="E1500" s="38" t="n"/>
      <c r="F1500" s="38" t="n"/>
      <c r="G1500" s="37">
        <f>IF(COUNTA(A1500:F1500)=0,"",IF(A1500="EXAMPLE","Example (skipped)",IF(OR(C1500="",E1500="",F1500=""),"✖ Portal, User ID and Password are all needed",IF(AND(A1500="",COUNTIF(Clients!$B$5:$B$1005,B1500)=0),"Not on Clients — will match a portal client by name",IF(AND(C1500="GST",D1500&lt;&gt;"",COUNTIF(Clients!$AN$5:$AN$1005,UPPER(D1500))=0,COUNTIF(Clients!$G$5:$G$1005,"*"&amp;UPPER(D1500)&amp;"*")=0),"GSTIN not on Clients — will be checked in the portal","✔ OK")))))</f>
        <v/>
      </c>
    </row>
    <row r="1501">
      <c r="A1501" s="38" t="n"/>
      <c r="B1501" s="39" t="n"/>
      <c r="C1501" s="39" t="n"/>
      <c r="D1501" s="38" t="n"/>
      <c r="E1501" s="38" t="n"/>
      <c r="F1501" s="38" t="n"/>
      <c r="G1501" s="37">
        <f>IF(COUNTA(A1501:F1501)=0,"",IF(A1501="EXAMPLE","Example (skipped)",IF(OR(C1501="",E1501="",F1501=""),"✖ Portal, User ID and Password are all needed",IF(AND(A1501="",COUNTIF(Clients!$B$5:$B$1005,B1501)=0),"Not on Clients — will match a portal client by name",IF(AND(C1501="GST",D1501&lt;&gt;"",COUNTIF(Clients!$AN$5:$AN$1005,UPPER(D1501))=0,COUNTIF(Clients!$G$5:$G$1005,"*"&amp;UPPER(D1501)&amp;"*")=0),"GSTIN not on Clients — will be checked in the portal","✔ OK")))))</f>
        <v/>
      </c>
    </row>
    <row r="1502">
      <c r="A1502" s="38" t="n"/>
      <c r="B1502" s="39" t="n"/>
      <c r="C1502" s="39" t="n"/>
      <c r="D1502" s="38" t="n"/>
      <c r="E1502" s="38" t="n"/>
      <c r="F1502" s="38" t="n"/>
      <c r="G1502" s="37">
        <f>IF(COUNTA(A1502:F1502)=0,"",IF(A1502="EXAMPLE","Example (skipped)",IF(OR(C1502="",E1502="",F1502=""),"✖ Portal, User ID and Password are all needed",IF(AND(A1502="",COUNTIF(Clients!$B$5:$B$1005,B1502)=0),"Not on Clients — will match a portal client by name",IF(AND(C1502="GST",D1502&lt;&gt;"",COUNTIF(Clients!$AN$5:$AN$1005,UPPER(D1502))=0,COUNTIF(Clients!$G$5:$G$1005,"*"&amp;UPPER(D1502)&amp;"*")=0),"GSTIN not on Clients — will be checked in the portal","✔ OK")))))</f>
        <v/>
      </c>
    </row>
    <row r="1503">
      <c r="A1503" s="38" t="n"/>
      <c r="B1503" s="39" t="n"/>
      <c r="C1503" s="39" t="n"/>
      <c r="D1503" s="38" t="n"/>
      <c r="E1503" s="38" t="n"/>
      <c r="F1503" s="38" t="n"/>
      <c r="G1503" s="37">
        <f>IF(COUNTA(A1503:F1503)=0,"",IF(A1503="EXAMPLE","Example (skipped)",IF(OR(C1503="",E1503="",F1503=""),"✖ Portal, User ID and Password are all needed",IF(AND(A1503="",COUNTIF(Clients!$B$5:$B$1005,B1503)=0),"Not on Clients — will match a portal client by name",IF(AND(C1503="GST",D1503&lt;&gt;"",COUNTIF(Clients!$AN$5:$AN$1005,UPPER(D1503))=0,COUNTIF(Clients!$G$5:$G$1005,"*"&amp;UPPER(D1503)&amp;"*")=0),"GSTIN not on Clients — will be checked in the portal","✔ OK")))))</f>
        <v/>
      </c>
    </row>
  </sheetData>
  <mergeCells count="2">
    <mergeCell ref="A2:G2"/>
    <mergeCell ref="A1:G1"/>
  </mergeCells>
  <conditionalFormatting sqref="G4:G1503">
    <cfRule type="expression" priority="1" dxfId="2">
      <formula>LEFT(G4,1)="✔"</formula>
    </cfRule>
    <cfRule type="expression" priority="2" dxfId="1">
      <formula>LEFT(G4,1)="✖"</formula>
    </cfRule>
  </conditionalFormatting>
  <dataValidations count="1">
    <dataValidation sqref="C4:C1503" showDropDown="0" showInputMessage="0" showErrorMessage="1" allowBlank="1" errorTitle="Not in the list" error="Pick a portal from the list." type="list">
      <formula1>=Lists!$T$2:$T$9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T38"/>
  <sheetViews>
    <sheetView zoomScale="10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5" customWidth="1" min="5" max="5"/>
    <col width="24" customWidth="1" min="6" max="6"/>
    <col width="20" customWidth="1" min="8" max="8"/>
    <col width="20" customWidth="1" min="9" max="9"/>
    <col width="15" customWidth="1" min="11" max="11"/>
    <col width="38" customWidth="1" min="12" max="12"/>
    <col width="15" customWidth="1" min="14" max="14"/>
    <col width="10" customWidth="1" min="16" max="16"/>
    <col width="15" customWidth="1" min="18" max="18"/>
    <col width="20" customWidth="1" min="20" max="20"/>
  </cols>
  <sheetData>
    <row r="1">
      <c r="A1" s="40" t="inlineStr">
        <is>
          <t>Entity type</t>
        </is>
      </c>
      <c r="B1" s="40" t="inlineStr">
        <is>
          <t>Portal slug</t>
        </is>
      </c>
      <c r="C1" s="40" t="inlineStr">
        <is>
          <t>Category</t>
        </is>
      </c>
      <c r="E1" s="40" t="inlineStr">
        <is>
          <t>PAN 4th letter</t>
        </is>
      </c>
      <c r="F1" s="40" t="inlineStr">
        <is>
          <t>Guessed type</t>
        </is>
      </c>
      <c r="H1" s="40" t="inlineStr">
        <is>
          <t>Legal status</t>
        </is>
      </c>
      <c r="I1" s="40" t="inlineStr">
        <is>
          <t>Portal value</t>
        </is>
      </c>
      <c r="K1" s="40" t="inlineStr">
        <is>
          <t>GST state code</t>
        </is>
      </c>
      <c r="L1" s="40" t="inlineStr">
        <is>
          <t>State</t>
        </is>
      </c>
      <c r="N1" s="40" t="inlineStr">
        <is>
          <t>Financial year</t>
        </is>
      </c>
      <c r="P1" s="40" t="inlineStr">
        <is>
          <t>Yes / No</t>
        </is>
      </c>
      <c r="R1" s="40" t="inlineStr">
        <is>
          <t>GST frequency</t>
        </is>
      </c>
      <c r="T1" s="40" t="inlineStr">
        <is>
          <t>Login portal</t>
        </is>
      </c>
    </row>
    <row r="2">
      <c r="A2" s="41" t="inlineStr">
        <is>
          <t>Private Limited Company</t>
        </is>
      </c>
      <c r="B2" s="41" t="inlineStr">
        <is>
          <t>private_limited</t>
        </is>
      </c>
      <c r="C2" s="41" t="inlineStr">
        <is>
          <t>company</t>
        </is>
      </c>
      <c r="E2" s="41" t="inlineStr">
        <is>
          <t>C</t>
        </is>
      </c>
      <c r="F2" s="41" t="inlineStr">
        <is>
          <t>Private Limited Company</t>
        </is>
      </c>
      <c r="H2" s="41" t="inlineStr">
        <is>
          <t>Active</t>
        </is>
      </c>
      <c r="I2" s="41" t="inlineStr">
        <is>
          <t>active</t>
        </is>
      </c>
      <c r="K2" s="42" t="inlineStr">
        <is>
          <t>01</t>
        </is>
      </c>
      <c r="L2" s="41" t="inlineStr">
        <is>
          <t>Jammu and Kashmir</t>
        </is>
      </c>
      <c r="N2" s="41" t="inlineStr">
        <is>
          <t>2024-25</t>
        </is>
      </c>
      <c r="P2" s="41" t="inlineStr">
        <is>
          <t>Yes</t>
        </is>
      </c>
      <c r="R2" s="41" t="inlineStr">
        <is>
          <t>Monthly</t>
        </is>
      </c>
      <c r="T2" s="41" t="inlineStr">
        <is>
          <t>GST</t>
        </is>
      </c>
    </row>
    <row r="3">
      <c r="A3" s="41" t="inlineStr">
        <is>
          <t>Public Limited Company</t>
        </is>
      </c>
      <c r="B3" s="41" t="inlineStr">
        <is>
          <t>public_limited</t>
        </is>
      </c>
      <c r="C3" s="41" t="inlineStr">
        <is>
          <t>company</t>
        </is>
      </c>
      <c r="E3" s="41" t="inlineStr">
        <is>
          <t>P</t>
        </is>
      </c>
      <c r="F3" s="41" t="inlineStr">
        <is>
          <t>Proprietorship</t>
        </is>
      </c>
      <c r="H3" s="41" t="inlineStr">
        <is>
          <t>Under incorporation</t>
        </is>
      </c>
      <c r="I3" s="41" t="inlineStr">
        <is>
          <t>under_incorporation</t>
        </is>
      </c>
      <c r="K3" s="42" t="inlineStr">
        <is>
          <t>02</t>
        </is>
      </c>
      <c r="L3" s="41" t="inlineStr">
        <is>
          <t>Himachal Pradesh</t>
        </is>
      </c>
      <c r="N3" s="41" t="inlineStr">
        <is>
          <t>2025-26</t>
        </is>
      </c>
      <c r="P3" s="41" t="inlineStr">
        <is>
          <t>No</t>
        </is>
      </c>
      <c r="R3" s="41" t="inlineStr">
        <is>
          <t>Quarterly</t>
        </is>
      </c>
      <c r="T3" s="41" t="inlineStr">
        <is>
          <t>Income-tax (PAN)</t>
        </is>
      </c>
    </row>
    <row r="4">
      <c r="A4" s="41" t="inlineStr">
        <is>
          <t>One Person Company</t>
        </is>
      </c>
      <c r="B4" s="41" t="inlineStr">
        <is>
          <t>opc</t>
        </is>
      </c>
      <c r="C4" s="41" t="inlineStr">
        <is>
          <t>company</t>
        </is>
      </c>
      <c r="E4" s="41" t="inlineStr">
        <is>
          <t>F</t>
        </is>
      </c>
      <c r="F4" s="41" t="inlineStr">
        <is>
          <t>Partnership Firm</t>
        </is>
      </c>
      <c r="H4" s="41" t="inlineStr">
        <is>
          <t>Dormant</t>
        </is>
      </c>
      <c r="I4" s="41" t="inlineStr">
        <is>
          <t>dormant</t>
        </is>
      </c>
      <c r="K4" s="42" t="inlineStr">
        <is>
          <t>03</t>
        </is>
      </c>
      <c r="L4" s="41" t="inlineStr">
        <is>
          <t>Punjab</t>
        </is>
      </c>
      <c r="N4" s="41" t="inlineStr">
        <is>
          <t>2026-27</t>
        </is>
      </c>
      <c r="T4" s="41" t="inlineStr">
        <is>
          <t>Income-tax (TAN)</t>
        </is>
      </c>
    </row>
    <row r="5">
      <c r="A5" s="41" t="inlineStr">
        <is>
          <t>Limited Liability Partnership</t>
        </is>
      </c>
      <c r="B5" s="41" t="inlineStr">
        <is>
          <t>llp</t>
        </is>
      </c>
      <c r="C5" s="41" t="inlineStr">
        <is>
          <t>llp</t>
        </is>
      </c>
      <c r="E5" s="41" t="inlineStr">
        <is>
          <t>H</t>
        </is>
      </c>
      <c r="F5" s="41" t="inlineStr">
        <is>
          <t>Hindu Undivided Family</t>
        </is>
      </c>
      <c r="H5" s="41" t="inlineStr">
        <is>
          <t>Struck off</t>
        </is>
      </c>
      <c r="I5" s="41" t="inlineStr">
        <is>
          <t>struck_off</t>
        </is>
      </c>
      <c r="K5" s="42" t="inlineStr">
        <is>
          <t>04</t>
        </is>
      </c>
      <c r="L5" s="41" t="inlineStr">
        <is>
          <t>Chandigarh</t>
        </is>
      </c>
      <c r="N5" s="41" t="inlineStr">
        <is>
          <t>2027-28</t>
        </is>
      </c>
      <c r="T5" s="41" t="inlineStr">
        <is>
          <t>TRACES deductor</t>
        </is>
      </c>
    </row>
    <row r="6">
      <c r="A6" s="41" t="inlineStr">
        <is>
          <t>Partnership Firm</t>
        </is>
      </c>
      <c r="B6" s="41" t="inlineStr">
        <is>
          <t>partnership</t>
        </is>
      </c>
      <c r="C6" s="41" t="inlineStr">
        <is>
          <t>partnership</t>
        </is>
      </c>
      <c r="E6" s="41" t="inlineStr">
        <is>
          <t>A</t>
        </is>
      </c>
      <c r="F6" s="41" t="inlineStr">
        <is>
          <t>Association of Persons</t>
        </is>
      </c>
      <c r="H6" s="41" t="inlineStr">
        <is>
          <t>Under liquidation</t>
        </is>
      </c>
      <c r="I6" s="41" t="inlineStr">
        <is>
          <t>under_liquidation</t>
        </is>
      </c>
      <c r="K6" s="42" t="inlineStr">
        <is>
          <t>05</t>
        </is>
      </c>
      <c r="L6" s="41" t="inlineStr">
        <is>
          <t>Uttarakhand</t>
        </is>
      </c>
      <c r="T6" s="41" t="inlineStr">
        <is>
          <t>TRACES taxpayer</t>
        </is>
      </c>
    </row>
    <row r="7">
      <c r="A7" s="41" t="inlineStr">
        <is>
          <t>Proprietorship</t>
        </is>
      </c>
      <c r="B7" s="41" t="inlineStr">
        <is>
          <t>proprietorship</t>
        </is>
      </c>
      <c r="C7" s="41" t="inlineStr">
        <is>
          <t>proprietorship</t>
        </is>
      </c>
      <c r="E7" s="41" t="inlineStr">
        <is>
          <t>B</t>
        </is>
      </c>
      <c r="F7" s="41" t="inlineStr">
        <is>
          <t>Association of Persons</t>
        </is>
      </c>
      <c r="H7" s="41" t="inlineStr">
        <is>
          <t>CIRP</t>
        </is>
      </c>
      <c r="I7" s="41" t="inlineStr">
        <is>
          <t>cirp</t>
        </is>
      </c>
      <c r="K7" s="42" t="inlineStr">
        <is>
          <t>06</t>
        </is>
      </c>
      <c r="L7" s="41" t="inlineStr">
        <is>
          <t>Haryana</t>
        </is>
      </c>
      <c r="T7" s="41" t="inlineStr">
        <is>
          <t>MCA</t>
        </is>
      </c>
    </row>
    <row r="8">
      <c r="A8" s="41" t="inlineStr">
        <is>
          <t>Individual</t>
        </is>
      </c>
      <c r="B8" s="41" t="inlineStr">
        <is>
          <t>individual</t>
        </is>
      </c>
      <c r="C8" s="41" t="inlineStr">
        <is>
          <t>individual</t>
        </is>
      </c>
      <c r="E8" s="41" t="inlineStr">
        <is>
          <t>T</t>
        </is>
      </c>
      <c r="F8" s="41" t="inlineStr">
        <is>
          <t>Trust</t>
        </is>
      </c>
      <c r="H8" s="41" t="inlineStr">
        <is>
          <t>Closed</t>
        </is>
      </c>
      <c r="I8" s="41" t="inlineStr">
        <is>
          <t>closed</t>
        </is>
      </c>
      <c r="K8" s="42" t="inlineStr">
        <is>
          <t>07</t>
        </is>
      </c>
      <c r="L8" s="41" t="inlineStr">
        <is>
          <t>Delhi</t>
        </is>
      </c>
      <c r="T8" s="41" t="inlineStr">
        <is>
          <t>E-way bill</t>
        </is>
      </c>
    </row>
    <row r="9">
      <c r="A9" s="41" t="inlineStr">
        <is>
          <t>Hindu Undivided Family</t>
        </is>
      </c>
      <c r="B9" s="41" t="inlineStr">
        <is>
          <t>huf</t>
        </is>
      </c>
      <c r="C9" s="41" t="inlineStr">
        <is>
          <t>huf</t>
        </is>
      </c>
      <c r="H9" s="41" t="inlineStr">
        <is>
          <t>Other</t>
        </is>
      </c>
      <c r="I9" s="41" t="inlineStr">
        <is>
          <t>other</t>
        </is>
      </c>
      <c r="K9" s="42" t="inlineStr">
        <is>
          <t>08</t>
        </is>
      </c>
      <c r="L9" s="41" t="inlineStr">
        <is>
          <t>Rajasthan</t>
        </is>
      </c>
      <c r="T9" s="41" t="inlineStr">
        <is>
          <t>E-invoice</t>
        </is>
      </c>
    </row>
    <row r="10">
      <c r="A10" s="41" t="inlineStr">
        <is>
          <t>Trust</t>
        </is>
      </c>
      <c r="B10" s="41" t="inlineStr">
        <is>
          <t>trust</t>
        </is>
      </c>
      <c r="C10" s="41" t="inlineStr">
        <is>
          <t>trust</t>
        </is>
      </c>
      <c r="K10" s="42" t="inlineStr">
        <is>
          <t>09</t>
        </is>
      </c>
      <c r="L10" s="41" t="inlineStr">
        <is>
          <t>Uttar Pradesh</t>
        </is>
      </c>
    </row>
    <row r="11">
      <c r="A11" s="41" t="inlineStr">
        <is>
          <t>Society</t>
        </is>
      </c>
      <c r="B11" s="41" t="inlineStr">
        <is>
          <t>society</t>
        </is>
      </c>
      <c r="C11" s="41" t="inlineStr">
        <is>
          <t>society</t>
        </is>
      </c>
      <c r="K11" s="42" t="inlineStr">
        <is>
          <t>10</t>
        </is>
      </c>
      <c r="L11" s="41" t="inlineStr">
        <is>
          <t>Bihar</t>
        </is>
      </c>
    </row>
    <row r="12">
      <c r="A12" s="41" t="inlineStr">
        <is>
          <t>Association of Persons</t>
        </is>
      </c>
      <c r="B12" s="41" t="inlineStr">
        <is>
          <t>aop</t>
        </is>
      </c>
      <c r="C12" s="41" t="inlineStr">
        <is>
          <t>aop</t>
        </is>
      </c>
      <c r="K12" s="42" t="inlineStr">
        <is>
          <t>11</t>
        </is>
      </c>
      <c r="L12" s="41" t="inlineStr">
        <is>
          <t>Sikkim</t>
        </is>
      </c>
    </row>
    <row r="13">
      <c r="K13" s="42" t="inlineStr">
        <is>
          <t>12</t>
        </is>
      </c>
      <c r="L13" s="41" t="inlineStr">
        <is>
          <t>Arunachal Pradesh</t>
        </is>
      </c>
    </row>
    <row r="14">
      <c r="K14" s="42" t="inlineStr">
        <is>
          <t>13</t>
        </is>
      </c>
      <c r="L14" s="41" t="inlineStr">
        <is>
          <t>Nagaland</t>
        </is>
      </c>
    </row>
    <row r="15">
      <c r="K15" s="42" t="inlineStr">
        <is>
          <t>14</t>
        </is>
      </c>
      <c r="L15" s="41" t="inlineStr">
        <is>
          <t>Manipur</t>
        </is>
      </c>
    </row>
    <row r="16">
      <c r="K16" s="42" t="inlineStr">
        <is>
          <t>15</t>
        </is>
      </c>
      <c r="L16" s="41" t="inlineStr">
        <is>
          <t>Mizoram</t>
        </is>
      </c>
    </row>
    <row r="17">
      <c r="K17" s="42" t="inlineStr">
        <is>
          <t>16</t>
        </is>
      </c>
      <c r="L17" s="41" t="inlineStr">
        <is>
          <t>Tripura</t>
        </is>
      </c>
    </row>
    <row r="18">
      <c r="K18" s="42" t="inlineStr">
        <is>
          <t>17</t>
        </is>
      </c>
      <c r="L18" s="41" t="inlineStr">
        <is>
          <t>Meghalaya</t>
        </is>
      </c>
    </row>
    <row r="19">
      <c r="K19" s="42" t="inlineStr">
        <is>
          <t>18</t>
        </is>
      </c>
      <c r="L19" s="41" t="inlineStr">
        <is>
          <t>Assam</t>
        </is>
      </c>
    </row>
    <row r="20">
      <c r="K20" s="42" t="inlineStr">
        <is>
          <t>19</t>
        </is>
      </c>
      <c r="L20" s="41" t="inlineStr">
        <is>
          <t>West Bengal</t>
        </is>
      </c>
    </row>
    <row r="21">
      <c r="K21" s="42" t="inlineStr">
        <is>
          <t>20</t>
        </is>
      </c>
      <c r="L21" s="41" t="inlineStr">
        <is>
          <t>Jharkhand</t>
        </is>
      </c>
    </row>
    <row r="22">
      <c r="K22" s="42" t="inlineStr">
        <is>
          <t>21</t>
        </is>
      </c>
      <c r="L22" s="41" t="inlineStr">
        <is>
          <t>Odisha</t>
        </is>
      </c>
    </row>
    <row r="23">
      <c r="K23" s="42" t="inlineStr">
        <is>
          <t>22</t>
        </is>
      </c>
      <c r="L23" s="41" t="inlineStr">
        <is>
          <t>Chhattisgarh</t>
        </is>
      </c>
    </row>
    <row r="24">
      <c r="K24" s="42" t="inlineStr">
        <is>
          <t>23</t>
        </is>
      </c>
      <c r="L24" s="41" t="inlineStr">
        <is>
          <t>Madhya Pradesh</t>
        </is>
      </c>
    </row>
    <row r="25">
      <c r="K25" s="42" t="inlineStr">
        <is>
          <t>24</t>
        </is>
      </c>
      <c r="L25" s="41" t="inlineStr">
        <is>
          <t>Gujarat</t>
        </is>
      </c>
    </row>
    <row r="26">
      <c r="K26" s="42" t="inlineStr">
        <is>
          <t>26</t>
        </is>
      </c>
      <c r="L26" s="41" t="inlineStr">
        <is>
          <t>Dadra and Nagar Haveli and Daman and Diu</t>
        </is>
      </c>
    </row>
    <row r="27">
      <c r="K27" s="42" t="inlineStr">
        <is>
          <t>27</t>
        </is>
      </c>
      <c r="L27" s="41" t="inlineStr">
        <is>
          <t>Maharashtra</t>
        </is>
      </c>
    </row>
    <row r="28">
      <c r="K28" s="42" t="inlineStr">
        <is>
          <t>29</t>
        </is>
      </c>
      <c r="L28" s="41" t="inlineStr">
        <is>
          <t>Karnataka</t>
        </is>
      </c>
    </row>
    <row r="29">
      <c r="K29" s="42" t="inlineStr">
        <is>
          <t>30</t>
        </is>
      </c>
      <c r="L29" s="41" t="inlineStr">
        <is>
          <t>Goa</t>
        </is>
      </c>
    </row>
    <row r="30">
      <c r="K30" s="42" t="inlineStr">
        <is>
          <t>31</t>
        </is>
      </c>
      <c r="L30" s="41" t="inlineStr">
        <is>
          <t>Lakshadweep</t>
        </is>
      </c>
    </row>
    <row r="31">
      <c r="K31" s="42" t="inlineStr">
        <is>
          <t>32</t>
        </is>
      </c>
      <c r="L31" s="41" t="inlineStr">
        <is>
          <t>Kerala</t>
        </is>
      </c>
    </row>
    <row r="32">
      <c r="K32" s="42" t="inlineStr">
        <is>
          <t>33</t>
        </is>
      </c>
      <c r="L32" s="41" t="inlineStr">
        <is>
          <t>Tamil Nadu</t>
        </is>
      </c>
    </row>
    <row r="33">
      <c r="K33" s="42" t="inlineStr">
        <is>
          <t>34</t>
        </is>
      </c>
      <c r="L33" s="41" t="inlineStr">
        <is>
          <t>Puducherry</t>
        </is>
      </c>
    </row>
    <row r="34">
      <c r="K34" s="42" t="inlineStr">
        <is>
          <t>35</t>
        </is>
      </c>
      <c r="L34" s="41" t="inlineStr">
        <is>
          <t>Andaman and Nicobar Islands</t>
        </is>
      </c>
    </row>
    <row r="35">
      <c r="K35" s="42" t="inlineStr">
        <is>
          <t>36</t>
        </is>
      </c>
      <c r="L35" s="41" t="inlineStr">
        <is>
          <t>Telangana</t>
        </is>
      </c>
    </row>
    <row r="36">
      <c r="K36" s="42" t="inlineStr">
        <is>
          <t>37</t>
        </is>
      </c>
      <c r="L36" s="41" t="inlineStr">
        <is>
          <t>Andhra Pradesh</t>
        </is>
      </c>
    </row>
    <row r="37">
      <c r="K37" s="42" t="inlineStr">
        <is>
          <t>38</t>
        </is>
      </c>
      <c r="L37" s="41" t="inlineStr">
        <is>
          <t>Ladakh</t>
        </is>
      </c>
    </row>
    <row r="38">
      <c r="K38" s="42" t="inlineStr">
        <is>
          <t>97</t>
        </is>
      </c>
      <c r="L38" s="41" t="inlineStr">
        <is>
          <t>Other Territory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2026-10-23T10:15:35Z</dcterms:created>
  <dcterms:modified xsi:type="dcterms:W3CDTF">2026-10-23T10:15:37Z</dcterms:modified>
</cp:coreProperties>
</file>